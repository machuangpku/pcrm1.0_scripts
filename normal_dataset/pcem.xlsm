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mc\scripts_pcrm1.0_filter\normal_dataset\"/>
    </mc:Choice>
  </mc:AlternateContent>
  <bookViews>
    <workbookView xWindow="28740" yWindow="1305" windowWidth="25605" windowHeight="15540" tabRatio="717" firstSheet="1" activeTab="1"/>
  </bookViews>
  <sheets>
    <sheet name="Version description" sheetId="13" r:id="rId1"/>
    <sheet name="Summary" sheetId="1" r:id="rId2"/>
    <sheet name="Summary-totalrate" sheetId="20" r:id="rId3"/>
    <sheet name="Summary_per_seq" sheetId="19" r:id="rId4"/>
    <sheet name="Plot" sheetId="2" r:id="rId5"/>
    <sheet name="names" sheetId="4" state="hidden" r:id="rId6"/>
    <sheet name="AVSC1 limit-lossyG,lossyA,intra" sheetId="5" r:id="rId7"/>
    <sheet name="AVSC2 losslG,lossyA,intra" sheetId="3" r:id="rId8"/>
    <sheet name="AVSC3 losslG,limit-lossyA,intra" sheetId="7" r:id="rId9"/>
    <sheet name="AVSC4 losslG,losslA,intra" sheetId="6" r:id="rId10"/>
    <sheet name="AVSC1 limit-lossyG,lossyA,ra" sheetId="15" r:id="rId11"/>
    <sheet name="AVSC2 losslG,lossyA,ra" sheetId="16" r:id="rId12"/>
    <sheet name="AVSC3 losslG,limit-lossyA,ra" sheetId="17" r:id="rId13"/>
    <sheet name="AVSC4 losslG,losslA,ra" sheetId="18" r:id="rId14"/>
  </sheets>
  <functionGroups builtInGroupCount="18"/>
  <definedNames>
    <definedName name="_xlnm._FilterDatabase" localSheetId="4" hidden="1">Plot!$B$1:$B$58</definedName>
    <definedName name="all_cols" localSheetId="4">Plot!$I$2:$I$30</definedName>
    <definedName name="filter_cols" localSheetId="4">IF(ISREF(Plot!filter_cols_),Plot!filter_cols_,Plot!all_cols)</definedName>
    <definedName name="filter_cols_" localSheetId="4">INDIRECT(HLOOKUP(Plot!$B$1,Plot!$M$1:$ZZ$2,2,0))</definedName>
    <definedName name="graph_a_A_title" localSheetId="4">INDIRECT(VLOOKUP("name.A."&amp;Plot!$B$1,names!$A:$B,2,0))</definedName>
    <definedName name="graph_a_B_title" localSheetId="4">INDIRECT(VLOOKUP("name.B."&amp;Plot!$B$1,names!$A:$B,2,0))</definedName>
    <definedName name="graph_a_title" localSheetId="4">CONCATENATE(Plot!graph_a_y_title, " (Graph a)")</definedName>
    <definedName name="graph_a_x_range_A" localSheetId="4">IF(ISREF(Plot!graph_a_x_range_A_),Plot!graph_a_x_range_A_,{0})</definedName>
    <definedName name="graph_a_x_range_A_" localSheetId="4">INDEX(INDIRECT(VLOOKUP("range." &amp; Plot!$B$1 &amp;"."&amp; Plot!$B$2, names!$A:$B,2,0)), 0, VLOOKUP("col."&amp; Plot!$B$1 &amp;".A."&amp; Plot!$B$4, names!$A:$B,2,0))</definedName>
    <definedName name="graph_a_x_range_B" localSheetId="4">IF(ISREF(Plot!graph_a_x_range_B_),Plot!graph_a_x_range_B_,{0})</definedName>
    <definedName name="graph_a_x_range_B_" localSheetId="4">INDEX(INDIRECT(VLOOKUP("range." &amp; Plot!$B$1 &amp;"."&amp; Plot!$B$2, names!$A:$B,2,0)), 0, VLOOKUP("col."&amp; Plot!$B$1 &amp;".B."&amp; Plot!$B$4, names!$A:$B,2,0))</definedName>
    <definedName name="graph_a_x_title" localSheetId="4">OFFSET(Plot!all_cols, MATCH(Plot!$B$4, Plot!all_cols, 0)-1,1,1,1)</definedName>
    <definedName name="graph_a_y_range_A" localSheetId="4">IF(ISREF(Plot!graph_a_y_range_A_),Plot!graph_a_y_range_A_,{0})</definedName>
    <definedName name="graph_a_y_range_A_" localSheetId="4">INDEX(INDIRECT(VLOOKUP("range." &amp; Plot!$B$1 &amp;"."&amp; Plot!$B$2, names!$A:$B,2,0)), 0, VLOOKUP("col."&amp; Plot!$B$1 &amp;".A."&amp; Plot!$D$4, names!$A:$B,2,0))</definedName>
    <definedName name="graph_a_y_range_B" localSheetId="4">IF(ISREF(Plot!graph_a_y_range_B_),Plot!graph_a_y_range_B_,{0})</definedName>
    <definedName name="graph_a_y_range_B_" localSheetId="4">INDEX(INDIRECT(VLOOKUP("range." &amp; Plot!$B$1 &amp;"."&amp; Plot!$B$2, names!$A:$B,2,0)), 0, VLOOKUP("col."&amp; Plot!$B$1 &amp;".B."&amp; Plot!$D$4, names!$A:$B,2,0))</definedName>
    <definedName name="graph_a_y_title" localSheetId="4">OFFSET(Plot!all_cols, MATCH(Plot!$D$4, Plot!all_cols, 0)-1,1,1,1)</definedName>
    <definedName name="graph_b_A_title" localSheetId="4">INDIRECT(VLOOKUP("name.A."&amp;Plot!$B$1,names!$A:$B,2,0))</definedName>
    <definedName name="graph_b_B_title" localSheetId="4">INDIRECT(VLOOKUP("name.B."&amp;Plot!$B$1,names!$A:$B,2,0))</definedName>
    <definedName name="graph_b_title" localSheetId="4">CONCATENATE(Plot!graph_b_y_title, " (Graph b)")</definedName>
    <definedName name="graph_b_x_range_A" localSheetId="4">IF(ISREF(Plot!graph_b_x_range_A_),Plot!graph_b_x_range_A_,{0})</definedName>
    <definedName name="graph_b_x_range_A_" localSheetId="4">INDEX(INDIRECT(VLOOKUP("range." &amp; Plot!$B$1 &amp;"."&amp; Plot!$B$2, names!$A:$B,2,0)), 0, VLOOKUP("col."&amp; Plot!$B$1 &amp;".A."&amp; Plot!$B$5, names!$A:$B,2,0))</definedName>
    <definedName name="graph_b_x_range_B" localSheetId="4">IF(ISREF(Plot!graph_b_x_range_B_),Plot!graph_b_x_range_B_,{0})</definedName>
    <definedName name="graph_b_x_range_B_" localSheetId="4">INDEX(INDIRECT(VLOOKUP("range." &amp; Plot!$B$1 &amp;"."&amp; Plot!$B$2, names!$A:$B,2,0)), 0, VLOOKUP("col."&amp; Plot!$B$1 &amp;".B."&amp; Plot!$B$5, names!$A:$B,2,0))</definedName>
    <definedName name="graph_b_x_title" localSheetId="4">OFFSET(Plot!all_cols, MATCH(Plot!$B$5, Plot!all_cols, 0)-1,1,1,1)</definedName>
    <definedName name="graph_b_y_range_A" localSheetId="4">IF(ISREF(Plot!graph_b_y_range_A_),Plot!graph_b_y_range_A_,{0})</definedName>
    <definedName name="graph_b_y_range_A_" localSheetId="4">INDEX(INDIRECT(VLOOKUP("range." &amp; Plot!$B$1 &amp;"."&amp; Plot!$B$2, names!$A:$B,2,0)), 0, VLOOKUP("col."&amp; Plot!$B$1 &amp;".A."&amp; Plot!$D$5, names!$A:$B,2,0))</definedName>
    <definedName name="graph_b_y_range_B" localSheetId="4">IF(ISREF(Plot!graph_b_y_range_B_),Plot!graph_b_y_range_B_,{0})</definedName>
    <definedName name="graph_b_y_range_B_" localSheetId="4">INDEX(INDIRECT(VLOOKUP("range." &amp; Plot!$B$1 &amp;"."&amp; Plot!$B$2, names!$A:$B,2,0)), 0, VLOOKUP("col."&amp; Plot!$B$1 &amp;".B."&amp; Plot!$D$5, names!$A:$B,2,0))</definedName>
    <definedName name="graph_b_y_title" localSheetId="4">OFFSET(Plot!all_cols, MATCH(Plot!$D$5, Plot!all_cols, 0)-1,1,1,1)</definedName>
    <definedName name="graph_c_A_title" localSheetId="4">INDIRECT(VLOOKUP("name.A."&amp;Plot!$B$1,names!$A:$B,2,0))</definedName>
    <definedName name="graph_c_B_title" localSheetId="4">INDIRECT(VLOOKUP("name.B."&amp;Plot!$B$1,names!$A:$B,2,0))</definedName>
    <definedName name="graph_c_title" localSheetId="4">CONCATENATE(Plot!graph_c_y_title, " (Graph c)")</definedName>
    <definedName name="graph_c_x_range_A" localSheetId="4">IF(ISREF(Plot!graph_c_x_range_A_),Plot!graph_c_x_range_A_,{0})</definedName>
    <definedName name="graph_c_x_range_A_" localSheetId="4">INDEX(INDIRECT(VLOOKUP("range." &amp; Plot!$B$1 &amp;"."&amp; Plot!$B$2, names!$A:$B,2,0)), 0, VLOOKUP("col."&amp; Plot!$B$1 &amp;".A."&amp; Plot!$B$6, names!$A:$B,2,0))</definedName>
    <definedName name="graph_c_x_range_B" localSheetId="4">IF(ISREF(Plot!graph_c_x_range_B_),Plot!graph_c_x_range_B_,{0})</definedName>
    <definedName name="graph_c_x_range_B_" localSheetId="4">INDEX(INDIRECT(VLOOKUP("range." &amp; Plot!$B$1 &amp;"."&amp; Plot!$B$2, names!$A:$B,2,0)), 0, VLOOKUP("col."&amp; Plot!$B$1 &amp;".B."&amp; Plot!$B$6, names!$A:$B,2,0))</definedName>
    <definedName name="graph_c_x_title" localSheetId="4">OFFSET(Plot!all_cols, MATCH(Plot!$B$6, Plot!all_cols, 0)-1,1,1,1)</definedName>
    <definedName name="graph_c_y_range_A" localSheetId="4">IF(ISREF(Plot!graph_c_y_range_A_),Plot!graph_c_y_range_A_,{0})</definedName>
    <definedName name="graph_c_y_range_A_" localSheetId="4">INDEX(INDIRECT(VLOOKUP("range." &amp; Plot!$B$1 &amp;"."&amp; Plot!$B$2, names!$A:$B,2,0)), 0, VLOOKUP("col."&amp; Plot!$B$1 &amp;".A."&amp; Plot!$D$6, names!$A:$B,2,0))</definedName>
    <definedName name="graph_c_y_range_B" localSheetId="4">IF(ISREF(Plot!graph_c_y_range_B_),Plot!graph_c_y_range_B_,{0})</definedName>
    <definedName name="graph_c_y_range_B_" localSheetId="4">INDEX(INDIRECT(VLOOKUP("range." &amp; Plot!$B$1 &amp;"."&amp; Plot!$B$2, names!$A:$B,2,0)), 0, VLOOKUP("col."&amp; Plot!$B$1 &amp;".B."&amp; Plot!$D$6, names!$A:$B,2,0))</definedName>
    <definedName name="graph_c_y_title" localSheetId="4">OFFSET(Plot!all_cols, MATCH(Plot!$D$6, Plot!all_cols, 0)-1,1,1,1)</definedName>
    <definedName name="graph_d_A_title" localSheetId="4">INDIRECT(VLOOKUP("name.A."&amp;Plot!$B$1,names!$A:$B,2,0))</definedName>
    <definedName name="graph_d_B_title" localSheetId="4">INDIRECT(VLOOKUP("name.B."&amp;Plot!$B$1,names!$A:$B,2,0))</definedName>
    <definedName name="graph_d_title" localSheetId="4">CONCATENATE(Plot!graph_d_y_title, " (Graph d)")</definedName>
    <definedName name="graph_d_x_range_A" localSheetId="4">IF(ISREF(Plot!graph_d_x_range_A_),Plot!graph_d_x_range_A_,{0})</definedName>
    <definedName name="graph_d_x_range_A_" localSheetId="4">INDEX(INDIRECT(VLOOKUP("range." &amp; Plot!$B$1 &amp;"."&amp; Plot!$B$2, names!$A:$B,2,0)), 0, VLOOKUP("col."&amp; Plot!$B$1 &amp;".A."&amp; Plot!$B$7, names!$A:$B,2,0))</definedName>
    <definedName name="graph_d_x_range_B" localSheetId="4">IF(ISREF(Plot!graph_d_x_range_B_),Plot!graph_d_x_range_B_,{0})</definedName>
    <definedName name="graph_d_x_range_B_" localSheetId="4">INDEX(INDIRECT(VLOOKUP("range." &amp; Plot!$B$1 &amp;"."&amp; Plot!$B$2, names!$A:$B,2,0)), 0, VLOOKUP("col."&amp; Plot!$B$1 &amp;".B."&amp; Plot!$B$7, names!$A:$B,2,0))</definedName>
    <definedName name="graph_d_x_title" localSheetId="4">OFFSET(Plot!all_cols, MATCH(Plot!$B$7, Plot!all_cols, 0)-1,1,1,1)</definedName>
    <definedName name="graph_d_y_range_A" localSheetId="4">IF(ISREF(Plot!graph_d_y_range_A_),Plot!graph_d_y_range_A_,{0})</definedName>
    <definedName name="graph_d_y_range_A_" localSheetId="4">INDEX(INDIRECT(VLOOKUP("range." &amp; Plot!$B$1 &amp;"."&amp; Plot!$B$2, names!$A:$B,2,0)), 0, VLOOKUP("col."&amp; Plot!$B$1 &amp;".A."&amp; Plot!$D$7, names!$A:$B,2,0))</definedName>
    <definedName name="graph_d_y_range_B" localSheetId="4">IF(ISREF(Plot!graph_d_y_range_B_),Plot!graph_d_y_range_B_,{0})</definedName>
    <definedName name="graph_d_y_range_B_" localSheetId="4">INDEX(INDIRECT(VLOOKUP("range." &amp; Plot!$B$1 &amp;"."&amp; Plot!$B$2, names!$A:$B,2,0)), 0, VLOOKUP("col."&amp; Plot!$B$1 &amp;".B."&amp; Plot!$D$7, names!$A:$B,2,0))</definedName>
    <definedName name="graph_d_y_title" localSheetId="4">OFFSET(Plot!all_cols, MATCH(Plot!$D$7, Plot!all_cols, 0)-1,1,1,1)</definedName>
    <definedName name="graph_e_A_title" localSheetId="4">INDIRECT(VLOOKUP("name.A."&amp;Plot!$B$1,names!$A:$B,2,0))</definedName>
    <definedName name="graph_e_B_title" localSheetId="4">INDIRECT(VLOOKUP("name.B."&amp;Plot!$B$1,names!$A:$B,2,0))</definedName>
    <definedName name="graph_e_title" localSheetId="4">CONCATENATE(Plot!graph_e_y_title, " (Graph e)")</definedName>
    <definedName name="graph_e_x_range_A" localSheetId="4">IF(ISREF(Plot!graph_e_x_range_A_),Plot!graph_e_x_range_A_,{0})</definedName>
    <definedName name="graph_e_x_range_A_" localSheetId="4">INDEX(INDIRECT(VLOOKUP("range." &amp; Plot!$B$1 &amp;"."&amp; Plot!$B$2, names!$A:$B,2,0)), 0, VLOOKUP("col."&amp; Plot!$B$1 &amp;".A."&amp; Plot!$B$8, names!$A:$B,2,0))</definedName>
    <definedName name="graph_e_x_range_B" localSheetId="4">IF(ISREF(Plot!graph_e_x_range_B_),Plot!graph_e_x_range_B_,{0})</definedName>
    <definedName name="graph_e_x_range_B_" localSheetId="4">INDEX(INDIRECT(VLOOKUP("range." &amp; Plot!$B$1 &amp;"."&amp; Plot!$B$2, names!$A:$B,2,0)), 0, VLOOKUP("col."&amp; Plot!$B$1 &amp;".B."&amp; Plot!$B$8, names!$A:$B,2,0))</definedName>
    <definedName name="graph_e_x_title" localSheetId="4">OFFSET(Plot!all_cols, MATCH(Plot!$B$8, Plot!all_cols, 0)-1,1,1,1)</definedName>
    <definedName name="graph_e_y_range_A" localSheetId="4">IF(ISREF(Plot!graph_e_y_range_A_),Plot!graph_e_y_range_A_,{0})</definedName>
    <definedName name="graph_e_y_range_A_" localSheetId="4">INDEX(INDIRECT(VLOOKUP("range." &amp; Plot!$B$1 &amp;"."&amp; Plot!$B$2, names!$A:$B,2,0)), 0, VLOOKUP("col."&amp; Plot!$B$1 &amp;".A."&amp; Plot!$D$8, names!$A:$B,2,0))</definedName>
    <definedName name="graph_e_y_range_B" localSheetId="4">IF(ISREF(Plot!graph_e_y_range_B_),Plot!graph_e_y_range_B_,{0})</definedName>
    <definedName name="graph_e_y_range_B_" localSheetId="4">INDEX(INDIRECT(VLOOKUP("range." &amp; Plot!$B$1 &amp;"."&amp; Plot!$B$2, names!$A:$B,2,0)), 0, VLOOKUP("col."&amp; Plot!$B$1 &amp;".B."&amp; Plot!$D$8, names!$A:$B,2,0))</definedName>
    <definedName name="graph_e_y_title" localSheetId="4">OFFSET(Plot!all_cols, MATCH(Plot!$D$8, Plot!all_cols, 0)-1,1,1,1)</definedName>
    <definedName name="graph_f_A_title" localSheetId="4">INDIRECT(VLOOKUP("name.A."&amp;Plot!$B$1,names!$A:$B,2,0))</definedName>
    <definedName name="graph_f_B_title" localSheetId="4">INDIRECT(VLOOKUP("name.B."&amp;Plot!$B$1,names!$A:$B,2,0))</definedName>
    <definedName name="graph_f_title" localSheetId="4">CONCATENATE(Plot!graph_f_y_title, " (Graph f)")</definedName>
    <definedName name="graph_f_x_range_A" localSheetId="4">IF(ISREF(Plot!graph_f_x_range_A_),Plot!graph_f_x_range_A_,{0})</definedName>
    <definedName name="graph_f_x_range_A_" localSheetId="4">INDEX(INDIRECT(VLOOKUP("range." &amp; Plot!$B$1 &amp;"."&amp; Plot!$B$2, names!$A:$B,2,0)), 0, VLOOKUP("col."&amp; Plot!$B$1 &amp;".A."&amp; Plot!$B$9, names!$A:$B,2,0))</definedName>
    <definedName name="graph_f_x_range_B" localSheetId="4">IF(ISREF(Plot!graph_f_x_range_B_),Plot!graph_f_x_range_B_,{0})</definedName>
    <definedName name="graph_f_x_range_B_" localSheetId="4">INDEX(INDIRECT(VLOOKUP("range." &amp; Plot!$B$1 &amp;"."&amp; Plot!$B$2, names!$A:$B,2,0)), 0, VLOOKUP("col."&amp; Plot!$B$1 &amp;".B."&amp; Plot!$B$9, names!$A:$B,2,0))</definedName>
    <definedName name="graph_f_x_title" localSheetId="4">OFFSET(Plot!all_cols, MATCH(Plot!$B$9, Plot!all_cols, 0)-1,1,1,1)</definedName>
    <definedName name="graph_f_y_range_A" localSheetId="4">IF(ISREF(Plot!graph_f_y_range_A_),Plot!graph_f_y_range_A_,{0})</definedName>
    <definedName name="graph_f_y_range_A_" localSheetId="4">INDEX(INDIRECT(VLOOKUP("range." &amp; Plot!$B$1 &amp;"."&amp; Plot!$B$2, names!$A:$B,2,0)), 0, VLOOKUP("col."&amp; Plot!$B$1 &amp;".A."&amp; Plot!$D$9, names!$A:$B,2,0))</definedName>
    <definedName name="graph_f_y_range_B" localSheetId="4">IF(ISREF(Plot!graph_f_y_range_B_),Plot!graph_f_y_range_B_,{0})</definedName>
    <definedName name="graph_f_y_range_B_" localSheetId="4">INDEX(INDIRECT(VLOOKUP("range." &amp; Plot!$B$1 &amp;"."&amp; Plot!$B$2, names!$A:$B,2,0)), 0, VLOOKUP("col."&amp; Plot!$B$1 &amp;".B."&amp; Plot!$D$9, names!$A:$B,2,0))</definedName>
    <definedName name="graph_f_y_title" localSheetId="4">OFFSET(Plot!all_cols, MATCH(Plot!$D$9, Plot!all_cols, 0)-1,1,1,1)</definedName>
  </definedNames>
  <calcPr calcId="152511"/>
</workbook>
</file>

<file path=xl/calcChain.xml><?xml version="1.0" encoding="utf-8"?>
<calcChain xmlns="http://schemas.openxmlformats.org/spreadsheetml/2006/main">
  <c r="AO32" i="18" l="1"/>
  <c r="AN32" i="18"/>
  <c r="AV32" i="18" s="1"/>
  <c r="AM32" i="18"/>
  <c r="AM38" i="18" s="1"/>
  <c r="AL32" i="18"/>
  <c r="W32" i="18"/>
  <c r="V32" i="18"/>
  <c r="U32" i="18"/>
  <c r="T32" i="18"/>
  <c r="AO31" i="18"/>
  <c r="AN31" i="18"/>
  <c r="AM31" i="18"/>
  <c r="AM37" i="18" s="1"/>
  <c r="AL31" i="18"/>
  <c r="W31" i="18"/>
  <c r="V31" i="18"/>
  <c r="U31" i="18"/>
  <c r="T31" i="18"/>
  <c r="AO30" i="18"/>
  <c r="AN30" i="18"/>
  <c r="AM30" i="18"/>
  <c r="AL30" i="18"/>
  <c r="W30" i="18"/>
  <c r="V30" i="18"/>
  <c r="U30" i="18"/>
  <c r="T30" i="18"/>
  <c r="AO29" i="18"/>
  <c r="AN29" i="18"/>
  <c r="AM29" i="18"/>
  <c r="AL29" i="18"/>
  <c r="W29" i="18"/>
  <c r="V29" i="18"/>
  <c r="U29" i="18"/>
  <c r="T29" i="18"/>
  <c r="AL35" i="18" s="1"/>
  <c r="AO28" i="18"/>
  <c r="AN28" i="18"/>
  <c r="AM28" i="18"/>
  <c r="AL28" i="18"/>
  <c r="W28" i="18"/>
  <c r="V28" i="18"/>
  <c r="AV28" i="18" s="1"/>
  <c r="U28" i="18"/>
  <c r="T28" i="18"/>
  <c r="AO27" i="18"/>
  <c r="AN27" i="18"/>
  <c r="AM27" i="18"/>
  <c r="AL27" i="18"/>
  <c r="W27" i="18"/>
  <c r="V27" i="18"/>
  <c r="U27" i="18"/>
  <c r="T27" i="18"/>
  <c r="AY26" i="18" a="1"/>
  <c r="AY26" i="18" s="1"/>
  <c r="AX26" i="18"/>
  <c r="AW26" i="18"/>
  <c r="AV26" i="18"/>
  <c r="AF26" i="18"/>
  <c r="AD26" i="18"/>
  <c r="AC26" i="18"/>
  <c r="AS26" i="18" s="1"/>
  <c r="AB26" i="18"/>
  <c r="AR26" i="18" s="1"/>
  <c r="AA26" i="18"/>
  <c r="Z26" i="18"/>
  <c r="N26" i="18"/>
  <c r="L26" i="18"/>
  <c r="K26" i="18"/>
  <c r="J26" i="18"/>
  <c r="I26" i="18"/>
  <c r="H26" i="18"/>
  <c r="AY25" i="18" a="1"/>
  <c r="AY25" i="18" s="1"/>
  <c r="AX25" i="18"/>
  <c r="AW25" i="18"/>
  <c r="AV25" i="18"/>
  <c r="AF25" i="18"/>
  <c r="AD25" i="18"/>
  <c r="AT25" i="18" s="1"/>
  <c r="AC25" i="18"/>
  <c r="AS25" i="18" s="1"/>
  <c r="AB25" i="18"/>
  <c r="AA25" i="18"/>
  <c r="Z25" i="18"/>
  <c r="N25" i="18"/>
  <c r="L25" i="18"/>
  <c r="K25" i="18"/>
  <c r="J25" i="18"/>
  <c r="I25" i="18"/>
  <c r="H25" i="18"/>
  <c r="AY24" i="18" a="1"/>
  <c r="AY24" i="18" s="1"/>
  <c r="AX24" i="18"/>
  <c r="AW24" i="18"/>
  <c r="AV24" i="18"/>
  <c r="AF24" i="18"/>
  <c r="AD24" i="18"/>
  <c r="AT24" i="18" s="1"/>
  <c r="AC24" i="18"/>
  <c r="AB24" i="18"/>
  <c r="AA24" i="18"/>
  <c r="Z24" i="18"/>
  <c r="N24" i="18"/>
  <c r="L24" i="18"/>
  <c r="K24" i="18"/>
  <c r="J24" i="18"/>
  <c r="I24" i="18"/>
  <c r="H24" i="18"/>
  <c r="AY23" i="18" a="1"/>
  <c r="AY23" i="18" s="1"/>
  <c r="AY30" i="18" s="1"/>
  <c r="AX23" i="18"/>
  <c r="AX30" i="18" s="1"/>
  <c r="AW23" i="18"/>
  <c r="AV23" i="18"/>
  <c r="AF23" i="18"/>
  <c r="AD23" i="18"/>
  <c r="AC23" i="18"/>
  <c r="AS23" i="18" s="1"/>
  <c r="AB23" i="18"/>
  <c r="AA23" i="18"/>
  <c r="Z23" i="18"/>
  <c r="N23" i="18"/>
  <c r="L23" i="18"/>
  <c r="K23" i="18"/>
  <c r="J23" i="18"/>
  <c r="I23" i="18"/>
  <c r="H23" i="18"/>
  <c r="AY22" i="18" a="1"/>
  <c r="AY22" i="18" s="1"/>
  <c r="AX22" i="18"/>
  <c r="AW22" i="18"/>
  <c r="AV22" i="18"/>
  <c r="AF22" i="18"/>
  <c r="AE22" i="18"/>
  <c r="AC22" i="18"/>
  <c r="AB22" i="18"/>
  <c r="AA22" i="18"/>
  <c r="Z22" i="18"/>
  <c r="N22" i="18"/>
  <c r="M22" i="18"/>
  <c r="AU22" i="18" s="1"/>
  <c r="K22" i="18"/>
  <c r="J22" i="18"/>
  <c r="I22" i="18"/>
  <c r="H22" i="18"/>
  <c r="AY21" i="18" a="1"/>
  <c r="AY21" i="18" s="1"/>
  <c r="AX21" i="18"/>
  <c r="AW21" i="18"/>
  <c r="AV21" i="18"/>
  <c r="AF21" i="18"/>
  <c r="AE21" i="18"/>
  <c r="AC21" i="18"/>
  <c r="AB21" i="18"/>
  <c r="AA21" i="18"/>
  <c r="Z21" i="18"/>
  <c r="N21" i="18"/>
  <c r="M21" i="18"/>
  <c r="K21" i="18"/>
  <c r="J21" i="18"/>
  <c r="AR21" i="18" s="1"/>
  <c r="I21" i="18"/>
  <c r="H21" i="18"/>
  <c r="AY20" i="18" a="1"/>
  <c r="AY20" i="18" s="1"/>
  <c r="AX20" i="18"/>
  <c r="AW20" i="18"/>
  <c r="AV20" i="18"/>
  <c r="AF20" i="18"/>
  <c r="AE20" i="18"/>
  <c r="AC20" i="18"/>
  <c r="AB20" i="18"/>
  <c r="AA20" i="18"/>
  <c r="Z20" i="18"/>
  <c r="N20" i="18"/>
  <c r="E20" i="18"/>
  <c r="I20" i="18" s="1"/>
  <c r="C20" i="18"/>
  <c r="H20" i="18" s="1"/>
  <c r="AY19" i="18" a="1"/>
  <c r="AY19" i="18" s="1"/>
  <c r="AX19" i="18"/>
  <c r="AW19" i="18"/>
  <c r="AV19" i="18"/>
  <c r="AF19" i="18"/>
  <c r="AE19" i="18"/>
  <c r="AC19" i="18"/>
  <c r="AB19" i="18"/>
  <c r="AA19" i="18"/>
  <c r="Z19" i="18"/>
  <c r="N19" i="18"/>
  <c r="E19" i="18"/>
  <c r="I19" i="18" s="1"/>
  <c r="C19" i="18"/>
  <c r="K19" i="18" s="1"/>
  <c r="AY18" i="18" a="1"/>
  <c r="AY18" i="18" s="1"/>
  <c r="AY29" i="18" s="1"/>
  <c r="AX18" i="18"/>
  <c r="AX29" i="18" s="1"/>
  <c r="AW18" i="18"/>
  <c r="AV18" i="18"/>
  <c r="AF18" i="18"/>
  <c r="AE18" i="18"/>
  <c r="AC18" i="18"/>
  <c r="AB18" i="18"/>
  <c r="AA18" i="18"/>
  <c r="Z18" i="18"/>
  <c r="N18" i="18"/>
  <c r="I18" i="18"/>
  <c r="E18" i="18"/>
  <c r="C18" i="18"/>
  <c r="K18" i="18" s="1"/>
  <c r="AY17" i="18" a="1"/>
  <c r="AY17" i="18" s="1"/>
  <c r="AX17" i="18"/>
  <c r="AW17" i="18"/>
  <c r="AV17" i="18"/>
  <c r="AF17" i="18"/>
  <c r="AD17" i="18"/>
  <c r="AC17" i="18"/>
  <c r="AS17" i="18" s="1"/>
  <c r="AB17" i="18"/>
  <c r="AR17" i="18" s="1"/>
  <c r="AA17" i="18"/>
  <c r="Z17" i="18"/>
  <c r="N17" i="18"/>
  <c r="L17" i="18"/>
  <c r="AT17" i="18" s="1"/>
  <c r="K17" i="18"/>
  <c r="J17" i="18"/>
  <c r="I17" i="18"/>
  <c r="H17" i="18"/>
  <c r="AY16" i="18" a="1"/>
  <c r="AY16" i="18" s="1"/>
  <c r="AX16" i="18"/>
  <c r="AW16" i="18"/>
  <c r="AV16" i="18"/>
  <c r="AF16" i="18"/>
  <c r="AD16" i="18"/>
  <c r="AC16" i="18"/>
  <c r="AB16" i="18"/>
  <c r="AR16" i="18" s="1"/>
  <c r="AA16" i="18"/>
  <c r="Z16" i="18"/>
  <c r="N16" i="18"/>
  <c r="L16" i="18"/>
  <c r="K16" i="18"/>
  <c r="J16" i="18"/>
  <c r="I16" i="18"/>
  <c r="H16" i="18"/>
  <c r="AY15" i="18" a="1"/>
  <c r="AY15" i="18" s="1"/>
  <c r="AX15" i="18"/>
  <c r="AW15" i="18"/>
  <c r="AV15" i="18"/>
  <c r="AF15" i="18"/>
  <c r="AD15" i="18"/>
  <c r="AT15" i="18" s="1"/>
  <c r="AC15" i="18"/>
  <c r="AS15" i="18" s="1"/>
  <c r="AB15" i="18"/>
  <c r="AR15" i="18" s="1"/>
  <c r="AA15" i="18"/>
  <c r="Z15" i="18"/>
  <c r="N15" i="18"/>
  <c r="L15" i="18"/>
  <c r="K15" i="18"/>
  <c r="J15" i="18"/>
  <c r="I15" i="18"/>
  <c r="H15" i="18"/>
  <c r="AY14" i="18" a="1"/>
  <c r="AY14" i="18" s="1"/>
  <c r="AX14" i="18"/>
  <c r="AW14" i="18"/>
  <c r="AV14" i="18"/>
  <c r="AF14" i="18"/>
  <c r="AD14" i="18"/>
  <c r="AT14" i="18" s="1"/>
  <c r="AC14" i="18"/>
  <c r="AB14" i="18"/>
  <c r="AA14" i="18"/>
  <c r="Z14" i="18"/>
  <c r="N14" i="18"/>
  <c r="L14" i="18"/>
  <c r="K14" i="18"/>
  <c r="J14" i="18"/>
  <c r="I14" i="18"/>
  <c r="H14" i="18"/>
  <c r="AY13" i="18" a="1"/>
  <c r="AY13" i="18" s="1"/>
  <c r="AX13" i="18"/>
  <c r="AW13" i="18"/>
  <c r="AV13" i="18"/>
  <c r="AF13" i="18"/>
  <c r="AD13" i="18"/>
  <c r="AT13" i="18" s="1"/>
  <c r="AC13" i="18"/>
  <c r="AB13" i="18"/>
  <c r="AA13" i="18"/>
  <c r="Z13" i="18"/>
  <c r="N13" i="18"/>
  <c r="L13" i="18"/>
  <c r="K13" i="18"/>
  <c r="J13" i="18"/>
  <c r="I13" i="18"/>
  <c r="H13" i="18"/>
  <c r="AY12" i="18" a="1"/>
  <c r="AY12" i="18" s="1"/>
  <c r="AX12" i="18"/>
  <c r="AW12" i="18"/>
  <c r="AV12" i="18"/>
  <c r="AF12" i="18"/>
  <c r="AD12" i="18"/>
  <c r="AT12" i="18" s="1"/>
  <c r="AC12" i="18"/>
  <c r="AB12" i="18"/>
  <c r="AA12" i="18"/>
  <c r="Z12" i="18"/>
  <c r="N12" i="18"/>
  <c r="L12" i="18"/>
  <c r="K12" i="18"/>
  <c r="AS12" i="18" s="1"/>
  <c r="J12" i="18"/>
  <c r="I12" i="18"/>
  <c r="H12" i="18"/>
  <c r="AY11" i="18" a="1"/>
  <c r="AY11" i="18" s="1"/>
  <c r="AY28" i="18" s="1"/>
  <c r="AX11" i="18"/>
  <c r="AX28" i="18" s="1"/>
  <c r="AW11" i="18"/>
  <c r="AV11" i="18"/>
  <c r="AF11" i="18"/>
  <c r="AD11" i="18"/>
  <c r="AC11" i="18"/>
  <c r="AB11" i="18"/>
  <c r="AA11" i="18"/>
  <c r="Z11" i="18"/>
  <c r="N11" i="18"/>
  <c r="L11" i="18"/>
  <c r="L28" i="18" s="1"/>
  <c r="K11" i="18"/>
  <c r="J11" i="18"/>
  <c r="I11" i="18"/>
  <c r="H11" i="18"/>
  <c r="AY10" i="18" a="1"/>
  <c r="AY10" i="18" s="1"/>
  <c r="AX10" i="18"/>
  <c r="AW10" i="18"/>
  <c r="AV10" i="18"/>
  <c r="AF10" i="18"/>
  <c r="AE10" i="18"/>
  <c r="AC10" i="18"/>
  <c r="AB10" i="18"/>
  <c r="AA10" i="18"/>
  <c r="Z10" i="18"/>
  <c r="N10" i="18"/>
  <c r="M10" i="18"/>
  <c r="K10" i="18"/>
  <c r="AS10" i="18" s="1"/>
  <c r="J10" i="18"/>
  <c r="I10" i="18"/>
  <c r="H10" i="18"/>
  <c r="AY9" i="18" a="1"/>
  <c r="AY9" i="18" s="1"/>
  <c r="AX9" i="18"/>
  <c r="AW9" i="18"/>
  <c r="AV9" i="18"/>
  <c r="AF9" i="18"/>
  <c r="AE9" i="18"/>
  <c r="AC9" i="18"/>
  <c r="AB9" i="18"/>
  <c r="AA9" i="18"/>
  <c r="Z9" i="18"/>
  <c r="N9" i="18"/>
  <c r="M9" i="18"/>
  <c r="AU9" i="18" s="1"/>
  <c r="K9" i="18"/>
  <c r="J9" i="18"/>
  <c r="I9" i="18"/>
  <c r="H9" i="18"/>
  <c r="AY8" i="18" a="1"/>
  <c r="AY8" i="18" s="1"/>
  <c r="AX8" i="18"/>
  <c r="AW8" i="18"/>
  <c r="AV8" i="18"/>
  <c r="AF8" i="18"/>
  <c r="AE8" i="18"/>
  <c r="AC8" i="18"/>
  <c r="AB8" i="18"/>
  <c r="AA8" i="18"/>
  <c r="Z8" i="18"/>
  <c r="N8" i="18"/>
  <c r="M8" i="18"/>
  <c r="K8" i="18"/>
  <c r="AS8" i="18" s="1"/>
  <c r="J8" i="18"/>
  <c r="I8" i="18"/>
  <c r="H8" i="18"/>
  <c r="AY7" i="18" a="1"/>
  <c r="AY7" i="18" s="1"/>
  <c r="AX7" i="18"/>
  <c r="AW7" i="18"/>
  <c r="AV7" i="18"/>
  <c r="AF7" i="18"/>
  <c r="AE7" i="18"/>
  <c r="AC7" i="18"/>
  <c r="AB7" i="18"/>
  <c r="AA7" i="18"/>
  <c r="Z7" i="18"/>
  <c r="N7" i="18"/>
  <c r="M7" i="18"/>
  <c r="AU7" i="18" s="1"/>
  <c r="K7" i="18"/>
  <c r="J7" i="18"/>
  <c r="I7" i="18"/>
  <c r="H7" i="18"/>
  <c r="AY6" i="18" a="1"/>
  <c r="AY6" i="18" s="1"/>
  <c r="AX6" i="18"/>
  <c r="AW6" i="18"/>
  <c r="AV6" i="18"/>
  <c r="AF6" i="18"/>
  <c r="AE6" i="18"/>
  <c r="AC6" i="18"/>
  <c r="AB6" i="18"/>
  <c r="AA6" i="18"/>
  <c r="Z6" i="18"/>
  <c r="N6" i="18"/>
  <c r="M6" i="18"/>
  <c r="K6" i="18"/>
  <c r="AS6" i="18" s="1"/>
  <c r="J6" i="18"/>
  <c r="I6" i="18"/>
  <c r="H6" i="18"/>
  <c r="AY5" i="18" a="1"/>
  <c r="AY5" i="18" s="1"/>
  <c r="AY27" i="18" s="1"/>
  <c r="AX5" i="18"/>
  <c r="AX27" i="18" s="1"/>
  <c r="AW5" i="18"/>
  <c r="AV5" i="18"/>
  <c r="AF5" i="18"/>
  <c r="AE5" i="18"/>
  <c r="AC5" i="18"/>
  <c r="AB5" i="18"/>
  <c r="AA5" i="18"/>
  <c r="Z5" i="18"/>
  <c r="N5" i="18"/>
  <c r="M5" i="18"/>
  <c r="AU5" i="18" s="1"/>
  <c r="K5" i="18"/>
  <c r="J5" i="18"/>
  <c r="I5" i="18"/>
  <c r="H5" i="18"/>
  <c r="Z1" i="18"/>
  <c r="H1" i="18"/>
  <c r="BD120" i="17"/>
  <c r="BC120" i="17"/>
  <c r="BB120" i="17"/>
  <c r="BA120" i="17"/>
  <c r="AE120" i="17"/>
  <c r="AD120" i="17"/>
  <c r="AC120" i="17"/>
  <c r="AB120" i="17"/>
  <c r="BD119" i="17"/>
  <c r="BC119" i="17"/>
  <c r="BB119" i="17"/>
  <c r="BA119" i="17"/>
  <c r="AE119" i="17"/>
  <c r="AD119" i="17"/>
  <c r="AC119" i="17"/>
  <c r="AB119" i="17"/>
  <c r="BD118" i="17"/>
  <c r="BC118" i="17"/>
  <c r="BB118" i="17"/>
  <c r="BA118" i="17"/>
  <c r="AE118" i="17"/>
  <c r="AD118" i="17"/>
  <c r="AC118" i="17"/>
  <c r="AB118" i="17"/>
  <c r="BD117" i="17"/>
  <c r="BC117" i="17"/>
  <c r="BB117" i="17"/>
  <c r="BA117" i="17"/>
  <c r="AE117" i="17"/>
  <c r="BD123" i="17" s="1"/>
  <c r="AD117" i="17"/>
  <c r="BC123" i="17" s="1"/>
  <c r="AC117" i="17"/>
  <c r="AB117" i="17"/>
  <c r="BA123" i="17" s="1"/>
  <c r="BD116" i="17"/>
  <c r="BC116" i="17"/>
  <c r="BB116" i="17"/>
  <c r="BA116" i="17"/>
  <c r="AE116" i="17"/>
  <c r="AD116" i="17"/>
  <c r="AC116" i="17"/>
  <c r="AB116" i="17"/>
  <c r="BD115" i="17"/>
  <c r="BC115" i="17"/>
  <c r="BB115" i="17"/>
  <c r="BA115" i="17"/>
  <c r="AE115" i="17"/>
  <c r="AD115" i="17"/>
  <c r="AC115" i="17"/>
  <c r="AB115" i="17"/>
  <c r="BI114" i="17"/>
  <c r="BH114" i="17"/>
  <c r="BG114" i="17"/>
  <c r="AM114" i="17"/>
  <c r="AL114" i="17"/>
  <c r="AK114" i="17"/>
  <c r="AJ114" i="17"/>
  <c r="AI114" i="17"/>
  <c r="AH114" i="17"/>
  <c r="N114" i="17"/>
  <c r="L114" i="17"/>
  <c r="K114" i="17"/>
  <c r="J114" i="17"/>
  <c r="I114" i="17"/>
  <c r="BI113" i="17"/>
  <c r="BH113" i="17"/>
  <c r="BG113" i="17"/>
  <c r="AM113" i="17"/>
  <c r="AL113" i="17"/>
  <c r="AK113" i="17"/>
  <c r="AJ113" i="17"/>
  <c r="AI113" i="17"/>
  <c r="AH113" i="17"/>
  <c r="N113" i="17"/>
  <c r="L113" i="17"/>
  <c r="K113" i="17"/>
  <c r="J113" i="17"/>
  <c r="I113" i="17"/>
  <c r="BI112" i="17"/>
  <c r="BH112" i="17"/>
  <c r="BG112" i="17"/>
  <c r="AM112" i="17"/>
  <c r="AL112" i="17"/>
  <c r="AK112" i="17"/>
  <c r="AJ112" i="17"/>
  <c r="AI112" i="17"/>
  <c r="AH112" i="17"/>
  <c r="N112" i="17"/>
  <c r="L112" i="17"/>
  <c r="K112" i="17"/>
  <c r="J112" i="17"/>
  <c r="I112" i="17"/>
  <c r="BI111" i="17"/>
  <c r="BH111" i="17"/>
  <c r="BG111" i="17"/>
  <c r="AM111" i="17"/>
  <c r="AL111" i="17"/>
  <c r="AK111" i="17"/>
  <c r="AJ111" i="17"/>
  <c r="AI111" i="17"/>
  <c r="AH111" i="17"/>
  <c r="N111" i="17"/>
  <c r="L111" i="17"/>
  <c r="K111" i="17"/>
  <c r="J111" i="17"/>
  <c r="I111" i="17"/>
  <c r="CC110" i="17"/>
  <c r="CB110" i="17"/>
  <c r="CA110" i="17"/>
  <c r="BX110" i="17"/>
  <c r="BW110" i="17"/>
  <c r="BV110" i="17"/>
  <c r="BS110" i="17"/>
  <c r="BR110" i="17"/>
  <c r="BQ110" i="17"/>
  <c r="BN110" i="17"/>
  <c r="BM110" i="17"/>
  <c r="BL110" i="17"/>
  <c r="BJ110" i="17" a="1"/>
  <c r="BJ110" i="17" s="1"/>
  <c r="BI110" i="17"/>
  <c r="BH110" i="17"/>
  <c r="BG110" i="17"/>
  <c r="AM110" i="17"/>
  <c r="AL110" i="17"/>
  <c r="AK110" i="17"/>
  <c r="AJ110" i="17"/>
  <c r="AI110" i="17"/>
  <c r="AH110" i="17"/>
  <c r="N110" i="17"/>
  <c r="L110" i="17"/>
  <c r="K110" i="17"/>
  <c r="J110" i="17"/>
  <c r="I110" i="17"/>
  <c r="BI109" i="17"/>
  <c r="BH109" i="17"/>
  <c r="BG109" i="17"/>
  <c r="AM109" i="17"/>
  <c r="AL109" i="17"/>
  <c r="AK109" i="17"/>
  <c r="AJ109" i="17"/>
  <c r="AI109" i="17"/>
  <c r="AH109" i="17"/>
  <c r="N109" i="17"/>
  <c r="L109" i="17"/>
  <c r="K109" i="17"/>
  <c r="J109" i="17"/>
  <c r="I109" i="17"/>
  <c r="BI108" i="17"/>
  <c r="BH108" i="17"/>
  <c r="BG108" i="17"/>
  <c r="AM108" i="17"/>
  <c r="AL108" i="17"/>
  <c r="AK108" i="17"/>
  <c r="AJ108" i="17"/>
  <c r="AI108" i="17"/>
  <c r="AH108" i="17"/>
  <c r="N108" i="17"/>
  <c r="L108" i="17"/>
  <c r="K108" i="17"/>
  <c r="J108" i="17"/>
  <c r="I108" i="17"/>
  <c r="BI107" i="17"/>
  <c r="BH107" i="17"/>
  <c r="BG107" i="17"/>
  <c r="AM107" i="17"/>
  <c r="AL107" i="17"/>
  <c r="AK107" i="17"/>
  <c r="AJ107" i="17"/>
  <c r="AI107" i="17"/>
  <c r="AH107" i="17"/>
  <c r="N107" i="17"/>
  <c r="L107" i="17"/>
  <c r="K107" i="17"/>
  <c r="J107" i="17"/>
  <c r="I107" i="17"/>
  <c r="BI106" i="17"/>
  <c r="BH106" i="17"/>
  <c r="BG106" i="17"/>
  <c r="AM106" i="17"/>
  <c r="AL106" i="17"/>
  <c r="AK106" i="17"/>
  <c r="AJ106" i="17"/>
  <c r="AI106" i="17"/>
  <c r="AH106" i="17"/>
  <c r="N106" i="17"/>
  <c r="L106" i="17"/>
  <c r="K106" i="17"/>
  <c r="J106" i="17"/>
  <c r="I106" i="17"/>
  <c r="CC105" i="17"/>
  <c r="CB105" i="17"/>
  <c r="CA105" i="17"/>
  <c r="BX105" i="17"/>
  <c r="BW105" i="17"/>
  <c r="BV105" i="17"/>
  <c r="BS105" i="17"/>
  <c r="BR105" i="17"/>
  <c r="BQ105" i="17"/>
  <c r="BN105" i="17"/>
  <c r="BM105" i="17"/>
  <c r="BL105" i="17"/>
  <c r="BJ105" i="17"/>
  <c r="BJ105" i="17" a="1"/>
  <c r="BI105" i="17"/>
  <c r="BH105" i="17"/>
  <c r="BG105" i="17"/>
  <c r="AM105" i="17"/>
  <c r="AL105" i="17"/>
  <c r="AK105" i="17"/>
  <c r="AJ105" i="17"/>
  <c r="AI105" i="17"/>
  <c r="AH105" i="17"/>
  <c r="N105" i="17"/>
  <c r="L105" i="17"/>
  <c r="K105" i="17"/>
  <c r="J105" i="17"/>
  <c r="I105" i="17"/>
  <c r="BI104" i="17"/>
  <c r="BH104" i="17"/>
  <c r="BG104" i="17"/>
  <c r="AM104" i="17"/>
  <c r="AL104" i="17"/>
  <c r="AK104" i="17"/>
  <c r="AJ104" i="17"/>
  <c r="AI104" i="17"/>
  <c r="AH104" i="17"/>
  <c r="N104" i="17"/>
  <c r="L104" i="17"/>
  <c r="K104" i="17"/>
  <c r="J104" i="17"/>
  <c r="I104" i="17"/>
  <c r="BI103" i="17"/>
  <c r="BH103" i="17"/>
  <c r="BG103" i="17"/>
  <c r="AM103" i="17"/>
  <c r="AL103" i="17"/>
  <c r="AK103" i="17"/>
  <c r="AJ103" i="17"/>
  <c r="AI103" i="17"/>
  <c r="AH103" i="17"/>
  <c r="N103" i="17"/>
  <c r="L103" i="17"/>
  <c r="K103" i="17"/>
  <c r="J103" i="17"/>
  <c r="I103" i="17"/>
  <c r="BI102" i="17"/>
  <c r="BH102" i="17"/>
  <c r="BG102" i="17"/>
  <c r="AM102" i="17"/>
  <c r="AL102" i="17"/>
  <c r="AK102" i="17"/>
  <c r="AJ102" i="17"/>
  <c r="AI102" i="17"/>
  <c r="AH102" i="17"/>
  <c r="N102" i="17"/>
  <c r="L102" i="17"/>
  <c r="K102" i="17"/>
  <c r="J102" i="17"/>
  <c r="I102" i="17"/>
  <c r="BI101" i="17"/>
  <c r="BH101" i="17"/>
  <c r="BG101" i="17"/>
  <c r="AM101" i="17"/>
  <c r="AL101" i="17"/>
  <c r="AK101" i="17"/>
  <c r="AJ101" i="17"/>
  <c r="AI101" i="17"/>
  <c r="AH101" i="17"/>
  <c r="N101" i="17"/>
  <c r="L101" i="17"/>
  <c r="K101" i="17"/>
  <c r="J101" i="17"/>
  <c r="I101" i="17"/>
  <c r="CC100" i="17"/>
  <c r="CB100" i="17"/>
  <c r="CA100" i="17"/>
  <c r="BX100" i="17"/>
  <c r="BW100" i="17"/>
  <c r="BV100" i="17"/>
  <c r="BS100" i="17"/>
  <c r="BR100" i="17"/>
  <c r="BQ100" i="17"/>
  <c r="BN100" i="17"/>
  <c r="BM100" i="17"/>
  <c r="BL100" i="17"/>
  <c r="BJ100" i="17" a="1"/>
  <c r="BJ100" i="17" s="1"/>
  <c r="BI100" i="17"/>
  <c r="BH100" i="17"/>
  <c r="BG100" i="17"/>
  <c r="AM100" i="17"/>
  <c r="AL100" i="17"/>
  <c r="AK100" i="17"/>
  <c r="AJ100" i="17"/>
  <c r="AI100" i="17"/>
  <c r="AH100" i="17"/>
  <c r="N100" i="17"/>
  <c r="L100" i="17"/>
  <c r="K100" i="17"/>
  <c r="J100" i="17"/>
  <c r="I100" i="17"/>
  <c r="BI99" i="17"/>
  <c r="BH99" i="17"/>
  <c r="BG99" i="17"/>
  <c r="AM99" i="17"/>
  <c r="AL99" i="17"/>
  <c r="AK99" i="17"/>
  <c r="AJ99" i="17"/>
  <c r="AI99" i="17"/>
  <c r="AH99" i="17"/>
  <c r="N99" i="17"/>
  <c r="L99" i="17"/>
  <c r="K99" i="17"/>
  <c r="J99" i="17"/>
  <c r="I99" i="17"/>
  <c r="BI98" i="17"/>
  <c r="BH98" i="17"/>
  <c r="BG98" i="17"/>
  <c r="AM98" i="17"/>
  <c r="AL98" i="17"/>
  <c r="AK98" i="17"/>
  <c r="AJ98" i="17"/>
  <c r="AI98" i="17"/>
  <c r="AH98" i="17"/>
  <c r="N98" i="17"/>
  <c r="L98" i="17"/>
  <c r="K98" i="17"/>
  <c r="J98" i="17"/>
  <c r="I98" i="17"/>
  <c r="BI97" i="17"/>
  <c r="BH97" i="17"/>
  <c r="BG97" i="17"/>
  <c r="AM97" i="17"/>
  <c r="AL97" i="17"/>
  <c r="AK97" i="17"/>
  <c r="AJ97" i="17"/>
  <c r="AI97" i="17"/>
  <c r="AH97" i="17"/>
  <c r="N97" i="17"/>
  <c r="L97" i="17"/>
  <c r="K97" i="17"/>
  <c r="J97" i="17"/>
  <c r="I97" i="17"/>
  <c r="BI96" i="17"/>
  <c r="BH96" i="17"/>
  <c r="BG96" i="17"/>
  <c r="AM96" i="17"/>
  <c r="AL96" i="17"/>
  <c r="AK96" i="17"/>
  <c r="AJ96" i="17"/>
  <c r="AI96" i="17"/>
  <c r="AH96" i="17"/>
  <c r="N96" i="17"/>
  <c r="L96" i="17"/>
  <c r="K96" i="17"/>
  <c r="J96" i="17"/>
  <c r="I96" i="17"/>
  <c r="CC95" i="17"/>
  <c r="CB95" i="17"/>
  <c r="CA95" i="17"/>
  <c r="BX95" i="17"/>
  <c r="BW95" i="17"/>
  <c r="BV95" i="17"/>
  <c r="BS95" i="17"/>
  <c r="BR95" i="17"/>
  <c r="BQ95" i="17"/>
  <c r="BN95" i="17"/>
  <c r="BM95" i="17"/>
  <c r="BL95" i="17"/>
  <c r="BJ95" i="17" a="1"/>
  <c r="BJ95" i="17" s="1"/>
  <c r="BJ118" i="17" s="1"/>
  <c r="BI95" i="17"/>
  <c r="BI118" i="17" s="1"/>
  <c r="BH95" i="17"/>
  <c r="BH118" i="17" s="1"/>
  <c r="BG95" i="17"/>
  <c r="BG118" i="17" s="1"/>
  <c r="AM95" i="17"/>
  <c r="AL95" i="17"/>
  <c r="AK95" i="17"/>
  <c r="AJ95" i="17"/>
  <c r="AJ118" i="17" s="1"/>
  <c r="AI95" i="17"/>
  <c r="AH95" i="17"/>
  <c r="N95" i="17"/>
  <c r="L95" i="17"/>
  <c r="K95" i="17"/>
  <c r="J95" i="17"/>
  <c r="I95" i="17"/>
  <c r="BI94" i="17"/>
  <c r="BH94" i="17"/>
  <c r="BG94" i="17"/>
  <c r="AM94" i="17"/>
  <c r="AL94" i="17"/>
  <c r="AK94" i="17"/>
  <c r="AJ94" i="17"/>
  <c r="AI94" i="17"/>
  <c r="AH94" i="17"/>
  <c r="N94" i="17"/>
  <c r="M94" i="17"/>
  <c r="K94" i="17"/>
  <c r="J94" i="17"/>
  <c r="I94" i="17"/>
  <c r="BI93" i="17"/>
  <c r="BH93" i="17"/>
  <c r="BG93" i="17"/>
  <c r="AM93" i="17"/>
  <c r="AL93" i="17"/>
  <c r="AK93" i="17"/>
  <c r="AJ93" i="17"/>
  <c r="AI93" i="17"/>
  <c r="AH93" i="17"/>
  <c r="N93" i="17"/>
  <c r="M93" i="17"/>
  <c r="K93" i="17"/>
  <c r="J93" i="17"/>
  <c r="I93" i="17"/>
  <c r="BI92" i="17"/>
  <c r="BH92" i="17"/>
  <c r="BG92" i="17"/>
  <c r="AM92" i="17"/>
  <c r="AL92" i="17"/>
  <c r="AK92" i="17"/>
  <c r="AJ92" i="17"/>
  <c r="AI92" i="17"/>
  <c r="AH92" i="17"/>
  <c r="N92" i="17"/>
  <c r="M92" i="17"/>
  <c r="K92" i="17"/>
  <c r="J92" i="17"/>
  <c r="I92" i="17"/>
  <c r="BI91" i="17"/>
  <c r="BH91" i="17"/>
  <c r="BG91" i="17"/>
  <c r="AM91" i="17"/>
  <c r="AL91" i="17"/>
  <c r="AK91" i="17"/>
  <c r="AJ91" i="17"/>
  <c r="AI91" i="17"/>
  <c r="AH91" i="17"/>
  <c r="N91" i="17"/>
  <c r="M91" i="17"/>
  <c r="K91" i="17"/>
  <c r="J91" i="17"/>
  <c r="I91" i="17"/>
  <c r="CD90" i="17"/>
  <c r="BY90" i="17"/>
  <c r="BT90" i="17"/>
  <c r="BO90" i="17"/>
  <c r="BJ90" i="17" a="1"/>
  <c r="BJ90" i="17" s="1"/>
  <c r="BI90" i="17"/>
  <c r="BH90" i="17"/>
  <c r="BG90" i="17"/>
  <c r="AM90" i="17"/>
  <c r="AL90" i="17"/>
  <c r="AK90" i="17"/>
  <c r="AJ90" i="17"/>
  <c r="AI90" i="17"/>
  <c r="AH90" i="17"/>
  <c r="N90" i="17"/>
  <c r="M90" i="17"/>
  <c r="K90" i="17"/>
  <c r="J90" i="17"/>
  <c r="I90" i="17"/>
  <c r="BI89" i="17"/>
  <c r="BH89" i="17"/>
  <c r="BG89" i="17"/>
  <c r="AM89" i="17"/>
  <c r="AL89" i="17"/>
  <c r="AK89" i="17"/>
  <c r="AJ89" i="17"/>
  <c r="AI89" i="17"/>
  <c r="AH89" i="17"/>
  <c r="N89" i="17"/>
  <c r="M89" i="17"/>
  <c r="K89" i="17"/>
  <c r="J89" i="17"/>
  <c r="I89" i="17"/>
  <c r="BI88" i="17"/>
  <c r="BH88" i="17"/>
  <c r="BG88" i="17"/>
  <c r="AM88" i="17"/>
  <c r="AL88" i="17"/>
  <c r="AK88" i="17"/>
  <c r="AJ88" i="17"/>
  <c r="AI88" i="17"/>
  <c r="AH88" i="17"/>
  <c r="N88" i="17"/>
  <c r="M88" i="17"/>
  <c r="K88" i="17"/>
  <c r="J88" i="17"/>
  <c r="I88" i="17"/>
  <c r="BI87" i="17"/>
  <c r="BH87" i="17"/>
  <c r="BG87" i="17"/>
  <c r="AM87" i="17"/>
  <c r="AL87" i="17"/>
  <c r="AK87" i="17"/>
  <c r="AJ87" i="17"/>
  <c r="AI87" i="17"/>
  <c r="AH87" i="17"/>
  <c r="N87" i="17"/>
  <c r="M87" i="17"/>
  <c r="K87" i="17"/>
  <c r="J87" i="17"/>
  <c r="I87" i="17"/>
  <c r="BI86" i="17"/>
  <c r="BH86" i="17"/>
  <c r="BG86" i="17"/>
  <c r="AM86" i="17"/>
  <c r="AL86" i="17"/>
  <c r="AK86" i="17"/>
  <c r="AJ86" i="17"/>
  <c r="AI86" i="17"/>
  <c r="AH86" i="17"/>
  <c r="N86" i="17"/>
  <c r="M86" i="17"/>
  <c r="K86" i="17"/>
  <c r="J86" i="17"/>
  <c r="I86" i="17"/>
  <c r="CD85" i="17"/>
  <c r="BY85" i="17"/>
  <c r="BT85" i="17"/>
  <c r="BO85" i="17"/>
  <c r="BJ85" i="17" a="1"/>
  <c r="BJ85" i="17" s="1"/>
  <c r="BI85" i="17"/>
  <c r="BH85" i="17"/>
  <c r="BG85" i="17"/>
  <c r="AM85" i="17"/>
  <c r="AL85" i="17"/>
  <c r="AK85" i="17"/>
  <c r="AJ85" i="17"/>
  <c r="AI85" i="17"/>
  <c r="AH85" i="17"/>
  <c r="N85" i="17"/>
  <c r="M85" i="17"/>
  <c r="K85" i="17"/>
  <c r="J85" i="17"/>
  <c r="I85" i="17"/>
  <c r="BI84" i="17"/>
  <c r="BH84" i="17"/>
  <c r="BG84" i="17"/>
  <c r="AM84" i="17"/>
  <c r="AL84" i="17"/>
  <c r="AK84" i="17"/>
  <c r="AJ84" i="17"/>
  <c r="AI84" i="17"/>
  <c r="AH84" i="17"/>
  <c r="N84" i="17"/>
  <c r="M84" i="17"/>
  <c r="K84" i="17"/>
  <c r="J84" i="17"/>
  <c r="I84" i="17"/>
  <c r="BI83" i="17"/>
  <c r="BH83" i="17"/>
  <c r="BG83" i="17"/>
  <c r="AM83" i="17"/>
  <c r="AL83" i="17"/>
  <c r="AK83" i="17"/>
  <c r="AJ83" i="17"/>
  <c r="AI83" i="17"/>
  <c r="AH83" i="17"/>
  <c r="N83" i="17"/>
  <c r="M83" i="17"/>
  <c r="K83" i="17"/>
  <c r="J83" i="17"/>
  <c r="I83" i="17"/>
  <c r="BI82" i="17"/>
  <c r="BH82" i="17"/>
  <c r="BG82" i="17"/>
  <c r="AM82" i="17"/>
  <c r="AL82" i="17"/>
  <c r="AK82" i="17"/>
  <c r="AJ82" i="17"/>
  <c r="AI82" i="17"/>
  <c r="AH82" i="17"/>
  <c r="N82" i="17"/>
  <c r="M82" i="17"/>
  <c r="K82" i="17"/>
  <c r="J82" i="17"/>
  <c r="I82" i="17"/>
  <c r="BI81" i="17"/>
  <c r="BH81" i="17"/>
  <c r="BG81" i="17"/>
  <c r="AM81" i="17"/>
  <c r="AL81" i="17"/>
  <c r="AK81" i="17"/>
  <c r="AJ81" i="17"/>
  <c r="AI81" i="17"/>
  <c r="AH81" i="17"/>
  <c r="N81" i="17"/>
  <c r="M81" i="17"/>
  <c r="K81" i="17"/>
  <c r="J81" i="17"/>
  <c r="I81" i="17"/>
  <c r="CD80" i="17"/>
  <c r="BY80" i="17"/>
  <c r="BT80" i="17"/>
  <c r="BO80" i="17"/>
  <c r="BJ80" i="17" a="1"/>
  <c r="BJ80" i="17" s="1"/>
  <c r="BI80" i="17"/>
  <c r="BH80" i="17"/>
  <c r="BG80" i="17"/>
  <c r="AM80" i="17"/>
  <c r="AL80" i="17"/>
  <c r="AK80" i="17"/>
  <c r="AJ80" i="17"/>
  <c r="AI80" i="17"/>
  <c r="AH80" i="17"/>
  <c r="N80" i="17"/>
  <c r="M80" i="17"/>
  <c r="K80" i="17"/>
  <c r="J80" i="17"/>
  <c r="I80" i="17"/>
  <c r="BI79" i="17"/>
  <c r="BH79" i="17"/>
  <c r="BG79" i="17"/>
  <c r="AM79" i="17"/>
  <c r="AL79" i="17"/>
  <c r="AK79" i="17"/>
  <c r="AJ79" i="17"/>
  <c r="AI79" i="17"/>
  <c r="AH79" i="17"/>
  <c r="N79" i="17"/>
  <c r="M79" i="17"/>
  <c r="K79" i="17"/>
  <c r="J79" i="17"/>
  <c r="I79" i="17"/>
  <c r="BI78" i="17"/>
  <c r="BH78" i="17"/>
  <c r="BG78" i="17"/>
  <c r="AM78" i="17"/>
  <c r="AL78" i="17"/>
  <c r="AK78" i="17"/>
  <c r="AJ78" i="17"/>
  <c r="AI78" i="17"/>
  <c r="AH78" i="17"/>
  <c r="N78" i="17"/>
  <c r="M78" i="17"/>
  <c r="K78" i="17"/>
  <c r="J78" i="17"/>
  <c r="I78" i="17"/>
  <c r="BI77" i="17"/>
  <c r="BH77" i="17"/>
  <c r="BG77" i="17"/>
  <c r="AM77" i="17"/>
  <c r="AL77" i="17"/>
  <c r="AK77" i="17"/>
  <c r="AJ77" i="17"/>
  <c r="AI77" i="17"/>
  <c r="AH77" i="17"/>
  <c r="N77" i="17"/>
  <c r="M77" i="17"/>
  <c r="K77" i="17"/>
  <c r="J77" i="17"/>
  <c r="I77" i="17"/>
  <c r="BI76" i="17"/>
  <c r="BH76" i="17"/>
  <c r="BG76" i="17"/>
  <c r="AM76" i="17"/>
  <c r="AL76" i="17"/>
  <c r="AK76" i="17"/>
  <c r="AJ76" i="17"/>
  <c r="AI76" i="17"/>
  <c r="AH76" i="17"/>
  <c r="N76" i="17"/>
  <c r="M76" i="17"/>
  <c r="K76" i="17"/>
  <c r="J76" i="17"/>
  <c r="I76" i="17"/>
  <c r="CD75" i="17"/>
  <c r="BY75" i="17"/>
  <c r="BT75" i="17"/>
  <c r="BO75" i="17"/>
  <c r="BJ75" i="17" a="1"/>
  <c r="BJ75" i="17" s="1"/>
  <c r="BI75" i="17"/>
  <c r="BH75" i="17"/>
  <c r="BG75" i="17"/>
  <c r="AM75" i="17"/>
  <c r="AL75" i="17"/>
  <c r="AK75" i="17"/>
  <c r="AJ75" i="17"/>
  <c r="AI75" i="17"/>
  <c r="AH75" i="17"/>
  <c r="N75" i="17"/>
  <c r="M75" i="17"/>
  <c r="K75" i="17"/>
  <c r="J75" i="17"/>
  <c r="I75" i="17"/>
  <c r="BI74" i="17"/>
  <c r="BH74" i="17"/>
  <c r="BG74" i="17"/>
  <c r="AM74" i="17"/>
  <c r="AL74" i="17"/>
  <c r="AK74" i="17"/>
  <c r="AJ74" i="17"/>
  <c r="AI74" i="17"/>
  <c r="AH74" i="17"/>
  <c r="N74" i="17"/>
  <c r="M74" i="17"/>
  <c r="K74" i="17"/>
  <c r="J74" i="17"/>
  <c r="I74" i="17"/>
  <c r="BI73" i="17"/>
  <c r="BH73" i="17"/>
  <c r="BG73" i="17"/>
  <c r="AM73" i="17"/>
  <c r="AL73" i="17"/>
  <c r="AK73" i="17"/>
  <c r="AJ73" i="17"/>
  <c r="AI73" i="17"/>
  <c r="AH73" i="17"/>
  <c r="N73" i="17"/>
  <c r="M73" i="17"/>
  <c r="K73" i="17"/>
  <c r="J73" i="17"/>
  <c r="I73" i="17"/>
  <c r="BI72" i="17"/>
  <c r="BH72" i="17"/>
  <c r="BG72" i="17"/>
  <c r="AM72" i="17"/>
  <c r="AL72" i="17"/>
  <c r="AK72" i="17"/>
  <c r="AJ72" i="17"/>
  <c r="AI72" i="17"/>
  <c r="AH72" i="17"/>
  <c r="N72" i="17"/>
  <c r="M72" i="17"/>
  <c r="K72" i="17"/>
  <c r="J72" i="17"/>
  <c r="I72" i="17"/>
  <c r="BI71" i="17"/>
  <c r="BH71" i="17"/>
  <c r="BG71" i="17"/>
  <c r="AM71" i="17"/>
  <c r="AL71" i="17"/>
  <c r="AK71" i="17"/>
  <c r="AJ71" i="17"/>
  <c r="AI71" i="17"/>
  <c r="AH71" i="17"/>
  <c r="N71" i="17"/>
  <c r="M71" i="17"/>
  <c r="K71" i="17"/>
  <c r="J71" i="17"/>
  <c r="I71" i="17"/>
  <c r="CD70" i="17"/>
  <c r="BY70" i="17"/>
  <c r="BT70" i="17"/>
  <c r="BO70" i="17"/>
  <c r="BJ70" i="17" a="1"/>
  <c r="BJ70" i="17" s="1"/>
  <c r="BJ117" i="17" s="1"/>
  <c r="BI70" i="17"/>
  <c r="BI117" i="17" s="1"/>
  <c r="BH70" i="17"/>
  <c r="BH117" i="17" s="1"/>
  <c r="BG70" i="17"/>
  <c r="BG117" i="17" s="1"/>
  <c r="AM70" i="17"/>
  <c r="AL70" i="17"/>
  <c r="AK70" i="17"/>
  <c r="AJ70" i="17"/>
  <c r="AI70" i="17"/>
  <c r="AH70" i="17"/>
  <c r="N70" i="17"/>
  <c r="M70" i="17"/>
  <c r="K70" i="17"/>
  <c r="J70" i="17"/>
  <c r="I70" i="17"/>
  <c r="BI69" i="17"/>
  <c r="BH69" i="17"/>
  <c r="BG69" i="17"/>
  <c r="AM69" i="17"/>
  <c r="AL69" i="17"/>
  <c r="AK69" i="17"/>
  <c r="AJ69" i="17"/>
  <c r="AI69" i="17"/>
  <c r="AH69" i="17"/>
  <c r="N69" i="17"/>
  <c r="L69" i="17"/>
  <c r="K69" i="17"/>
  <c r="J69" i="17"/>
  <c r="I69" i="17"/>
  <c r="BI68" i="17"/>
  <c r="BH68" i="17"/>
  <c r="BG68" i="17"/>
  <c r="AM68" i="17"/>
  <c r="AL68" i="17"/>
  <c r="AK68" i="17"/>
  <c r="AJ68" i="17"/>
  <c r="AI68" i="17"/>
  <c r="AH68" i="17"/>
  <c r="N68" i="17"/>
  <c r="L68" i="17"/>
  <c r="K68" i="17"/>
  <c r="J68" i="17"/>
  <c r="I68" i="17"/>
  <c r="BI67" i="17"/>
  <c r="BH67" i="17"/>
  <c r="BG67" i="17"/>
  <c r="AM67" i="17"/>
  <c r="AL67" i="17"/>
  <c r="AK67" i="17"/>
  <c r="AJ67" i="17"/>
  <c r="AI67" i="17"/>
  <c r="AH67" i="17"/>
  <c r="N67" i="17"/>
  <c r="L67" i="17"/>
  <c r="K67" i="17"/>
  <c r="J67" i="17"/>
  <c r="I67" i="17"/>
  <c r="BI66" i="17"/>
  <c r="BH66" i="17"/>
  <c r="BG66" i="17"/>
  <c r="AM66" i="17"/>
  <c r="AL66" i="17"/>
  <c r="AK66" i="17"/>
  <c r="AJ66" i="17"/>
  <c r="AI66" i="17"/>
  <c r="AH66" i="17"/>
  <c r="N66" i="17"/>
  <c r="L66" i="17"/>
  <c r="K66" i="17"/>
  <c r="J66" i="17"/>
  <c r="I66" i="17"/>
  <c r="CC65" i="17"/>
  <c r="CB65" i="17"/>
  <c r="CA65" i="17"/>
  <c r="BX65" i="17"/>
  <c r="BW65" i="17"/>
  <c r="BV65" i="17"/>
  <c r="BS65" i="17"/>
  <c r="BR65" i="17"/>
  <c r="BQ65" i="17"/>
  <c r="BN65" i="17"/>
  <c r="BM65" i="17"/>
  <c r="BL65" i="17"/>
  <c r="BJ65" i="17" a="1"/>
  <c r="BJ65" i="17" s="1"/>
  <c r="BI65" i="17"/>
  <c r="BH65" i="17"/>
  <c r="BG65" i="17"/>
  <c r="AM65" i="17"/>
  <c r="AL65" i="17"/>
  <c r="AK65" i="17"/>
  <c r="AJ65" i="17"/>
  <c r="AI65" i="17"/>
  <c r="AH65" i="17"/>
  <c r="N65" i="17"/>
  <c r="L65" i="17"/>
  <c r="K65" i="17"/>
  <c r="J65" i="17"/>
  <c r="I65" i="17"/>
  <c r="BI64" i="17"/>
  <c r="BH64" i="17"/>
  <c r="BG64" i="17"/>
  <c r="AM64" i="17"/>
  <c r="AL64" i="17"/>
  <c r="AK64" i="17"/>
  <c r="AJ64" i="17"/>
  <c r="AI64" i="17"/>
  <c r="AH64" i="17"/>
  <c r="N64" i="17"/>
  <c r="L64" i="17"/>
  <c r="K64" i="17"/>
  <c r="J64" i="17"/>
  <c r="I64" i="17"/>
  <c r="BI63" i="17"/>
  <c r="BH63" i="17"/>
  <c r="BG63" i="17"/>
  <c r="AM63" i="17"/>
  <c r="AL63" i="17"/>
  <c r="AK63" i="17"/>
  <c r="AJ63" i="17"/>
  <c r="AI63" i="17"/>
  <c r="AH63" i="17"/>
  <c r="N63" i="17"/>
  <c r="L63" i="17"/>
  <c r="K63" i="17"/>
  <c r="J63" i="17"/>
  <c r="I63" i="17"/>
  <c r="BI62" i="17"/>
  <c r="BH62" i="17"/>
  <c r="BG62" i="17"/>
  <c r="AM62" i="17"/>
  <c r="AL62" i="17"/>
  <c r="AK62" i="17"/>
  <c r="AJ62" i="17"/>
  <c r="AI62" i="17"/>
  <c r="AH62" i="17"/>
  <c r="N62" i="17"/>
  <c r="L62" i="17"/>
  <c r="K62" i="17"/>
  <c r="J62" i="17"/>
  <c r="I62" i="17"/>
  <c r="BI61" i="17"/>
  <c r="BH61" i="17"/>
  <c r="BG61" i="17"/>
  <c r="AM61" i="17"/>
  <c r="AL61" i="17"/>
  <c r="AK61" i="17"/>
  <c r="AJ61" i="17"/>
  <c r="AI61" i="17"/>
  <c r="AH61" i="17"/>
  <c r="N61" i="17"/>
  <c r="L61" i="17"/>
  <c r="K61" i="17"/>
  <c r="J61" i="17"/>
  <c r="I61" i="17"/>
  <c r="CC60" i="17"/>
  <c r="CB60" i="17"/>
  <c r="CA60" i="17"/>
  <c r="BX60" i="17"/>
  <c r="BW60" i="17"/>
  <c r="BV60" i="17"/>
  <c r="BS60" i="17"/>
  <c r="BR60" i="17"/>
  <c r="BQ60" i="17"/>
  <c r="BN60" i="17"/>
  <c r="BM60" i="17"/>
  <c r="BL60" i="17"/>
  <c r="BJ60" i="17" a="1"/>
  <c r="BJ60" i="17" s="1"/>
  <c r="BI60" i="17"/>
  <c r="BH60" i="17"/>
  <c r="BG60" i="17"/>
  <c r="AM60" i="17"/>
  <c r="AL60" i="17"/>
  <c r="AK60" i="17"/>
  <c r="AJ60" i="17"/>
  <c r="AI60" i="17"/>
  <c r="AH60" i="17"/>
  <c r="N60" i="17"/>
  <c r="L60" i="17"/>
  <c r="K60" i="17"/>
  <c r="J60" i="17"/>
  <c r="I60" i="17"/>
  <c r="BI59" i="17"/>
  <c r="BH59" i="17"/>
  <c r="BG59" i="17"/>
  <c r="AM59" i="17"/>
  <c r="AL59" i="17"/>
  <c r="AK59" i="17"/>
  <c r="AJ59" i="17"/>
  <c r="AI59" i="17"/>
  <c r="AH59" i="17"/>
  <c r="N59" i="17"/>
  <c r="L59" i="17"/>
  <c r="K59" i="17"/>
  <c r="J59" i="17"/>
  <c r="I59" i="17"/>
  <c r="BI58" i="17"/>
  <c r="BH58" i="17"/>
  <c r="BG58" i="17"/>
  <c r="AM58" i="17"/>
  <c r="AL58" i="17"/>
  <c r="AK58" i="17"/>
  <c r="AJ58" i="17"/>
  <c r="AI58" i="17"/>
  <c r="AH58" i="17"/>
  <c r="N58" i="17"/>
  <c r="L58" i="17"/>
  <c r="K58" i="17"/>
  <c r="J58" i="17"/>
  <c r="I58" i="17"/>
  <c r="BI57" i="17"/>
  <c r="BH57" i="17"/>
  <c r="BG57" i="17"/>
  <c r="AM57" i="17"/>
  <c r="AL57" i="17"/>
  <c r="AK57" i="17"/>
  <c r="AJ57" i="17"/>
  <c r="AI57" i="17"/>
  <c r="AH57" i="17"/>
  <c r="N57" i="17"/>
  <c r="L57" i="17"/>
  <c r="K57" i="17"/>
  <c r="J57" i="17"/>
  <c r="I57" i="17"/>
  <c r="BI56" i="17"/>
  <c r="BH56" i="17"/>
  <c r="BG56" i="17"/>
  <c r="AM56" i="17"/>
  <c r="AL56" i="17"/>
  <c r="AK56" i="17"/>
  <c r="AJ56" i="17"/>
  <c r="AI56" i="17"/>
  <c r="AH56" i="17"/>
  <c r="N56" i="17"/>
  <c r="L56" i="17"/>
  <c r="K56" i="17"/>
  <c r="J56" i="17"/>
  <c r="I56" i="17"/>
  <c r="CC55" i="17"/>
  <c r="CB55" i="17"/>
  <c r="CA55" i="17"/>
  <c r="BX55" i="17"/>
  <c r="BW55" i="17"/>
  <c r="BV55" i="17"/>
  <c r="BS55" i="17"/>
  <c r="BR55" i="17"/>
  <c r="BQ55" i="17"/>
  <c r="BN55" i="17"/>
  <c r="BM55" i="17"/>
  <c r="BL55" i="17"/>
  <c r="BJ55" i="17" a="1"/>
  <c r="BJ55" i="17" s="1"/>
  <c r="BI55" i="17"/>
  <c r="BH55" i="17"/>
  <c r="BG55" i="17"/>
  <c r="AM55" i="17"/>
  <c r="AL55" i="17"/>
  <c r="AK55" i="17"/>
  <c r="AJ55" i="17"/>
  <c r="AI55" i="17"/>
  <c r="AH55" i="17"/>
  <c r="N55" i="17"/>
  <c r="L55" i="17"/>
  <c r="K55" i="17"/>
  <c r="J55" i="17"/>
  <c r="I55" i="17"/>
  <c r="BI54" i="17"/>
  <c r="BH54" i="17"/>
  <c r="BG54" i="17"/>
  <c r="AM54" i="17"/>
  <c r="AL54" i="17"/>
  <c r="AK54" i="17"/>
  <c r="AJ54" i="17"/>
  <c r="AI54" i="17"/>
  <c r="AH54" i="17"/>
  <c r="N54" i="17"/>
  <c r="L54" i="17"/>
  <c r="K54" i="17"/>
  <c r="J54" i="17"/>
  <c r="I54" i="17"/>
  <c r="BI53" i="17"/>
  <c r="BH53" i="17"/>
  <c r="BG53" i="17"/>
  <c r="AM53" i="17"/>
  <c r="AL53" i="17"/>
  <c r="AK53" i="17"/>
  <c r="AJ53" i="17"/>
  <c r="AI53" i="17"/>
  <c r="AH53" i="17"/>
  <c r="N53" i="17"/>
  <c r="L53" i="17"/>
  <c r="K53" i="17"/>
  <c r="J53" i="17"/>
  <c r="I53" i="17"/>
  <c r="BI52" i="17"/>
  <c r="BH52" i="17"/>
  <c r="BG52" i="17"/>
  <c r="AM52" i="17"/>
  <c r="AL52" i="17"/>
  <c r="AK52" i="17"/>
  <c r="AJ52" i="17"/>
  <c r="AI52" i="17"/>
  <c r="AH52" i="17"/>
  <c r="N52" i="17"/>
  <c r="L52" i="17"/>
  <c r="K52" i="17"/>
  <c r="J52" i="17"/>
  <c r="I52" i="17"/>
  <c r="BI51" i="17"/>
  <c r="BH51" i="17"/>
  <c r="BG51" i="17"/>
  <c r="AM51" i="17"/>
  <c r="AL51" i="17"/>
  <c r="AK51" i="17"/>
  <c r="AJ51" i="17"/>
  <c r="AI51" i="17"/>
  <c r="AH51" i="17"/>
  <c r="N51" i="17"/>
  <c r="L51" i="17"/>
  <c r="K51" i="17"/>
  <c r="J51" i="17"/>
  <c r="I51" i="17"/>
  <c r="CC50" i="17"/>
  <c r="CB50" i="17"/>
  <c r="CA50" i="17"/>
  <c r="BX50" i="17"/>
  <c r="BW50" i="17"/>
  <c r="BV50" i="17"/>
  <c r="BS50" i="17"/>
  <c r="BR50" i="17"/>
  <c r="BQ50" i="17"/>
  <c r="BN50" i="17"/>
  <c r="BM50" i="17"/>
  <c r="BL50" i="17"/>
  <c r="BJ50" i="17" a="1"/>
  <c r="BJ50" i="17" s="1"/>
  <c r="BI50" i="17"/>
  <c r="BH50" i="17"/>
  <c r="BG50" i="17"/>
  <c r="AM50" i="17"/>
  <c r="AL50" i="17"/>
  <c r="AK50" i="17"/>
  <c r="AJ50" i="17"/>
  <c r="AI50" i="17"/>
  <c r="AH50" i="17"/>
  <c r="N50" i="17"/>
  <c r="L50" i="17"/>
  <c r="K50" i="17"/>
  <c r="J50" i="17"/>
  <c r="I50" i="17"/>
  <c r="BI49" i="17"/>
  <c r="BH49" i="17"/>
  <c r="BG49" i="17"/>
  <c r="AM49" i="17"/>
  <c r="AL49" i="17"/>
  <c r="AK49" i="17"/>
  <c r="AJ49" i="17"/>
  <c r="AI49" i="17"/>
  <c r="AH49" i="17"/>
  <c r="N49" i="17"/>
  <c r="L49" i="17"/>
  <c r="K49" i="17"/>
  <c r="J49" i="17"/>
  <c r="I49" i="17"/>
  <c r="BI48" i="17"/>
  <c r="BH48" i="17"/>
  <c r="BG48" i="17"/>
  <c r="AM48" i="17"/>
  <c r="AL48" i="17"/>
  <c r="AK48" i="17"/>
  <c r="AJ48" i="17"/>
  <c r="AI48" i="17"/>
  <c r="AH48" i="17"/>
  <c r="N48" i="17"/>
  <c r="L48" i="17"/>
  <c r="K48" i="17"/>
  <c r="J48" i="17"/>
  <c r="I48" i="17"/>
  <c r="BI47" i="17"/>
  <c r="BH47" i="17"/>
  <c r="BG47" i="17"/>
  <c r="AM47" i="17"/>
  <c r="AL47" i="17"/>
  <c r="AK47" i="17"/>
  <c r="AJ47" i="17"/>
  <c r="AI47" i="17"/>
  <c r="AH47" i="17"/>
  <c r="N47" i="17"/>
  <c r="L47" i="17"/>
  <c r="K47" i="17"/>
  <c r="J47" i="17"/>
  <c r="I47" i="17"/>
  <c r="BI46" i="17"/>
  <c r="BH46" i="17"/>
  <c r="BG46" i="17"/>
  <c r="AM46" i="17"/>
  <c r="AL46" i="17"/>
  <c r="AK46" i="17"/>
  <c r="AJ46" i="17"/>
  <c r="AI46" i="17"/>
  <c r="AH46" i="17"/>
  <c r="N46" i="17"/>
  <c r="L46" i="17"/>
  <c r="K46" i="17"/>
  <c r="J46" i="17"/>
  <c r="I46" i="17"/>
  <c r="CC45" i="17"/>
  <c r="CB45" i="17"/>
  <c r="CA45" i="17"/>
  <c r="BX45" i="17"/>
  <c r="BW45" i="17"/>
  <c r="BV45" i="17"/>
  <c r="BS45" i="17"/>
  <c r="BR45" i="17"/>
  <c r="BQ45" i="17"/>
  <c r="BN45" i="17"/>
  <c r="BM45" i="17"/>
  <c r="BL45" i="17"/>
  <c r="BJ45" i="17" a="1"/>
  <c r="BJ45" i="17" s="1"/>
  <c r="BI45" i="17"/>
  <c r="BH45" i="17"/>
  <c r="BG45" i="17"/>
  <c r="AM45" i="17"/>
  <c r="AL45" i="17"/>
  <c r="AK45" i="17"/>
  <c r="AJ45" i="17"/>
  <c r="AI45" i="17"/>
  <c r="AH45" i="17"/>
  <c r="N45" i="17"/>
  <c r="L45" i="17"/>
  <c r="K45" i="17"/>
  <c r="J45" i="17"/>
  <c r="I45" i="17"/>
  <c r="BI44" i="17"/>
  <c r="BH44" i="17"/>
  <c r="BG44" i="17"/>
  <c r="AM44" i="17"/>
  <c r="AL44" i="17"/>
  <c r="AK44" i="17"/>
  <c r="AJ44" i="17"/>
  <c r="AI44" i="17"/>
  <c r="AH44" i="17"/>
  <c r="N44" i="17"/>
  <c r="L44" i="17"/>
  <c r="K44" i="17"/>
  <c r="J44" i="17"/>
  <c r="I44" i="17"/>
  <c r="BI43" i="17"/>
  <c r="BH43" i="17"/>
  <c r="BG43" i="17"/>
  <c r="AM43" i="17"/>
  <c r="AL43" i="17"/>
  <c r="AK43" i="17"/>
  <c r="AJ43" i="17"/>
  <c r="AI43" i="17"/>
  <c r="AH43" i="17"/>
  <c r="N43" i="17"/>
  <c r="L43" i="17"/>
  <c r="K43" i="17"/>
  <c r="J43" i="17"/>
  <c r="I43" i="17"/>
  <c r="BI42" i="17"/>
  <c r="BH42" i="17"/>
  <c r="BG42" i="17"/>
  <c r="AM42" i="17"/>
  <c r="AL42" i="17"/>
  <c r="AK42" i="17"/>
  <c r="AJ42" i="17"/>
  <c r="AI42" i="17"/>
  <c r="AH42" i="17"/>
  <c r="N42" i="17"/>
  <c r="L42" i="17"/>
  <c r="K42" i="17"/>
  <c r="J42" i="17"/>
  <c r="I42" i="17"/>
  <c r="BI41" i="17"/>
  <c r="BH41" i="17"/>
  <c r="BG41" i="17"/>
  <c r="AM41" i="17"/>
  <c r="AL41" i="17"/>
  <c r="AK41" i="17"/>
  <c r="AJ41" i="17"/>
  <c r="AI41" i="17"/>
  <c r="AH41" i="17"/>
  <c r="N41" i="17"/>
  <c r="L41" i="17"/>
  <c r="K41" i="17"/>
  <c r="J41" i="17"/>
  <c r="I41" i="17"/>
  <c r="CC40" i="17"/>
  <c r="CB40" i="17"/>
  <c r="CA40" i="17"/>
  <c r="BX40" i="17"/>
  <c r="BW40" i="17"/>
  <c r="BV40" i="17"/>
  <c r="BS40" i="17"/>
  <c r="BR40" i="17"/>
  <c r="BQ40" i="17"/>
  <c r="BN40" i="17"/>
  <c r="BM40" i="17"/>
  <c r="BL40" i="17"/>
  <c r="BJ40" i="17" a="1"/>
  <c r="BJ40" i="17" s="1"/>
  <c r="BI40" i="17"/>
  <c r="BH40" i="17"/>
  <c r="BG40" i="17"/>
  <c r="AM40" i="17"/>
  <c r="AL40" i="17"/>
  <c r="AK40" i="17"/>
  <c r="AJ40" i="17"/>
  <c r="AI40" i="17"/>
  <c r="AH40" i="17"/>
  <c r="N40" i="17"/>
  <c r="L40" i="17"/>
  <c r="K40" i="17"/>
  <c r="J40" i="17"/>
  <c r="I40" i="17"/>
  <c r="BI39" i="17"/>
  <c r="BH39" i="17"/>
  <c r="BG39" i="17"/>
  <c r="AM39" i="17"/>
  <c r="AL39" i="17"/>
  <c r="AK39" i="17"/>
  <c r="AJ39" i="17"/>
  <c r="AI39" i="17"/>
  <c r="AH39" i="17"/>
  <c r="N39" i="17"/>
  <c r="L39" i="17"/>
  <c r="K39" i="17"/>
  <c r="J39" i="17"/>
  <c r="I39" i="17"/>
  <c r="BI38" i="17"/>
  <c r="BH38" i="17"/>
  <c r="BG38" i="17"/>
  <c r="AM38" i="17"/>
  <c r="AL38" i="17"/>
  <c r="AK38" i="17"/>
  <c r="AJ38" i="17"/>
  <c r="AI38" i="17"/>
  <c r="AH38" i="17"/>
  <c r="N38" i="17"/>
  <c r="L38" i="17"/>
  <c r="K38" i="17"/>
  <c r="J38" i="17"/>
  <c r="I38" i="17"/>
  <c r="BI37" i="17"/>
  <c r="BH37" i="17"/>
  <c r="BG37" i="17"/>
  <c r="AM37" i="17"/>
  <c r="AL37" i="17"/>
  <c r="AK37" i="17"/>
  <c r="AJ37" i="17"/>
  <c r="AI37" i="17"/>
  <c r="AH37" i="17"/>
  <c r="N37" i="17"/>
  <c r="L37" i="17"/>
  <c r="K37" i="17"/>
  <c r="J37" i="17"/>
  <c r="I37" i="17"/>
  <c r="BI36" i="17"/>
  <c r="BH36" i="17"/>
  <c r="BG36" i="17"/>
  <c r="AM36" i="17"/>
  <c r="AL36" i="17"/>
  <c r="AK36" i="17"/>
  <c r="AJ36" i="17"/>
  <c r="AI36" i="17"/>
  <c r="AH36" i="17"/>
  <c r="N36" i="17"/>
  <c r="L36" i="17"/>
  <c r="K36" i="17"/>
  <c r="J36" i="17"/>
  <c r="I36" i="17"/>
  <c r="CC35" i="17"/>
  <c r="CB35" i="17"/>
  <c r="CA35" i="17"/>
  <c r="BX35" i="17"/>
  <c r="BW35" i="17"/>
  <c r="BV35" i="17"/>
  <c r="BS35" i="17"/>
  <c r="BR35" i="17"/>
  <c r="BQ35" i="17"/>
  <c r="BN35" i="17"/>
  <c r="BM35" i="17"/>
  <c r="BL35" i="17"/>
  <c r="BJ35" i="17" a="1"/>
  <c r="BJ35" i="17" s="1"/>
  <c r="BJ116" i="17" s="1"/>
  <c r="BI35" i="17"/>
  <c r="BI116" i="17" s="1"/>
  <c r="BH35" i="17"/>
  <c r="BH116" i="17" s="1"/>
  <c r="BG35" i="17"/>
  <c r="BG116" i="17" s="1"/>
  <c r="AM35" i="17"/>
  <c r="AL35" i="17"/>
  <c r="AK35" i="17"/>
  <c r="AJ35" i="17"/>
  <c r="AI35" i="17"/>
  <c r="AH35" i="17"/>
  <c r="N35" i="17"/>
  <c r="L35" i="17"/>
  <c r="K35" i="17"/>
  <c r="J35" i="17"/>
  <c r="I35" i="17"/>
  <c r="BI34" i="17"/>
  <c r="BH34" i="17"/>
  <c r="BG34" i="17"/>
  <c r="AM34" i="17"/>
  <c r="AL34" i="17"/>
  <c r="AK34" i="17"/>
  <c r="AJ34" i="17"/>
  <c r="AI34" i="17"/>
  <c r="AH34" i="17"/>
  <c r="N34" i="17"/>
  <c r="M34" i="17"/>
  <c r="K34" i="17"/>
  <c r="J34" i="17"/>
  <c r="I34" i="17"/>
  <c r="BI33" i="17"/>
  <c r="BH33" i="17"/>
  <c r="BG33" i="17"/>
  <c r="AM33" i="17"/>
  <c r="AL33" i="17"/>
  <c r="AK33" i="17"/>
  <c r="AJ33" i="17"/>
  <c r="AI33" i="17"/>
  <c r="AH33" i="17"/>
  <c r="N33" i="17"/>
  <c r="M33" i="17"/>
  <c r="K33" i="17"/>
  <c r="J33" i="17"/>
  <c r="I33" i="17"/>
  <c r="BI32" i="17"/>
  <c r="BH32" i="17"/>
  <c r="BG32" i="17"/>
  <c r="AM32" i="17"/>
  <c r="AL32" i="17"/>
  <c r="AK32" i="17"/>
  <c r="AJ32" i="17"/>
  <c r="AI32" i="17"/>
  <c r="AH32" i="17"/>
  <c r="N32" i="17"/>
  <c r="M32" i="17"/>
  <c r="K32" i="17"/>
  <c r="J32" i="17"/>
  <c r="I32" i="17"/>
  <c r="BI31" i="17"/>
  <c r="BH31" i="17"/>
  <c r="BG31" i="17"/>
  <c r="AM31" i="17"/>
  <c r="AL31" i="17"/>
  <c r="AK31" i="17"/>
  <c r="AJ31" i="17"/>
  <c r="AI31" i="17"/>
  <c r="AH31" i="17"/>
  <c r="N31" i="17"/>
  <c r="M31" i="17"/>
  <c r="K31" i="17"/>
  <c r="J31" i="17"/>
  <c r="I31" i="17"/>
  <c r="CD30" i="17"/>
  <c r="BY30" i="17"/>
  <c r="BT30" i="17"/>
  <c r="BO30" i="17"/>
  <c r="BJ30" i="17" a="1"/>
  <c r="BJ30" i="17" s="1"/>
  <c r="BI30" i="17"/>
  <c r="BH30" i="17"/>
  <c r="BG30" i="17"/>
  <c r="AM30" i="17"/>
  <c r="AL30" i="17"/>
  <c r="AK30" i="17"/>
  <c r="AJ30" i="17"/>
  <c r="AI30" i="17"/>
  <c r="AH30" i="17"/>
  <c r="N30" i="17"/>
  <c r="M30" i="17"/>
  <c r="K30" i="17"/>
  <c r="J30" i="17"/>
  <c r="I30" i="17"/>
  <c r="BI29" i="17"/>
  <c r="BH29" i="17"/>
  <c r="BG29" i="17"/>
  <c r="AM29" i="17"/>
  <c r="AL29" i="17"/>
  <c r="AK29" i="17"/>
  <c r="AJ29" i="17"/>
  <c r="AI29" i="17"/>
  <c r="AH29" i="17"/>
  <c r="N29" i="17"/>
  <c r="M29" i="17"/>
  <c r="K29" i="17"/>
  <c r="J29" i="17"/>
  <c r="I29" i="17"/>
  <c r="BI28" i="17"/>
  <c r="BH28" i="17"/>
  <c r="BG28" i="17"/>
  <c r="AM28" i="17"/>
  <c r="AL28" i="17"/>
  <c r="AK28" i="17"/>
  <c r="AJ28" i="17"/>
  <c r="AI28" i="17"/>
  <c r="AH28" i="17"/>
  <c r="N28" i="17"/>
  <c r="M28" i="17"/>
  <c r="K28" i="17"/>
  <c r="J28" i="17"/>
  <c r="I28" i="17"/>
  <c r="BI27" i="17"/>
  <c r="BH27" i="17"/>
  <c r="BG27" i="17"/>
  <c r="AM27" i="17"/>
  <c r="AL27" i="17"/>
  <c r="AK27" i="17"/>
  <c r="AJ27" i="17"/>
  <c r="AI27" i="17"/>
  <c r="AH27" i="17"/>
  <c r="N27" i="17"/>
  <c r="M27" i="17"/>
  <c r="K27" i="17"/>
  <c r="J27" i="17"/>
  <c r="I27" i="17"/>
  <c r="BI26" i="17"/>
  <c r="BH26" i="17"/>
  <c r="BG26" i="17"/>
  <c r="AM26" i="17"/>
  <c r="AL26" i="17"/>
  <c r="AK26" i="17"/>
  <c r="AJ26" i="17"/>
  <c r="AI26" i="17"/>
  <c r="AH26" i="17"/>
  <c r="N26" i="17"/>
  <c r="M26" i="17"/>
  <c r="K26" i="17"/>
  <c r="J26" i="17"/>
  <c r="I26" i="17"/>
  <c r="CD25" i="17"/>
  <c r="BY25" i="17"/>
  <c r="BT25" i="17"/>
  <c r="BO25" i="17"/>
  <c r="BJ25" i="17" a="1"/>
  <c r="BJ25" i="17" s="1"/>
  <c r="BI25" i="17"/>
  <c r="BH25" i="17"/>
  <c r="BG25" i="17"/>
  <c r="AM25" i="17"/>
  <c r="AL25" i="17"/>
  <c r="AK25" i="17"/>
  <c r="AJ25" i="17"/>
  <c r="AI25" i="17"/>
  <c r="AH25" i="17"/>
  <c r="N25" i="17"/>
  <c r="M25" i="17"/>
  <c r="K25" i="17"/>
  <c r="J25" i="17"/>
  <c r="I25" i="17"/>
  <c r="BI24" i="17"/>
  <c r="BH24" i="17"/>
  <c r="BG24" i="17"/>
  <c r="AM24" i="17"/>
  <c r="AL24" i="17"/>
  <c r="AK24" i="17"/>
  <c r="AJ24" i="17"/>
  <c r="AI24" i="17"/>
  <c r="AH24" i="17"/>
  <c r="N24" i="17"/>
  <c r="M24" i="17"/>
  <c r="K24" i="17"/>
  <c r="J24" i="17"/>
  <c r="I24" i="17"/>
  <c r="BI23" i="17"/>
  <c r="BH23" i="17"/>
  <c r="BG23" i="17"/>
  <c r="AM23" i="17"/>
  <c r="AL23" i="17"/>
  <c r="AK23" i="17"/>
  <c r="AJ23" i="17"/>
  <c r="AI23" i="17"/>
  <c r="AH23" i="17"/>
  <c r="N23" i="17"/>
  <c r="M23" i="17"/>
  <c r="K23" i="17"/>
  <c r="J23" i="17"/>
  <c r="I23" i="17"/>
  <c r="BI22" i="17"/>
  <c r="BH22" i="17"/>
  <c r="BG22" i="17"/>
  <c r="AM22" i="17"/>
  <c r="AL22" i="17"/>
  <c r="AK22" i="17"/>
  <c r="AJ22" i="17"/>
  <c r="AI22" i="17"/>
  <c r="AH22" i="17"/>
  <c r="N22" i="17"/>
  <c r="M22" i="17"/>
  <c r="K22" i="17"/>
  <c r="J22" i="17"/>
  <c r="I22" i="17"/>
  <c r="BI21" i="17"/>
  <c r="BH21" i="17"/>
  <c r="BG21" i="17"/>
  <c r="AM21" i="17"/>
  <c r="AL21" i="17"/>
  <c r="AK21" i="17"/>
  <c r="AJ21" i="17"/>
  <c r="AI21" i="17"/>
  <c r="AH21" i="17"/>
  <c r="N21" i="17"/>
  <c r="M21" i="17"/>
  <c r="K21" i="17"/>
  <c r="J21" i="17"/>
  <c r="I21" i="17"/>
  <c r="CD20" i="17"/>
  <c r="BY20" i="17"/>
  <c r="BT20" i="17"/>
  <c r="BO20" i="17"/>
  <c r="BJ20" i="17" a="1"/>
  <c r="BJ20" i="17" s="1"/>
  <c r="BI20" i="17"/>
  <c r="BH20" i="17"/>
  <c r="BG20" i="17"/>
  <c r="AM20" i="17"/>
  <c r="AL20" i="17"/>
  <c r="AK20" i="17"/>
  <c r="AJ20" i="17"/>
  <c r="AI20" i="17"/>
  <c r="AH20" i="17"/>
  <c r="N20" i="17"/>
  <c r="M20" i="17"/>
  <c r="K20" i="17"/>
  <c r="J20" i="17"/>
  <c r="I20" i="17"/>
  <c r="BI19" i="17"/>
  <c r="BH19" i="17"/>
  <c r="BG19" i="17"/>
  <c r="AM19" i="17"/>
  <c r="AL19" i="17"/>
  <c r="AK19" i="17"/>
  <c r="AJ19" i="17"/>
  <c r="AI19" i="17"/>
  <c r="AH19" i="17"/>
  <c r="N19" i="17"/>
  <c r="M19" i="17"/>
  <c r="K19" i="17"/>
  <c r="J19" i="17"/>
  <c r="I19" i="17"/>
  <c r="BI18" i="17"/>
  <c r="BH18" i="17"/>
  <c r="BG18" i="17"/>
  <c r="AM18" i="17"/>
  <c r="AL18" i="17"/>
  <c r="AK18" i="17"/>
  <c r="AJ18" i="17"/>
  <c r="AI18" i="17"/>
  <c r="AH18" i="17"/>
  <c r="N18" i="17"/>
  <c r="M18" i="17"/>
  <c r="K18" i="17"/>
  <c r="J18" i="17"/>
  <c r="I18" i="17"/>
  <c r="BI17" i="17"/>
  <c r="BH17" i="17"/>
  <c r="BG17" i="17"/>
  <c r="AM17" i="17"/>
  <c r="AL17" i="17"/>
  <c r="AK17" i="17"/>
  <c r="AJ17" i="17"/>
  <c r="AI17" i="17"/>
  <c r="AH17" i="17"/>
  <c r="N17" i="17"/>
  <c r="M17" i="17"/>
  <c r="K17" i="17"/>
  <c r="J17" i="17"/>
  <c r="I17" i="17"/>
  <c r="BI16" i="17"/>
  <c r="BH16" i="17"/>
  <c r="BG16" i="17"/>
  <c r="AM16" i="17"/>
  <c r="AL16" i="17"/>
  <c r="AK16" i="17"/>
  <c r="AJ16" i="17"/>
  <c r="AI16" i="17"/>
  <c r="AH16" i="17"/>
  <c r="N16" i="17"/>
  <c r="M16" i="17"/>
  <c r="K16" i="17"/>
  <c r="J16" i="17"/>
  <c r="I16" i="17"/>
  <c r="CD15" i="17"/>
  <c r="BY15" i="17"/>
  <c r="BT15" i="17"/>
  <c r="BO15" i="17"/>
  <c r="BJ15" i="17" a="1"/>
  <c r="BJ15" i="17" s="1"/>
  <c r="BI15" i="17"/>
  <c r="BH15" i="17"/>
  <c r="BG15" i="17"/>
  <c r="AM15" i="17"/>
  <c r="AL15" i="17"/>
  <c r="AK15" i="17"/>
  <c r="AJ15" i="17"/>
  <c r="AI15" i="17"/>
  <c r="AH15" i="17"/>
  <c r="N15" i="17"/>
  <c r="M15" i="17"/>
  <c r="K15" i="17"/>
  <c r="J15" i="17"/>
  <c r="I15" i="17"/>
  <c r="BI14" i="17"/>
  <c r="BH14" i="17"/>
  <c r="BG14" i="17"/>
  <c r="AM14" i="17"/>
  <c r="AL14" i="17"/>
  <c r="AK14" i="17"/>
  <c r="AJ14" i="17"/>
  <c r="AI14" i="17"/>
  <c r="AH14" i="17"/>
  <c r="N14" i="17"/>
  <c r="M14" i="17"/>
  <c r="K14" i="17"/>
  <c r="J14" i="17"/>
  <c r="I14" i="17"/>
  <c r="BI13" i="17"/>
  <c r="BH13" i="17"/>
  <c r="BG13" i="17"/>
  <c r="AM13" i="17"/>
  <c r="AL13" i="17"/>
  <c r="AK13" i="17"/>
  <c r="AJ13" i="17"/>
  <c r="AI13" i="17"/>
  <c r="AH13" i="17"/>
  <c r="N13" i="17"/>
  <c r="M13" i="17"/>
  <c r="K13" i="17"/>
  <c r="J13" i="17"/>
  <c r="I13" i="17"/>
  <c r="BI12" i="17"/>
  <c r="BH12" i="17"/>
  <c r="BG12" i="17"/>
  <c r="AM12" i="17"/>
  <c r="AL12" i="17"/>
  <c r="AK12" i="17"/>
  <c r="AJ12" i="17"/>
  <c r="AI12" i="17"/>
  <c r="AH12" i="17"/>
  <c r="N12" i="17"/>
  <c r="M12" i="17"/>
  <c r="K12" i="17"/>
  <c r="J12" i="17"/>
  <c r="I12" i="17"/>
  <c r="BI11" i="17"/>
  <c r="BH11" i="17"/>
  <c r="BG11" i="17"/>
  <c r="AM11" i="17"/>
  <c r="AL11" i="17"/>
  <c r="AK11" i="17"/>
  <c r="AJ11" i="17"/>
  <c r="AI11" i="17"/>
  <c r="AH11" i="17"/>
  <c r="N11" i="17"/>
  <c r="M11" i="17"/>
  <c r="K11" i="17"/>
  <c r="J11" i="17"/>
  <c r="I11" i="17"/>
  <c r="CD10" i="17"/>
  <c r="BY10" i="17"/>
  <c r="BT10" i="17"/>
  <c r="BO10" i="17"/>
  <c r="BJ10" i="17" a="1"/>
  <c r="BJ10" i="17" s="1"/>
  <c r="BI10" i="17"/>
  <c r="BH10" i="17"/>
  <c r="BG10" i="17"/>
  <c r="AM10" i="17"/>
  <c r="AL10" i="17"/>
  <c r="AK10" i="17"/>
  <c r="AJ10" i="17"/>
  <c r="AI10" i="17"/>
  <c r="AH10" i="17"/>
  <c r="N10" i="17"/>
  <c r="M10" i="17"/>
  <c r="K10" i="17"/>
  <c r="J10" i="17"/>
  <c r="I10" i="17"/>
  <c r="BI9" i="17"/>
  <c r="BH9" i="17"/>
  <c r="BG9" i="17"/>
  <c r="AM9" i="17"/>
  <c r="AL9" i="17"/>
  <c r="AK9" i="17"/>
  <c r="AJ9" i="17"/>
  <c r="AI9" i="17"/>
  <c r="AH9" i="17"/>
  <c r="N9" i="17"/>
  <c r="M9" i="17"/>
  <c r="K9" i="17"/>
  <c r="J9" i="17"/>
  <c r="I9" i="17"/>
  <c r="BI8" i="17"/>
  <c r="BH8" i="17"/>
  <c r="BG8" i="17"/>
  <c r="AM8" i="17"/>
  <c r="AL8" i="17"/>
  <c r="AK8" i="17"/>
  <c r="AJ8" i="17"/>
  <c r="AI8" i="17"/>
  <c r="AH8" i="17"/>
  <c r="N8" i="17"/>
  <c r="M8" i="17"/>
  <c r="K8" i="17"/>
  <c r="J8" i="17"/>
  <c r="I8" i="17"/>
  <c r="BI7" i="17"/>
  <c r="BH7" i="17"/>
  <c r="BG7" i="17"/>
  <c r="AM7" i="17"/>
  <c r="AL7" i="17"/>
  <c r="AK7" i="17"/>
  <c r="AJ7" i="17"/>
  <c r="AI7" i="17"/>
  <c r="AH7" i="17"/>
  <c r="N7" i="17"/>
  <c r="M7" i="17"/>
  <c r="K7" i="17"/>
  <c r="J7" i="17"/>
  <c r="I7" i="17"/>
  <c r="BI6" i="17"/>
  <c r="BH6" i="17"/>
  <c r="BG6" i="17"/>
  <c r="AM6" i="17"/>
  <c r="AL6" i="17"/>
  <c r="AK6" i="17"/>
  <c r="AJ6" i="17"/>
  <c r="AI6" i="17"/>
  <c r="AH6" i="17"/>
  <c r="N6" i="17"/>
  <c r="M6" i="17"/>
  <c r="K6" i="17"/>
  <c r="J6" i="17"/>
  <c r="I6" i="17"/>
  <c r="CD5" i="17"/>
  <c r="BY5" i="17"/>
  <c r="BT5" i="17"/>
  <c r="BO5" i="17"/>
  <c r="BJ5" i="17" a="1"/>
  <c r="BJ5" i="17" s="1"/>
  <c r="BI5" i="17"/>
  <c r="BI120" i="17" s="1"/>
  <c r="BH5" i="17"/>
  <c r="BH120" i="17" s="1"/>
  <c r="BG5" i="17"/>
  <c r="BG120" i="17" s="1"/>
  <c r="AM5" i="17"/>
  <c r="AL5" i="17"/>
  <c r="AK5" i="17"/>
  <c r="AJ5" i="17"/>
  <c r="AI5" i="17"/>
  <c r="AH5" i="17"/>
  <c r="N5" i="17"/>
  <c r="M5" i="17"/>
  <c r="K5" i="17"/>
  <c r="J5" i="17"/>
  <c r="I5" i="17"/>
  <c r="AV142" i="16"/>
  <c r="AV148" i="16" s="1"/>
  <c r="AU142" i="16"/>
  <c r="AU148" i="16" s="1"/>
  <c r="AT142" i="16"/>
  <c r="AS142" i="16"/>
  <c r="AB142" i="16"/>
  <c r="AA142" i="16"/>
  <c r="Z142" i="16"/>
  <c r="Y142" i="16"/>
  <c r="X142" i="16"/>
  <c r="AV141" i="16"/>
  <c r="AU141" i="16"/>
  <c r="AU147" i="16" s="1"/>
  <c r="AT141" i="16"/>
  <c r="AS141" i="16"/>
  <c r="AB141" i="16"/>
  <c r="AA141" i="16"/>
  <c r="Z141" i="16"/>
  <c r="Y141" i="16"/>
  <c r="X141" i="16"/>
  <c r="AV140" i="16"/>
  <c r="AU140" i="16"/>
  <c r="AT140" i="16"/>
  <c r="AS140" i="16"/>
  <c r="AB140" i="16"/>
  <c r="AA140" i="16"/>
  <c r="Z140" i="16"/>
  <c r="Y140" i="16"/>
  <c r="X140" i="16"/>
  <c r="AV139" i="16"/>
  <c r="AU139" i="16"/>
  <c r="AT139" i="16"/>
  <c r="AS139" i="16"/>
  <c r="AB139" i="16"/>
  <c r="AA139" i="16"/>
  <c r="Z139" i="16"/>
  <c r="Y139" i="16"/>
  <c r="X139" i="16"/>
  <c r="AV138" i="16"/>
  <c r="AU138" i="16"/>
  <c r="AT138" i="16"/>
  <c r="AS138" i="16"/>
  <c r="AB138" i="16"/>
  <c r="AA138" i="16"/>
  <c r="Z138" i="16"/>
  <c r="Y138" i="16"/>
  <c r="X138" i="16"/>
  <c r="AV137" i="16"/>
  <c r="AU137" i="16"/>
  <c r="AT137" i="16"/>
  <c r="AT143" i="16" s="1"/>
  <c r="AS137" i="16"/>
  <c r="AS143" i="16" s="1"/>
  <c r="AB137" i="16"/>
  <c r="AA137" i="16"/>
  <c r="Z137" i="16"/>
  <c r="Y137" i="16"/>
  <c r="X137" i="16"/>
  <c r="BA136" i="16"/>
  <c r="AZ136" i="16"/>
  <c r="AY136" i="16"/>
  <c r="AI136" i="16"/>
  <c r="AH136" i="16"/>
  <c r="AG136" i="16"/>
  <c r="AF136" i="16"/>
  <c r="AE136" i="16"/>
  <c r="AD136" i="16"/>
  <c r="N136" i="16"/>
  <c r="L136" i="16"/>
  <c r="K136" i="16"/>
  <c r="J136" i="16"/>
  <c r="I136" i="16"/>
  <c r="BA135" i="16"/>
  <c r="AZ135" i="16"/>
  <c r="AY135" i="16"/>
  <c r="AI135" i="16"/>
  <c r="AH135" i="16"/>
  <c r="AG135" i="16"/>
  <c r="AF135" i="16"/>
  <c r="AE135" i="16"/>
  <c r="AD135" i="16"/>
  <c r="N135" i="16"/>
  <c r="L135" i="16"/>
  <c r="K135" i="16"/>
  <c r="J135" i="16"/>
  <c r="I135" i="16"/>
  <c r="BA134" i="16"/>
  <c r="AZ134" i="16"/>
  <c r="AY134" i="16"/>
  <c r="AI134" i="16"/>
  <c r="AH134" i="16"/>
  <c r="AG134" i="16"/>
  <c r="AF134" i="16"/>
  <c r="AE134" i="16"/>
  <c r="AD134" i="16"/>
  <c r="N134" i="16"/>
  <c r="L134" i="16"/>
  <c r="K134" i="16"/>
  <c r="J134" i="16"/>
  <c r="I134" i="16"/>
  <c r="BA133" i="16"/>
  <c r="AZ133" i="16"/>
  <c r="AY133" i="16"/>
  <c r="AI133" i="16"/>
  <c r="AH133" i="16"/>
  <c r="AG133" i="16"/>
  <c r="AF133" i="16"/>
  <c r="AE133" i="16"/>
  <c r="AD133" i="16"/>
  <c r="N133" i="16"/>
  <c r="L133" i="16"/>
  <c r="K133" i="16"/>
  <c r="J133" i="16"/>
  <c r="I133" i="16"/>
  <c r="BA132" i="16"/>
  <c r="AZ132" i="16"/>
  <c r="AY132" i="16"/>
  <c r="AI132" i="16"/>
  <c r="AH132" i="16"/>
  <c r="AG132" i="16"/>
  <c r="AF132" i="16"/>
  <c r="AE132" i="16"/>
  <c r="AD132" i="16"/>
  <c r="N132" i="16"/>
  <c r="L132" i="16"/>
  <c r="K132" i="16"/>
  <c r="J132" i="16"/>
  <c r="I132" i="16"/>
  <c r="CE131" i="16"/>
  <c r="CD131" i="16"/>
  <c r="CC131" i="16"/>
  <c r="BZ131" i="16"/>
  <c r="BY131" i="16"/>
  <c r="BX131" i="16"/>
  <c r="BU131" i="16"/>
  <c r="BT131" i="16"/>
  <c r="BS131" i="16"/>
  <c r="BP131" i="16"/>
  <c r="BO131" i="16"/>
  <c r="BN131" i="16"/>
  <c r="BK131" i="16"/>
  <c r="BJ131" i="16"/>
  <c r="BI131" i="16"/>
  <c r="BF131" i="16"/>
  <c r="BE131" i="16"/>
  <c r="BD131" i="16"/>
  <c r="BB131" i="16" a="1"/>
  <c r="BB131" i="16" s="1"/>
  <c r="BA131" i="16"/>
  <c r="AZ131" i="16"/>
  <c r="AY131" i="16"/>
  <c r="AI131" i="16"/>
  <c r="AH131" i="16"/>
  <c r="AG131" i="16"/>
  <c r="AF131" i="16"/>
  <c r="AE131" i="16"/>
  <c r="AD131" i="16"/>
  <c r="N131" i="16"/>
  <c r="L131" i="16"/>
  <c r="K131" i="16"/>
  <c r="J131" i="16"/>
  <c r="I131" i="16"/>
  <c r="BA130" i="16"/>
  <c r="AZ130" i="16"/>
  <c r="AY130" i="16"/>
  <c r="AI130" i="16"/>
  <c r="AH130" i="16"/>
  <c r="AG130" i="16"/>
  <c r="AF130" i="16"/>
  <c r="AE130" i="16"/>
  <c r="AD130" i="16"/>
  <c r="N130" i="16"/>
  <c r="L130" i="16"/>
  <c r="K130" i="16"/>
  <c r="J130" i="16"/>
  <c r="I130" i="16"/>
  <c r="BA129" i="16"/>
  <c r="AZ129" i="16"/>
  <c r="AY129" i="16"/>
  <c r="AI129" i="16"/>
  <c r="AH129" i="16"/>
  <c r="AG129" i="16"/>
  <c r="AF129" i="16"/>
  <c r="AE129" i="16"/>
  <c r="AD129" i="16"/>
  <c r="N129" i="16"/>
  <c r="L129" i="16"/>
  <c r="K129" i="16"/>
  <c r="J129" i="16"/>
  <c r="I129" i="16"/>
  <c r="BA128" i="16"/>
  <c r="AZ128" i="16"/>
  <c r="AY128" i="16"/>
  <c r="AI128" i="16"/>
  <c r="AH128" i="16"/>
  <c r="AG128" i="16"/>
  <c r="AF128" i="16"/>
  <c r="AE128" i="16"/>
  <c r="AD128" i="16"/>
  <c r="N128" i="16"/>
  <c r="L128" i="16"/>
  <c r="K128" i="16"/>
  <c r="J128" i="16"/>
  <c r="I128" i="16"/>
  <c r="BA127" i="16"/>
  <c r="AZ127" i="16"/>
  <c r="AY127" i="16"/>
  <c r="AI127" i="16"/>
  <c r="AH127" i="16"/>
  <c r="AG127" i="16"/>
  <c r="AF127" i="16"/>
  <c r="AE127" i="16"/>
  <c r="AD127" i="16"/>
  <c r="N127" i="16"/>
  <c r="L127" i="16"/>
  <c r="K127" i="16"/>
  <c r="J127" i="16"/>
  <c r="I127" i="16"/>
  <c r="BA126" i="16"/>
  <c r="AZ126" i="16"/>
  <c r="AY126" i="16"/>
  <c r="AI126" i="16"/>
  <c r="AH126" i="16"/>
  <c r="AG126" i="16"/>
  <c r="AF126" i="16"/>
  <c r="AE126" i="16"/>
  <c r="AD126" i="16"/>
  <c r="N126" i="16"/>
  <c r="L126" i="16"/>
  <c r="K126" i="16"/>
  <c r="J126" i="16"/>
  <c r="I126" i="16"/>
  <c r="CE125" i="16"/>
  <c r="CD125" i="16"/>
  <c r="CC125" i="16"/>
  <c r="BZ125" i="16"/>
  <c r="BY125" i="16"/>
  <c r="BX125" i="16"/>
  <c r="BU125" i="16"/>
  <c r="BT125" i="16"/>
  <c r="BS125" i="16"/>
  <c r="BP125" i="16"/>
  <c r="BO125" i="16"/>
  <c r="BN125" i="16"/>
  <c r="BK125" i="16"/>
  <c r="BJ125" i="16"/>
  <c r="BI125" i="16"/>
  <c r="BF125" i="16"/>
  <c r="BE125" i="16"/>
  <c r="BD125" i="16"/>
  <c r="BB125" i="16" a="1"/>
  <c r="BB125" i="16" s="1"/>
  <c r="BA125" i="16"/>
  <c r="AZ125" i="16"/>
  <c r="AY125" i="16"/>
  <c r="AI125" i="16"/>
  <c r="AH125" i="16"/>
  <c r="AG125" i="16"/>
  <c r="AF125" i="16"/>
  <c r="AE125" i="16"/>
  <c r="AD125" i="16"/>
  <c r="N125" i="16"/>
  <c r="L125" i="16"/>
  <c r="K125" i="16"/>
  <c r="J125" i="16"/>
  <c r="I125" i="16"/>
  <c r="BA124" i="16"/>
  <c r="AZ124" i="16"/>
  <c r="AY124" i="16"/>
  <c r="AI124" i="16"/>
  <c r="AH124" i="16"/>
  <c r="AG124" i="16"/>
  <c r="AF124" i="16"/>
  <c r="AE124" i="16"/>
  <c r="AD124" i="16"/>
  <c r="N124" i="16"/>
  <c r="L124" i="16"/>
  <c r="K124" i="16"/>
  <c r="J124" i="16"/>
  <c r="I124" i="16"/>
  <c r="BA123" i="16"/>
  <c r="AZ123" i="16"/>
  <c r="AY123" i="16"/>
  <c r="AI123" i="16"/>
  <c r="AH123" i="16"/>
  <c r="AG123" i="16"/>
  <c r="AF123" i="16"/>
  <c r="AE123" i="16"/>
  <c r="AD123" i="16"/>
  <c r="N123" i="16"/>
  <c r="L123" i="16"/>
  <c r="K123" i="16"/>
  <c r="J123" i="16"/>
  <c r="I123" i="16"/>
  <c r="BA122" i="16"/>
  <c r="AZ122" i="16"/>
  <c r="AY122" i="16"/>
  <c r="AI122" i="16"/>
  <c r="AH122" i="16"/>
  <c r="AG122" i="16"/>
  <c r="AF122" i="16"/>
  <c r="AE122" i="16"/>
  <c r="AD122" i="16"/>
  <c r="N122" i="16"/>
  <c r="L122" i="16"/>
  <c r="K122" i="16"/>
  <c r="J122" i="16"/>
  <c r="I122" i="16"/>
  <c r="BA121" i="16"/>
  <c r="AZ121" i="16"/>
  <c r="AY121" i="16"/>
  <c r="AI121" i="16"/>
  <c r="AH121" i="16"/>
  <c r="AG121" i="16"/>
  <c r="AF121" i="16"/>
  <c r="AE121" i="16"/>
  <c r="AD121" i="16"/>
  <c r="N121" i="16"/>
  <c r="L121" i="16"/>
  <c r="K121" i="16"/>
  <c r="J121" i="16"/>
  <c r="I121" i="16"/>
  <c r="BA120" i="16"/>
  <c r="AZ120" i="16"/>
  <c r="AY120" i="16"/>
  <c r="AI120" i="16"/>
  <c r="AH120" i="16"/>
  <c r="AG120" i="16"/>
  <c r="AF120" i="16"/>
  <c r="AE120" i="16"/>
  <c r="AD120" i="16"/>
  <c r="N120" i="16"/>
  <c r="L120" i="16"/>
  <c r="K120" i="16"/>
  <c r="J120" i="16"/>
  <c r="I120" i="16"/>
  <c r="CE119" i="16"/>
  <c r="CD119" i="16"/>
  <c r="CC119" i="16"/>
  <c r="BZ119" i="16"/>
  <c r="BY119" i="16"/>
  <c r="BX119" i="16"/>
  <c r="BU119" i="16"/>
  <c r="BT119" i="16"/>
  <c r="BS119" i="16"/>
  <c r="BP119" i="16"/>
  <c r="BO119" i="16"/>
  <c r="BN119" i="16"/>
  <c r="BK119" i="16"/>
  <c r="BJ119" i="16"/>
  <c r="BI119" i="16"/>
  <c r="BF119" i="16"/>
  <c r="BE119" i="16"/>
  <c r="BD119" i="16"/>
  <c r="BB119" i="16" a="1"/>
  <c r="BB119" i="16" s="1"/>
  <c r="BA119" i="16"/>
  <c r="AZ119" i="16"/>
  <c r="AY119" i="16"/>
  <c r="AI119" i="16"/>
  <c r="AH119" i="16"/>
  <c r="AG119" i="16"/>
  <c r="AF119" i="16"/>
  <c r="AE119" i="16"/>
  <c r="AD119" i="16"/>
  <c r="N119" i="16"/>
  <c r="L119" i="16"/>
  <c r="K119" i="16"/>
  <c r="J119" i="16"/>
  <c r="I119" i="16"/>
  <c r="BA118" i="16"/>
  <c r="AZ118" i="16"/>
  <c r="AY118" i="16"/>
  <c r="AI118" i="16"/>
  <c r="AH118" i="16"/>
  <c r="AG118" i="16"/>
  <c r="AF118" i="16"/>
  <c r="AE118" i="16"/>
  <c r="AD118" i="16"/>
  <c r="N118" i="16"/>
  <c r="L118" i="16"/>
  <c r="K118" i="16"/>
  <c r="J118" i="16"/>
  <c r="I118" i="16"/>
  <c r="BA117" i="16"/>
  <c r="AZ117" i="16"/>
  <c r="AY117" i="16"/>
  <c r="AI117" i="16"/>
  <c r="AH117" i="16"/>
  <c r="AG117" i="16"/>
  <c r="AF117" i="16"/>
  <c r="AE117" i="16"/>
  <c r="AD117" i="16"/>
  <c r="N117" i="16"/>
  <c r="L117" i="16"/>
  <c r="K117" i="16"/>
  <c r="J117" i="16"/>
  <c r="I117" i="16"/>
  <c r="BA116" i="16"/>
  <c r="AZ116" i="16"/>
  <c r="AY116" i="16"/>
  <c r="AI116" i="16"/>
  <c r="AH116" i="16"/>
  <c r="AG116" i="16"/>
  <c r="AF116" i="16"/>
  <c r="AE116" i="16"/>
  <c r="AD116" i="16"/>
  <c r="N116" i="16"/>
  <c r="L116" i="16"/>
  <c r="K116" i="16"/>
  <c r="J116" i="16"/>
  <c r="I116" i="16"/>
  <c r="BA115" i="16"/>
  <c r="AZ115" i="16"/>
  <c r="AY115" i="16"/>
  <c r="AI115" i="16"/>
  <c r="AH115" i="16"/>
  <c r="AG115" i="16"/>
  <c r="AF115" i="16"/>
  <c r="AE115" i="16"/>
  <c r="AD115" i="16"/>
  <c r="N115" i="16"/>
  <c r="L115" i="16"/>
  <c r="K115" i="16"/>
  <c r="J115" i="16"/>
  <c r="I115" i="16"/>
  <c r="BA114" i="16"/>
  <c r="AZ114" i="16"/>
  <c r="AY114" i="16"/>
  <c r="AI114" i="16"/>
  <c r="AH114" i="16"/>
  <c r="AG114" i="16"/>
  <c r="AF114" i="16"/>
  <c r="AE114" i="16"/>
  <c r="AD114" i="16"/>
  <c r="N114" i="16"/>
  <c r="L114" i="16"/>
  <c r="K114" i="16"/>
  <c r="J114" i="16"/>
  <c r="I114" i="16"/>
  <c r="CE113" i="16"/>
  <c r="CD113" i="16"/>
  <c r="CD140" i="16" s="1"/>
  <c r="CC113" i="16"/>
  <c r="BZ113" i="16"/>
  <c r="BZ140" i="16" s="1"/>
  <c r="BY113" i="16"/>
  <c r="BX113" i="16"/>
  <c r="BU113" i="16"/>
  <c r="BT113" i="16"/>
  <c r="BS113" i="16"/>
  <c r="BP113" i="16"/>
  <c r="BO113" i="16"/>
  <c r="BO140" i="16" s="1"/>
  <c r="BN113" i="16"/>
  <c r="BN140" i="16" s="1"/>
  <c r="BK113" i="16"/>
  <c r="BJ113" i="16"/>
  <c r="BI113" i="16"/>
  <c r="BF113" i="16"/>
  <c r="BE113" i="16"/>
  <c r="BD113" i="16"/>
  <c r="BD140" i="16" s="1"/>
  <c r="BB113" i="16" a="1"/>
  <c r="BB113" i="16" s="1"/>
  <c r="BB140" i="16" s="1"/>
  <c r="BA113" i="16"/>
  <c r="BA140" i="16" s="1"/>
  <c r="AZ113" i="16"/>
  <c r="AZ140" i="16" s="1"/>
  <c r="AY113" i="16"/>
  <c r="AY140" i="16" s="1"/>
  <c r="AI113" i="16"/>
  <c r="AH113" i="16"/>
  <c r="AG113" i="16"/>
  <c r="AF113" i="16"/>
  <c r="AE113" i="16"/>
  <c r="AD113" i="16"/>
  <c r="N113" i="16"/>
  <c r="L113" i="16"/>
  <c r="K113" i="16"/>
  <c r="J113" i="16"/>
  <c r="I113" i="16"/>
  <c r="BA112" i="16"/>
  <c r="AZ112" i="16"/>
  <c r="AY112" i="16"/>
  <c r="AI112" i="16"/>
  <c r="AH112" i="16"/>
  <c r="AG112" i="16"/>
  <c r="AF112" i="16"/>
  <c r="AE112" i="16"/>
  <c r="AD112" i="16"/>
  <c r="N112" i="16"/>
  <c r="M112" i="16"/>
  <c r="K112" i="16"/>
  <c r="J112" i="16"/>
  <c r="I112" i="16"/>
  <c r="BA111" i="16"/>
  <c r="AZ111" i="16"/>
  <c r="AY111" i="16"/>
  <c r="AI111" i="16"/>
  <c r="AH111" i="16"/>
  <c r="AG111" i="16"/>
  <c r="AF111" i="16"/>
  <c r="AE111" i="16"/>
  <c r="AD111" i="16"/>
  <c r="N111" i="16"/>
  <c r="M111" i="16"/>
  <c r="K111" i="16"/>
  <c r="J111" i="16"/>
  <c r="I111" i="16"/>
  <c r="BA110" i="16"/>
  <c r="AZ110" i="16"/>
  <c r="AY110" i="16"/>
  <c r="AI110" i="16"/>
  <c r="AH110" i="16"/>
  <c r="AG110" i="16"/>
  <c r="AF110" i="16"/>
  <c r="AE110" i="16"/>
  <c r="AD110" i="16"/>
  <c r="N110" i="16"/>
  <c r="M110" i="16"/>
  <c r="K110" i="16"/>
  <c r="J110" i="16"/>
  <c r="I110" i="16"/>
  <c r="BA109" i="16"/>
  <c r="AZ109" i="16"/>
  <c r="AY109" i="16"/>
  <c r="AI109" i="16"/>
  <c r="AH109" i="16"/>
  <c r="AG109" i="16"/>
  <c r="AF109" i="16"/>
  <c r="AE109" i="16"/>
  <c r="AD109" i="16"/>
  <c r="N109" i="16"/>
  <c r="M109" i="16"/>
  <c r="K109" i="16"/>
  <c r="J109" i="16"/>
  <c r="I109" i="16"/>
  <c r="BA108" i="16"/>
  <c r="AZ108" i="16"/>
  <c r="AY108" i="16"/>
  <c r="AI108" i="16"/>
  <c r="AH108" i="16"/>
  <c r="AG108" i="16"/>
  <c r="AF108" i="16"/>
  <c r="AE108" i="16"/>
  <c r="AD108" i="16"/>
  <c r="N108" i="16"/>
  <c r="M108" i="16"/>
  <c r="K108" i="16"/>
  <c r="J108" i="16"/>
  <c r="I108" i="16"/>
  <c r="CF107" i="16"/>
  <c r="CA107" i="16"/>
  <c r="BV107" i="16"/>
  <c r="BQ107" i="16"/>
  <c r="BL107" i="16"/>
  <c r="BG107" i="16"/>
  <c r="BB107" i="16" a="1"/>
  <c r="BB107" i="16" s="1"/>
  <c r="BA107" i="16"/>
  <c r="AZ107" i="16"/>
  <c r="AY107" i="16"/>
  <c r="AI107" i="16"/>
  <c r="AH107" i="16"/>
  <c r="AG107" i="16"/>
  <c r="AF107" i="16"/>
  <c r="AE107" i="16"/>
  <c r="AD107" i="16"/>
  <c r="N107" i="16"/>
  <c r="M107" i="16"/>
  <c r="K107" i="16"/>
  <c r="J107" i="16"/>
  <c r="I107" i="16"/>
  <c r="BA106" i="16"/>
  <c r="AZ106" i="16"/>
  <c r="AY106" i="16"/>
  <c r="AI106" i="16"/>
  <c r="AH106" i="16"/>
  <c r="AG106" i="16"/>
  <c r="AF106" i="16"/>
  <c r="AE106" i="16"/>
  <c r="AD106" i="16"/>
  <c r="N106" i="16"/>
  <c r="M106" i="16"/>
  <c r="K106" i="16"/>
  <c r="J106" i="16"/>
  <c r="I106" i="16"/>
  <c r="BA105" i="16"/>
  <c r="AZ105" i="16"/>
  <c r="AY105" i="16"/>
  <c r="AI105" i="16"/>
  <c r="AH105" i="16"/>
  <c r="AG105" i="16"/>
  <c r="AF105" i="16"/>
  <c r="AE105" i="16"/>
  <c r="AD105" i="16"/>
  <c r="N105" i="16"/>
  <c r="M105" i="16"/>
  <c r="K105" i="16"/>
  <c r="J105" i="16"/>
  <c r="I105" i="16"/>
  <c r="BA104" i="16"/>
  <c r="AZ104" i="16"/>
  <c r="AY104" i="16"/>
  <c r="AI104" i="16"/>
  <c r="AH104" i="16"/>
  <c r="AG104" i="16"/>
  <c r="AF104" i="16"/>
  <c r="AE104" i="16"/>
  <c r="AD104" i="16"/>
  <c r="N104" i="16"/>
  <c r="M104" i="16"/>
  <c r="K104" i="16"/>
  <c r="J104" i="16"/>
  <c r="I104" i="16"/>
  <c r="BA103" i="16"/>
  <c r="AZ103" i="16"/>
  <c r="AY103" i="16"/>
  <c r="AI103" i="16"/>
  <c r="AH103" i="16"/>
  <c r="AG103" i="16"/>
  <c r="AF103" i="16"/>
  <c r="AE103" i="16"/>
  <c r="AD103" i="16"/>
  <c r="N103" i="16"/>
  <c r="M103" i="16"/>
  <c r="K103" i="16"/>
  <c r="J103" i="16"/>
  <c r="I103" i="16"/>
  <c r="BA102" i="16"/>
  <c r="AZ102" i="16"/>
  <c r="AY102" i="16"/>
  <c r="AI102" i="16"/>
  <c r="AH102" i="16"/>
  <c r="AG102" i="16"/>
  <c r="AF102" i="16"/>
  <c r="AE102" i="16"/>
  <c r="AD102" i="16"/>
  <c r="N102" i="16"/>
  <c r="M102" i="16"/>
  <c r="K102" i="16"/>
  <c r="J102" i="16"/>
  <c r="I102" i="16"/>
  <c r="CF101" i="16"/>
  <c r="CA101" i="16"/>
  <c r="BV101" i="16"/>
  <c r="BQ101" i="16"/>
  <c r="BL101" i="16"/>
  <c r="BG101" i="16"/>
  <c r="BB101" i="16" a="1"/>
  <c r="BB101" i="16" s="1"/>
  <c r="BA101" i="16"/>
  <c r="AZ101" i="16"/>
  <c r="AY101" i="16"/>
  <c r="AI101" i="16"/>
  <c r="AH101" i="16"/>
  <c r="AG101" i="16"/>
  <c r="AF101" i="16"/>
  <c r="AE101" i="16"/>
  <c r="AD101" i="16"/>
  <c r="N101" i="16"/>
  <c r="M101" i="16"/>
  <c r="K101" i="16"/>
  <c r="J101" i="16"/>
  <c r="I101" i="16"/>
  <c r="BA100" i="16"/>
  <c r="AZ100" i="16"/>
  <c r="AY100" i="16"/>
  <c r="AI100" i="16"/>
  <c r="AH100" i="16"/>
  <c r="AG100" i="16"/>
  <c r="AF100" i="16"/>
  <c r="AE100" i="16"/>
  <c r="AD100" i="16"/>
  <c r="N100" i="16"/>
  <c r="J100" i="16"/>
  <c r="I100" i="16"/>
  <c r="F100" i="16"/>
  <c r="D100" i="16"/>
  <c r="K100" i="16" s="1"/>
  <c r="BA99" i="16"/>
  <c r="AZ99" i="16"/>
  <c r="AY99" i="16"/>
  <c r="AI99" i="16"/>
  <c r="AH99" i="16"/>
  <c r="AG99" i="16"/>
  <c r="AF99" i="16"/>
  <c r="AE99" i="16"/>
  <c r="AD99" i="16"/>
  <c r="N99" i="16"/>
  <c r="F99" i="16"/>
  <c r="I99" i="16" s="1"/>
  <c r="D99" i="16"/>
  <c r="K99" i="16" s="1"/>
  <c r="BA98" i="16"/>
  <c r="AZ98" i="16"/>
  <c r="AY98" i="16"/>
  <c r="AI98" i="16"/>
  <c r="AH98" i="16"/>
  <c r="AG98" i="16"/>
  <c r="AF98" i="16"/>
  <c r="AE98" i="16"/>
  <c r="AD98" i="16"/>
  <c r="N98" i="16"/>
  <c r="F98" i="16"/>
  <c r="I98" i="16" s="1"/>
  <c r="D98" i="16"/>
  <c r="K98" i="16" s="1"/>
  <c r="BA97" i="16"/>
  <c r="AZ97" i="16"/>
  <c r="AY97" i="16"/>
  <c r="AI97" i="16"/>
  <c r="AH97" i="16"/>
  <c r="AG97" i="16"/>
  <c r="AF97" i="16"/>
  <c r="AE97" i="16"/>
  <c r="AD97" i="16"/>
  <c r="N97" i="16"/>
  <c r="J97" i="16"/>
  <c r="F97" i="16"/>
  <c r="I97" i="16" s="1"/>
  <c r="D97" i="16"/>
  <c r="K97" i="16" s="1"/>
  <c r="BA96" i="16"/>
  <c r="AZ96" i="16"/>
  <c r="AY96" i="16"/>
  <c r="AI96" i="16"/>
  <c r="AH96" i="16"/>
  <c r="AG96" i="16"/>
  <c r="AF96" i="16"/>
  <c r="AE96" i="16"/>
  <c r="AD96" i="16"/>
  <c r="N96" i="16"/>
  <c r="F96" i="16"/>
  <c r="I96" i="16" s="1"/>
  <c r="D96" i="16"/>
  <c r="K96" i="16" s="1"/>
  <c r="CF95" i="16"/>
  <c r="CA95" i="16"/>
  <c r="BV95" i="16"/>
  <c r="BQ95" i="16"/>
  <c r="BL95" i="16"/>
  <c r="BG95" i="16"/>
  <c r="BB95" i="16" a="1"/>
  <c r="BB95" i="16" s="1"/>
  <c r="BA95" i="16"/>
  <c r="AZ95" i="16"/>
  <c r="AY95" i="16"/>
  <c r="AI95" i="16"/>
  <c r="AH95" i="16"/>
  <c r="AG95" i="16"/>
  <c r="AF95" i="16"/>
  <c r="AE95" i="16"/>
  <c r="AD95" i="16"/>
  <c r="N95" i="16"/>
  <c r="M95" i="16"/>
  <c r="F95" i="16"/>
  <c r="I95" i="16" s="1"/>
  <c r="D95" i="16"/>
  <c r="K95" i="16" s="1"/>
  <c r="BA94" i="16"/>
  <c r="AZ94" i="16"/>
  <c r="AY94" i="16"/>
  <c r="AI94" i="16"/>
  <c r="AH94" i="16"/>
  <c r="AG94" i="16"/>
  <c r="AF94" i="16"/>
  <c r="AE94" i="16"/>
  <c r="AD94" i="16"/>
  <c r="N94" i="16"/>
  <c r="M94" i="16"/>
  <c r="F94" i="16"/>
  <c r="I94" i="16" s="1"/>
  <c r="D94" i="16"/>
  <c r="K94" i="16" s="1"/>
  <c r="BA93" i="16"/>
  <c r="AZ93" i="16"/>
  <c r="AY93" i="16"/>
  <c r="AI93" i="16"/>
  <c r="AH93" i="16"/>
  <c r="AG93" i="16"/>
  <c r="AF93" i="16"/>
  <c r="AE93" i="16"/>
  <c r="AD93" i="16"/>
  <c r="N93" i="16"/>
  <c r="F93" i="16"/>
  <c r="I93" i="16" s="1"/>
  <c r="D93" i="16"/>
  <c r="K93" i="16" s="1"/>
  <c r="BA92" i="16"/>
  <c r="AZ92" i="16"/>
  <c r="AY92" i="16"/>
  <c r="AI92" i="16"/>
  <c r="AH92" i="16"/>
  <c r="AG92" i="16"/>
  <c r="AF92" i="16"/>
  <c r="AE92" i="16"/>
  <c r="AD92" i="16"/>
  <c r="N92" i="16"/>
  <c r="F92" i="16"/>
  <c r="I92" i="16" s="1"/>
  <c r="D92" i="16"/>
  <c r="K92" i="16" s="1"/>
  <c r="BA91" i="16"/>
  <c r="AZ91" i="16"/>
  <c r="AY91" i="16"/>
  <c r="AI91" i="16"/>
  <c r="AH91" i="16"/>
  <c r="AG91" i="16"/>
  <c r="AF91" i="16"/>
  <c r="AE91" i="16"/>
  <c r="AD91" i="16"/>
  <c r="N91" i="16"/>
  <c r="M91" i="16"/>
  <c r="J91" i="16"/>
  <c r="F91" i="16"/>
  <c r="I91" i="16" s="1"/>
  <c r="D91" i="16"/>
  <c r="K91" i="16" s="1"/>
  <c r="BA90" i="16"/>
  <c r="AZ90" i="16"/>
  <c r="AY90" i="16"/>
  <c r="AI90" i="16"/>
  <c r="AH90" i="16"/>
  <c r="AG90" i="16"/>
  <c r="AF90" i="16"/>
  <c r="AE90" i="16"/>
  <c r="AD90" i="16"/>
  <c r="N90" i="16"/>
  <c r="F90" i="16"/>
  <c r="I90" i="16" s="1"/>
  <c r="D90" i="16"/>
  <c r="K90" i="16" s="1"/>
  <c r="CF89" i="16"/>
  <c r="CA89" i="16"/>
  <c r="BV89" i="16"/>
  <c r="BQ89" i="16"/>
  <c r="BL89" i="16"/>
  <c r="BG89" i="16"/>
  <c r="BB89" i="16" a="1"/>
  <c r="BB89" i="16" s="1"/>
  <c r="BA89" i="16"/>
  <c r="AZ89" i="16"/>
  <c r="AY89" i="16"/>
  <c r="AI89" i="16"/>
  <c r="AH89" i="16"/>
  <c r="AG89" i="16"/>
  <c r="AF89" i="16"/>
  <c r="AE89" i="16"/>
  <c r="AD89" i="16"/>
  <c r="N89" i="16"/>
  <c r="M89" i="16"/>
  <c r="J89" i="16"/>
  <c r="F89" i="16"/>
  <c r="I89" i="16" s="1"/>
  <c r="D89" i="16"/>
  <c r="K89" i="16" s="1"/>
  <c r="BA88" i="16"/>
  <c r="AZ88" i="16"/>
  <c r="AY88" i="16"/>
  <c r="AI88" i="16"/>
  <c r="AH88" i="16"/>
  <c r="AG88" i="16"/>
  <c r="AF88" i="16"/>
  <c r="AE88" i="16"/>
  <c r="AD88" i="16"/>
  <c r="N88" i="16"/>
  <c r="M88" i="16"/>
  <c r="J88" i="16"/>
  <c r="I88" i="16"/>
  <c r="F88" i="16"/>
  <c r="D88" i="16"/>
  <c r="K88" i="16" s="1"/>
  <c r="BA87" i="16"/>
  <c r="AZ87" i="16"/>
  <c r="AY87" i="16"/>
  <c r="AI87" i="16"/>
  <c r="AH87" i="16"/>
  <c r="AG87" i="16"/>
  <c r="AF87" i="16"/>
  <c r="AE87" i="16"/>
  <c r="AD87" i="16"/>
  <c r="N87" i="16"/>
  <c r="M87" i="16"/>
  <c r="F87" i="16"/>
  <c r="I87" i="16" s="1"/>
  <c r="D87" i="16"/>
  <c r="K87" i="16" s="1"/>
  <c r="BA86" i="16"/>
  <c r="AZ86" i="16"/>
  <c r="AY86" i="16"/>
  <c r="AI86" i="16"/>
  <c r="AH86" i="16"/>
  <c r="AG86" i="16"/>
  <c r="AF86" i="16"/>
  <c r="AE86" i="16"/>
  <c r="AD86" i="16"/>
  <c r="N86" i="16"/>
  <c r="F86" i="16"/>
  <c r="I86" i="16" s="1"/>
  <c r="D86" i="16"/>
  <c r="K86" i="16" s="1"/>
  <c r="BA85" i="16"/>
  <c r="AZ85" i="16"/>
  <c r="AY85" i="16"/>
  <c r="AI85" i="16"/>
  <c r="AH85" i="16"/>
  <c r="AG85" i="16"/>
  <c r="AF85" i="16"/>
  <c r="AE85" i="16"/>
  <c r="AD85" i="16"/>
  <c r="N85" i="16"/>
  <c r="M85" i="16"/>
  <c r="J85" i="16"/>
  <c r="F85" i="16"/>
  <c r="I85" i="16" s="1"/>
  <c r="D85" i="16"/>
  <c r="K85" i="16" s="1"/>
  <c r="BA84" i="16"/>
  <c r="AZ84" i="16"/>
  <c r="AY84" i="16"/>
  <c r="AI84" i="16"/>
  <c r="AH84" i="16"/>
  <c r="AG84" i="16"/>
  <c r="AF84" i="16"/>
  <c r="AE84" i="16"/>
  <c r="AD84" i="16"/>
  <c r="N84" i="16"/>
  <c r="M84" i="16"/>
  <c r="J84" i="16"/>
  <c r="I84" i="16"/>
  <c r="F84" i="16"/>
  <c r="D84" i="16"/>
  <c r="K84" i="16" s="1"/>
  <c r="CF83" i="16"/>
  <c r="CA83" i="16"/>
  <c r="BV83" i="16"/>
  <c r="BQ83" i="16"/>
  <c r="BL83" i="16"/>
  <c r="BL139" i="16" s="1"/>
  <c r="BG83" i="16"/>
  <c r="BG139" i="16" s="1"/>
  <c r="BB83" i="16" a="1"/>
  <c r="BB83" i="16" s="1"/>
  <c r="BB139" i="16" s="1"/>
  <c r="BA83" i="16"/>
  <c r="BA139" i="16" s="1"/>
  <c r="AZ83" i="16"/>
  <c r="AZ139" i="16" s="1"/>
  <c r="AY83" i="16"/>
  <c r="AY139" i="16" s="1"/>
  <c r="AI83" i="16"/>
  <c r="AH83" i="16"/>
  <c r="AG83" i="16"/>
  <c r="AF83" i="16"/>
  <c r="AE83" i="16"/>
  <c r="AD83" i="16"/>
  <c r="N83" i="16"/>
  <c r="F83" i="16"/>
  <c r="I83" i="16" s="1"/>
  <c r="D83" i="16"/>
  <c r="M83" i="16" s="1"/>
  <c r="BA82" i="16"/>
  <c r="AZ82" i="16"/>
  <c r="AY82" i="16"/>
  <c r="AI82" i="16"/>
  <c r="AH82" i="16"/>
  <c r="AG82" i="16"/>
  <c r="AF82" i="16"/>
  <c r="AE82" i="16"/>
  <c r="AD82" i="16"/>
  <c r="N82" i="16"/>
  <c r="L82" i="16"/>
  <c r="K82" i="16"/>
  <c r="J82" i="16"/>
  <c r="I82" i="16"/>
  <c r="BA81" i="16"/>
  <c r="AZ81" i="16"/>
  <c r="AY81" i="16"/>
  <c r="AI81" i="16"/>
  <c r="AH81" i="16"/>
  <c r="AG81" i="16"/>
  <c r="AF81" i="16"/>
  <c r="AE81" i="16"/>
  <c r="AD81" i="16"/>
  <c r="N81" i="16"/>
  <c r="L81" i="16"/>
  <c r="K81" i="16"/>
  <c r="J81" i="16"/>
  <c r="I81" i="16"/>
  <c r="BA80" i="16"/>
  <c r="AZ80" i="16"/>
  <c r="AY80" i="16"/>
  <c r="AI80" i="16"/>
  <c r="AH80" i="16"/>
  <c r="AG80" i="16"/>
  <c r="AF80" i="16"/>
  <c r="AE80" i="16"/>
  <c r="AD80" i="16"/>
  <c r="N80" i="16"/>
  <c r="L80" i="16"/>
  <c r="K80" i="16"/>
  <c r="J80" i="16"/>
  <c r="I80" i="16"/>
  <c r="BA79" i="16"/>
  <c r="AZ79" i="16"/>
  <c r="AY79" i="16"/>
  <c r="AI79" i="16"/>
  <c r="AH79" i="16"/>
  <c r="AG79" i="16"/>
  <c r="AF79" i="16"/>
  <c r="AE79" i="16"/>
  <c r="AD79" i="16"/>
  <c r="N79" i="16"/>
  <c r="L79" i="16"/>
  <c r="K79" i="16"/>
  <c r="J79" i="16"/>
  <c r="I79" i="16"/>
  <c r="BA78" i="16"/>
  <c r="AZ78" i="16"/>
  <c r="AY78" i="16"/>
  <c r="AI78" i="16"/>
  <c r="AH78" i="16"/>
  <c r="AG78" i="16"/>
  <c r="AF78" i="16"/>
  <c r="AE78" i="16"/>
  <c r="AD78" i="16"/>
  <c r="N78" i="16"/>
  <c r="L78" i="16"/>
  <c r="K78" i="16"/>
  <c r="J78" i="16"/>
  <c r="I78" i="16"/>
  <c r="CE77" i="16"/>
  <c r="CD77" i="16"/>
  <c r="CC77" i="16"/>
  <c r="BZ77" i="16"/>
  <c r="BY77" i="16"/>
  <c r="BX77" i="16"/>
  <c r="BU77" i="16"/>
  <c r="BT77" i="16"/>
  <c r="BS77" i="16"/>
  <c r="BP77" i="16"/>
  <c r="BO77" i="16"/>
  <c r="BN77" i="16"/>
  <c r="BK77" i="16"/>
  <c r="BJ77" i="16"/>
  <c r="BI77" i="16"/>
  <c r="BF77" i="16"/>
  <c r="BE77" i="16"/>
  <c r="BD77" i="16"/>
  <c r="BB77" i="16" a="1"/>
  <c r="BB77" i="16" s="1"/>
  <c r="BA77" i="16"/>
  <c r="AZ77" i="16"/>
  <c r="AY77" i="16"/>
  <c r="AI77" i="16"/>
  <c r="AH77" i="16"/>
  <c r="AG77" i="16"/>
  <c r="AF77" i="16"/>
  <c r="AE77" i="16"/>
  <c r="AD77" i="16"/>
  <c r="N77" i="16"/>
  <c r="L77" i="16"/>
  <c r="K77" i="16"/>
  <c r="J77" i="16"/>
  <c r="I77" i="16"/>
  <c r="BA76" i="16"/>
  <c r="AZ76" i="16"/>
  <c r="AY76" i="16"/>
  <c r="AI76" i="16"/>
  <c r="AH76" i="16"/>
  <c r="AG76" i="16"/>
  <c r="AF76" i="16"/>
  <c r="AE76" i="16"/>
  <c r="AD76" i="16"/>
  <c r="N76" i="16"/>
  <c r="L76" i="16"/>
  <c r="K76" i="16"/>
  <c r="J76" i="16"/>
  <c r="I76" i="16"/>
  <c r="BA75" i="16"/>
  <c r="AZ75" i="16"/>
  <c r="AY75" i="16"/>
  <c r="AI75" i="16"/>
  <c r="AH75" i="16"/>
  <c r="AG75" i="16"/>
  <c r="AF75" i="16"/>
  <c r="AE75" i="16"/>
  <c r="AD75" i="16"/>
  <c r="N75" i="16"/>
  <c r="L75" i="16"/>
  <c r="K75" i="16"/>
  <c r="J75" i="16"/>
  <c r="I75" i="16"/>
  <c r="BA74" i="16"/>
  <c r="AZ74" i="16"/>
  <c r="AY74" i="16"/>
  <c r="AI74" i="16"/>
  <c r="AH74" i="16"/>
  <c r="AG74" i="16"/>
  <c r="AF74" i="16"/>
  <c r="AE74" i="16"/>
  <c r="AD74" i="16"/>
  <c r="N74" i="16"/>
  <c r="L74" i="16"/>
  <c r="K74" i="16"/>
  <c r="J74" i="16"/>
  <c r="I74" i="16"/>
  <c r="BA73" i="16"/>
  <c r="AZ73" i="16"/>
  <c r="AY73" i="16"/>
  <c r="AI73" i="16"/>
  <c r="AH73" i="16"/>
  <c r="AG73" i="16"/>
  <c r="AF73" i="16"/>
  <c r="AE73" i="16"/>
  <c r="AD73" i="16"/>
  <c r="N73" i="16"/>
  <c r="L73" i="16"/>
  <c r="K73" i="16"/>
  <c r="J73" i="16"/>
  <c r="I73" i="16"/>
  <c r="BA72" i="16"/>
  <c r="AZ72" i="16"/>
  <c r="AY72" i="16"/>
  <c r="AI72" i="16"/>
  <c r="AH72" i="16"/>
  <c r="AG72" i="16"/>
  <c r="AF72" i="16"/>
  <c r="AE72" i="16"/>
  <c r="AD72" i="16"/>
  <c r="N72" i="16"/>
  <c r="L72" i="16"/>
  <c r="K72" i="16"/>
  <c r="J72" i="16"/>
  <c r="I72" i="16"/>
  <c r="CE71" i="16"/>
  <c r="CD71" i="16"/>
  <c r="CC71" i="16"/>
  <c r="BZ71" i="16"/>
  <c r="BY71" i="16"/>
  <c r="BX71" i="16"/>
  <c r="BU71" i="16"/>
  <c r="BT71" i="16"/>
  <c r="BS71" i="16"/>
  <c r="BP71" i="16"/>
  <c r="BO71" i="16"/>
  <c r="BN71" i="16"/>
  <c r="BK71" i="16"/>
  <c r="BJ71" i="16"/>
  <c r="BI71" i="16"/>
  <c r="BF71" i="16"/>
  <c r="BE71" i="16"/>
  <c r="BD71" i="16"/>
  <c r="BB71" i="16" a="1"/>
  <c r="BB71" i="16" s="1"/>
  <c r="BA71" i="16"/>
  <c r="AZ71" i="16"/>
  <c r="AY71" i="16"/>
  <c r="AI71" i="16"/>
  <c r="AH71" i="16"/>
  <c r="AG71" i="16"/>
  <c r="AF71" i="16"/>
  <c r="AE71" i="16"/>
  <c r="AD71" i="16"/>
  <c r="N71" i="16"/>
  <c r="L71" i="16"/>
  <c r="K71" i="16"/>
  <c r="J71" i="16"/>
  <c r="I71" i="16"/>
  <c r="BA70" i="16"/>
  <c r="AZ70" i="16"/>
  <c r="AY70" i="16"/>
  <c r="AI70" i="16"/>
  <c r="AH70" i="16"/>
  <c r="AG70" i="16"/>
  <c r="AF70" i="16"/>
  <c r="AE70" i="16"/>
  <c r="AD70" i="16"/>
  <c r="N70" i="16"/>
  <c r="L70" i="16"/>
  <c r="K70" i="16"/>
  <c r="J70" i="16"/>
  <c r="I70" i="16"/>
  <c r="BA69" i="16"/>
  <c r="AZ69" i="16"/>
  <c r="AY69" i="16"/>
  <c r="AI69" i="16"/>
  <c r="AH69" i="16"/>
  <c r="AG69" i="16"/>
  <c r="AF69" i="16"/>
  <c r="AE69" i="16"/>
  <c r="AD69" i="16"/>
  <c r="N69" i="16"/>
  <c r="L69" i="16"/>
  <c r="K69" i="16"/>
  <c r="J69" i="16"/>
  <c r="I69" i="16"/>
  <c r="BA68" i="16"/>
  <c r="AZ68" i="16"/>
  <c r="AY68" i="16"/>
  <c r="AI68" i="16"/>
  <c r="AH68" i="16"/>
  <c r="AG68" i="16"/>
  <c r="AF68" i="16"/>
  <c r="AE68" i="16"/>
  <c r="AD68" i="16"/>
  <c r="N68" i="16"/>
  <c r="L68" i="16"/>
  <c r="K68" i="16"/>
  <c r="J68" i="16"/>
  <c r="I68" i="16"/>
  <c r="BA67" i="16"/>
  <c r="AZ67" i="16"/>
  <c r="AY67" i="16"/>
  <c r="AI67" i="16"/>
  <c r="AH67" i="16"/>
  <c r="AG67" i="16"/>
  <c r="AF67" i="16"/>
  <c r="AE67" i="16"/>
  <c r="AD67" i="16"/>
  <c r="N67" i="16"/>
  <c r="L67" i="16"/>
  <c r="K67" i="16"/>
  <c r="J67" i="16"/>
  <c r="I67" i="16"/>
  <c r="BA66" i="16"/>
  <c r="AZ66" i="16"/>
  <c r="AY66" i="16"/>
  <c r="AI66" i="16"/>
  <c r="AH66" i="16"/>
  <c r="AG66" i="16"/>
  <c r="AF66" i="16"/>
  <c r="AE66" i="16"/>
  <c r="AD66" i="16"/>
  <c r="N66" i="16"/>
  <c r="L66" i="16"/>
  <c r="K66" i="16"/>
  <c r="J66" i="16"/>
  <c r="I66" i="16"/>
  <c r="CE65" i="16"/>
  <c r="CD65" i="16"/>
  <c r="CC65" i="16"/>
  <c r="BZ65" i="16"/>
  <c r="BY65" i="16"/>
  <c r="BX65" i="16"/>
  <c r="BU65" i="16"/>
  <c r="BT65" i="16"/>
  <c r="BS65" i="16"/>
  <c r="BP65" i="16"/>
  <c r="BO65" i="16"/>
  <c r="BN65" i="16"/>
  <c r="BK65" i="16"/>
  <c r="BJ65" i="16"/>
  <c r="BI65" i="16"/>
  <c r="BF65" i="16"/>
  <c r="BE65" i="16"/>
  <c r="BD65" i="16"/>
  <c r="BB65" i="16" a="1"/>
  <c r="BB65" i="16" s="1"/>
  <c r="BA65" i="16"/>
  <c r="AZ65" i="16"/>
  <c r="AY65" i="16"/>
  <c r="AI65" i="16"/>
  <c r="AH65" i="16"/>
  <c r="AG65" i="16"/>
  <c r="AF65" i="16"/>
  <c r="AE65" i="16"/>
  <c r="AD65" i="16"/>
  <c r="N65" i="16"/>
  <c r="L65" i="16"/>
  <c r="K65" i="16"/>
  <c r="J65" i="16"/>
  <c r="I65" i="16"/>
  <c r="BA64" i="16"/>
  <c r="AZ64" i="16"/>
  <c r="AY64" i="16"/>
  <c r="AI64" i="16"/>
  <c r="AH64" i="16"/>
  <c r="AG64" i="16"/>
  <c r="AF64" i="16"/>
  <c r="AE64" i="16"/>
  <c r="AD64" i="16"/>
  <c r="N64" i="16"/>
  <c r="L64" i="16"/>
  <c r="K64" i="16"/>
  <c r="J64" i="16"/>
  <c r="I64" i="16"/>
  <c r="BA63" i="16"/>
  <c r="AZ63" i="16"/>
  <c r="AY63" i="16"/>
  <c r="AI63" i="16"/>
  <c r="AH63" i="16"/>
  <c r="AG63" i="16"/>
  <c r="AF63" i="16"/>
  <c r="AE63" i="16"/>
  <c r="AD63" i="16"/>
  <c r="N63" i="16"/>
  <c r="L63" i="16"/>
  <c r="K63" i="16"/>
  <c r="J63" i="16"/>
  <c r="I63" i="16"/>
  <c r="BA62" i="16"/>
  <c r="AZ62" i="16"/>
  <c r="AY62" i="16"/>
  <c r="AI62" i="16"/>
  <c r="AH62" i="16"/>
  <c r="AG62" i="16"/>
  <c r="AF62" i="16"/>
  <c r="AE62" i="16"/>
  <c r="AD62" i="16"/>
  <c r="N62" i="16"/>
  <c r="L62" i="16"/>
  <c r="K62" i="16"/>
  <c r="J62" i="16"/>
  <c r="I62" i="16"/>
  <c r="BA61" i="16"/>
  <c r="AZ61" i="16"/>
  <c r="AY61" i="16"/>
  <c r="AI61" i="16"/>
  <c r="AH61" i="16"/>
  <c r="AG61" i="16"/>
  <c r="AF61" i="16"/>
  <c r="AE61" i="16"/>
  <c r="AD61" i="16"/>
  <c r="N61" i="16"/>
  <c r="L61" i="16"/>
  <c r="K61" i="16"/>
  <c r="J61" i="16"/>
  <c r="I61" i="16"/>
  <c r="BA60" i="16"/>
  <c r="AZ60" i="16"/>
  <c r="AY60" i="16"/>
  <c r="AI60" i="16"/>
  <c r="AH60" i="16"/>
  <c r="AG60" i="16"/>
  <c r="AF60" i="16"/>
  <c r="AE60" i="16"/>
  <c r="AD60" i="16"/>
  <c r="N60" i="16"/>
  <c r="L60" i="16"/>
  <c r="K60" i="16"/>
  <c r="J60" i="16"/>
  <c r="I60" i="16"/>
  <c r="CE59" i="16"/>
  <c r="CD59" i="16"/>
  <c r="CC59" i="16"/>
  <c r="BZ59" i="16"/>
  <c r="BY59" i="16"/>
  <c r="BX59" i="16"/>
  <c r="BU59" i="16"/>
  <c r="BT59" i="16"/>
  <c r="BS59" i="16"/>
  <c r="BP59" i="16"/>
  <c r="BO59" i="16"/>
  <c r="BN59" i="16"/>
  <c r="BK59" i="16"/>
  <c r="BJ59" i="16"/>
  <c r="BI59" i="16"/>
  <c r="BF59" i="16"/>
  <c r="BE59" i="16"/>
  <c r="BD59" i="16"/>
  <c r="BB59" i="16" a="1"/>
  <c r="BB59" i="16" s="1"/>
  <c r="BA59" i="16"/>
  <c r="AZ59" i="16"/>
  <c r="AY59" i="16"/>
  <c r="AI59" i="16"/>
  <c r="AH59" i="16"/>
  <c r="AG59" i="16"/>
  <c r="AF59" i="16"/>
  <c r="AE59" i="16"/>
  <c r="AD59" i="16"/>
  <c r="N59" i="16"/>
  <c r="L59" i="16"/>
  <c r="K59" i="16"/>
  <c r="J59" i="16"/>
  <c r="I59" i="16"/>
  <c r="BA58" i="16"/>
  <c r="AZ58" i="16"/>
  <c r="AY58" i="16"/>
  <c r="AI58" i="16"/>
  <c r="AH58" i="16"/>
  <c r="AG58" i="16"/>
  <c r="AF58" i="16"/>
  <c r="AE58" i="16"/>
  <c r="AD58" i="16"/>
  <c r="N58" i="16"/>
  <c r="L58" i="16"/>
  <c r="K58" i="16"/>
  <c r="J58" i="16"/>
  <c r="I58" i="16"/>
  <c r="BA57" i="16"/>
  <c r="AZ57" i="16"/>
  <c r="AY57" i="16"/>
  <c r="AI57" i="16"/>
  <c r="AH57" i="16"/>
  <c r="AG57" i="16"/>
  <c r="AF57" i="16"/>
  <c r="AE57" i="16"/>
  <c r="AD57" i="16"/>
  <c r="N57" i="16"/>
  <c r="L57" i="16"/>
  <c r="K57" i="16"/>
  <c r="J57" i="16"/>
  <c r="I57" i="16"/>
  <c r="BA56" i="16"/>
  <c r="AZ56" i="16"/>
  <c r="AY56" i="16"/>
  <c r="AI56" i="16"/>
  <c r="AH56" i="16"/>
  <c r="AG56" i="16"/>
  <c r="AF56" i="16"/>
  <c r="AE56" i="16"/>
  <c r="AD56" i="16"/>
  <c r="N56" i="16"/>
  <c r="L56" i="16"/>
  <c r="K56" i="16"/>
  <c r="J56" i="16"/>
  <c r="I56" i="16"/>
  <c r="BA55" i="16"/>
  <c r="AZ55" i="16"/>
  <c r="AY55" i="16"/>
  <c r="AI55" i="16"/>
  <c r="AH55" i="16"/>
  <c r="AG55" i="16"/>
  <c r="AF55" i="16"/>
  <c r="AE55" i="16"/>
  <c r="AD55" i="16"/>
  <c r="N55" i="16"/>
  <c r="L55" i="16"/>
  <c r="K55" i="16"/>
  <c r="J55" i="16"/>
  <c r="I55" i="16"/>
  <c r="BA54" i="16"/>
  <c r="AZ54" i="16"/>
  <c r="AY54" i="16"/>
  <c r="AI54" i="16"/>
  <c r="AH54" i="16"/>
  <c r="AG54" i="16"/>
  <c r="AF54" i="16"/>
  <c r="AE54" i="16"/>
  <c r="AD54" i="16"/>
  <c r="N54" i="16"/>
  <c r="L54" i="16"/>
  <c r="K54" i="16"/>
  <c r="J54" i="16"/>
  <c r="I54" i="16"/>
  <c r="CE53" i="16"/>
  <c r="CD53" i="16"/>
  <c r="CC53" i="16"/>
  <c r="BZ53" i="16"/>
  <c r="BY53" i="16"/>
  <c r="BX53" i="16"/>
  <c r="BU53" i="16"/>
  <c r="BT53" i="16"/>
  <c r="BS53" i="16"/>
  <c r="BP53" i="16"/>
  <c r="BO53" i="16"/>
  <c r="BN53" i="16"/>
  <c r="BK53" i="16"/>
  <c r="BJ53" i="16"/>
  <c r="BI53" i="16"/>
  <c r="BF53" i="16"/>
  <c r="BE53" i="16"/>
  <c r="BD53" i="16"/>
  <c r="BB53" i="16" a="1"/>
  <c r="BB53" i="16" s="1"/>
  <c r="BA53" i="16"/>
  <c r="AZ53" i="16"/>
  <c r="AY53" i="16"/>
  <c r="AI53" i="16"/>
  <c r="AH53" i="16"/>
  <c r="AG53" i="16"/>
  <c r="AF53" i="16"/>
  <c r="AE53" i="16"/>
  <c r="AD53" i="16"/>
  <c r="N53" i="16"/>
  <c r="L53" i="16"/>
  <c r="K53" i="16"/>
  <c r="J53" i="16"/>
  <c r="I53" i="16"/>
  <c r="BA52" i="16"/>
  <c r="AZ52" i="16"/>
  <c r="AY52" i="16"/>
  <c r="AI52" i="16"/>
  <c r="AH52" i="16"/>
  <c r="AG52" i="16"/>
  <c r="AF52" i="16"/>
  <c r="AE52" i="16"/>
  <c r="AD52" i="16"/>
  <c r="N52" i="16"/>
  <c r="L52" i="16"/>
  <c r="K52" i="16"/>
  <c r="J52" i="16"/>
  <c r="I52" i="16"/>
  <c r="BA51" i="16"/>
  <c r="AZ51" i="16"/>
  <c r="AY51" i="16"/>
  <c r="AI51" i="16"/>
  <c r="AH51" i="16"/>
  <c r="AG51" i="16"/>
  <c r="AF51" i="16"/>
  <c r="AE51" i="16"/>
  <c r="AD51" i="16"/>
  <c r="N51" i="16"/>
  <c r="L51" i="16"/>
  <c r="K51" i="16"/>
  <c r="J51" i="16"/>
  <c r="I51" i="16"/>
  <c r="BA50" i="16"/>
  <c r="AZ50" i="16"/>
  <c r="AY50" i="16"/>
  <c r="AI50" i="16"/>
  <c r="AH50" i="16"/>
  <c r="AG50" i="16"/>
  <c r="AF50" i="16"/>
  <c r="AE50" i="16"/>
  <c r="AD50" i="16"/>
  <c r="N50" i="16"/>
  <c r="L50" i="16"/>
  <c r="K50" i="16"/>
  <c r="J50" i="16"/>
  <c r="I50" i="16"/>
  <c r="BA49" i="16"/>
  <c r="AZ49" i="16"/>
  <c r="AY49" i="16"/>
  <c r="AI49" i="16"/>
  <c r="AH49" i="16"/>
  <c r="AG49" i="16"/>
  <c r="AF49" i="16"/>
  <c r="AE49" i="16"/>
  <c r="AD49" i="16"/>
  <c r="N49" i="16"/>
  <c r="L49" i="16"/>
  <c r="K49" i="16"/>
  <c r="J49" i="16"/>
  <c r="I49" i="16"/>
  <c r="BA48" i="16"/>
  <c r="AZ48" i="16"/>
  <c r="AY48" i="16"/>
  <c r="AI48" i="16"/>
  <c r="AH48" i="16"/>
  <c r="AG48" i="16"/>
  <c r="AF48" i="16"/>
  <c r="AE48" i="16"/>
  <c r="AD48" i="16"/>
  <c r="N48" i="16"/>
  <c r="L48" i="16"/>
  <c r="K48" i="16"/>
  <c r="J48" i="16"/>
  <c r="I48" i="16"/>
  <c r="CE47" i="16"/>
  <c r="CD47" i="16"/>
  <c r="CC47" i="16"/>
  <c r="BZ47" i="16"/>
  <c r="BY47" i="16"/>
  <c r="BX47" i="16"/>
  <c r="BU47" i="16"/>
  <c r="BT47" i="16"/>
  <c r="BS47" i="16"/>
  <c r="BP47" i="16"/>
  <c r="BO47" i="16"/>
  <c r="BN47" i="16"/>
  <c r="BK47" i="16"/>
  <c r="BJ47" i="16"/>
  <c r="BI47" i="16"/>
  <c r="BF47" i="16"/>
  <c r="BE47" i="16"/>
  <c r="BD47" i="16"/>
  <c r="BB47" i="16" a="1"/>
  <c r="BB47" i="16" s="1"/>
  <c r="BA47" i="16"/>
  <c r="AZ47" i="16"/>
  <c r="AY47" i="16"/>
  <c r="AI47" i="16"/>
  <c r="AH47" i="16"/>
  <c r="AG47" i="16"/>
  <c r="AF47" i="16"/>
  <c r="AE47" i="16"/>
  <c r="AD47" i="16"/>
  <c r="N47" i="16"/>
  <c r="L47" i="16"/>
  <c r="K47" i="16"/>
  <c r="J47" i="16"/>
  <c r="I47" i="16"/>
  <c r="BA46" i="16"/>
  <c r="AZ46" i="16"/>
  <c r="AY46" i="16"/>
  <c r="AI46" i="16"/>
  <c r="AH46" i="16"/>
  <c r="AG46" i="16"/>
  <c r="AF46" i="16"/>
  <c r="AE46" i="16"/>
  <c r="AD46" i="16"/>
  <c r="N46" i="16"/>
  <c r="L46" i="16"/>
  <c r="K46" i="16"/>
  <c r="J46" i="16"/>
  <c r="I46" i="16"/>
  <c r="BA45" i="16"/>
  <c r="AZ45" i="16"/>
  <c r="AY45" i="16"/>
  <c r="AI45" i="16"/>
  <c r="AH45" i="16"/>
  <c r="AG45" i="16"/>
  <c r="AF45" i="16"/>
  <c r="AE45" i="16"/>
  <c r="AD45" i="16"/>
  <c r="N45" i="16"/>
  <c r="L45" i="16"/>
  <c r="K45" i="16"/>
  <c r="J45" i="16"/>
  <c r="I45" i="16"/>
  <c r="BA44" i="16"/>
  <c r="AZ44" i="16"/>
  <c r="AY44" i="16"/>
  <c r="AI44" i="16"/>
  <c r="AH44" i="16"/>
  <c r="AG44" i="16"/>
  <c r="AF44" i="16"/>
  <c r="AE44" i="16"/>
  <c r="AD44" i="16"/>
  <c r="N44" i="16"/>
  <c r="L44" i="16"/>
  <c r="K44" i="16"/>
  <c r="J44" i="16"/>
  <c r="I44" i="16"/>
  <c r="BA43" i="16"/>
  <c r="AZ43" i="16"/>
  <c r="AY43" i="16"/>
  <c r="AI43" i="16"/>
  <c r="AH43" i="16"/>
  <c r="AG43" i="16"/>
  <c r="AF43" i="16"/>
  <c r="AE43" i="16"/>
  <c r="AD43" i="16"/>
  <c r="N43" i="16"/>
  <c r="L43" i="16"/>
  <c r="K43" i="16"/>
  <c r="J43" i="16"/>
  <c r="I43" i="16"/>
  <c r="BA42" i="16"/>
  <c r="AZ42" i="16"/>
  <c r="AY42" i="16"/>
  <c r="AI42" i="16"/>
  <c r="AH42" i="16"/>
  <c r="AG42" i="16"/>
  <c r="AF42" i="16"/>
  <c r="AE42" i="16"/>
  <c r="AD42" i="16"/>
  <c r="N42" i="16"/>
  <c r="L42" i="16"/>
  <c r="K42" i="16"/>
  <c r="J42" i="16"/>
  <c r="I42" i="16"/>
  <c r="CE41" i="16"/>
  <c r="CD41" i="16"/>
  <c r="CC41" i="16"/>
  <c r="BZ41" i="16"/>
  <c r="BY41" i="16"/>
  <c r="BX41" i="16"/>
  <c r="BU41" i="16"/>
  <c r="BT41" i="16"/>
  <c r="BS41" i="16"/>
  <c r="BP41" i="16"/>
  <c r="BO41" i="16"/>
  <c r="BN41" i="16"/>
  <c r="BK41" i="16"/>
  <c r="BJ41" i="16"/>
  <c r="BI41" i="16"/>
  <c r="BF41" i="16"/>
  <c r="BE41" i="16"/>
  <c r="BD41" i="16"/>
  <c r="BD142" i="16" s="1"/>
  <c r="BB41" i="16" a="1"/>
  <c r="BB41" i="16" s="1"/>
  <c r="BB138" i="16" s="1"/>
  <c r="BA41" i="16"/>
  <c r="BA138" i="16" s="1"/>
  <c r="AZ41" i="16"/>
  <c r="AZ138" i="16" s="1"/>
  <c r="AY41" i="16"/>
  <c r="AY138" i="16" s="1"/>
  <c r="AI41" i="16"/>
  <c r="AH41" i="16"/>
  <c r="AG41" i="16"/>
  <c r="AF41" i="16"/>
  <c r="AF138" i="16" s="1"/>
  <c r="AE41" i="16"/>
  <c r="AD41" i="16"/>
  <c r="N41" i="16"/>
  <c r="L41" i="16"/>
  <c r="K41" i="16"/>
  <c r="J41" i="16"/>
  <c r="I41" i="16"/>
  <c r="BA40" i="16"/>
  <c r="AZ40" i="16"/>
  <c r="AY40" i="16"/>
  <c r="AI40" i="16"/>
  <c r="AH40" i="16"/>
  <c r="AG40" i="16"/>
  <c r="AF40" i="16"/>
  <c r="AE40" i="16"/>
  <c r="N40" i="16"/>
  <c r="M40" i="16"/>
  <c r="K40" i="16"/>
  <c r="J40" i="16"/>
  <c r="I40" i="16"/>
  <c r="BA39" i="16"/>
  <c r="AZ39" i="16"/>
  <c r="AY39" i="16"/>
  <c r="AI39" i="16"/>
  <c r="AH39" i="16"/>
  <c r="AG39" i="16"/>
  <c r="AF39" i="16"/>
  <c r="AE39" i="16"/>
  <c r="N39" i="16"/>
  <c r="M39" i="16"/>
  <c r="K39" i="16"/>
  <c r="J39" i="16"/>
  <c r="I39" i="16"/>
  <c r="BA38" i="16"/>
  <c r="AZ38" i="16"/>
  <c r="AY38" i="16"/>
  <c r="AI38" i="16"/>
  <c r="AH38" i="16"/>
  <c r="AG38" i="16"/>
  <c r="AF38" i="16"/>
  <c r="AE38" i="16"/>
  <c r="N38" i="16"/>
  <c r="M38" i="16"/>
  <c r="K38" i="16"/>
  <c r="J38" i="16"/>
  <c r="I38" i="16"/>
  <c r="BA37" i="16"/>
  <c r="AZ37" i="16"/>
  <c r="AY37" i="16"/>
  <c r="AI37" i="16"/>
  <c r="AH37" i="16"/>
  <c r="AG37" i="16"/>
  <c r="AF37" i="16"/>
  <c r="AE37" i="16"/>
  <c r="N37" i="16"/>
  <c r="M37" i="16"/>
  <c r="K37" i="16"/>
  <c r="J37" i="16"/>
  <c r="I37" i="16"/>
  <c r="BA36" i="16"/>
  <c r="AZ36" i="16"/>
  <c r="AY36" i="16"/>
  <c r="AI36" i="16"/>
  <c r="AH36" i="16"/>
  <c r="AG36" i="16"/>
  <c r="AF36" i="16"/>
  <c r="AE36" i="16"/>
  <c r="N36" i="16"/>
  <c r="M36" i="16"/>
  <c r="K36" i="16"/>
  <c r="J36" i="16"/>
  <c r="I36" i="16"/>
  <c r="CF35" i="16"/>
  <c r="CA35" i="16"/>
  <c r="BV35" i="16"/>
  <c r="BQ35" i="16"/>
  <c r="BL35" i="16"/>
  <c r="BG35" i="16"/>
  <c r="BB35" i="16" a="1"/>
  <c r="BB35" i="16" s="1"/>
  <c r="BA35" i="16"/>
  <c r="AZ35" i="16"/>
  <c r="AY35" i="16"/>
  <c r="AI35" i="16"/>
  <c r="AH35" i="16"/>
  <c r="AG35" i="16"/>
  <c r="AF35" i="16"/>
  <c r="AE35" i="16"/>
  <c r="N35" i="16"/>
  <c r="M35" i="16"/>
  <c r="K35" i="16"/>
  <c r="J35" i="16"/>
  <c r="I35" i="16"/>
  <c r="BA34" i="16"/>
  <c r="AZ34" i="16"/>
  <c r="AY34" i="16"/>
  <c r="AI34" i="16"/>
  <c r="AH34" i="16"/>
  <c r="AG34" i="16"/>
  <c r="AF34" i="16"/>
  <c r="AE34" i="16"/>
  <c r="N34" i="16"/>
  <c r="M34" i="16"/>
  <c r="K34" i="16"/>
  <c r="J34" i="16"/>
  <c r="I34" i="16"/>
  <c r="BA33" i="16"/>
  <c r="AZ33" i="16"/>
  <c r="AY33" i="16"/>
  <c r="AI33" i="16"/>
  <c r="AH33" i="16"/>
  <c r="AG33" i="16"/>
  <c r="AF33" i="16"/>
  <c r="AE33" i="16"/>
  <c r="N33" i="16"/>
  <c r="M33" i="16"/>
  <c r="K33" i="16"/>
  <c r="J33" i="16"/>
  <c r="I33" i="16"/>
  <c r="BA32" i="16"/>
  <c r="AZ32" i="16"/>
  <c r="AY32" i="16"/>
  <c r="AI32" i="16"/>
  <c r="AH32" i="16"/>
  <c r="AG32" i="16"/>
  <c r="AF32" i="16"/>
  <c r="AE32" i="16"/>
  <c r="N32" i="16"/>
  <c r="M32" i="16"/>
  <c r="K32" i="16"/>
  <c r="J32" i="16"/>
  <c r="I32" i="16"/>
  <c r="BA31" i="16"/>
  <c r="AZ31" i="16"/>
  <c r="AY31" i="16"/>
  <c r="AI31" i="16"/>
  <c r="AH31" i="16"/>
  <c r="AG31" i="16"/>
  <c r="AF31" i="16"/>
  <c r="AE31" i="16"/>
  <c r="N31" i="16"/>
  <c r="M31" i="16"/>
  <c r="K31" i="16"/>
  <c r="J31" i="16"/>
  <c r="I31" i="16"/>
  <c r="BA30" i="16"/>
  <c r="AZ30" i="16"/>
  <c r="AY30" i="16"/>
  <c r="AI30" i="16"/>
  <c r="AH30" i="16"/>
  <c r="AG30" i="16"/>
  <c r="AF30" i="16"/>
  <c r="AE30" i="16"/>
  <c r="N30" i="16"/>
  <c r="M30" i="16"/>
  <c r="K30" i="16"/>
  <c r="J30" i="16"/>
  <c r="I30" i="16"/>
  <c r="CF29" i="16"/>
  <c r="CA29" i="16"/>
  <c r="BV29" i="16"/>
  <c r="BQ29" i="16"/>
  <c r="BL29" i="16"/>
  <c r="BG29" i="16"/>
  <c r="BB29" i="16" a="1"/>
  <c r="BB29" i="16" s="1"/>
  <c r="BA29" i="16"/>
  <c r="AZ29" i="16"/>
  <c r="AY29" i="16"/>
  <c r="AI29" i="16"/>
  <c r="AH29" i="16"/>
  <c r="AG29" i="16"/>
  <c r="AF29" i="16"/>
  <c r="AE29" i="16"/>
  <c r="N29" i="16"/>
  <c r="M29" i="16"/>
  <c r="K29" i="16"/>
  <c r="J29" i="16"/>
  <c r="I29" i="16"/>
  <c r="BA28" i="16"/>
  <c r="AZ28" i="16"/>
  <c r="AY28" i="16"/>
  <c r="AI28" i="16"/>
  <c r="AH28" i="16"/>
  <c r="AG28" i="16"/>
  <c r="AF28" i="16"/>
  <c r="AE28" i="16"/>
  <c r="N28" i="16"/>
  <c r="M28" i="16"/>
  <c r="K28" i="16"/>
  <c r="J28" i="16"/>
  <c r="I28" i="16"/>
  <c r="BA27" i="16"/>
  <c r="AZ27" i="16"/>
  <c r="AY27" i="16"/>
  <c r="AI27" i="16"/>
  <c r="AH27" i="16"/>
  <c r="AG27" i="16"/>
  <c r="AF27" i="16"/>
  <c r="AE27" i="16"/>
  <c r="N27" i="16"/>
  <c r="M27" i="16"/>
  <c r="K27" i="16"/>
  <c r="J27" i="16"/>
  <c r="I27" i="16"/>
  <c r="BA26" i="16"/>
  <c r="AZ26" i="16"/>
  <c r="AY26" i="16"/>
  <c r="AI26" i="16"/>
  <c r="AH26" i="16"/>
  <c r="AG26" i="16"/>
  <c r="AF26" i="16"/>
  <c r="AE26" i="16"/>
  <c r="N26" i="16"/>
  <c r="M26" i="16"/>
  <c r="K26" i="16"/>
  <c r="J26" i="16"/>
  <c r="I26" i="16"/>
  <c r="BA25" i="16"/>
  <c r="AZ25" i="16"/>
  <c r="AY25" i="16"/>
  <c r="AI25" i="16"/>
  <c r="AH25" i="16"/>
  <c r="AG25" i="16"/>
  <c r="AF25" i="16"/>
  <c r="AE25" i="16"/>
  <c r="N25" i="16"/>
  <c r="M25" i="16"/>
  <c r="K25" i="16"/>
  <c r="J25" i="16"/>
  <c r="I25" i="16"/>
  <c r="BA24" i="16"/>
  <c r="AZ24" i="16"/>
  <c r="AY24" i="16"/>
  <c r="AI24" i="16"/>
  <c r="AH24" i="16"/>
  <c r="AG24" i="16"/>
  <c r="AF24" i="16"/>
  <c r="AE24" i="16"/>
  <c r="N24" i="16"/>
  <c r="M24" i="16"/>
  <c r="K24" i="16"/>
  <c r="J24" i="16"/>
  <c r="I24" i="16"/>
  <c r="CF23" i="16"/>
  <c r="CA23" i="16"/>
  <c r="BV23" i="16"/>
  <c r="BQ23" i="16"/>
  <c r="BL23" i="16"/>
  <c r="BG23" i="16"/>
  <c r="BB23" i="16" a="1"/>
  <c r="BB23" i="16" s="1"/>
  <c r="BA23" i="16"/>
  <c r="AZ23" i="16"/>
  <c r="AY23" i="16"/>
  <c r="AI23" i="16"/>
  <c r="AH23" i="16"/>
  <c r="AG23" i="16"/>
  <c r="AF23" i="16"/>
  <c r="AE23" i="16"/>
  <c r="N23" i="16"/>
  <c r="M23" i="16"/>
  <c r="K23" i="16"/>
  <c r="J23" i="16"/>
  <c r="I23" i="16"/>
  <c r="BA22" i="16"/>
  <c r="AZ22" i="16"/>
  <c r="AY22" i="16"/>
  <c r="AI22" i="16"/>
  <c r="AH22" i="16"/>
  <c r="AG22" i="16"/>
  <c r="AF22" i="16"/>
  <c r="AE22" i="16"/>
  <c r="N22" i="16"/>
  <c r="M22" i="16"/>
  <c r="K22" i="16"/>
  <c r="J22" i="16"/>
  <c r="I22" i="16"/>
  <c r="BA21" i="16"/>
  <c r="AZ21" i="16"/>
  <c r="AY21" i="16"/>
  <c r="AI21" i="16"/>
  <c r="AH21" i="16"/>
  <c r="AG21" i="16"/>
  <c r="AF21" i="16"/>
  <c r="AE21" i="16"/>
  <c r="N21" i="16"/>
  <c r="M21" i="16"/>
  <c r="K21" i="16"/>
  <c r="J21" i="16"/>
  <c r="I21" i="16"/>
  <c r="BA20" i="16"/>
  <c r="AZ20" i="16"/>
  <c r="AY20" i="16"/>
  <c r="AI20" i="16"/>
  <c r="AH20" i="16"/>
  <c r="AG20" i="16"/>
  <c r="AF20" i="16"/>
  <c r="AE20" i="16"/>
  <c r="N20" i="16"/>
  <c r="M20" i="16"/>
  <c r="K20" i="16"/>
  <c r="J20" i="16"/>
  <c r="I20" i="16"/>
  <c r="BA19" i="16"/>
  <c r="AZ19" i="16"/>
  <c r="AY19" i="16"/>
  <c r="AI19" i="16"/>
  <c r="AH19" i="16"/>
  <c r="AG19" i="16"/>
  <c r="AF19" i="16"/>
  <c r="AE19" i="16"/>
  <c r="N19" i="16"/>
  <c r="M19" i="16"/>
  <c r="K19" i="16"/>
  <c r="J19" i="16"/>
  <c r="I19" i="16"/>
  <c r="BA18" i="16"/>
  <c r="AZ18" i="16"/>
  <c r="AY18" i="16"/>
  <c r="AI18" i="16"/>
  <c r="AH18" i="16"/>
  <c r="AG18" i="16"/>
  <c r="AF18" i="16"/>
  <c r="AE18" i="16"/>
  <c r="N18" i="16"/>
  <c r="M18" i="16"/>
  <c r="K18" i="16"/>
  <c r="J18" i="16"/>
  <c r="I18" i="16"/>
  <c r="CF17" i="16"/>
  <c r="CA17" i="16"/>
  <c r="BV17" i="16"/>
  <c r="BQ17" i="16"/>
  <c r="BL17" i="16"/>
  <c r="BG17" i="16"/>
  <c r="BB17" i="16" a="1"/>
  <c r="BB17" i="16" s="1"/>
  <c r="BA17" i="16"/>
  <c r="AZ17" i="16"/>
  <c r="AY17" i="16"/>
  <c r="AI17" i="16"/>
  <c r="AH17" i="16"/>
  <c r="AG17" i="16"/>
  <c r="AF17" i="16"/>
  <c r="AE17" i="16"/>
  <c r="N17" i="16"/>
  <c r="M17" i="16"/>
  <c r="K17" i="16"/>
  <c r="J17" i="16"/>
  <c r="I17" i="16"/>
  <c r="BA16" i="16"/>
  <c r="AZ16" i="16"/>
  <c r="AY16" i="16"/>
  <c r="AI16" i="16"/>
  <c r="AH16" i="16"/>
  <c r="AG16" i="16"/>
  <c r="AF16" i="16"/>
  <c r="AE16" i="16"/>
  <c r="N16" i="16"/>
  <c r="M16" i="16"/>
  <c r="K16" i="16"/>
  <c r="J16" i="16"/>
  <c r="I16" i="16"/>
  <c r="BA15" i="16"/>
  <c r="AZ15" i="16"/>
  <c r="AY15" i="16"/>
  <c r="AI15" i="16"/>
  <c r="AH15" i="16"/>
  <c r="AG15" i="16"/>
  <c r="AF15" i="16"/>
  <c r="AE15" i="16"/>
  <c r="N15" i="16"/>
  <c r="M15" i="16"/>
  <c r="K15" i="16"/>
  <c r="J15" i="16"/>
  <c r="I15" i="16"/>
  <c r="BA14" i="16"/>
  <c r="AZ14" i="16"/>
  <c r="AY14" i="16"/>
  <c r="AI14" i="16"/>
  <c r="AH14" i="16"/>
  <c r="AG14" i="16"/>
  <c r="AF14" i="16"/>
  <c r="AE14" i="16"/>
  <c r="N14" i="16"/>
  <c r="M14" i="16"/>
  <c r="K14" i="16"/>
  <c r="J14" i="16"/>
  <c r="I14" i="16"/>
  <c r="BA13" i="16"/>
  <c r="AZ13" i="16"/>
  <c r="AY13" i="16"/>
  <c r="AI13" i="16"/>
  <c r="AH13" i="16"/>
  <c r="AG13" i="16"/>
  <c r="AF13" i="16"/>
  <c r="AE13" i="16"/>
  <c r="N13" i="16"/>
  <c r="M13" i="16"/>
  <c r="K13" i="16"/>
  <c r="J13" i="16"/>
  <c r="I13" i="16"/>
  <c r="BA12" i="16"/>
  <c r="AZ12" i="16"/>
  <c r="AY12" i="16"/>
  <c r="AI12" i="16"/>
  <c r="AH12" i="16"/>
  <c r="AG12" i="16"/>
  <c r="AF12" i="16"/>
  <c r="AE12" i="16"/>
  <c r="N12" i="16"/>
  <c r="M12" i="16"/>
  <c r="K12" i="16"/>
  <c r="J12" i="16"/>
  <c r="I12" i="16"/>
  <c r="CF11" i="16"/>
  <c r="CA11" i="16"/>
  <c r="BV11" i="16"/>
  <c r="BQ11" i="16"/>
  <c r="BL11" i="16"/>
  <c r="BG11" i="16"/>
  <c r="BB11" i="16" a="1"/>
  <c r="BB11" i="16" s="1"/>
  <c r="BA11" i="16"/>
  <c r="AZ11" i="16"/>
  <c r="AY11" i="16"/>
  <c r="AI11" i="16"/>
  <c r="AH11" i="16"/>
  <c r="AG11" i="16"/>
  <c r="AF11" i="16"/>
  <c r="AE11" i="16"/>
  <c r="N11" i="16"/>
  <c r="M11" i="16"/>
  <c r="K11" i="16"/>
  <c r="J11" i="16"/>
  <c r="I11" i="16"/>
  <c r="BA10" i="16"/>
  <c r="AZ10" i="16"/>
  <c r="AY10" i="16"/>
  <c r="AI10" i="16"/>
  <c r="AH10" i="16"/>
  <c r="AG10" i="16"/>
  <c r="AF10" i="16"/>
  <c r="AE10" i="16"/>
  <c r="N10" i="16"/>
  <c r="M10" i="16"/>
  <c r="K10" i="16"/>
  <c r="J10" i="16"/>
  <c r="I10" i="16"/>
  <c r="BA9" i="16"/>
  <c r="AZ9" i="16"/>
  <c r="AY9" i="16"/>
  <c r="AI9" i="16"/>
  <c r="AH9" i="16"/>
  <c r="AG9" i="16"/>
  <c r="AF9" i="16"/>
  <c r="AE9" i="16"/>
  <c r="N9" i="16"/>
  <c r="M9" i="16"/>
  <c r="K9" i="16"/>
  <c r="J9" i="16"/>
  <c r="I9" i="16"/>
  <c r="BA8" i="16"/>
  <c r="AZ8" i="16"/>
  <c r="AY8" i="16"/>
  <c r="AI8" i="16"/>
  <c r="AH8" i="16"/>
  <c r="AG8" i="16"/>
  <c r="AF8" i="16"/>
  <c r="AE8" i="16"/>
  <c r="N8" i="16"/>
  <c r="M8" i="16"/>
  <c r="K8" i="16"/>
  <c r="J8" i="16"/>
  <c r="I8" i="16"/>
  <c r="BA7" i="16"/>
  <c r="AZ7" i="16"/>
  <c r="AY7" i="16"/>
  <c r="AI7" i="16"/>
  <c r="AH7" i="16"/>
  <c r="AG7" i="16"/>
  <c r="AF7" i="16"/>
  <c r="AE7" i="16"/>
  <c r="N7" i="16"/>
  <c r="M7" i="16"/>
  <c r="K7" i="16"/>
  <c r="J7" i="16"/>
  <c r="I7" i="16"/>
  <c r="BA6" i="16"/>
  <c r="AZ6" i="16"/>
  <c r="AY6" i="16"/>
  <c r="AI6" i="16"/>
  <c r="AH6" i="16"/>
  <c r="AG6" i="16"/>
  <c r="AF6" i="16"/>
  <c r="AE6" i="16"/>
  <c r="N6" i="16"/>
  <c r="M6" i="16"/>
  <c r="K6" i="16"/>
  <c r="J6" i="16"/>
  <c r="I6" i="16"/>
  <c r="CF5" i="16"/>
  <c r="CA5" i="16"/>
  <c r="BV5" i="16"/>
  <c r="BQ5" i="16"/>
  <c r="BL5" i="16"/>
  <c r="BG5" i="16"/>
  <c r="BB5" i="16"/>
  <c r="BB142" i="16" s="1"/>
  <c r="BB5" i="16" a="1"/>
  <c r="BA5" i="16"/>
  <c r="BA137" i="16" s="1"/>
  <c r="AZ5" i="16"/>
  <c r="AZ137" i="16" s="1"/>
  <c r="AY5" i="16"/>
  <c r="AY137" i="16" s="1"/>
  <c r="AI5" i="16"/>
  <c r="AH5" i="16"/>
  <c r="AG5" i="16"/>
  <c r="AF5" i="16"/>
  <c r="AE5" i="16"/>
  <c r="N5" i="16"/>
  <c r="M5" i="16"/>
  <c r="K5" i="16"/>
  <c r="J5" i="16"/>
  <c r="I5" i="16"/>
  <c r="AD1" i="16"/>
  <c r="I1" i="16"/>
  <c r="BA142" i="15"/>
  <c r="AZ142" i="15"/>
  <c r="AY142" i="15"/>
  <c r="AX142" i="15"/>
  <c r="AW142" i="15"/>
  <c r="AD142" i="15"/>
  <c r="AC142" i="15"/>
  <c r="AB142" i="15"/>
  <c r="AA142" i="15"/>
  <c r="Z142" i="15"/>
  <c r="BA141" i="15"/>
  <c r="AZ141" i="15"/>
  <c r="AY141" i="15"/>
  <c r="AX141" i="15"/>
  <c r="AW141" i="15"/>
  <c r="AD141" i="15"/>
  <c r="AC141" i="15"/>
  <c r="AB141" i="15"/>
  <c r="AA141" i="15"/>
  <c r="Z141" i="15"/>
  <c r="BA140" i="15"/>
  <c r="AZ140" i="15"/>
  <c r="AY140" i="15"/>
  <c r="AX140" i="15"/>
  <c r="AW140" i="15"/>
  <c r="AD140" i="15"/>
  <c r="AC140" i="15"/>
  <c r="AB140" i="15"/>
  <c r="AA140" i="15"/>
  <c r="Z140" i="15"/>
  <c r="BA139" i="15"/>
  <c r="AZ139" i="15"/>
  <c r="AY139" i="15"/>
  <c r="AX139" i="15"/>
  <c r="AW139" i="15"/>
  <c r="AD139" i="15"/>
  <c r="AC139" i="15"/>
  <c r="AB139" i="15"/>
  <c r="AA139" i="15"/>
  <c r="Z139" i="15"/>
  <c r="BA138" i="15"/>
  <c r="AZ138" i="15"/>
  <c r="AY138" i="15"/>
  <c r="AX138" i="15"/>
  <c r="AW138" i="15"/>
  <c r="AD138" i="15"/>
  <c r="AC138" i="15"/>
  <c r="AB138" i="15"/>
  <c r="AA138" i="15"/>
  <c r="Z138" i="15"/>
  <c r="BA137" i="15"/>
  <c r="AZ137" i="15"/>
  <c r="AY137" i="15"/>
  <c r="AX137" i="15"/>
  <c r="AW137" i="15"/>
  <c r="AD137" i="15"/>
  <c r="AC137" i="15"/>
  <c r="AB137" i="15"/>
  <c r="AA137" i="15"/>
  <c r="Z137" i="15"/>
  <c r="BE136" i="15"/>
  <c r="BD136" i="15"/>
  <c r="BC136" i="15"/>
  <c r="AK136" i="15"/>
  <c r="AI136" i="15"/>
  <c r="AH136" i="15"/>
  <c r="AG136" i="15"/>
  <c r="AF136" i="15"/>
  <c r="N136" i="15"/>
  <c r="L136" i="15"/>
  <c r="K136" i="15"/>
  <c r="J136" i="15"/>
  <c r="I136" i="15"/>
  <c r="BE135" i="15"/>
  <c r="BD135" i="15"/>
  <c r="BC135" i="15"/>
  <c r="AK135" i="15"/>
  <c r="AI135" i="15"/>
  <c r="AH135" i="15"/>
  <c r="AG135" i="15"/>
  <c r="AF135" i="15"/>
  <c r="N135" i="15"/>
  <c r="L135" i="15"/>
  <c r="K135" i="15"/>
  <c r="J135" i="15"/>
  <c r="I135" i="15"/>
  <c r="BE134" i="15"/>
  <c r="BD134" i="15"/>
  <c r="BC134" i="15"/>
  <c r="AK134" i="15"/>
  <c r="AI134" i="15"/>
  <c r="AH134" i="15"/>
  <c r="AG134" i="15"/>
  <c r="AF134" i="15"/>
  <c r="N134" i="15"/>
  <c r="L134" i="15"/>
  <c r="K134" i="15"/>
  <c r="J134" i="15"/>
  <c r="I134" i="15"/>
  <c r="BE133" i="15"/>
  <c r="BD133" i="15"/>
  <c r="BC133" i="15"/>
  <c r="AK133" i="15"/>
  <c r="AI133" i="15"/>
  <c r="AH133" i="15"/>
  <c r="AG133" i="15"/>
  <c r="AF133" i="15"/>
  <c r="N133" i="15"/>
  <c r="L133" i="15"/>
  <c r="K133" i="15"/>
  <c r="J133" i="15"/>
  <c r="I133" i="15"/>
  <c r="BE132" i="15"/>
  <c r="BD132" i="15"/>
  <c r="BC132" i="15"/>
  <c r="AK132" i="15"/>
  <c r="AI132" i="15"/>
  <c r="AH132" i="15"/>
  <c r="AG132" i="15"/>
  <c r="AF132" i="15"/>
  <c r="N132" i="15"/>
  <c r="L132" i="15"/>
  <c r="K132" i="15"/>
  <c r="J132" i="15"/>
  <c r="I132" i="15"/>
  <c r="CU131" i="15"/>
  <c r="CT131" i="15"/>
  <c r="CS131" i="15"/>
  <c r="CR131" i="15"/>
  <c r="CQ131" i="15"/>
  <c r="CN131" i="15"/>
  <c r="CM131" i="15"/>
  <c r="CL131" i="15"/>
  <c r="CK131" i="15"/>
  <c r="CJ131" i="15"/>
  <c r="CG131" i="15"/>
  <c r="CF131" i="15"/>
  <c r="CE131" i="15"/>
  <c r="CD131" i="15"/>
  <c r="CC131" i="15"/>
  <c r="BZ131" i="15"/>
  <c r="BY131" i="15"/>
  <c r="BX131" i="15"/>
  <c r="BW131" i="15"/>
  <c r="BV131" i="15"/>
  <c r="BS131" i="15"/>
  <c r="BR131" i="15"/>
  <c r="BQ131" i="15"/>
  <c r="BP131" i="15"/>
  <c r="BO131" i="15"/>
  <c r="BL131" i="15"/>
  <c r="BK131" i="15"/>
  <c r="BJ131" i="15"/>
  <c r="BI131" i="15"/>
  <c r="BH131" i="15"/>
  <c r="BF131" i="15" a="1"/>
  <c r="BF131" i="15" s="1"/>
  <c r="BE131" i="15"/>
  <c r="BD131" i="15"/>
  <c r="BC131" i="15"/>
  <c r="AK131" i="15"/>
  <c r="AI131" i="15"/>
  <c r="AH131" i="15"/>
  <c r="AG131" i="15"/>
  <c r="AF131" i="15"/>
  <c r="N131" i="15"/>
  <c r="L131" i="15"/>
  <c r="K131" i="15"/>
  <c r="J131" i="15"/>
  <c r="I131" i="15"/>
  <c r="BE130" i="15"/>
  <c r="BD130" i="15"/>
  <c r="BC130" i="15"/>
  <c r="AK130" i="15"/>
  <c r="AI130" i="15"/>
  <c r="AH130" i="15"/>
  <c r="AG130" i="15"/>
  <c r="AF130" i="15"/>
  <c r="N130" i="15"/>
  <c r="L130" i="15"/>
  <c r="K130" i="15"/>
  <c r="J130" i="15"/>
  <c r="I130" i="15"/>
  <c r="BE129" i="15"/>
  <c r="BD129" i="15"/>
  <c r="BC129" i="15"/>
  <c r="AK129" i="15"/>
  <c r="AI129" i="15"/>
  <c r="AH129" i="15"/>
  <c r="AG129" i="15"/>
  <c r="AF129" i="15"/>
  <c r="N129" i="15"/>
  <c r="L129" i="15"/>
  <c r="K129" i="15"/>
  <c r="J129" i="15"/>
  <c r="I129" i="15"/>
  <c r="BE128" i="15"/>
  <c r="BD128" i="15"/>
  <c r="BC128" i="15"/>
  <c r="AK128" i="15"/>
  <c r="AI128" i="15"/>
  <c r="AH128" i="15"/>
  <c r="AG128" i="15"/>
  <c r="AF128" i="15"/>
  <c r="N128" i="15"/>
  <c r="L128" i="15"/>
  <c r="K128" i="15"/>
  <c r="J128" i="15"/>
  <c r="I128" i="15"/>
  <c r="BE127" i="15"/>
  <c r="BD127" i="15"/>
  <c r="BC127" i="15"/>
  <c r="AK127" i="15"/>
  <c r="AI127" i="15"/>
  <c r="AH127" i="15"/>
  <c r="AG127" i="15"/>
  <c r="AF127" i="15"/>
  <c r="N127" i="15"/>
  <c r="L127" i="15"/>
  <c r="K127" i="15"/>
  <c r="J127" i="15"/>
  <c r="I127" i="15"/>
  <c r="BE126" i="15"/>
  <c r="BD126" i="15"/>
  <c r="BC126" i="15"/>
  <c r="AK126" i="15"/>
  <c r="AI126" i="15"/>
  <c r="AH126" i="15"/>
  <c r="AG126" i="15"/>
  <c r="AF126" i="15"/>
  <c r="N126" i="15"/>
  <c r="L126" i="15"/>
  <c r="K126" i="15"/>
  <c r="J126" i="15"/>
  <c r="I126" i="15"/>
  <c r="CU125" i="15"/>
  <c r="CT125" i="15"/>
  <c r="CS125" i="15"/>
  <c r="CR125" i="15"/>
  <c r="CQ125" i="15"/>
  <c r="CN125" i="15"/>
  <c r="CM125" i="15"/>
  <c r="CL125" i="15"/>
  <c r="CK125" i="15"/>
  <c r="CJ125" i="15"/>
  <c r="CG125" i="15"/>
  <c r="CF125" i="15"/>
  <c r="CE125" i="15"/>
  <c r="CD125" i="15"/>
  <c r="CC125" i="15"/>
  <c r="BZ125" i="15"/>
  <c r="BY125" i="15"/>
  <c r="BX125" i="15"/>
  <c r="BW125" i="15"/>
  <c r="BV125" i="15"/>
  <c r="BS125" i="15"/>
  <c r="BR125" i="15"/>
  <c r="BQ125" i="15"/>
  <c r="BP125" i="15"/>
  <c r="BO125" i="15"/>
  <c r="BL125" i="15"/>
  <c r="BK125" i="15"/>
  <c r="BJ125" i="15"/>
  <c r="BI125" i="15"/>
  <c r="BH125" i="15"/>
  <c r="BF125" i="15"/>
  <c r="BF125" i="15" a="1"/>
  <c r="BE125" i="15"/>
  <c r="BD125" i="15"/>
  <c r="BC125" i="15"/>
  <c r="AK125" i="15"/>
  <c r="AI125" i="15"/>
  <c r="AH125" i="15"/>
  <c r="AG125" i="15"/>
  <c r="AF125" i="15"/>
  <c r="N125" i="15"/>
  <c r="L125" i="15"/>
  <c r="K125" i="15"/>
  <c r="J125" i="15"/>
  <c r="I125" i="15"/>
  <c r="BE124" i="15"/>
  <c r="BD124" i="15"/>
  <c r="BC124" i="15"/>
  <c r="AK124" i="15"/>
  <c r="AI124" i="15"/>
  <c r="AH124" i="15"/>
  <c r="AG124" i="15"/>
  <c r="AF124" i="15"/>
  <c r="N124" i="15"/>
  <c r="L124" i="15"/>
  <c r="K124" i="15"/>
  <c r="J124" i="15"/>
  <c r="I124" i="15"/>
  <c r="BE123" i="15"/>
  <c r="BD123" i="15"/>
  <c r="BC123" i="15"/>
  <c r="AK123" i="15"/>
  <c r="AI123" i="15"/>
  <c r="AH123" i="15"/>
  <c r="AG123" i="15"/>
  <c r="AF123" i="15"/>
  <c r="N123" i="15"/>
  <c r="L123" i="15"/>
  <c r="K123" i="15"/>
  <c r="J123" i="15"/>
  <c r="I123" i="15"/>
  <c r="BE122" i="15"/>
  <c r="BD122" i="15"/>
  <c r="BC122" i="15"/>
  <c r="AK122" i="15"/>
  <c r="AI122" i="15"/>
  <c r="AH122" i="15"/>
  <c r="AG122" i="15"/>
  <c r="AF122" i="15"/>
  <c r="N122" i="15"/>
  <c r="L122" i="15"/>
  <c r="K122" i="15"/>
  <c r="J122" i="15"/>
  <c r="I122" i="15"/>
  <c r="BE121" i="15"/>
  <c r="BD121" i="15"/>
  <c r="BC121" i="15"/>
  <c r="AK121" i="15"/>
  <c r="AI121" i="15"/>
  <c r="AH121" i="15"/>
  <c r="AG121" i="15"/>
  <c r="AF121" i="15"/>
  <c r="N121" i="15"/>
  <c r="L121" i="15"/>
  <c r="K121" i="15"/>
  <c r="J121" i="15"/>
  <c r="I121" i="15"/>
  <c r="BE120" i="15"/>
  <c r="BD120" i="15"/>
  <c r="BC120" i="15"/>
  <c r="AK120" i="15"/>
  <c r="AI120" i="15"/>
  <c r="AH120" i="15"/>
  <c r="AG120" i="15"/>
  <c r="AF120" i="15"/>
  <c r="N120" i="15"/>
  <c r="L120" i="15"/>
  <c r="K120" i="15"/>
  <c r="J120" i="15"/>
  <c r="I120" i="15"/>
  <c r="CU119" i="15"/>
  <c r="CT119" i="15"/>
  <c r="CS119" i="15"/>
  <c r="CR119" i="15"/>
  <c r="CQ119" i="15"/>
  <c r="CN119" i="15"/>
  <c r="CM119" i="15"/>
  <c r="CL119" i="15"/>
  <c r="CK119" i="15"/>
  <c r="CJ119" i="15"/>
  <c r="CG119" i="15"/>
  <c r="CF119" i="15"/>
  <c r="CE119" i="15"/>
  <c r="CD119" i="15"/>
  <c r="CC119" i="15"/>
  <c r="BZ119" i="15"/>
  <c r="BY119" i="15"/>
  <c r="BX119" i="15"/>
  <c r="BW119" i="15"/>
  <c r="BV119" i="15"/>
  <c r="BS119" i="15"/>
  <c r="BR119" i="15"/>
  <c r="BQ119" i="15"/>
  <c r="BP119" i="15"/>
  <c r="BO119" i="15"/>
  <c r="BL119" i="15"/>
  <c r="BK119" i="15"/>
  <c r="BJ119" i="15"/>
  <c r="BI119" i="15"/>
  <c r="BH119" i="15"/>
  <c r="BF119" i="15" a="1"/>
  <c r="BF119" i="15" s="1"/>
  <c r="BE119" i="15"/>
  <c r="BD119" i="15"/>
  <c r="BC119" i="15"/>
  <c r="AK119" i="15"/>
  <c r="AI119" i="15"/>
  <c r="AH119" i="15"/>
  <c r="AG119" i="15"/>
  <c r="AF119" i="15"/>
  <c r="N119" i="15"/>
  <c r="L119" i="15"/>
  <c r="K119" i="15"/>
  <c r="J119" i="15"/>
  <c r="I119" i="15"/>
  <c r="BE118" i="15"/>
  <c r="BD118" i="15"/>
  <c r="BC118" i="15"/>
  <c r="AK118" i="15"/>
  <c r="AI118" i="15"/>
  <c r="AH118" i="15"/>
  <c r="AG118" i="15"/>
  <c r="AF118" i="15"/>
  <c r="N118" i="15"/>
  <c r="L118" i="15"/>
  <c r="K118" i="15"/>
  <c r="J118" i="15"/>
  <c r="I118" i="15"/>
  <c r="BE117" i="15"/>
  <c r="BD117" i="15"/>
  <c r="BC117" i="15"/>
  <c r="AK117" i="15"/>
  <c r="AI117" i="15"/>
  <c r="AH117" i="15"/>
  <c r="AG117" i="15"/>
  <c r="AF117" i="15"/>
  <c r="N117" i="15"/>
  <c r="L117" i="15"/>
  <c r="K117" i="15"/>
  <c r="J117" i="15"/>
  <c r="I117" i="15"/>
  <c r="BE116" i="15"/>
  <c r="BD116" i="15"/>
  <c r="BC116" i="15"/>
  <c r="AK116" i="15"/>
  <c r="AI116" i="15"/>
  <c r="AH116" i="15"/>
  <c r="AG116" i="15"/>
  <c r="AF116" i="15"/>
  <c r="N116" i="15"/>
  <c r="L116" i="15"/>
  <c r="K116" i="15"/>
  <c r="J116" i="15"/>
  <c r="I116" i="15"/>
  <c r="BE115" i="15"/>
  <c r="BD115" i="15"/>
  <c r="BC115" i="15"/>
  <c r="AK115" i="15"/>
  <c r="AI115" i="15"/>
  <c r="AH115" i="15"/>
  <c r="AG115" i="15"/>
  <c r="AF115" i="15"/>
  <c r="N115" i="15"/>
  <c r="L115" i="15"/>
  <c r="K115" i="15"/>
  <c r="J115" i="15"/>
  <c r="I115" i="15"/>
  <c r="BE114" i="15"/>
  <c r="BD114" i="15"/>
  <c r="BC114" i="15"/>
  <c r="AK114" i="15"/>
  <c r="AI114" i="15"/>
  <c r="AH114" i="15"/>
  <c r="AG114" i="15"/>
  <c r="AF114" i="15"/>
  <c r="N114" i="15"/>
  <c r="L114" i="15"/>
  <c r="K114" i="15"/>
  <c r="J114" i="15"/>
  <c r="I114" i="15"/>
  <c r="CU113" i="15"/>
  <c r="CT113" i="15"/>
  <c r="CS113" i="15"/>
  <c r="CR113" i="15"/>
  <c r="CQ113" i="15"/>
  <c r="CN113" i="15"/>
  <c r="CM113" i="15"/>
  <c r="CL113" i="15"/>
  <c r="CK113" i="15"/>
  <c r="CJ113" i="15"/>
  <c r="CG113" i="15"/>
  <c r="CF113" i="15"/>
  <c r="CE113" i="15"/>
  <c r="CD113" i="15"/>
  <c r="CC113" i="15"/>
  <c r="BZ113" i="15"/>
  <c r="BY113" i="15"/>
  <c r="BX113" i="15"/>
  <c r="BW113" i="15"/>
  <c r="BV113" i="15"/>
  <c r="BS113" i="15"/>
  <c r="BR113" i="15"/>
  <c r="BQ113" i="15"/>
  <c r="BP113" i="15"/>
  <c r="BO113" i="15"/>
  <c r="BL113" i="15"/>
  <c r="BK113" i="15"/>
  <c r="BJ113" i="15"/>
  <c r="BI113" i="15"/>
  <c r="BH113" i="15"/>
  <c r="BF113" i="15" a="1"/>
  <c r="BF113" i="15" s="1"/>
  <c r="BF140" i="15" s="1"/>
  <c r="BE113" i="15"/>
  <c r="BE140" i="15" s="1"/>
  <c r="BD113" i="15"/>
  <c r="BD140" i="15" s="1"/>
  <c r="BC113" i="15"/>
  <c r="BC140" i="15" s="1"/>
  <c r="AK113" i="15"/>
  <c r="AI113" i="15"/>
  <c r="AH113" i="15"/>
  <c r="AG113" i="15"/>
  <c r="AF113" i="15"/>
  <c r="N113" i="15"/>
  <c r="L113" i="15"/>
  <c r="K113" i="15"/>
  <c r="J113" i="15"/>
  <c r="I113" i="15"/>
  <c r="BE112" i="15"/>
  <c r="BD112" i="15"/>
  <c r="BC112" i="15"/>
  <c r="AK112" i="15"/>
  <c r="AJ112" i="15"/>
  <c r="AH112" i="15"/>
  <c r="AG112" i="15"/>
  <c r="AF112" i="15"/>
  <c r="N112" i="15"/>
  <c r="M112" i="15"/>
  <c r="K112" i="15"/>
  <c r="J112" i="15"/>
  <c r="I112" i="15"/>
  <c r="BE111" i="15"/>
  <c r="BD111" i="15"/>
  <c r="BC111" i="15"/>
  <c r="AK111" i="15"/>
  <c r="AJ111" i="15"/>
  <c r="AH111" i="15"/>
  <c r="AG111" i="15"/>
  <c r="AF111" i="15"/>
  <c r="N111" i="15"/>
  <c r="M111" i="15"/>
  <c r="K111" i="15"/>
  <c r="J111" i="15"/>
  <c r="I111" i="15"/>
  <c r="BE110" i="15"/>
  <c r="BD110" i="15"/>
  <c r="BC110" i="15"/>
  <c r="AK110" i="15"/>
  <c r="AJ110" i="15"/>
  <c r="AH110" i="15"/>
  <c r="AG110" i="15"/>
  <c r="AF110" i="15"/>
  <c r="N110" i="15"/>
  <c r="M110" i="15"/>
  <c r="K110" i="15"/>
  <c r="J110" i="15"/>
  <c r="I110" i="15"/>
  <c r="BE109" i="15"/>
  <c r="BD109" i="15"/>
  <c r="BC109" i="15"/>
  <c r="AK109" i="15"/>
  <c r="AJ109" i="15"/>
  <c r="AH109" i="15"/>
  <c r="AG109" i="15"/>
  <c r="AF109" i="15"/>
  <c r="N109" i="15"/>
  <c r="M109" i="15"/>
  <c r="K109" i="15"/>
  <c r="J109" i="15"/>
  <c r="I109" i="15"/>
  <c r="BE108" i="15"/>
  <c r="BD108" i="15"/>
  <c r="BC108" i="15"/>
  <c r="AK108" i="15"/>
  <c r="AJ108" i="15"/>
  <c r="AH108" i="15"/>
  <c r="AG108" i="15"/>
  <c r="AF108" i="15"/>
  <c r="N108" i="15"/>
  <c r="M108" i="15"/>
  <c r="K108" i="15"/>
  <c r="J108" i="15"/>
  <c r="I108" i="15"/>
  <c r="CV107" i="15"/>
  <c r="CR107" i="15"/>
  <c r="CQ107" i="15"/>
  <c r="CO107" i="15"/>
  <c r="CK107" i="15"/>
  <c r="CJ107" i="15"/>
  <c r="CH107" i="15"/>
  <c r="CD107" i="15"/>
  <c r="CC107" i="15"/>
  <c r="CA107" i="15"/>
  <c r="BW107" i="15"/>
  <c r="BV107" i="15"/>
  <c r="BT107" i="15"/>
  <c r="BP107" i="15"/>
  <c r="BO107" i="15"/>
  <c r="BM107" i="15"/>
  <c r="BI107" i="15"/>
  <c r="BH107" i="15"/>
  <c r="BF107" i="15" a="1"/>
  <c r="BF107" i="15" s="1"/>
  <c r="BE107" i="15"/>
  <c r="BD107" i="15"/>
  <c r="BC107" i="15"/>
  <c r="AK107" i="15"/>
  <c r="AJ107" i="15"/>
  <c r="AH107" i="15"/>
  <c r="AG107" i="15"/>
  <c r="AF107" i="15"/>
  <c r="N107" i="15"/>
  <c r="M107" i="15"/>
  <c r="K107" i="15"/>
  <c r="J107" i="15"/>
  <c r="I107" i="15"/>
  <c r="BE106" i="15"/>
  <c r="BD106" i="15"/>
  <c r="BC106" i="15"/>
  <c r="AK106" i="15"/>
  <c r="AJ106" i="15"/>
  <c r="AH106" i="15"/>
  <c r="AG106" i="15"/>
  <c r="AF106" i="15"/>
  <c r="N106" i="15"/>
  <c r="M106" i="15"/>
  <c r="K106" i="15"/>
  <c r="J106" i="15"/>
  <c r="I106" i="15"/>
  <c r="BE105" i="15"/>
  <c r="BD105" i="15"/>
  <c r="BC105" i="15"/>
  <c r="AK105" i="15"/>
  <c r="AJ105" i="15"/>
  <c r="AH105" i="15"/>
  <c r="AG105" i="15"/>
  <c r="AF105" i="15"/>
  <c r="N105" i="15"/>
  <c r="M105" i="15"/>
  <c r="K105" i="15"/>
  <c r="J105" i="15"/>
  <c r="I105" i="15"/>
  <c r="BE104" i="15"/>
  <c r="BD104" i="15"/>
  <c r="BC104" i="15"/>
  <c r="AK104" i="15"/>
  <c r="AJ104" i="15"/>
  <c r="AH104" i="15"/>
  <c r="AG104" i="15"/>
  <c r="AF104" i="15"/>
  <c r="N104" i="15"/>
  <c r="M104" i="15"/>
  <c r="K104" i="15"/>
  <c r="J104" i="15"/>
  <c r="I104" i="15"/>
  <c r="BE103" i="15"/>
  <c r="BD103" i="15"/>
  <c r="BC103" i="15"/>
  <c r="AK103" i="15"/>
  <c r="AJ103" i="15"/>
  <c r="AH103" i="15"/>
  <c r="AG103" i="15"/>
  <c r="AF103" i="15"/>
  <c r="N103" i="15"/>
  <c r="M103" i="15"/>
  <c r="K103" i="15"/>
  <c r="J103" i="15"/>
  <c r="I103" i="15"/>
  <c r="BE102" i="15"/>
  <c r="BD102" i="15"/>
  <c r="BC102" i="15"/>
  <c r="AK102" i="15"/>
  <c r="AJ102" i="15"/>
  <c r="AH102" i="15"/>
  <c r="AG102" i="15"/>
  <c r="AF102" i="15"/>
  <c r="N102" i="15"/>
  <c r="M102" i="15"/>
  <c r="K102" i="15"/>
  <c r="J102" i="15"/>
  <c r="I102" i="15"/>
  <c r="CV101" i="15"/>
  <c r="CR101" i="15"/>
  <c r="CQ101" i="15"/>
  <c r="CO101" i="15"/>
  <c r="CK101" i="15"/>
  <c r="CJ101" i="15"/>
  <c r="CH101" i="15"/>
  <c r="CD101" i="15"/>
  <c r="CC101" i="15"/>
  <c r="CA101" i="15"/>
  <c r="BW101" i="15"/>
  <c r="BV101" i="15"/>
  <c r="BT101" i="15"/>
  <c r="BP101" i="15"/>
  <c r="BO101" i="15"/>
  <c r="BM101" i="15"/>
  <c r="BI101" i="15"/>
  <c r="BH101" i="15"/>
  <c r="BF101" i="15" a="1"/>
  <c r="BF101" i="15" s="1"/>
  <c r="BE101" i="15"/>
  <c r="BD101" i="15"/>
  <c r="BC101" i="15"/>
  <c r="AK101" i="15"/>
  <c r="AJ101" i="15"/>
  <c r="AH101" i="15"/>
  <c r="AG101" i="15"/>
  <c r="AF101" i="15"/>
  <c r="N101" i="15"/>
  <c r="M101" i="15"/>
  <c r="K101" i="15"/>
  <c r="J101" i="15"/>
  <c r="I101" i="15"/>
  <c r="BE100" i="15"/>
  <c r="BD100" i="15"/>
  <c r="BC100" i="15"/>
  <c r="AK100" i="15"/>
  <c r="AJ100" i="15"/>
  <c r="AH100" i="15"/>
  <c r="AG100" i="15"/>
  <c r="AF100" i="15"/>
  <c r="N100" i="15"/>
  <c r="I100" i="15"/>
  <c r="D100" i="15"/>
  <c r="M100" i="15" s="1"/>
  <c r="BE99" i="15"/>
  <c r="BD99" i="15"/>
  <c r="BC99" i="15"/>
  <c r="AK99" i="15"/>
  <c r="AJ99" i="15"/>
  <c r="AH99" i="15"/>
  <c r="AG99" i="15"/>
  <c r="AF99" i="15"/>
  <c r="N99" i="15"/>
  <c r="I99" i="15"/>
  <c r="D99" i="15"/>
  <c r="M99" i="15" s="1"/>
  <c r="BE98" i="15"/>
  <c r="BD98" i="15"/>
  <c r="BC98" i="15"/>
  <c r="AK98" i="15"/>
  <c r="AJ98" i="15"/>
  <c r="AH98" i="15"/>
  <c r="AG98" i="15"/>
  <c r="AF98" i="15"/>
  <c r="N98" i="15"/>
  <c r="I98" i="15"/>
  <c r="D98" i="15"/>
  <c r="M98" i="15" s="1"/>
  <c r="BE97" i="15"/>
  <c r="BD97" i="15"/>
  <c r="BC97" i="15"/>
  <c r="AK97" i="15"/>
  <c r="AJ97" i="15"/>
  <c r="AH97" i="15"/>
  <c r="AG97" i="15"/>
  <c r="AF97" i="15"/>
  <c r="N97" i="15"/>
  <c r="I97" i="15"/>
  <c r="D97" i="15"/>
  <c r="M97" i="15" s="1"/>
  <c r="BE96" i="15"/>
  <c r="BD96" i="15"/>
  <c r="BC96" i="15"/>
  <c r="AK96" i="15"/>
  <c r="AJ96" i="15"/>
  <c r="AH96" i="15"/>
  <c r="AG96" i="15"/>
  <c r="AF96" i="15"/>
  <c r="N96" i="15"/>
  <c r="I96" i="15"/>
  <c r="D96" i="15"/>
  <c r="M96" i="15" s="1"/>
  <c r="CV95" i="15"/>
  <c r="CR95" i="15"/>
  <c r="CQ95" i="15"/>
  <c r="CO95" i="15"/>
  <c r="CK95" i="15"/>
  <c r="CJ95" i="15"/>
  <c r="CH95" i="15"/>
  <c r="CD95" i="15"/>
  <c r="CC95" i="15"/>
  <c r="CA95" i="15"/>
  <c r="BW95" i="15"/>
  <c r="BV95" i="15"/>
  <c r="BT95" i="15"/>
  <c r="BP95" i="15"/>
  <c r="BO95" i="15"/>
  <c r="BM95" i="15"/>
  <c r="BI95" i="15"/>
  <c r="BH95" i="15"/>
  <c r="BF95" i="15" a="1"/>
  <c r="BF95" i="15" s="1"/>
  <c r="BE95" i="15"/>
  <c r="BD95" i="15"/>
  <c r="BC95" i="15"/>
  <c r="AK95" i="15"/>
  <c r="AJ95" i="15"/>
  <c r="AH95" i="15"/>
  <c r="AG95" i="15"/>
  <c r="AF95" i="15"/>
  <c r="N95" i="15"/>
  <c r="M95" i="15"/>
  <c r="K95" i="15"/>
  <c r="J95" i="15"/>
  <c r="I95" i="15"/>
  <c r="BE94" i="15"/>
  <c r="BD94" i="15"/>
  <c r="BC94" i="15"/>
  <c r="AK94" i="15"/>
  <c r="AJ94" i="15"/>
  <c r="AH94" i="15"/>
  <c r="AG94" i="15"/>
  <c r="AF94" i="15"/>
  <c r="N94" i="15"/>
  <c r="I94" i="15"/>
  <c r="D94" i="15"/>
  <c r="K94" i="15" s="1"/>
  <c r="BE93" i="15"/>
  <c r="BD93" i="15"/>
  <c r="BC93" i="15"/>
  <c r="AK93" i="15"/>
  <c r="AJ93" i="15"/>
  <c r="AH93" i="15"/>
  <c r="AG93" i="15"/>
  <c r="AF93" i="15"/>
  <c r="N93" i="15"/>
  <c r="I93" i="15"/>
  <c r="D93" i="15"/>
  <c r="M93" i="15" s="1"/>
  <c r="BE92" i="15"/>
  <c r="BD92" i="15"/>
  <c r="BC92" i="15"/>
  <c r="AK92" i="15"/>
  <c r="AJ92" i="15"/>
  <c r="AH92" i="15"/>
  <c r="AG92" i="15"/>
  <c r="AF92" i="15"/>
  <c r="N92" i="15"/>
  <c r="I92" i="15"/>
  <c r="D92" i="15"/>
  <c r="M92" i="15" s="1"/>
  <c r="BE91" i="15"/>
  <c r="BD91" i="15"/>
  <c r="BC91" i="15"/>
  <c r="AK91" i="15"/>
  <c r="AJ91" i="15"/>
  <c r="AH91" i="15"/>
  <c r="AG91" i="15"/>
  <c r="AF91" i="15"/>
  <c r="N91" i="15"/>
  <c r="I91" i="15"/>
  <c r="D91" i="15"/>
  <c r="M91" i="15" s="1"/>
  <c r="BE90" i="15"/>
  <c r="BD90" i="15"/>
  <c r="BC90" i="15"/>
  <c r="AK90" i="15"/>
  <c r="AJ90" i="15"/>
  <c r="AH90" i="15"/>
  <c r="AG90" i="15"/>
  <c r="AF90" i="15"/>
  <c r="N90" i="15"/>
  <c r="I90" i="15"/>
  <c r="D90" i="15"/>
  <c r="M90" i="15" s="1"/>
  <c r="CV89" i="15"/>
  <c r="CR89" i="15"/>
  <c r="CQ89" i="15"/>
  <c r="CO89" i="15"/>
  <c r="CK89" i="15"/>
  <c r="CJ89" i="15"/>
  <c r="CH89" i="15"/>
  <c r="CD89" i="15"/>
  <c r="CC89" i="15"/>
  <c r="CA89" i="15"/>
  <c r="BW89" i="15"/>
  <c r="BV89" i="15"/>
  <c r="BT89" i="15"/>
  <c r="BP89" i="15"/>
  <c r="BO89" i="15"/>
  <c r="BM89" i="15"/>
  <c r="BI89" i="15"/>
  <c r="BH89" i="15"/>
  <c r="BF89" i="15" a="1"/>
  <c r="BF89" i="15" s="1"/>
  <c r="BE89" i="15"/>
  <c r="BD89" i="15"/>
  <c r="BC89" i="15"/>
  <c r="AK89" i="15"/>
  <c r="AJ89" i="15"/>
  <c r="AH89" i="15"/>
  <c r="AG89" i="15"/>
  <c r="AF89" i="15"/>
  <c r="N89" i="15"/>
  <c r="M89" i="15"/>
  <c r="K89" i="15"/>
  <c r="J89" i="15"/>
  <c r="I89" i="15"/>
  <c r="BE88" i="15"/>
  <c r="BD88" i="15"/>
  <c r="BC88" i="15"/>
  <c r="AK88" i="15"/>
  <c r="AJ88" i="15"/>
  <c r="AH88" i="15"/>
  <c r="AG88" i="15"/>
  <c r="AF88" i="15"/>
  <c r="N88" i="15"/>
  <c r="I88" i="15"/>
  <c r="D88" i="15"/>
  <c r="M88" i="15" s="1"/>
  <c r="BE87" i="15"/>
  <c r="BD87" i="15"/>
  <c r="BC87" i="15"/>
  <c r="AK87" i="15"/>
  <c r="AJ87" i="15"/>
  <c r="AH87" i="15"/>
  <c r="AG87" i="15"/>
  <c r="AF87" i="15"/>
  <c r="N87" i="15"/>
  <c r="I87" i="15"/>
  <c r="D87" i="15"/>
  <c r="J87" i="15" s="1"/>
  <c r="BE86" i="15"/>
  <c r="BD86" i="15"/>
  <c r="BC86" i="15"/>
  <c r="AK86" i="15"/>
  <c r="AJ86" i="15"/>
  <c r="AH86" i="15"/>
  <c r="AG86" i="15"/>
  <c r="AF86" i="15"/>
  <c r="N86" i="15"/>
  <c r="I86" i="15"/>
  <c r="D86" i="15"/>
  <c r="M86" i="15" s="1"/>
  <c r="BE85" i="15"/>
  <c r="BD85" i="15"/>
  <c r="BC85" i="15"/>
  <c r="AK85" i="15"/>
  <c r="AJ85" i="15"/>
  <c r="AH85" i="15"/>
  <c r="AG85" i="15"/>
  <c r="AF85" i="15"/>
  <c r="N85" i="15"/>
  <c r="I85" i="15"/>
  <c r="D85" i="15"/>
  <c r="M85" i="15" s="1"/>
  <c r="BE84" i="15"/>
  <c r="BD84" i="15"/>
  <c r="BC84" i="15"/>
  <c r="AK84" i="15"/>
  <c r="AJ84" i="15"/>
  <c r="AH84" i="15"/>
  <c r="AG84" i="15"/>
  <c r="AF84" i="15"/>
  <c r="N84" i="15"/>
  <c r="I84" i="15"/>
  <c r="D84" i="15"/>
  <c r="M84" i="15" s="1"/>
  <c r="CV83" i="15"/>
  <c r="CR83" i="15"/>
  <c r="CQ83" i="15"/>
  <c r="CO83" i="15"/>
  <c r="CK83" i="15"/>
  <c r="CJ83" i="15"/>
  <c r="CH83" i="15"/>
  <c r="CD83" i="15"/>
  <c r="CC83" i="15"/>
  <c r="CA83" i="15"/>
  <c r="BW83" i="15"/>
  <c r="BV83" i="15"/>
  <c r="BT83" i="15"/>
  <c r="BP83" i="15"/>
  <c r="BO83" i="15"/>
  <c r="BM83" i="15"/>
  <c r="BI83" i="15"/>
  <c r="BH83" i="15"/>
  <c r="BF83" i="15" a="1"/>
  <c r="BF83" i="15" s="1"/>
  <c r="BF139" i="15" s="1"/>
  <c r="BE83" i="15"/>
  <c r="BE139" i="15" s="1"/>
  <c r="BD83" i="15"/>
  <c r="BD139" i="15" s="1"/>
  <c r="BC83" i="15"/>
  <c r="BC139" i="15" s="1"/>
  <c r="AK83" i="15"/>
  <c r="AJ83" i="15"/>
  <c r="AH83" i="15"/>
  <c r="AG83" i="15"/>
  <c r="AF83" i="15"/>
  <c r="N83" i="15"/>
  <c r="M83" i="15"/>
  <c r="K83" i="15"/>
  <c r="J83" i="15"/>
  <c r="I83" i="15"/>
  <c r="BE82" i="15"/>
  <c r="BD82" i="15"/>
  <c r="BC82" i="15"/>
  <c r="AK82" i="15"/>
  <c r="AI82" i="15"/>
  <c r="AH82" i="15"/>
  <c r="AG82" i="15"/>
  <c r="AF82" i="15"/>
  <c r="N82" i="15"/>
  <c r="L82" i="15"/>
  <c r="K82" i="15"/>
  <c r="J82" i="15"/>
  <c r="I82" i="15"/>
  <c r="BE81" i="15"/>
  <c r="BD81" i="15"/>
  <c r="BC81" i="15"/>
  <c r="AK81" i="15"/>
  <c r="AI81" i="15"/>
  <c r="AH81" i="15"/>
  <c r="AG81" i="15"/>
  <c r="AF81" i="15"/>
  <c r="N81" i="15"/>
  <c r="L81" i="15"/>
  <c r="K81" i="15"/>
  <c r="J81" i="15"/>
  <c r="I81" i="15"/>
  <c r="BE80" i="15"/>
  <c r="BD80" i="15"/>
  <c r="BC80" i="15"/>
  <c r="AK80" i="15"/>
  <c r="AI80" i="15"/>
  <c r="AH80" i="15"/>
  <c r="AG80" i="15"/>
  <c r="AF80" i="15"/>
  <c r="N80" i="15"/>
  <c r="L80" i="15"/>
  <c r="K80" i="15"/>
  <c r="J80" i="15"/>
  <c r="I80" i="15"/>
  <c r="BE79" i="15"/>
  <c r="BD79" i="15"/>
  <c r="BC79" i="15"/>
  <c r="AK79" i="15"/>
  <c r="AI79" i="15"/>
  <c r="AH79" i="15"/>
  <c r="AG79" i="15"/>
  <c r="AF79" i="15"/>
  <c r="N79" i="15"/>
  <c r="L79" i="15"/>
  <c r="K79" i="15"/>
  <c r="J79" i="15"/>
  <c r="I79" i="15"/>
  <c r="BE78" i="15"/>
  <c r="BD78" i="15"/>
  <c r="BC78" i="15"/>
  <c r="AK78" i="15"/>
  <c r="AI78" i="15"/>
  <c r="AH78" i="15"/>
  <c r="AG78" i="15"/>
  <c r="AF78" i="15"/>
  <c r="N78" i="15"/>
  <c r="L78" i="15"/>
  <c r="K78" i="15"/>
  <c r="J78" i="15"/>
  <c r="I78" i="15"/>
  <c r="CU77" i="15"/>
  <c r="CT77" i="15"/>
  <c r="CS77" i="15"/>
  <c r="CR77" i="15"/>
  <c r="CQ77" i="15"/>
  <c r="CN77" i="15"/>
  <c r="CM77" i="15"/>
  <c r="CL77" i="15"/>
  <c r="CK77" i="15"/>
  <c r="CJ77" i="15"/>
  <c r="CG77" i="15"/>
  <c r="CF77" i="15"/>
  <c r="CE77" i="15"/>
  <c r="CD77" i="15"/>
  <c r="CC77" i="15"/>
  <c r="BZ77" i="15"/>
  <c r="BY77" i="15"/>
  <c r="BX77" i="15"/>
  <c r="BW77" i="15"/>
  <c r="BV77" i="15"/>
  <c r="BS77" i="15"/>
  <c r="BR77" i="15"/>
  <c r="BQ77" i="15"/>
  <c r="BP77" i="15"/>
  <c r="BO77" i="15"/>
  <c r="BL77" i="15"/>
  <c r="BK77" i="15"/>
  <c r="BJ77" i="15"/>
  <c r="BI77" i="15"/>
  <c r="BH77" i="15"/>
  <c r="BF77" i="15" a="1"/>
  <c r="BF77" i="15" s="1"/>
  <c r="BE77" i="15"/>
  <c r="BD77" i="15"/>
  <c r="BC77" i="15"/>
  <c r="AK77" i="15"/>
  <c r="AI77" i="15"/>
  <c r="AH77" i="15"/>
  <c r="AG77" i="15"/>
  <c r="AF77" i="15"/>
  <c r="N77" i="15"/>
  <c r="L77" i="15"/>
  <c r="K77" i="15"/>
  <c r="J77" i="15"/>
  <c r="I77" i="15"/>
  <c r="BE76" i="15"/>
  <c r="BD76" i="15"/>
  <c r="BC76" i="15"/>
  <c r="AK76" i="15"/>
  <c r="AI76" i="15"/>
  <c r="AH76" i="15"/>
  <c r="AG76" i="15"/>
  <c r="AF76" i="15"/>
  <c r="N76" i="15"/>
  <c r="L76" i="15"/>
  <c r="K76" i="15"/>
  <c r="J76" i="15"/>
  <c r="I76" i="15"/>
  <c r="BE75" i="15"/>
  <c r="BD75" i="15"/>
  <c r="BC75" i="15"/>
  <c r="AK75" i="15"/>
  <c r="AI75" i="15"/>
  <c r="AH75" i="15"/>
  <c r="AG75" i="15"/>
  <c r="AF75" i="15"/>
  <c r="N75" i="15"/>
  <c r="L75" i="15"/>
  <c r="K75" i="15"/>
  <c r="J75" i="15"/>
  <c r="I75" i="15"/>
  <c r="BE74" i="15"/>
  <c r="BD74" i="15"/>
  <c r="BC74" i="15"/>
  <c r="AK74" i="15"/>
  <c r="AI74" i="15"/>
  <c r="AH74" i="15"/>
  <c r="AG74" i="15"/>
  <c r="AF74" i="15"/>
  <c r="N74" i="15"/>
  <c r="L74" i="15"/>
  <c r="K74" i="15"/>
  <c r="J74" i="15"/>
  <c r="I74" i="15"/>
  <c r="BE73" i="15"/>
  <c r="BD73" i="15"/>
  <c r="BC73" i="15"/>
  <c r="AK73" i="15"/>
  <c r="AI73" i="15"/>
  <c r="AH73" i="15"/>
  <c r="AG73" i="15"/>
  <c r="AF73" i="15"/>
  <c r="N73" i="15"/>
  <c r="L73" i="15"/>
  <c r="K73" i="15"/>
  <c r="J73" i="15"/>
  <c r="I73" i="15"/>
  <c r="BE72" i="15"/>
  <c r="BD72" i="15"/>
  <c r="BC72" i="15"/>
  <c r="AK72" i="15"/>
  <c r="AI72" i="15"/>
  <c r="AH72" i="15"/>
  <c r="AG72" i="15"/>
  <c r="AF72" i="15"/>
  <c r="N72" i="15"/>
  <c r="L72" i="15"/>
  <c r="K72" i="15"/>
  <c r="J72" i="15"/>
  <c r="I72" i="15"/>
  <c r="CU71" i="15"/>
  <c r="CT71" i="15"/>
  <c r="CS71" i="15"/>
  <c r="CR71" i="15"/>
  <c r="CQ71" i="15"/>
  <c r="CN71" i="15"/>
  <c r="CM71" i="15"/>
  <c r="CL71" i="15"/>
  <c r="CK71" i="15"/>
  <c r="CJ71" i="15"/>
  <c r="CG71" i="15"/>
  <c r="CF71" i="15"/>
  <c r="CE71" i="15"/>
  <c r="CD71" i="15"/>
  <c r="CC71" i="15"/>
  <c r="BZ71" i="15"/>
  <c r="BY71" i="15"/>
  <c r="BX71" i="15"/>
  <c r="BW71" i="15"/>
  <c r="BV71" i="15"/>
  <c r="BS71" i="15"/>
  <c r="BR71" i="15"/>
  <c r="BQ71" i="15"/>
  <c r="BP71" i="15"/>
  <c r="BO71" i="15"/>
  <c r="BL71" i="15"/>
  <c r="BK71" i="15"/>
  <c r="BJ71" i="15"/>
  <c r="BI71" i="15"/>
  <c r="BH71" i="15"/>
  <c r="BF71" i="15" a="1"/>
  <c r="BF71" i="15" s="1"/>
  <c r="BE71" i="15"/>
  <c r="BD71" i="15"/>
  <c r="BC71" i="15"/>
  <c r="AK71" i="15"/>
  <c r="AI71" i="15"/>
  <c r="AH71" i="15"/>
  <c r="AG71" i="15"/>
  <c r="AF71" i="15"/>
  <c r="N71" i="15"/>
  <c r="L71" i="15"/>
  <c r="K71" i="15"/>
  <c r="J71" i="15"/>
  <c r="I71" i="15"/>
  <c r="BE70" i="15"/>
  <c r="BD70" i="15"/>
  <c r="BC70" i="15"/>
  <c r="AK70" i="15"/>
  <c r="AI70" i="15"/>
  <c r="AH70" i="15"/>
  <c r="AG70" i="15"/>
  <c r="AF70" i="15"/>
  <c r="N70" i="15"/>
  <c r="L70" i="15"/>
  <c r="K70" i="15"/>
  <c r="J70" i="15"/>
  <c r="I70" i="15"/>
  <c r="BE69" i="15"/>
  <c r="BD69" i="15"/>
  <c r="BC69" i="15"/>
  <c r="AK69" i="15"/>
  <c r="AI69" i="15"/>
  <c r="AH69" i="15"/>
  <c r="AG69" i="15"/>
  <c r="AF69" i="15"/>
  <c r="N69" i="15"/>
  <c r="L69" i="15"/>
  <c r="K69" i="15"/>
  <c r="J69" i="15"/>
  <c r="I69" i="15"/>
  <c r="BE68" i="15"/>
  <c r="BD68" i="15"/>
  <c r="BC68" i="15"/>
  <c r="AK68" i="15"/>
  <c r="AI68" i="15"/>
  <c r="AH68" i="15"/>
  <c r="AG68" i="15"/>
  <c r="AF68" i="15"/>
  <c r="N68" i="15"/>
  <c r="L68" i="15"/>
  <c r="K68" i="15"/>
  <c r="J68" i="15"/>
  <c r="I68" i="15"/>
  <c r="BE67" i="15"/>
  <c r="BD67" i="15"/>
  <c r="BC67" i="15"/>
  <c r="AK67" i="15"/>
  <c r="AI67" i="15"/>
  <c r="AH67" i="15"/>
  <c r="AG67" i="15"/>
  <c r="AF67" i="15"/>
  <c r="N67" i="15"/>
  <c r="L67" i="15"/>
  <c r="K67" i="15"/>
  <c r="J67" i="15"/>
  <c r="I67" i="15"/>
  <c r="BE66" i="15"/>
  <c r="BD66" i="15"/>
  <c r="BC66" i="15"/>
  <c r="AK66" i="15"/>
  <c r="AI66" i="15"/>
  <c r="AH66" i="15"/>
  <c r="AG66" i="15"/>
  <c r="AF66" i="15"/>
  <c r="N66" i="15"/>
  <c r="L66" i="15"/>
  <c r="K66" i="15"/>
  <c r="J66" i="15"/>
  <c r="I66" i="15"/>
  <c r="CU65" i="15"/>
  <c r="CT65" i="15"/>
  <c r="CS65" i="15"/>
  <c r="CR65" i="15"/>
  <c r="CQ65" i="15"/>
  <c r="CN65" i="15"/>
  <c r="CM65" i="15"/>
  <c r="CL65" i="15"/>
  <c r="CK65" i="15"/>
  <c r="CJ65" i="15"/>
  <c r="CG65" i="15"/>
  <c r="CF65" i="15"/>
  <c r="CE65" i="15"/>
  <c r="CD65" i="15"/>
  <c r="CC65" i="15"/>
  <c r="BZ65" i="15"/>
  <c r="BY65" i="15"/>
  <c r="BX65" i="15"/>
  <c r="BW65" i="15"/>
  <c r="BV65" i="15"/>
  <c r="BS65" i="15"/>
  <c r="BR65" i="15"/>
  <c r="BQ65" i="15"/>
  <c r="BP65" i="15"/>
  <c r="BO65" i="15"/>
  <c r="BL65" i="15"/>
  <c r="BK65" i="15"/>
  <c r="BJ65" i="15"/>
  <c r="BI65" i="15"/>
  <c r="BH65" i="15"/>
  <c r="BF65" i="15" a="1"/>
  <c r="BF65" i="15" s="1"/>
  <c r="BE65" i="15"/>
  <c r="BD65" i="15"/>
  <c r="BC65" i="15"/>
  <c r="AK65" i="15"/>
  <c r="AI65" i="15"/>
  <c r="AH65" i="15"/>
  <c r="AG65" i="15"/>
  <c r="AF65" i="15"/>
  <c r="N65" i="15"/>
  <c r="L65" i="15"/>
  <c r="K65" i="15"/>
  <c r="J65" i="15"/>
  <c r="I65" i="15"/>
  <c r="BE64" i="15"/>
  <c r="BD64" i="15"/>
  <c r="BC64" i="15"/>
  <c r="AK64" i="15"/>
  <c r="AI64" i="15"/>
  <c r="AH64" i="15"/>
  <c r="AG64" i="15"/>
  <c r="AF64" i="15"/>
  <c r="N64" i="15"/>
  <c r="L64" i="15"/>
  <c r="K64" i="15"/>
  <c r="J64" i="15"/>
  <c r="I64" i="15"/>
  <c r="BE63" i="15"/>
  <c r="BD63" i="15"/>
  <c r="BC63" i="15"/>
  <c r="AK63" i="15"/>
  <c r="AI63" i="15"/>
  <c r="AH63" i="15"/>
  <c r="AG63" i="15"/>
  <c r="AF63" i="15"/>
  <c r="N63" i="15"/>
  <c r="L63" i="15"/>
  <c r="K63" i="15"/>
  <c r="J63" i="15"/>
  <c r="I63" i="15"/>
  <c r="BE62" i="15"/>
  <c r="BD62" i="15"/>
  <c r="BC62" i="15"/>
  <c r="AK62" i="15"/>
  <c r="AI62" i="15"/>
  <c r="AH62" i="15"/>
  <c r="AG62" i="15"/>
  <c r="AF62" i="15"/>
  <c r="N62" i="15"/>
  <c r="L62" i="15"/>
  <c r="K62" i="15"/>
  <c r="J62" i="15"/>
  <c r="I62" i="15"/>
  <c r="BE61" i="15"/>
  <c r="BD61" i="15"/>
  <c r="BC61" i="15"/>
  <c r="AK61" i="15"/>
  <c r="AI61" i="15"/>
  <c r="AH61" i="15"/>
  <c r="AG61" i="15"/>
  <c r="AF61" i="15"/>
  <c r="N61" i="15"/>
  <c r="L61" i="15"/>
  <c r="K61" i="15"/>
  <c r="J61" i="15"/>
  <c r="I61" i="15"/>
  <c r="BE60" i="15"/>
  <c r="BD60" i="15"/>
  <c r="BC60" i="15"/>
  <c r="AK60" i="15"/>
  <c r="AI60" i="15"/>
  <c r="AH60" i="15"/>
  <c r="AG60" i="15"/>
  <c r="AF60" i="15"/>
  <c r="N60" i="15"/>
  <c r="L60" i="15"/>
  <c r="K60" i="15"/>
  <c r="J60" i="15"/>
  <c r="I60" i="15"/>
  <c r="CU59" i="15"/>
  <c r="CT59" i="15"/>
  <c r="CS59" i="15"/>
  <c r="CR59" i="15"/>
  <c r="CQ59" i="15"/>
  <c r="CN59" i="15"/>
  <c r="CM59" i="15"/>
  <c r="CL59" i="15"/>
  <c r="CK59" i="15"/>
  <c r="CJ59" i="15"/>
  <c r="CG59" i="15"/>
  <c r="CF59" i="15"/>
  <c r="CE59" i="15"/>
  <c r="CD59" i="15"/>
  <c r="CC59" i="15"/>
  <c r="BZ59" i="15"/>
  <c r="BY59" i="15"/>
  <c r="BX59" i="15"/>
  <c r="BW59" i="15"/>
  <c r="BV59" i="15"/>
  <c r="BS59" i="15"/>
  <c r="BR59" i="15"/>
  <c r="BQ59" i="15"/>
  <c r="BP59" i="15"/>
  <c r="BO59" i="15"/>
  <c r="BL59" i="15"/>
  <c r="BK59" i="15"/>
  <c r="BJ59" i="15"/>
  <c r="BI59" i="15"/>
  <c r="BH59" i="15"/>
  <c r="BF59" i="15" a="1"/>
  <c r="BF59" i="15" s="1"/>
  <c r="BE59" i="15"/>
  <c r="BD59" i="15"/>
  <c r="BC59" i="15"/>
  <c r="AK59" i="15"/>
  <c r="AI59" i="15"/>
  <c r="AH59" i="15"/>
  <c r="AG59" i="15"/>
  <c r="AF59" i="15"/>
  <c r="N59" i="15"/>
  <c r="L59" i="15"/>
  <c r="K59" i="15"/>
  <c r="J59" i="15"/>
  <c r="I59" i="15"/>
  <c r="BE58" i="15"/>
  <c r="BD58" i="15"/>
  <c r="BC58" i="15"/>
  <c r="AK58" i="15"/>
  <c r="AI58" i="15"/>
  <c r="AH58" i="15"/>
  <c r="AG58" i="15"/>
  <c r="AF58" i="15"/>
  <c r="N58" i="15"/>
  <c r="L58" i="15"/>
  <c r="K58" i="15"/>
  <c r="J58" i="15"/>
  <c r="I58" i="15"/>
  <c r="BE57" i="15"/>
  <c r="BD57" i="15"/>
  <c r="BC57" i="15"/>
  <c r="AK57" i="15"/>
  <c r="AI57" i="15"/>
  <c r="AH57" i="15"/>
  <c r="AG57" i="15"/>
  <c r="AF57" i="15"/>
  <c r="N57" i="15"/>
  <c r="L57" i="15"/>
  <c r="K57" i="15"/>
  <c r="J57" i="15"/>
  <c r="I57" i="15"/>
  <c r="BE56" i="15"/>
  <c r="BD56" i="15"/>
  <c r="BC56" i="15"/>
  <c r="AK56" i="15"/>
  <c r="AI56" i="15"/>
  <c r="AH56" i="15"/>
  <c r="AG56" i="15"/>
  <c r="AF56" i="15"/>
  <c r="N56" i="15"/>
  <c r="L56" i="15"/>
  <c r="K56" i="15"/>
  <c r="J56" i="15"/>
  <c r="I56" i="15"/>
  <c r="BE55" i="15"/>
  <c r="BD55" i="15"/>
  <c r="BC55" i="15"/>
  <c r="AK55" i="15"/>
  <c r="AI55" i="15"/>
  <c r="AH55" i="15"/>
  <c r="AG55" i="15"/>
  <c r="AF55" i="15"/>
  <c r="N55" i="15"/>
  <c r="L55" i="15"/>
  <c r="K55" i="15"/>
  <c r="J55" i="15"/>
  <c r="I55" i="15"/>
  <c r="BE54" i="15"/>
  <c r="BD54" i="15"/>
  <c r="BC54" i="15"/>
  <c r="AK54" i="15"/>
  <c r="AI54" i="15"/>
  <c r="AH54" i="15"/>
  <c r="AG54" i="15"/>
  <c r="AF54" i="15"/>
  <c r="N54" i="15"/>
  <c r="L54" i="15"/>
  <c r="K54" i="15"/>
  <c r="J54" i="15"/>
  <c r="I54" i="15"/>
  <c r="CU53" i="15"/>
  <c r="CT53" i="15"/>
  <c r="CS53" i="15"/>
  <c r="CR53" i="15"/>
  <c r="CQ53" i="15"/>
  <c r="CN53" i="15"/>
  <c r="CM53" i="15"/>
  <c r="CL53" i="15"/>
  <c r="CK53" i="15"/>
  <c r="CJ53" i="15"/>
  <c r="CG53" i="15"/>
  <c r="CF53" i="15"/>
  <c r="CE53" i="15"/>
  <c r="CD53" i="15"/>
  <c r="CC53" i="15"/>
  <c r="BZ53" i="15"/>
  <c r="BY53" i="15"/>
  <c r="BX53" i="15"/>
  <c r="BW53" i="15"/>
  <c r="BV53" i="15"/>
  <c r="BS53" i="15"/>
  <c r="BR53" i="15"/>
  <c r="BQ53" i="15"/>
  <c r="BP53" i="15"/>
  <c r="BO53" i="15"/>
  <c r="BL53" i="15"/>
  <c r="BK53" i="15"/>
  <c r="BJ53" i="15"/>
  <c r="BI53" i="15"/>
  <c r="BH53" i="15"/>
  <c r="BF53" i="15" a="1"/>
  <c r="BF53" i="15" s="1"/>
  <c r="BE53" i="15"/>
  <c r="BD53" i="15"/>
  <c r="BC53" i="15"/>
  <c r="AK53" i="15"/>
  <c r="AI53" i="15"/>
  <c r="AH53" i="15"/>
  <c r="AG53" i="15"/>
  <c r="AF53" i="15"/>
  <c r="N53" i="15"/>
  <c r="L53" i="15"/>
  <c r="K53" i="15"/>
  <c r="J53" i="15"/>
  <c r="I53" i="15"/>
  <c r="BE52" i="15"/>
  <c r="BD52" i="15"/>
  <c r="BC52" i="15"/>
  <c r="AK52" i="15"/>
  <c r="AI52" i="15"/>
  <c r="AH52" i="15"/>
  <c r="AG52" i="15"/>
  <c r="AF52" i="15"/>
  <c r="N52" i="15"/>
  <c r="L52" i="15"/>
  <c r="K52" i="15"/>
  <c r="J52" i="15"/>
  <c r="I52" i="15"/>
  <c r="BE51" i="15"/>
  <c r="BD51" i="15"/>
  <c r="BC51" i="15"/>
  <c r="AK51" i="15"/>
  <c r="AI51" i="15"/>
  <c r="AH51" i="15"/>
  <c r="AG51" i="15"/>
  <c r="AF51" i="15"/>
  <c r="N51" i="15"/>
  <c r="L51" i="15"/>
  <c r="K51" i="15"/>
  <c r="J51" i="15"/>
  <c r="I51" i="15"/>
  <c r="BE50" i="15"/>
  <c r="BD50" i="15"/>
  <c r="BC50" i="15"/>
  <c r="AK50" i="15"/>
  <c r="AI50" i="15"/>
  <c r="AH50" i="15"/>
  <c r="AG50" i="15"/>
  <c r="AF50" i="15"/>
  <c r="N50" i="15"/>
  <c r="L50" i="15"/>
  <c r="K50" i="15"/>
  <c r="J50" i="15"/>
  <c r="I50" i="15"/>
  <c r="BE49" i="15"/>
  <c r="BD49" i="15"/>
  <c r="BC49" i="15"/>
  <c r="AK49" i="15"/>
  <c r="AI49" i="15"/>
  <c r="AH49" i="15"/>
  <c r="AG49" i="15"/>
  <c r="AF49" i="15"/>
  <c r="N49" i="15"/>
  <c r="L49" i="15"/>
  <c r="K49" i="15"/>
  <c r="J49" i="15"/>
  <c r="I49" i="15"/>
  <c r="BE48" i="15"/>
  <c r="BD48" i="15"/>
  <c r="BC48" i="15"/>
  <c r="AK48" i="15"/>
  <c r="AI48" i="15"/>
  <c r="AH48" i="15"/>
  <c r="AG48" i="15"/>
  <c r="AF48" i="15"/>
  <c r="N48" i="15"/>
  <c r="L48" i="15"/>
  <c r="K48" i="15"/>
  <c r="J48" i="15"/>
  <c r="I48" i="15"/>
  <c r="CU47" i="15"/>
  <c r="CT47" i="15"/>
  <c r="CS47" i="15"/>
  <c r="CR47" i="15"/>
  <c r="CQ47" i="15"/>
  <c r="CN47" i="15"/>
  <c r="CM47" i="15"/>
  <c r="CL47" i="15"/>
  <c r="CK47" i="15"/>
  <c r="CJ47" i="15"/>
  <c r="CG47" i="15"/>
  <c r="CF47" i="15"/>
  <c r="CE47" i="15"/>
  <c r="CD47" i="15"/>
  <c r="CC47" i="15"/>
  <c r="BZ47" i="15"/>
  <c r="BY47" i="15"/>
  <c r="BX47" i="15"/>
  <c r="BW47" i="15"/>
  <c r="BV47" i="15"/>
  <c r="BS47" i="15"/>
  <c r="BR47" i="15"/>
  <c r="BQ47" i="15"/>
  <c r="BP47" i="15"/>
  <c r="BO47" i="15"/>
  <c r="BL47" i="15"/>
  <c r="BK47" i="15"/>
  <c r="BJ47" i="15"/>
  <c r="BI47" i="15"/>
  <c r="BH47" i="15"/>
  <c r="BF47" i="15" a="1"/>
  <c r="BF47" i="15" s="1"/>
  <c r="BE47" i="15"/>
  <c r="BD47" i="15"/>
  <c r="BC47" i="15"/>
  <c r="AK47" i="15"/>
  <c r="AI47" i="15"/>
  <c r="AH47" i="15"/>
  <c r="AG47" i="15"/>
  <c r="AF47" i="15"/>
  <c r="N47" i="15"/>
  <c r="L47" i="15"/>
  <c r="K47" i="15"/>
  <c r="J47" i="15"/>
  <c r="I47" i="15"/>
  <c r="BE46" i="15"/>
  <c r="BD46" i="15"/>
  <c r="BC46" i="15"/>
  <c r="AK46" i="15"/>
  <c r="AI46" i="15"/>
  <c r="AH46" i="15"/>
  <c r="AG46" i="15"/>
  <c r="AF46" i="15"/>
  <c r="N46" i="15"/>
  <c r="L46" i="15"/>
  <c r="K46" i="15"/>
  <c r="J46" i="15"/>
  <c r="I46" i="15"/>
  <c r="BE45" i="15"/>
  <c r="BD45" i="15"/>
  <c r="BC45" i="15"/>
  <c r="AK45" i="15"/>
  <c r="AI45" i="15"/>
  <c r="AH45" i="15"/>
  <c r="AG45" i="15"/>
  <c r="AF45" i="15"/>
  <c r="N45" i="15"/>
  <c r="L45" i="15"/>
  <c r="K45" i="15"/>
  <c r="J45" i="15"/>
  <c r="I45" i="15"/>
  <c r="BE44" i="15"/>
  <c r="BD44" i="15"/>
  <c r="BC44" i="15"/>
  <c r="AK44" i="15"/>
  <c r="AI44" i="15"/>
  <c r="AH44" i="15"/>
  <c r="AG44" i="15"/>
  <c r="AF44" i="15"/>
  <c r="N44" i="15"/>
  <c r="L44" i="15"/>
  <c r="K44" i="15"/>
  <c r="J44" i="15"/>
  <c r="I44" i="15"/>
  <c r="BE43" i="15"/>
  <c r="BD43" i="15"/>
  <c r="BC43" i="15"/>
  <c r="AK43" i="15"/>
  <c r="AI43" i="15"/>
  <c r="AH43" i="15"/>
  <c r="AG43" i="15"/>
  <c r="AF43" i="15"/>
  <c r="N43" i="15"/>
  <c r="L43" i="15"/>
  <c r="K43" i="15"/>
  <c r="J43" i="15"/>
  <c r="I43" i="15"/>
  <c r="BE42" i="15"/>
  <c r="BD42" i="15"/>
  <c r="BC42" i="15"/>
  <c r="AK42" i="15"/>
  <c r="AI42" i="15"/>
  <c r="AH42" i="15"/>
  <c r="AG42" i="15"/>
  <c r="AF42" i="15"/>
  <c r="N42" i="15"/>
  <c r="L42" i="15"/>
  <c r="K42" i="15"/>
  <c r="J42" i="15"/>
  <c r="I42" i="15"/>
  <c r="CU41" i="15"/>
  <c r="CT41" i="15"/>
  <c r="CS41" i="15"/>
  <c r="CR41" i="15"/>
  <c r="CQ41" i="15"/>
  <c r="CN41" i="15"/>
  <c r="CM41" i="15"/>
  <c r="CL41" i="15"/>
  <c r="CK41" i="15"/>
  <c r="CJ41" i="15"/>
  <c r="CG41" i="15"/>
  <c r="CF41" i="15"/>
  <c r="CE41" i="15"/>
  <c r="CD41" i="15"/>
  <c r="CC41" i="15"/>
  <c r="BZ41" i="15"/>
  <c r="BY41" i="15"/>
  <c r="BX41" i="15"/>
  <c r="BW41" i="15"/>
  <c r="BV41" i="15"/>
  <c r="BS41" i="15"/>
  <c r="BR41" i="15"/>
  <c r="BQ41" i="15"/>
  <c r="BP41" i="15"/>
  <c r="BO41" i="15"/>
  <c r="BL41" i="15"/>
  <c r="BK41" i="15"/>
  <c r="BJ41" i="15"/>
  <c r="BI41" i="15"/>
  <c r="BH41" i="15"/>
  <c r="BF41" i="15" a="1"/>
  <c r="BF41" i="15" s="1"/>
  <c r="BF138" i="15" s="1"/>
  <c r="BE41" i="15"/>
  <c r="BE138" i="15" s="1"/>
  <c r="BD41" i="15"/>
  <c r="BD138" i="15" s="1"/>
  <c r="BC41" i="15"/>
  <c r="BC138" i="15" s="1"/>
  <c r="AK41" i="15"/>
  <c r="AI41" i="15"/>
  <c r="AH41" i="15"/>
  <c r="AG41" i="15"/>
  <c r="AF41" i="15"/>
  <c r="N41" i="15"/>
  <c r="L41" i="15"/>
  <c r="K41" i="15"/>
  <c r="J41" i="15"/>
  <c r="I41" i="15"/>
  <c r="BE40" i="15"/>
  <c r="BD40" i="15"/>
  <c r="BC40" i="15"/>
  <c r="AK40" i="15"/>
  <c r="AJ40" i="15"/>
  <c r="AH40" i="15"/>
  <c r="AG40" i="15"/>
  <c r="AF40" i="15"/>
  <c r="N40" i="15"/>
  <c r="M40" i="15"/>
  <c r="K40" i="15"/>
  <c r="J40" i="15"/>
  <c r="I40" i="15"/>
  <c r="BE39" i="15"/>
  <c r="BD39" i="15"/>
  <c r="BC39" i="15"/>
  <c r="AK39" i="15"/>
  <c r="AJ39" i="15"/>
  <c r="AH39" i="15"/>
  <c r="AG39" i="15"/>
  <c r="AF39" i="15"/>
  <c r="N39" i="15"/>
  <c r="M39" i="15"/>
  <c r="K39" i="15"/>
  <c r="J39" i="15"/>
  <c r="I39" i="15"/>
  <c r="BE38" i="15"/>
  <c r="BD38" i="15"/>
  <c r="BC38" i="15"/>
  <c r="AK38" i="15"/>
  <c r="AJ38" i="15"/>
  <c r="AH38" i="15"/>
  <c r="AG38" i="15"/>
  <c r="AF38" i="15"/>
  <c r="N38" i="15"/>
  <c r="M38" i="15"/>
  <c r="K38" i="15"/>
  <c r="J38" i="15"/>
  <c r="I38" i="15"/>
  <c r="BE37" i="15"/>
  <c r="BD37" i="15"/>
  <c r="BC37" i="15"/>
  <c r="AK37" i="15"/>
  <c r="AJ37" i="15"/>
  <c r="AH37" i="15"/>
  <c r="AG37" i="15"/>
  <c r="AF37" i="15"/>
  <c r="N37" i="15"/>
  <c r="M37" i="15"/>
  <c r="K37" i="15"/>
  <c r="J37" i="15"/>
  <c r="I37" i="15"/>
  <c r="BE36" i="15"/>
  <c r="BD36" i="15"/>
  <c r="BC36" i="15"/>
  <c r="AK36" i="15"/>
  <c r="AJ36" i="15"/>
  <c r="AH36" i="15"/>
  <c r="AG36" i="15"/>
  <c r="AF36" i="15"/>
  <c r="N36" i="15"/>
  <c r="M36" i="15"/>
  <c r="K36" i="15"/>
  <c r="J36" i="15"/>
  <c r="I36" i="15"/>
  <c r="CV35" i="15"/>
  <c r="CR35" i="15"/>
  <c r="CQ35" i="15"/>
  <c r="CO35" i="15"/>
  <c r="CK35" i="15"/>
  <c r="CJ35" i="15"/>
  <c r="CH35" i="15"/>
  <c r="CD35" i="15"/>
  <c r="CC35" i="15"/>
  <c r="CA35" i="15"/>
  <c r="BW35" i="15"/>
  <c r="BV35" i="15"/>
  <c r="BT35" i="15"/>
  <c r="BP35" i="15"/>
  <c r="BO35" i="15"/>
  <c r="BM35" i="15"/>
  <c r="BI35" i="15"/>
  <c r="BH35" i="15"/>
  <c r="BF35" i="15" a="1"/>
  <c r="BF35" i="15" s="1"/>
  <c r="BE35" i="15"/>
  <c r="BD35" i="15"/>
  <c r="BC35" i="15"/>
  <c r="AK35" i="15"/>
  <c r="AJ35" i="15"/>
  <c r="AH35" i="15"/>
  <c r="AG35" i="15"/>
  <c r="AF35" i="15"/>
  <c r="N35" i="15"/>
  <c r="M35" i="15"/>
  <c r="K35" i="15"/>
  <c r="J35" i="15"/>
  <c r="I35" i="15"/>
  <c r="BE34" i="15"/>
  <c r="BD34" i="15"/>
  <c r="BC34" i="15"/>
  <c r="AK34" i="15"/>
  <c r="AJ34" i="15"/>
  <c r="AH34" i="15"/>
  <c r="AG34" i="15"/>
  <c r="AF34" i="15"/>
  <c r="N34" i="15"/>
  <c r="M34" i="15"/>
  <c r="K34" i="15"/>
  <c r="J34" i="15"/>
  <c r="I34" i="15"/>
  <c r="BE33" i="15"/>
  <c r="BD33" i="15"/>
  <c r="BC33" i="15"/>
  <c r="AK33" i="15"/>
  <c r="AJ33" i="15"/>
  <c r="AH33" i="15"/>
  <c r="AG33" i="15"/>
  <c r="AF33" i="15"/>
  <c r="N33" i="15"/>
  <c r="M33" i="15"/>
  <c r="K33" i="15"/>
  <c r="J33" i="15"/>
  <c r="I33" i="15"/>
  <c r="BE32" i="15"/>
  <c r="BD32" i="15"/>
  <c r="BC32" i="15"/>
  <c r="AK32" i="15"/>
  <c r="AJ32" i="15"/>
  <c r="AH32" i="15"/>
  <c r="AG32" i="15"/>
  <c r="AF32" i="15"/>
  <c r="N32" i="15"/>
  <c r="M32" i="15"/>
  <c r="K32" i="15"/>
  <c r="J32" i="15"/>
  <c r="I32" i="15"/>
  <c r="BE31" i="15"/>
  <c r="BD31" i="15"/>
  <c r="BC31" i="15"/>
  <c r="AK31" i="15"/>
  <c r="AJ31" i="15"/>
  <c r="AH31" i="15"/>
  <c r="AG31" i="15"/>
  <c r="AF31" i="15"/>
  <c r="N31" i="15"/>
  <c r="M31" i="15"/>
  <c r="K31" i="15"/>
  <c r="J31" i="15"/>
  <c r="I31" i="15"/>
  <c r="BE30" i="15"/>
  <c r="BD30" i="15"/>
  <c r="BC30" i="15"/>
  <c r="AK30" i="15"/>
  <c r="AJ30" i="15"/>
  <c r="AH30" i="15"/>
  <c r="AG30" i="15"/>
  <c r="AF30" i="15"/>
  <c r="N30" i="15"/>
  <c r="M30" i="15"/>
  <c r="K30" i="15"/>
  <c r="J30" i="15"/>
  <c r="I30" i="15"/>
  <c r="CV29" i="15"/>
  <c r="CR29" i="15"/>
  <c r="CQ29" i="15"/>
  <c r="CO29" i="15"/>
  <c r="CK29" i="15"/>
  <c r="CJ29" i="15"/>
  <c r="CH29" i="15"/>
  <c r="CD29" i="15"/>
  <c r="CC29" i="15"/>
  <c r="CA29" i="15"/>
  <c r="BW29" i="15"/>
  <c r="BV29" i="15"/>
  <c r="BT29" i="15"/>
  <c r="BP29" i="15"/>
  <c r="BO29" i="15"/>
  <c r="BM29" i="15"/>
  <c r="BI29" i="15"/>
  <c r="BH29" i="15"/>
  <c r="BF29" i="15" a="1"/>
  <c r="BF29" i="15" s="1"/>
  <c r="BE29" i="15"/>
  <c r="BD29" i="15"/>
  <c r="BC29" i="15"/>
  <c r="AK29" i="15"/>
  <c r="AJ29" i="15"/>
  <c r="AH29" i="15"/>
  <c r="AG29" i="15"/>
  <c r="AF29" i="15"/>
  <c r="N29" i="15"/>
  <c r="M29" i="15"/>
  <c r="K29" i="15"/>
  <c r="J29" i="15"/>
  <c r="I29" i="15"/>
  <c r="BE28" i="15"/>
  <c r="BD28" i="15"/>
  <c r="BC28" i="15"/>
  <c r="AK28" i="15"/>
  <c r="AJ28" i="15"/>
  <c r="AH28" i="15"/>
  <c r="AG28" i="15"/>
  <c r="AF28" i="15"/>
  <c r="N28" i="15"/>
  <c r="M28" i="15"/>
  <c r="K28" i="15"/>
  <c r="J28" i="15"/>
  <c r="I28" i="15"/>
  <c r="BE27" i="15"/>
  <c r="BD27" i="15"/>
  <c r="BC27" i="15"/>
  <c r="AK27" i="15"/>
  <c r="AJ27" i="15"/>
  <c r="AH27" i="15"/>
  <c r="AG27" i="15"/>
  <c r="AF27" i="15"/>
  <c r="N27" i="15"/>
  <c r="M27" i="15"/>
  <c r="K27" i="15"/>
  <c r="J27" i="15"/>
  <c r="I27" i="15"/>
  <c r="BE26" i="15"/>
  <c r="BD26" i="15"/>
  <c r="BC26" i="15"/>
  <c r="AK26" i="15"/>
  <c r="AJ26" i="15"/>
  <c r="AH26" i="15"/>
  <c r="AG26" i="15"/>
  <c r="AF26" i="15"/>
  <c r="N26" i="15"/>
  <c r="M26" i="15"/>
  <c r="K26" i="15"/>
  <c r="J26" i="15"/>
  <c r="I26" i="15"/>
  <c r="BE25" i="15"/>
  <c r="BD25" i="15"/>
  <c r="BC25" i="15"/>
  <c r="AK25" i="15"/>
  <c r="AJ25" i="15"/>
  <c r="AH25" i="15"/>
  <c r="AG25" i="15"/>
  <c r="AF25" i="15"/>
  <c r="N25" i="15"/>
  <c r="M25" i="15"/>
  <c r="K25" i="15"/>
  <c r="J25" i="15"/>
  <c r="I25" i="15"/>
  <c r="BE24" i="15"/>
  <c r="BD24" i="15"/>
  <c r="BC24" i="15"/>
  <c r="AK24" i="15"/>
  <c r="AJ24" i="15"/>
  <c r="AH24" i="15"/>
  <c r="AG24" i="15"/>
  <c r="AF24" i="15"/>
  <c r="N24" i="15"/>
  <c r="M24" i="15"/>
  <c r="K24" i="15"/>
  <c r="J24" i="15"/>
  <c r="I24" i="15"/>
  <c r="CV23" i="15"/>
  <c r="CR23" i="15"/>
  <c r="CQ23" i="15"/>
  <c r="CO23" i="15"/>
  <c r="CK23" i="15"/>
  <c r="CJ23" i="15"/>
  <c r="CH23" i="15"/>
  <c r="CD23" i="15"/>
  <c r="CC23" i="15"/>
  <c r="CA23" i="15"/>
  <c r="BW23" i="15"/>
  <c r="BV23" i="15"/>
  <c r="BT23" i="15"/>
  <c r="BP23" i="15"/>
  <c r="BO23" i="15"/>
  <c r="BM23" i="15"/>
  <c r="BI23" i="15"/>
  <c r="BH23" i="15"/>
  <c r="BF23" i="15" a="1"/>
  <c r="BF23" i="15" s="1"/>
  <c r="BE23" i="15"/>
  <c r="BD23" i="15"/>
  <c r="BC23" i="15"/>
  <c r="AK23" i="15"/>
  <c r="AJ23" i="15"/>
  <c r="AH23" i="15"/>
  <c r="AG23" i="15"/>
  <c r="AF23" i="15"/>
  <c r="N23" i="15"/>
  <c r="M23" i="15"/>
  <c r="K23" i="15"/>
  <c r="J23" i="15"/>
  <c r="I23" i="15"/>
  <c r="BE22" i="15"/>
  <c r="BD22" i="15"/>
  <c r="BC22" i="15"/>
  <c r="AK22" i="15"/>
  <c r="AJ22" i="15"/>
  <c r="AH22" i="15"/>
  <c r="AG22" i="15"/>
  <c r="AF22" i="15"/>
  <c r="N22" i="15"/>
  <c r="M22" i="15"/>
  <c r="K22" i="15"/>
  <c r="J22" i="15"/>
  <c r="I22" i="15"/>
  <c r="BE21" i="15"/>
  <c r="BD21" i="15"/>
  <c r="BC21" i="15"/>
  <c r="AK21" i="15"/>
  <c r="AJ21" i="15"/>
  <c r="AH21" i="15"/>
  <c r="AG21" i="15"/>
  <c r="AF21" i="15"/>
  <c r="N21" i="15"/>
  <c r="M21" i="15"/>
  <c r="K21" i="15"/>
  <c r="J21" i="15"/>
  <c r="I21" i="15"/>
  <c r="BE20" i="15"/>
  <c r="BD20" i="15"/>
  <c r="BC20" i="15"/>
  <c r="AK20" i="15"/>
  <c r="AJ20" i="15"/>
  <c r="AH20" i="15"/>
  <c r="AG20" i="15"/>
  <c r="AF20" i="15"/>
  <c r="N20" i="15"/>
  <c r="M20" i="15"/>
  <c r="K20" i="15"/>
  <c r="J20" i="15"/>
  <c r="I20" i="15"/>
  <c r="BE19" i="15"/>
  <c r="BD19" i="15"/>
  <c r="BC19" i="15"/>
  <c r="AK19" i="15"/>
  <c r="AJ19" i="15"/>
  <c r="AH19" i="15"/>
  <c r="AG19" i="15"/>
  <c r="AF19" i="15"/>
  <c r="N19" i="15"/>
  <c r="M19" i="15"/>
  <c r="K19" i="15"/>
  <c r="J19" i="15"/>
  <c r="I19" i="15"/>
  <c r="BE18" i="15"/>
  <c r="BD18" i="15"/>
  <c r="BC18" i="15"/>
  <c r="AK18" i="15"/>
  <c r="AJ18" i="15"/>
  <c r="AH18" i="15"/>
  <c r="AG18" i="15"/>
  <c r="AF18" i="15"/>
  <c r="N18" i="15"/>
  <c r="M18" i="15"/>
  <c r="K18" i="15"/>
  <c r="J18" i="15"/>
  <c r="I18" i="15"/>
  <c r="CV17" i="15"/>
  <c r="CR17" i="15"/>
  <c r="CQ17" i="15"/>
  <c r="CO17" i="15"/>
  <c r="CK17" i="15"/>
  <c r="CJ17" i="15"/>
  <c r="CH17" i="15"/>
  <c r="CD17" i="15"/>
  <c r="CC17" i="15"/>
  <c r="CA17" i="15"/>
  <c r="BW17" i="15"/>
  <c r="BV17" i="15"/>
  <c r="BT17" i="15"/>
  <c r="BP17" i="15"/>
  <c r="BO17" i="15"/>
  <c r="BM17" i="15"/>
  <c r="BI17" i="15"/>
  <c r="BH17" i="15"/>
  <c r="BF17" i="15" a="1"/>
  <c r="BF17" i="15" s="1"/>
  <c r="BE17" i="15"/>
  <c r="BD17" i="15"/>
  <c r="BC17" i="15"/>
  <c r="AK17" i="15"/>
  <c r="AJ17" i="15"/>
  <c r="AH17" i="15"/>
  <c r="AG17" i="15"/>
  <c r="AF17" i="15"/>
  <c r="N17" i="15"/>
  <c r="M17" i="15"/>
  <c r="K17" i="15"/>
  <c r="J17" i="15"/>
  <c r="I17" i="15"/>
  <c r="BE16" i="15"/>
  <c r="BD16" i="15"/>
  <c r="BC16" i="15"/>
  <c r="AK16" i="15"/>
  <c r="AJ16" i="15"/>
  <c r="AH16" i="15"/>
  <c r="AG16" i="15"/>
  <c r="AF16" i="15"/>
  <c r="N16" i="15"/>
  <c r="M16" i="15"/>
  <c r="K16" i="15"/>
  <c r="J16" i="15"/>
  <c r="I16" i="15"/>
  <c r="BE15" i="15"/>
  <c r="BD15" i="15"/>
  <c r="BC15" i="15"/>
  <c r="AK15" i="15"/>
  <c r="AJ15" i="15"/>
  <c r="AH15" i="15"/>
  <c r="AG15" i="15"/>
  <c r="AF15" i="15"/>
  <c r="N15" i="15"/>
  <c r="M15" i="15"/>
  <c r="K15" i="15"/>
  <c r="J15" i="15"/>
  <c r="I15" i="15"/>
  <c r="BE14" i="15"/>
  <c r="BD14" i="15"/>
  <c r="BC14" i="15"/>
  <c r="AK14" i="15"/>
  <c r="AJ14" i="15"/>
  <c r="AH14" i="15"/>
  <c r="AG14" i="15"/>
  <c r="AF14" i="15"/>
  <c r="N14" i="15"/>
  <c r="M14" i="15"/>
  <c r="K14" i="15"/>
  <c r="J14" i="15"/>
  <c r="I14" i="15"/>
  <c r="BE13" i="15"/>
  <c r="BD13" i="15"/>
  <c r="BC13" i="15"/>
  <c r="AK13" i="15"/>
  <c r="AJ13" i="15"/>
  <c r="AH13" i="15"/>
  <c r="AG13" i="15"/>
  <c r="AF13" i="15"/>
  <c r="N13" i="15"/>
  <c r="M13" i="15"/>
  <c r="K13" i="15"/>
  <c r="J13" i="15"/>
  <c r="I13" i="15"/>
  <c r="BE12" i="15"/>
  <c r="BD12" i="15"/>
  <c r="BC12" i="15"/>
  <c r="AK12" i="15"/>
  <c r="AJ12" i="15"/>
  <c r="AH12" i="15"/>
  <c r="AG12" i="15"/>
  <c r="AF12" i="15"/>
  <c r="N12" i="15"/>
  <c r="M12" i="15"/>
  <c r="K12" i="15"/>
  <c r="J12" i="15"/>
  <c r="I12" i="15"/>
  <c r="CV11" i="15"/>
  <c r="CR11" i="15"/>
  <c r="CQ11" i="15"/>
  <c r="CO11" i="15"/>
  <c r="CK11" i="15"/>
  <c r="CJ11" i="15"/>
  <c r="CH11" i="15"/>
  <c r="CD11" i="15"/>
  <c r="CC11" i="15"/>
  <c r="CA11" i="15"/>
  <c r="BW11" i="15"/>
  <c r="BV11" i="15"/>
  <c r="BT11" i="15"/>
  <c r="BP11" i="15"/>
  <c r="BO11" i="15"/>
  <c r="BM11" i="15"/>
  <c r="BI11" i="15"/>
  <c r="BH11" i="15"/>
  <c r="BF11" i="15"/>
  <c r="BF11" i="15" a="1"/>
  <c r="BE11" i="15"/>
  <c r="BD11" i="15"/>
  <c r="BC11" i="15"/>
  <c r="AK11" i="15"/>
  <c r="AJ11" i="15"/>
  <c r="AH11" i="15"/>
  <c r="AG11" i="15"/>
  <c r="AF11" i="15"/>
  <c r="N11" i="15"/>
  <c r="M11" i="15"/>
  <c r="K11" i="15"/>
  <c r="J11" i="15"/>
  <c r="I11" i="15"/>
  <c r="BE10" i="15"/>
  <c r="BD10" i="15"/>
  <c r="BC10" i="15"/>
  <c r="AK10" i="15"/>
  <c r="AJ10" i="15"/>
  <c r="AH10" i="15"/>
  <c r="AG10" i="15"/>
  <c r="AF10" i="15"/>
  <c r="N10" i="15"/>
  <c r="M10" i="15"/>
  <c r="K10" i="15"/>
  <c r="J10" i="15"/>
  <c r="I10" i="15"/>
  <c r="BE9" i="15"/>
  <c r="BD9" i="15"/>
  <c r="BC9" i="15"/>
  <c r="AK9" i="15"/>
  <c r="AJ9" i="15"/>
  <c r="AH9" i="15"/>
  <c r="AG9" i="15"/>
  <c r="AF9" i="15"/>
  <c r="N9" i="15"/>
  <c r="M9" i="15"/>
  <c r="K9" i="15"/>
  <c r="J9" i="15"/>
  <c r="I9" i="15"/>
  <c r="BE8" i="15"/>
  <c r="BD8" i="15"/>
  <c r="BC8" i="15"/>
  <c r="AK8" i="15"/>
  <c r="AJ8" i="15"/>
  <c r="AH8" i="15"/>
  <c r="AG8" i="15"/>
  <c r="AF8" i="15"/>
  <c r="N8" i="15"/>
  <c r="M8" i="15"/>
  <c r="K8" i="15"/>
  <c r="J8" i="15"/>
  <c r="I8" i="15"/>
  <c r="BE7" i="15"/>
  <c r="BD7" i="15"/>
  <c r="BC7" i="15"/>
  <c r="AK7" i="15"/>
  <c r="AJ7" i="15"/>
  <c r="AH7" i="15"/>
  <c r="AG7" i="15"/>
  <c r="AF7" i="15"/>
  <c r="N7" i="15"/>
  <c r="M7" i="15"/>
  <c r="K7" i="15"/>
  <c r="J7" i="15"/>
  <c r="I7" i="15"/>
  <c r="BE6" i="15"/>
  <c r="BD6" i="15"/>
  <c r="BC6" i="15"/>
  <c r="AK6" i="15"/>
  <c r="AJ6" i="15"/>
  <c r="AH6" i="15"/>
  <c r="AG6" i="15"/>
  <c r="AF6" i="15"/>
  <c r="N6" i="15"/>
  <c r="M6" i="15"/>
  <c r="K6" i="15"/>
  <c r="J6" i="15"/>
  <c r="I6" i="15"/>
  <c r="CV5" i="15"/>
  <c r="CR5" i="15"/>
  <c r="CQ5" i="15"/>
  <c r="CO5" i="15"/>
  <c r="CK5" i="15"/>
  <c r="CJ5" i="15"/>
  <c r="CH5" i="15"/>
  <c r="CD5" i="15"/>
  <c r="CC5" i="15"/>
  <c r="CA5" i="15"/>
  <c r="BW5" i="15"/>
  <c r="BV5" i="15"/>
  <c r="BT5" i="15"/>
  <c r="BP5" i="15"/>
  <c r="BO5" i="15"/>
  <c r="BM5" i="15"/>
  <c r="BI5" i="15"/>
  <c r="BH5" i="15"/>
  <c r="BF5" i="15" a="1"/>
  <c r="BF5" i="15" s="1"/>
  <c r="BE5" i="15"/>
  <c r="BE142" i="15" s="1"/>
  <c r="BD5" i="15"/>
  <c r="BD142" i="15" s="1"/>
  <c r="BC5" i="15"/>
  <c r="BC142" i="15" s="1"/>
  <c r="AK5" i="15"/>
  <c r="AJ5" i="15"/>
  <c r="AH5" i="15"/>
  <c r="AG5" i="15"/>
  <c r="AF5" i="15"/>
  <c r="N5" i="15"/>
  <c r="M5" i="15"/>
  <c r="K5" i="15"/>
  <c r="J5" i="15"/>
  <c r="I5" i="15"/>
  <c r="AF1" i="15"/>
  <c r="I1" i="15"/>
  <c r="M94" i="15" l="1"/>
  <c r="BF138" i="16"/>
  <c r="J93" i="16"/>
  <c r="AT147" i="16"/>
  <c r="AJ119" i="17"/>
  <c r="BO119" i="17"/>
  <c r="BL120" i="17"/>
  <c r="BT117" i="17"/>
  <c r="J118" i="17"/>
  <c r="BN118" i="17"/>
  <c r="CB118" i="17"/>
  <c r="BW118" i="17"/>
  <c r="BA121" i="17"/>
  <c r="BA122" i="17"/>
  <c r="BA124" i="17"/>
  <c r="BA126" i="17"/>
  <c r="AS14" i="18"/>
  <c r="AT16" i="18"/>
  <c r="AS18" i="18"/>
  <c r="CA139" i="16"/>
  <c r="M93" i="16"/>
  <c r="J96" i="16"/>
  <c r="AS145" i="16"/>
  <c r="BT119" i="17"/>
  <c r="CC118" i="17"/>
  <c r="BL118" i="17"/>
  <c r="BB121" i="17"/>
  <c r="BB123" i="17"/>
  <c r="AR6" i="18"/>
  <c r="AR7" i="18"/>
  <c r="AS16" i="18"/>
  <c r="H18" i="18"/>
  <c r="M19" i="18"/>
  <c r="AT26" i="18"/>
  <c r="AL33" i="18"/>
  <c r="AL34" i="18"/>
  <c r="K137" i="16"/>
  <c r="BV142" i="16"/>
  <c r="AU144" i="16"/>
  <c r="AS146" i="16"/>
  <c r="BC121" i="17"/>
  <c r="BC122" i="17"/>
  <c r="AE31" i="18"/>
  <c r="AS7" i="18"/>
  <c r="AR8" i="18"/>
  <c r="AR9" i="18"/>
  <c r="AM34" i="18"/>
  <c r="AM35" i="18"/>
  <c r="AW31" i="18"/>
  <c r="J95" i="16"/>
  <c r="BP140" i="16"/>
  <c r="AV144" i="16"/>
  <c r="AU145" i="16"/>
  <c r="BD121" i="17"/>
  <c r="BD122" i="17"/>
  <c r="BD124" i="17"/>
  <c r="AU6" i="18"/>
  <c r="AS9" i="18"/>
  <c r="AR10" i="18"/>
  <c r="AB28" i="18"/>
  <c r="M18" i="18"/>
  <c r="AR22" i="18"/>
  <c r="AV29" i="18"/>
  <c r="AM36" i="18"/>
  <c r="BN142" i="16"/>
  <c r="BZ142" i="16"/>
  <c r="AV145" i="16"/>
  <c r="AU146" i="16"/>
  <c r="AS147" i="16"/>
  <c r="M115" i="17"/>
  <c r="J116" i="17"/>
  <c r="CB116" i="17"/>
  <c r="AU8" i="18"/>
  <c r="AS11" i="18"/>
  <c r="AR12" i="18"/>
  <c r="AR13" i="18"/>
  <c r="AC29" i="18"/>
  <c r="AS21" i="18"/>
  <c r="AS22" i="18"/>
  <c r="AU10" i="18"/>
  <c r="J28" i="18"/>
  <c r="AS13" i="18"/>
  <c r="AR14" i="18"/>
  <c r="AU21" i="18"/>
  <c r="AW30" i="18"/>
  <c r="AV31" i="18"/>
  <c r="M90" i="16"/>
  <c r="J99" i="16"/>
  <c r="BF140" i="16"/>
  <c r="BT140" i="16"/>
  <c r="AT11" i="18"/>
  <c r="AS19" i="18"/>
  <c r="AR25" i="18"/>
  <c r="BG141" i="16"/>
  <c r="AE138" i="16"/>
  <c r="BI138" i="16"/>
  <c r="CC142" i="16"/>
  <c r="AK120" i="17"/>
  <c r="K116" i="17"/>
  <c r="CC120" i="17"/>
  <c r="AL117" i="17"/>
  <c r="AI118" i="17"/>
  <c r="BQ118" i="17"/>
  <c r="BO115" i="17"/>
  <c r="BB126" i="17"/>
  <c r="AB30" i="18"/>
  <c r="AR30" i="18" s="1"/>
  <c r="BL142" i="16"/>
  <c r="BJ138" i="16"/>
  <c r="CD142" i="16"/>
  <c r="AE139" i="16"/>
  <c r="M96" i="16"/>
  <c r="M100" i="16"/>
  <c r="AU143" i="16"/>
  <c r="AL120" i="17"/>
  <c r="L120" i="17"/>
  <c r="BL116" i="17"/>
  <c r="BR118" i="17"/>
  <c r="BT115" i="17"/>
  <c r="BA125" i="17"/>
  <c r="BC126" i="17"/>
  <c r="AC30" i="18"/>
  <c r="AC28" i="18"/>
  <c r="AE137" i="16"/>
  <c r="BQ141" i="16"/>
  <c r="AG138" i="16"/>
  <c r="BK138" i="16"/>
  <c r="CE142" i="16"/>
  <c r="AF139" i="16"/>
  <c r="BV139" i="16"/>
  <c r="J86" i="16"/>
  <c r="BS140" i="16"/>
  <c r="AV143" i="16"/>
  <c r="BN138" i="16"/>
  <c r="BM116" i="17"/>
  <c r="BS118" i="17"/>
  <c r="BV118" i="17"/>
  <c r="BB125" i="17"/>
  <c r="BD126" i="17"/>
  <c r="K28" i="18"/>
  <c r="AS28" i="18" s="1"/>
  <c r="J19" i="18"/>
  <c r="AR19" i="18" s="1"/>
  <c r="AD30" i="18"/>
  <c r="BN116" i="17"/>
  <c r="BC125" i="17"/>
  <c r="AL38" i="18"/>
  <c r="AG142" i="16"/>
  <c r="CA137" i="16"/>
  <c r="BO142" i="16"/>
  <c r="AH139" i="16"/>
  <c r="CF139" i="16"/>
  <c r="J92" i="16"/>
  <c r="M97" i="16"/>
  <c r="K140" i="16"/>
  <c r="BU140" i="16"/>
  <c r="AS148" i="16"/>
  <c r="AI116" i="17"/>
  <c r="BQ116" i="17"/>
  <c r="BX118" i="17"/>
  <c r="BB124" i="17"/>
  <c r="BD125" i="17"/>
  <c r="BM120" i="17"/>
  <c r="AF137" i="16"/>
  <c r="AH142" i="16"/>
  <c r="CF142" i="16"/>
  <c r="BP142" i="16"/>
  <c r="J87" i="16"/>
  <c r="M92" i="16"/>
  <c r="BQ139" i="16"/>
  <c r="L140" i="16"/>
  <c r="BX140" i="16"/>
  <c r="AT148" i="16"/>
  <c r="J119" i="17"/>
  <c r="AJ116" i="17"/>
  <c r="BR120" i="17"/>
  <c r="K117" i="17"/>
  <c r="J117" i="17"/>
  <c r="CA118" i="17"/>
  <c r="BC124" i="17"/>
  <c r="AE29" i="18"/>
  <c r="AR24" i="18"/>
  <c r="AM33" i="18"/>
  <c r="AW28" i="18"/>
  <c r="J140" i="16"/>
  <c r="BZ138" i="16"/>
  <c r="BV141" i="16"/>
  <c r="BS142" i="16"/>
  <c r="J98" i="16"/>
  <c r="BE140" i="16"/>
  <c r="BY140" i="16"/>
  <c r="K119" i="17"/>
  <c r="AK116" i="17"/>
  <c r="BS120" i="17"/>
  <c r="BV120" i="17"/>
  <c r="M117" i="17"/>
  <c r="BO117" i="17"/>
  <c r="AR23" i="18"/>
  <c r="AS24" i="18"/>
  <c r="AV27" i="18"/>
  <c r="AL37" i="18"/>
  <c r="AW32" i="18"/>
  <c r="AH137" i="16"/>
  <c r="J138" i="16"/>
  <c r="BT142" i="16"/>
  <c r="M98" i="16"/>
  <c r="M120" i="17"/>
  <c r="BO120" i="17"/>
  <c r="BV116" i="17"/>
  <c r="BW120" i="17"/>
  <c r="AK118" i="17"/>
  <c r="BB122" i="17"/>
  <c r="AB31" i="18"/>
  <c r="AR28" i="18"/>
  <c r="K30" i="18"/>
  <c r="AW27" i="18"/>
  <c r="K138" i="16"/>
  <c r="BU142" i="16"/>
  <c r="AE140" i="16"/>
  <c r="BI140" i="16"/>
  <c r="CC140" i="16"/>
  <c r="AT146" i="16"/>
  <c r="BT120" i="17"/>
  <c r="BW116" i="17"/>
  <c r="BX120" i="17"/>
  <c r="BY117" i="17"/>
  <c r="K118" i="17"/>
  <c r="M119" i="17"/>
  <c r="AC31" i="18"/>
  <c r="L30" i="18"/>
  <c r="AL36" i="18"/>
  <c r="L142" i="16"/>
  <c r="BD138" i="16"/>
  <c r="BX138" i="16"/>
  <c r="AF140" i="16"/>
  <c r="BJ140" i="16"/>
  <c r="AS144" i="16"/>
  <c r="BY120" i="17"/>
  <c r="BX116" i="17"/>
  <c r="AI117" i="17"/>
  <c r="CD117" i="17"/>
  <c r="L118" i="17"/>
  <c r="BM118" i="17"/>
  <c r="AE32" i="18"/>
  <c r="M27" i="18"/>
  <c r="AD32" i="18"/>
  <c r="L32" i="18"/>
  <c r="J18" i="18"/>
  <c r="AR18" i="18" s="1"/>
  <c r="AU19" i="18"/>
  <c r="AW29" i="18"/>
  <c r="M86" i="16"/>
  <c r="AY145" i="15"/>
  <c r="J137" i="16"/>
  <c r="M137" i="16"/>
  <c r="BE138" i="16"/>
  <c r="BY138" i="16"/>
  <c r="J83" i="16"/>
  <c r="J90" i="16"/>
  <c r="J94" i="16"/>
  <c r="M99" i="16"/>
  <c r="AG140" i="16"/>
  <c r="BK140" i="16"/>
  <c r="CE140" i="16"/>
  <c r="AT144" i="16"/>
  <c r="AT145" i="16"/>
  <c r="AV146" i="16"/>
  <c r="AV147" i="16"/>
  <c r="BX142" i="16"/>
  <c r="AI119" i="17"/>
  <c r="CD120" i="17"/>
  <c r="CA116" i="17"/>
  <c r="AJ117" i="17"/>
  <c r="AV30" i="18"/>
  <c r="M29" i="18"/>
  <c r="AU29" i="18" s="1"/>
  <c r="AR5" i="18"/>
  <c r="AR11" i="18"/>
  <c r="AU18" i="18"/>
  <c r="H19" i="18"/>
  <c r="J20" i="18"/>
  <c r="AT23" i="18"/>
  <c r="AD28" i="18"/>
  <c r="AT28" i="18" s="1"/>
  <c r="AS5" i="18"/>
  <c r="K20" i="18"/>
  <c r="AS20" i="18" s="1"/>
  <c r="AB27" i="18"/>
  <c r="AR27" i="18" s="1"/>
  <c r="J30" i="18"/>
  <c r="AX31" i="18"/>
  <c r="AX32" i="18"/>
  <c r="M20" i="18"/>
  <c r="AU20" i="18" s="1"/>
  <c r="J27" i="18"/>
  <c r="AC27" i="18"/>
  <c r="AY31" i="18"/>
  <c r="AY32" i="18"/>
  <c r="K27" i="18"/>
  <c r="AE27" i="18"/>
  <c r="AU27" i="18" s="1"/>
  <c r="AB29" i="18"/>
  <c r="AB32" i="18"/>
  <c r="AC32" i="18"/>
  <c r="BJ120" i="17"/>
  <c r="BJ119" i="17"/>
  <c r="BJ115" i="17"/>
  <c r="BY115" i="17"/>
  <c r="BR116" i="17"/>
  <c r="BY119" i="17"/>
  <c r="CD115" i="17"/>
  <c r="BS116" i="17"/>
  <c r="CD119" i="17"/>
  <c r="BG115" i="17"/>
  <c r="BG119" i="17"/>
  <c r="J120" i="17"/>
  <c r="AI120" i="17"/>
  <c r="BQ120" i="17"/>
  <c r="CA120" i="17"/>
  <c r="BN120" i="17"/>
  <c r="AI115" i="17"/>
  <c r="BH115" i="17"/>
  <c r="BH119" i="17"/>
  <c r="K120" i="17"/>
  <c r="AJ120" i="17"/>
  <c r="CB120" i="17"/>
  <c r="CC116" i="17"/>
  <c r="J115" i="17"/>
  <c r="AJ115" i="17"/>
  <c r="BI115" i="17"/>
  <c r="L116" i="17"/>
  <c r="BI119" i="17"/>
  <c r="K115" i="17"/>
  <c r="AL115" i="17"/>
  <c r="AL119" i="17"/>
  <c r="BG137" i="16"/>
  <c r="L138" i="16"/>
  <c r="BO138" i="16"/>
  <c r="CC138" i="16"/>
  <c r="AY141" i="16"/>
  <c r="CA141" i="16"/>
  <c r="BE142" i="16"/>
  <c r="BY142" i="16"/>
  <c r="BB137" i="16"/>
  <c r="K83" i="16"/>
  <c r="K139" i="16" s="1"/>
  <c r="BL137" i="16"/>
  <c r="BP138" i="16"/>
  <c r="CD138" i="16"/>
  <c r="AE141" i="16"/>
  <c r="AZ141" i="16"/>
  <c r="CF141" i="16"/>
  <c r="BF142" i="16"/>
  <c r="BQ137" i="16"/>
  <c r="BS138" i="16"/>
  <c r="CE138" i="16"/>
  <c r="AF141" i="16"/>
  <c r="BA141" i="16"/>
  <c r="BG142" i="16"/>
  <c r="BQ142" i="16"/>
  <c r="CA142" i="16"/>
  <c r="BV137" i="16"/>
  <c r="BT138" i="16"/>
  <c r="AH141" i="16"/>
  <c r="BB141" i="16"/>
  <c r="AE142" i="16"/>
  <c r="AY142" i="16"/>
  <c r="BI142" i="16"/>
  <c r="BU138" i="16"/>
  <c r="AF142" i="16"/>
  <c r="AZ142" i="16"/>
  <c r="BJ142" i="16"/>
  <c r="CF137" i="16"/>
  <c r="BL141" i="16"/>
  <c r="BA142" i="16"/>
  <c r="BK142" i="16"/>
  <c r="J86" i="15"/>
  <c r="BO140" i="15"/>
  <c r="BY140" i="15"/>
  <c r="CK140" i="15"/>
  <c r="CU140" i="15"/>
  <c r="J93" i="15"/>
  <c r="K93" i="15"/>
  <c r="J98" i="15"/>
  <c r="J88" i="15"/>
  <c r="K88" i="15"/>
  <c r="BO139" i="15"/>
  <c r="AY143" i="15"/>
  <c r="BA145" i="15"/>
  <c r="K98" i="15"/>
  <c r="J97" i="15"/>
  <c r="BA143" i="15"/>
  <c r="AY144" i="15"/>
  <c r="AW145" i="15"/>
  <c r="BK140" i="15"/>
  <c r="BW140" i="15"/>
  <c r="CG140" i="15"/>
  <c r="CS140" i="15"/>
  <c r="BA148" i="15"/>
  <c r="J92" i="15"/>
  <c r="BV139" i="15"/>
  <c r="CO139" i="15"/>
  <c r="BQ140" i="15"/>
  <c r="CC140" i="15"/>
  <c r="CM140" i="15"/>
  <c r="BA146" i="15"/>
  <c r="AY147" i="15"/>
  <c r="AJ142" i="15"/>
  <c r="BM142" i="15"/>
  <c r="CD142" i="15"/>
  <c r="BQ142" i="15"/>
  <c r="CC138" i="15"/>
  <c r="CM138" i="15"/>
  <c r="AG139" i="15"/>
  <c r="BW139" i="15"/>
  <c r="CQ139" i="15"/>
  <c r="BH140" i="15"/>
  <c r="BR140" i="15"/>
  <c r="CD140" i="15"/>
  <c r="CN140" i="15"/>
  <c r="AZ143" i="15"/>
  <c r="AX144" i="15"/>
  <c r="AW147" i="15"/>
  <c r="BH139" i="15"/>
  <c r="CA139" i="15"/>
  <c r="CR139" i="15"/>
  <c r="BI139" i="15"/>
  <c r="CC139" i="15"/>
  <c r="CV139" i="15"/>
  <c r="BJ140" i="15"/>
  <c r="BV140" i="15"/>
  <c r="CF140" i="15"/>
  <c r="CR140" i="15"/>
  <c r="BL140" i="15"/>
  <c r="AZ144" i="15"/>
  <c r="AZ148" i="15"/>
  <c r="BK138" i="15"/>
  <c r="BW138" i="15"/>
  <c r="CG138" i="15"/>
  <c r="CS138" i="15"/>
  <c r="CH139" i="15"/>
  <c r="BX140" i="15"/>
  <c r="CJ140" i="15"/>
  <c r="CT140" i="15"/>
  <c r="BO142" i="15"/>
  <c r="CH142" i="15"/>
  <c r="AH138" i="15"/>
  <c r="BH138" i="15"/>
  <c r="BR142" i="15"/>
  <c r="CD138" i="15"/>
  <c r="CN138" i="15"/>
  <c r="CU142" i="15"/>
  <c r="AH139" i="15"/>
  <c r="J94" i="15"/>
  <c r="K140" i="15"/>
  <c r="BA144" i="15"/>
  <c r="AX145" i="15"/>
  <c r="BP142" i="15"/>
  <c r="CJ142" i="15"/>
  <c r="AI142" i="15"/>
  <c r="BI138" i="15"/>
  <c r="BS138" i="15"/>
  <c r="CE138" i="15"/>
  <c r="CQ138" i="15"/>
  <c r="AG138" i="15"/>
  <c r="CL142" i="15"/>
  <c r="AJ139" i="15"/>
  <c r="K87" i="15"/>
  <c r="L140" i="15"/>
  <c r="AW146" i="15"/>
  <c r="AX147" i="15"/>
  <c r="CK142" i="15"/>
  <c r="J138" i="15"/>
  <c r="BJ138" i="15"/>
  <c r="BV138" i="15"/>
  <c r="CF138" i="15"/>
  <c r="CR138" i="15"/>
  <c r="BL138" i="15"/>
  <c r="BX138" i="15"/>
  <c r="CJ138" i="15"/>
  <c r="CT138" i="15"/>
  <c r="M87" i="15"/>
  <c r="M141" i="15" s="1"/>
  <c r="AW143" i="15"/>
  <c r="AZ145" i="15"/>
  <c r="AX146" i="15"/>
  <c r="AW148" i="15"/>
  <c r="BV141" i="15"/>
  <c r="CO141" i="15"/>
  <c r="BM141" i="15"/>
  <c r="CD137" i="15"/>
  <c r="K138" i="15"/>
  <c r="BP140" i="15"/>
  <c r="BZ140" i="15"/>
  <c r="CL140" i="15"/>
  <c r="AX143" i="15"/>
  <c r="AY146" i="15"/>
  <c r="AZ147" i="15"/>
  <c r="AX148" i="15"/>
  <c r="BT141" i="15"/>
  <c r="BW141" i="15"/>
  <c r="CQ141" i="15"/>
  <c r="L142" i="15"/>
  <c r="BL142" i="15"/>
  <c r="BX142" i="15"/>
  <c r="CT142" i="15"/>
  <c r="BP139" i="15"/>
  <c r="CJ139" i="15"/>
  <c r="J84" i="15"/>
  <c r="J90" i="15"/>
  <c r="J99" i="15"/>
  <c r="AG140" i="15"/>
  <c r="J140" i="15"/>
  <c r="AW144" i="15"/>
  <c r="AZ146" i="15"/>
  <c r="BA147" i="15"/>
  <c r="AY148" i="15"/>
  <c r="AG141" i="15"/>
  <c r="BH142" i="15"/>
  <c r="CA142" i="15"/>
  <c r="CR141" i="15"/>
  <c r="BO138" i="15"/>
  <c r="BY142" i="15"/>
  <c r="CK138" i="15"/>
  <c r="CU138" i="15"/>
  <c r="BT139" i="15"/>
  <c r="CK139" i="15"/>
  <c r="K84" i="15"/>
  <c r="K90" i="15"/>
  <c r="BM139" i="15"/>
  <c r="CD139" i="15"/>
  <c r="K99" i="15"/>
  <c r="AH140" i="15"/>
  <c r="AH141" i="15"/>
  <c r="BI142" i="15"/>
  <c r="CC141" i="15"/>
  <c r="CV141" i="15"/>
  <c r="BP138" i="15"/>
  <c r="BZ142" i="15"/>
  <c r="CL138" i="15"/>
  <c r="K92" i="15"/>
  <c r="AI140" i="15"/>
  <c r="BI140" i="15"/>
  <c r="BS140" i="15"/>
  <c r="CE140" i="15"/>
  <c r="CQ140" i="15"/>
  <c r="BF142" i="15"/>
  <c r="BF141" i="15"/>
  <c r="BF137" i="15"/>
  <c r="BM137" i="15"/>
  <c r="CD141" i="15"/>
  <c r="BS142" i="15"/>
  <c r="K86" i="15"/>
  <c r="J91" i="15"/>
  <c r="K97" i="15"/>
  <c r="BO137" i="15"/>
  <c r="CH137" i="15"/>
  <c r="BY138" i="15"/>
  <c r="BO141" i="15"/>
  <c r="CH141" i="15"/>
  <c r="AG142" i="15"/>
  <c r="BK142" i="15"/>
  <c r="BT142" i="15"/>
  <c r="CM142" i="15"/>
  <c r="CV142" i="15"/>
  <c r="BJ142" i="15"/>
  <c r="CC142" i="15"/>
  <c r="J85" i="15"/>
  <c r="K91" i="15"/>
  <c r="J96" i="15"/>
  <c r="J100" i="15"/>
  <c r="J137" i="15"/>
  <c r="AG137" i="15"/>
  <c r="BC137" i="15"/>
  <c r="BP137" i="15"/>
  <c r="CJ137" i="15"/>
  <c r="L138" i="15"/>
  <c r="AI138" i="15"/>
  <c r="BZ138" i="15"/>
  <c r="BC141" i="15"/>
  <c r="BP141" i="15"/>
  <c r="CJ141" i="15"/>
  <c r="AH142" i="15"/>
  <c r="BV142" i="15"/>
  <c r="CE142" i="15"/>
  <c r="CN142" i="15"/>
  <c r="K85" i="15"/>
  <c r="K96" i="15"/>
  <c r="K100" i="15"/>
  <c r="K137" i="15"/>
  <c r="AH137" i="15"/>
  <c r="BD137" i="15"/>
  <c r="BT137" i="15"/>
  <c r="CK137" i="15"/>
  <c r="BQ138" i="15"/>
  <c r="BD141" i="15"/>
  <c r="CK141" i="15"/>
  <c r="BW142" i="15"/>
  <c r="CF142" i="15"/>
  <c r="CO142" i="15"/>
  <c r="M137" i="15"/>
  <c r="AJ137" i="15"/>
  <c r="BE137" i="15"/>
  <c r="BV137" i="15"/>
  <c r="CO137" i="15"/>
  <c r="BR138" i="15"/>
  <c r="AJ141" i="15"/>
  <c r="BE141" i="15"/>
  <c r="CG142" i="15"/>
  <c r="CQ142" i="15"/>
  <c r="BW137" i="15"/>
  <c r="CQ137" i="15"/>
  <c r="CR142" i="15"/>
  <c r="BH137" i="15"/>
  <c r="CA137" i="15"/>
  <c r="CR137" i="15"/>
  <c r="BH141" i="15"/>
  <c r="CA141" i="15"/>
  <c r="CS142" i="15"/>
  <c r="BI137" i="15"/>
  <c r="CC137" i="15"/>
  <c r="CV137" i="15"/>
  <c r="BI141" i="15"/>
  <c r="AS27" i="18" l="1"/>
  <c r="M142" i="16"/>
  <c r="AT32" i="18"/>
  <c r="M139" i="16"/>
  <c r="J141" i="16"/>
  <c r="K142" i="16"/>
  <c r="J29" i="18"/>
  <c r="AR29" i="18" s="1"/>
  <c r="J139" i="16"/>
  <c r="M141" i="16"/>
  <c r="J31" i="18"/>
  <c r="AR31" i="18" s="1"/>
  <c r="AS30" i="18"/>
  <c r="J32" i="18"/>
  <c r="AR32" i="18" s="1"/>
  <c r="J142" i="16"/>
  <c r="M31" i="18"/>
  <c r="AU31" i="18" s="1"/>
  <c r="M32" i="18"/>
  <c r="AU32" i="18" s="1"/>
  <c r="AT30" i="18"/>
  <c r="AR20" i="18"/>
  <c r="K29" i="18"/>
  <c r="AS29" i="18" s="1"/>
  <c r="K32" i="18"/>
  <c r="AS32" i="18" s="1"/>
  <c r="K31" i="18"/>
  <c r="AS31" i="18" s="1"/>
  <c r="K141" i="16"/>
  <c r="J142" i="15"/>
  <c r="J139" i="15"/>
  <c r="J141" i="15"/>
  <c r="M142" i="15"/>
  <c r="M139" i="15"/>
  <c r="K141" i="15"/>
  <c r="K142" i="15"/>
  <c r="K139" i="15"/>
  <c r="T27" i="6" l="1"/>
  <c r="U27" i="6"/>
  <c r="T28" i="6"/>
  <c r="U28" i="6"/>
  <c r="T29" i="6"/>
  <c r="U29" i="6"/>
  <c r="T30" i="6"/>
  <c r="U30" i="6"/>
  <c r="T31" i="6"/>
  <c r="U31" i="6"/>
  <c r="T32" i="6"/>
  <c r="U32" i="6"/>
  <c r="BF125" i="3"/>
  <c r="BE113" i="3"/>
  <c r="BF113" i="3"/>
  <c r="BP113" i="3"/>
  <c r="BD113" i="3"/>
  <c r="BQ110" i="7"/>
  <c r="BQ95" i="7"/>
  <c r="BM95" i="7"/>
  <c r="AH113" i="3" l="1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J53" i="1"/>
  <c r="H64" i="20" l="1"/>
  <c r="I54" i="20"/>
  <c r="G81" i="1"/>
  <c r="G82" i="20"/>
  <c r="G83" i="20"/>
  <c r="H82" i="1"/>
  <c r="H83" i="20"/>
  <c r="H84" i="20"/>
  <c r="H85" i="20"/>
  <c r="G86" i="20"/>
  <c r="G85" i="1"/>
  <c r="H74" i="20"/>
  <c r="H75" i="1"/>
  <c r="H76" i="20"/>
  <c r="G71" i="20"/>
  <c r="G72" i="20"/>
  <c r="G75" i="1"/>
  <c r="G76" i="20"/>
  <c r="H66" i="1"/>
  <c r="G84" i="1"/>
  <c r="G84" i="20"/>
  <c r="G63" i="1"/>
  <c r="G63" i="20"/>
  <c r="J56" i="20"/>
  <c r="J56" i="1"/>
  <c r="I53" i="20"/>
  <c r="I53" i="1"/>
  <c r="G65" i="20"/>
  <c r="G65" i="1"/>
  <c r="G73" i="20"/>
  <c r="G73" i="1"/>
  <c r="G61" i="20"/>
  <c r="G61" i="1"/>
  <c r="J53" i="20"/>
  <c r="H64" i="1"/>
  <c r="H66" i="20"/>
  <c r="H84" i="1"/>
  <c r="G81" i="20"/>
  <c r="G76" i="1"/>
  <c r="H83" i="1"/>
  <c r="BA115" i="7"/>
  <c r="BB115" i="7"/>
  <c r="BC115" i="7"/>
  <c r="BD115" i="7"/>
  <c r="G75" i="20" l="1"/>
  <c r="H82" i="20"/>
  <c r="H85" i="1"/>
  <c r="G83" i="1"/>
  <c r="H74" i="1"/>
  <c r="G85" i="20"/>
  <c r="G82" i="1"/>
  <c r="G71" i="1"/>
  <c r="H75" i="20"/>
  <c r="I54" i="1"/>
  <c r="G86" i="1"/>
  <c r="E86" i="1"/>
  <c r="H76" i="1"/>
  <c r="G72" i="1"/>
  <c r="J54" i="20"/>
  <c r="J54" i="1"/>
  <c r="C84" i="1"/>
  <c r="C84" i="20"/>
  <c r="G74" i="20"/>
  <c r="G74" i="1"/>
  <c r="F81" i="20"/>
  <c r="F81" i="1"/>
  <c r="G64" i="20"/>
  <c r="G64" i="1"/>
  <c r="H73" i="1"/>
  <c r="H73" i="20"/>
  <c r="E84" i="1"/>
  <c r="E84" i="20"/>
  <c r="E86" i="20"/>
  <c r="J52" i="20"/>
  <c r="J52" i="1"/>
  <c r="H63" i="20"/>
  <c r="H63" i="1"/>
  <c r="I55" i="1"/>
  <c r="I55" i="20"/>
  <c r="H72" i="20"/>
  <c r="H72" i="1"/>
  <c r="H61" i="1"/>
  <c r="H61" i="20"/>
  <c r="C82" i="20"/>
  <c r="C82" i="1"/>
  <c r="I52" i="20"/>
  <c r="I52" i="1"/>
  <c r="H62" i="1"/>
  <c r="H62" i="20"/>
  <c r="H71" i="20"/>
  <c r="H71" i="1"/>
  <c r="G66" i="1"/>
  <c r="G66" i="20"/>
  <c r="H65" i="1"/>
  <c r="H65" i="20"/>
  <c r="H81" i="1"/>
  <c r="H81" i="20"/>
  <c r="J55" i="1"/>
  <c r="J55" i="20"/>
  <c r="H86" i="20"/>
  <c r="H86" i="1"/>
  <c r="I51" i="20"/>
  <c r="I51" i="1"/>
  <c r="D82" i="20"/>
  <c r="D82" i="1"/>
  <c r="J51" i="20"/>
  <c r="J51" i="1"/>
  <c r="G62" i="1"/>
  <c r="G62" i="20"/>
  <c r="I56" i="20"/>
  <c r="I56" i="1"/>
  <c r="AG5" i="3"/>
  <c r="AI77" i="5"/>
  <c r="AK41" i="5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5" i="7"/>
  <c r="AL5" i="7"/>
  <c r="L41" i="7"/>
  <c r="N68" i="3"/>
  <c r="AE6" i="3"/>
  <c r="AF6" i="3"/>
  <c r="AH6" i="3"/>
  <c r="AI6" i="3"/>
  <c r="AE7" i="3"/>
  <c r="AF7" i="3"/>
  <c r="AH7" i="3"/>
  <c r="AI7" i="3"/>
  <c r="AE8" i="3"/>
  <c r="AF8" i="3"/>
  <c r="AH8" i="3"/>
  <c r="AI8" i="3"/>
  <c r="AE9" i="3"/>
  <c r="AF9" i="3"/>
  <c r="AH9" i="3"/>
  <c r="AI9" i="3"/>
  <c r="AE10" i="3"/>
  <c r="AF10" i="3"/>
  <c r="AH10" i="3"/>
  <c r="AI10" i="3"/>
  <c r="AE11" i="3"/>
  <c r="AF11" i="3"/>
  <c r="AH11" i="3"/>
  <c r="AI11" i="3"/>
  <c r="AE12" i="3"/>
  <c r="AF12" i="3"/>
  <c r="AH12" i="3"/>
  <c r="AI12" i="3"/>
  <c r="AE13" i="3"/>
  <c r="AF13" i="3"/>
  <c r="AH13" i="3"/>
  <c r="AI13" i="3"/>
  <c r="AE14" i="3"/>
  <c r="AF14" i="3"/>
  <c r="AH14" i="3"/>
  <c r="AI14" i="3"/>
  <c r="AE15" i="3"/>
  <c r="AF15" i="3"/>
  <c r="AH15" i="3"/>
  <c r="AI15" i="3"/>
  <c r="AE16" i="3"/>
  <c r="AF16" i="3"/>
  <c r="AH16" i="3"/>
  <c r="AI16" i="3"/>
  <c r="AE17" i="3"/>
  <c r="AF17" i="3"/>
  <c r="AH17" i="3"/>
  <c r="AI17" i="3"/>
  <c r="AE18" i="3"/>
  <c r="AF18" i="3"/>
  <c r="AH18" i="3"/>
  <c r="AI18" i="3"/>
  <c r="AE19" i="3"/>
  <c r="AF19" i="3"/>
  <c r="AH19" i="3"/>
  <c r="AI19" i="3"/>
  <c r="AE20" i="3"/>
  <c r="AF20" i="3"/>
  <c r="AH20" i="3"/>
  <c r="AI20" i="3"/>
  <c r="AE21" i="3"/>
  <c r="AF21" i="3"/>
  <c r="AH21" i="3"/>
  <c r="AI21" i="3"/>
  <c r="AE22" i="3"/>
  <c r="AF22" i="3"/>
  <c r="AH22" i="3"/>
  <c r="AI22" i="3"/>
  <c r="AE23" i="3"/>
  <c r="AF23" i="3"/>
  <c r="AH23" i="3"/>
  <c r="AI23" i="3"/>
  <c r="AE24" i="3"/>
  <c r="AF24" i="3"/>
  <c r="AH24" i="3"/>
  <c r="AI24" i="3"/>
  <c r="AE25" i="3"/>
  <c r="AF25" i="3"/>
  <c r="AH25" i="3"/>
  <c r="AI25" i="3"/>
  <c r="AE26" i="3"/>
  <c r="AF26" i="3"/>
  <c r="AH26" i="3"/>
  <c r="AI26" i="3"/>
  <c r="AE27" i="3"/>
  <c r="AF27" i="3"/>
  <c r="AH27" i="3"/>
  <c r="AI27" i="3"/>
  <c r="AE28" i="3"/>
  <c r="AF28" i="3"/>
  <c r="AH28" i="3"/>
  <c r="AI28" i="3"/>
  <c r="AE29" i="3"/>
  <c r="AF29" i="3"/>
  <c r="AH29" i="3"/>
  <c r="AI29" i="3"/>
  <c r="AE30" i="3"/>
  <c r="AF30" i="3"/>
  <c r="AH30" i="3"/>
  <c r="AI30" i="3"/>
  <c r="AE31" i="3"/>
  <c r="AF31" i="3"/>
  <c r="AH31" i="3"/>
  <c r="AI31" i="3"/>
  <c r="AE32" i="3"/>
  <c r="AF32" i="3"/>
  <c r="AH32" i="3"/>
  <c r="AI32" i="3"/>
  <c r="AE33" i="3"/>
  <c r="AF33" i="3"/>
  <c r="AH33" i="3"/>
  <c r="AI33" i="3"/>
  <c r="AE34" i="3"/>
  <c r="AF34" i="3"/>
  <c r="AH34" i="3"/>
  <c r="AI34" i="3"/>
  <c r="AE35" i="3"/>
  <c r="AF35" i="3"/>
  <c r="AH35" i="3"/>
  <c r="AI35" i="3"/>
  <c r="AE36" i="3"/>
  <c r="AF36" i="3"/>
  <c r="AH36" i="3"/>
  <c r="AI36" i="3"/>
  <c r="AE37" i="3"/>
  <c r="AF37" i="3"/>
  <c r="AH37" i="3"/>
  <c r="AI37" i="3"/>
  <c r="AE38" i="3"/>
  <c r="AF38" i="3"/>
  <c r="AH38" i="3"/>
  <c r="AI38" i="3"/>
  <c r="AE39" i="3"/>
  <c r="AF39" i="3"/>
  <c r="AH39" i="3"/>
  <c r="AI39" i="3"/>
  <c r="AE40" i="3"/>
  <c r="AF40" i="3"/>
  <c r="AH40" i="3"/>
  <c r="AI40" i="3"/>
  <c r="AE41" i="3"/>
  <c r="AF41" i="3"/>
  <c r="AH41" i="3"/>
  <c r="AI41" i="3"/>
  <c r="AE42" i="3"/>
  <c r="AF42" i="3"/>
  <c r="AH42" i="3"/>
  <c r="AI42" i="3"/>
  <c r="AE43" i="3"/>
  <c r="AF43" i="3"/>
  <c r="AH43" i="3"/>
  <c r="AI43" i="3"/>
  <c r="AE44" i="3"/>
  <c r="AF44" i="3"/>
  <c r="AH44" i="3"/>
  <c r="AI44" i="3"/>
  <c r="AE45" i="3"/>
  <c r="AF45" i="3"/>
  <c r="AH45" i="3"/>
  <c r="AI45" i="3"/>
  <c r="AE46" i="3"/>
  <c r="AF46" i="3"/>
  <c r="AH46" i="3"/>
  <c r="AI46" i="3"/>
  <c r="AE47" i="3"/>
  <c r="AF47" i="3"/>
  <c r="AH47" i="3"/>
  <c r="AI47" i="3"/>
  <c r="AE48" i="3"/>
  <c r="AF48" i="3"/>
  <c r="AH48" i="3"/>
  <c r="AI48" i="3"/>
  <c r="AE49" i="3"/>
  <c r="AF49" i="3"/>
  <c r="AH49" i="3"/>
  <c r="AI49" i="3"/>
  <c r="AE50" i="3"/>
  <c r="AF50" i="3"/>
  <c r="AH50" i="3"/>
  <c r="AI50" i="3"/>
  <c r="AE51" i="3"/>
  <c r="AF51" i="3"/>
  <c r="AH51" i="3"/>
  <c r="AI51" i="3"/>
  <c r="AE52" i="3"/>
  <c r="AF52" i="3"/>
  <c r="AH52" i="3"/>
  <c r="AI52" i="3"/>
  <c r="AE53" i="3"/>
  <c r="AF53" i="3"/>
  <c r="AH53" i="3"/>
  <c r="AI53" i="3"/>
  <c r="AE54" i="3"/>
  <c r="AF54" i="3"/>
  <c r="AH54" i="3"/>
  <c r="AI54" i="3"/>
  <c r="AE55" i="3"/>
  <c r="AF55" i="3"/>
  <c r="AH55" i="3"/>
  <c r="AI55" i="3"/>
  <c r="AE56" i="3"/>
  <c r="AF56" i="3"/>
  <c r="AH56" i="3"/>
  <c r="AI56" i="3"/>
  <c r="AE57" i="3"/>
  <c r="AF57" i="3"/>
  <c r="AH57" i="3"/>
  <c r="AI57" i="3"/>
  <c r="AE58" i="3"/>
  <c r="AF58" i="3"/>
  <c r="AH58" i="3"/>
  <c r="AI58" i="3"/>
  <c r="AE59" i="3"/>
  <c r="AF59" i="3"/>
  <c r="AH59" i="3"/>
  <c r="AI59" i="3"/>
  <c r="AE60" i="3"/>
  <c r="AF60" i="3"/>
  <c r="AH60" i="3"/>
  <c r="AI60" i="3"/>
  <c r="AE61" i="3"/>
  <c r="AF61" i="3"/>
  <c r="AH61" i="3"/>
  <c r="AI61" i="3"/>
  <c r="AE62" i="3"/>
  <c r="AF62" i="3"/>
  <c r="AH62" i="3"/>
  <c r="AI62" i="3"/>
  <c r="AE63" i="3"/>
  <c r="AF63" i="3"/>
  <c r="AH63" i="3"/>
  <c r="AI63" i="3"/>
  <c r="AE64" i="3"/>
  <c r="AF64" i="3"/>
  <c r="AH64" i="3"/>
  <c r="AI64" i="3"/>
  <c r="AE65" i="3"/>
  <c r="AF65" i="3"/>
  <c r="AH65" i="3"/>
  <c r="AI65" i="3"/>
  <c r="AE66" i="3"/>
  <c r="AF66" i="3"/>
  <c r="AH66" i="3"/>
  <c r="AI66" i="3"/>
  <c r="AE67" i="3"/>
  <c r="AF67" i="3"/>
  <c r="AH67" i="3"/>
  <c r="AI67" i="3"/>
  <c r="AE68" i="3"/>
  <c r="AF68" i="3"/>
  <c r="AH68" i="3"/>
  <c r="AI68" i="3"/>
  <c r="AE69" i="3"/>
  <c r="AF69" i="3"/>
  <c r="AH69" i="3"/>
  <c r="AI69" i="3"/>
  <c r="AE70" i="3"/>
  <c r="AF70" i="3"/>
  <c r="AH70" i="3"/>
  <c r="AI70" i="3"/>
  <c r="AE71" i="3"/>
  <c r="AF71" i="3"/>
  <c r="AH71" i="3"/>
  <c r="AI71" i="3"/>
  <c r="AE72" i="3"/>
  <c r="AF72" i="3"/>
  <c r="AH72" i="3"/>
  <c r="AI72" i="3"/>
  <c r="AE73" i="3"/>
  <c r="AF73" i="3"/>
  <c r="AH73" i="3"/>
  <c r="AI73" i="3"/>
  <c r="AE74" i="3"/>
  <c r="AF74" i="3"/>
  <c r="AH74" i="3"/>
  <c r="AI74" i="3"/>
  <c r="AE75" i="3"/>
  <c r="AF75" i="3"/>
  <c r="AH75" i="3"/>
  <c r="AI75" i="3"/>
  <c r="AE76" i="3"/>
  <c r="AF76" i="3"/>
  <c r="AH76" i="3"/>
  <c r="AI76" i="3"/>
  <c r="AE77" i="3"/>
  <c r="AF77" i="3"/>
  <c r="AH77" i="3"/>
  <c r="AI77" i="3"/>
  <c r="AE78" i="3"/>
  <c r="AF78" i="3"/>
  <c r="AH78" i="3"/>
  <c r="AI78" i="3"/>
  <c r="AE79" i="3"/>
  <c r="AF79" i="3"/>
  <c r="AH79" i="3"/>
  <c r="AI79" i="3"/>
  <c r="AE80" i="3"/>
  <c r="AF80" i="3"/>
  <c r="AH80" i="3"/>
  <c r="AI80" i="3"/>
  <c r="AE81" i="3"/>
  <c r="AF81" i="3"/>
  <c r="AH81" i="3"/>
  <c r="AI81" i="3"/>
  <c r="AE82" i="3"/>
  <c r="AF82" i="3"/>
  <c r="AH82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E101" i="3"/>
  <c r="AF101" i="3"/>
  <c r="AH101" i="3"/>
  <c r="AI101" i="3"/>
  <c r="AE102" i="3"/>
  <c r="AF102" i="3"/>
  <c r="AH102" i="3"/>
  <c r="AI102" i="3"/>
  <c r="AE103" i="3"/>
  <c r="AF103" i="3"/>
  <c r="AH103" i="3"/>
  <c r="AI103" i="3"/>
  <c r="AE104" i="3"/>
  <c r="AF104" i="3"/>
  <c r="AH104" i="3"/>
  <c r="AI104" i="3"/>
  <c r="AE105" i="3"/>
  <c r="AF105" i="3"/>
  <c r="AH105" i="3"/>
  <c r="AI105" i="3"/>
  <c r="AE106" i="3"/>
  <c r="AF106" i="3"/>
  <c r="AH106" i="3"/>
  <c r="AI106" i="3"/>
  <c r="AE107" i="3"/>
  <c r="AF107" i="3"/>
  <c r="AH107" i="3"/>
  <c r="AI107" i="3"/>
  <c r="AE108" i="3"/>
  <c r="AF108" i="3"/>
  <c r="AH108" i="3"/>
  <c r="AI108" i="3"/>
  <c r="AE109" i="3"/>
  <c r="AF109" i="3"/>
  <c r="AH109" i="3"/>
  <c r="AI109" i="3"/>
  <c r="AE110" i="3"/>
  <c r="AF110" i="3"/>
  <c r="AH110" i="3"/>
  <c r="AI110" i="3"/>
  <c r="AE111" i="3"/>
  <c r="AF111" i="3"/>
  <c r="AH111" i="3"/>
  <c r="AI111" i="3"/>
  <c r="AE112" i="3"/>
  <c r="AF112" i="3"/>
  <c r="AH112" i="3"/>
  <c r="AI112" i="3"/>
  <c r="AE113" i="3"/>
  <c r="AF113" i="3"/>
  <c r="AI113" i="3"/>
  <c r="AE114" i="3"/>
  <c r="AF114" i="3"/>
  <c r="AI114" i="3"/>
  <c r="AE115" i="3"/>
  <c r="AF115" i="3"/>
  <c r="AI115" i="3"/>
  <c r="AE116" i="3"/>
  <c r="AF116" i="3"/>
  <c r="AI116" i="3"/>
  <c r="AE117" i="3"/>
  <c r="AF117" i="3"/>
  <c r="AI117" i="3"/>
  <c r="AE118" i="3"/>
  <c r="AF118" i="3"/>
  <c r="AI118" i="3"/>
  <c r="AE119" i="3"/>
  <c r="AF119" i="3"/>
  <c r="AI119" i="3"/>
  <c r="AE120" i="3"/>
  <c r="AF120" i="3"/>
  <c r="AI120" i="3"/>
  <c r="AE121" i="3"/>
  <c r="AF121" i="3"/>
  <c r="AI121" i="3"/>
  <c r="AE122" i="3"/>
  <c r="AF122" i="3"/>
  <c r="AI122" i="3"/>
  <c r="AE123" i="3"/>
  <c r="AF123" i="3"/>
  <c r="AI123" i="3"/>
  <c r="AE124" i="3"/>
  <c r="AF124" i="3"/>
  <c r="AI124" i="3"/>
  <c r="AE125" i="3"/>
  <c r="AF125" i="3"/>
  <c r="AI125" i="3"/>
  <c r="AE126" i="3"/>
  <c r="AF126" i="3"/>
  <c r="AI126" i="3"/>
  <c r="AE127" i="3"/>
  <c r="AF127" i="3"/>
  <c r="AI127" i="3"/>
  <c r="AE128" i="3"/>
  <c r="AF128" i="3"/>
  <c r="AI128" i="3"/>
  <c r="AE129" i="3"/>
  <c r="AF129" i="3"/>
  <c r="AI129" i="3"/>
  <c r="AE130" i="3"/>
  <c r="AF130" i="3"/>
  <c r="AI130" i="3"/>
  <c r="AE131" i="3"/>
  <c r="AF131" i="3"/>
  <c r="AI131" i="3"/>
  <c r="AE132" i="3"/>
  <c r="AF132" i="3"/>
  <c r="AI132" i="3"/>
  <c r="AE133" i="3"/>
  <c r="AF133" i="3"/>
  <c r="AI133" i="3"/>
  <c r="AE134" i="3"/>
  <c r="AF134" i="3"/>
  <c r="AI134" i="3"/>
  <c r="AE135" i="3"/>
  <c r="AF135" i="3"/>
  <c r="AI135" i="3"/>
  <c r="AE136" i="3"/>
  <c r="AF136" i="3"/>
  <c r="AI136" i="3"/>
  <c r="AI5" i="3"/>
  <c r="AH5" i="3"/>
  <c r="AE5" i="3"/>
  <c r="AM5" i="7"/>
  <c r="AH70" i="7"/>
  <c r="AI6" i="7"/>
  <c r="AJ6" i="7"/>
  <c r="AL6" i="7"/>
  <c r="AI7" i="7"/>
  <c r="AJ7" i="7"/>
  <c r="AL7" i="7"/>
  <c r="AI8" i="7"/>
  <c r="AJ8" i="7"/>
  <c r="AL8" i="7"/>
  <c r="AI9" i="7"/>
  <c r="AJ9" i="7"/>
  <c r="AL9" i="7"/>
  <c r="AI10" i="7"/>
  <c r="AJ10" i="7"/>
  <c r="AL10" i="7"/>
  <c r="AI11" i="7"/>
  <c r="AJ11" i="7"/>
  <c r="AL11" i="7"/>
  <c r="AI12" i="7"/>
  <c r="AJ12" i="7"/>
  <c r="AL12" i="7"/>
  <c r="AI13" i="7"/>
  <c r="AJ13" i="7"/>
  <c r="AL13" i="7"/>
  <c r="AI14" i="7"/>
  <c r="AJ14" i="7"/>
  <c r="AL14" i="7"/>
  <c r="AI15" i="7"/>
  <c r="AJ15" i="7"/>
  <c r="AL15" i="7"/>
  <c r="AI16" i="7"/>
  <c r="AJ16" i="7"/>
  <c r="AL16" i="7"/>
  <c r="AI17" i="7"/>
  <c r="AJ17" i="7"/>
  <c r="AL17" i="7"/>
  <c r="AI18" i="7"/>
  <c r="AJ18" i="7"/>
  <c r="AL18" i="7"/>
  <c r="AI19" i="7"/>
  <c r="AJ19" i="7"/>
  <c r="AL19" i="7"/>
  <c r="AI20" i="7"/>
  <c r="AJ20" i="7"/>
  <c r="AL20" i="7"/>
  <c r="AI21" i="7"/>
  <c r="AJ21" i="7"/>
  <c r="AL21" i="7"/>
  <c r="AI22" i="7"/>
  <c r="AJ22" i="7"/>
  <c r="AL22" i="7"/>
  <c r="AI23" i="7"/>
  <c r="AJ23" i="7"/>
  <c r="AL23" i="7"/>
  <c r="AI24" i="7"/>
  <c r="AJ24" i="7"/>
  <c r="AL24" i="7"/>
  <c r="AI25" i="7"/>
  <c r="AJ25" i="7"/>
  <c r="AL25" i="7"/>
  <c r="AI26" i="7"/>
  <c r="AJ26" i="7"/>
  <c r="AL26" i="7"/>
  <c r="AI27" i="7"/>
  <c r="AJ27" i="7"/>
  <c r="AL27" i="7"/>
  <c r="AI28" i="7"/>
  <c r="AJ28" i="7"/>
  <c r="AL28" i="7"/>
  <c r="AI29" i="7"/>
  <c r="AJ29" i="7"/>
  <c r="AL29" i="7"/>
  <c r="AI30" i="7"/>
  <c r="AJ30" i="7"/>
  <c r="AL30" i="7"/>
  <c r="AI31" i="7"/>
  <c r="AJ31" i="7"/>
  <c r="AL31" i="7"/>
  <c r="AI32" i="7"/>
  <c r="AJ32" i="7"/>
  <c r="AL32" i="7"/>
  <c r="AI33" i="7"/>
  <c r="AJ33" i="7"/>
  <c r="AL33" i="7"/>
  <c r="AI34" i="7"/>
  <c r="AJ34" i="7"/>
  <c r="AL34" i="7"/>
  <c r="AI35" i="7"/>
  <c r="AJ35" i="7"/>
  <c r="AL35" i="7"/>
  <c r="AI36" i="7"/>
  <c r="AJ36" i="7"/>
  <c r="AL36" i="7"/>
  <c r="AI37" i="7"/>
  <c r="AJ37" i="7"/>
  <c r="AL37" i="7"/>
  <c r="AI38" i="7"/>
  <c r="AJ38" i="7"/>
  <c r="AL38" i="7"/>
  <c r="AI39" i="7"/>
  <c r="AJ39" i="7"/>
  <c r="AL39" i="7"/>
  <c r="AI40" i="7"/>
  <c r="AJ40" i="7"/>
  <c r="AL40" i="7"/>
  <c r="AI41" i="7"/>
  <c r="AJ41" i="7"/>
  <c r="AL41" i="7"/>
  <c r="AI42" i="7"/>
  <c r="AJ42" i="7"/>
  <c r="AL42" i="7"/>
  <c r="AI43" i="7"/>
  <c r="AJ43" i="7"/>
  <c r="AL43" i="7"/>
  <c r="AI44" i="7"/>
  <c r="AJ44" i="7"/>
  <c r="AL44" i="7"/>
  <c r="AI45" i="7"/>
  <c r="AJ45" i="7"/>
  <c r="AL45" i="7"/>
  <c r="AI46" i="7"/>
  <c r="AJ46" i="7"/>
  <c r="AL46" i="7"/>
  <c r="AI47" i="7"/>
  <c r="AJ47" i="7"/>
  <c r="AL47" i="7"/>
  <c r="AI48" i="7"/>
  <c r="AJ48" i="7"/>
  <c r="AL48" i="7"/>
  <c r="AI49" i="7"/>
  <c r="AJ49" i="7"/>
  <c r="AL49" i="7"/>
  <c r="AI50" i="7"/>
  <c r="AJ50" i="7"/>
  <c r="AL50" i="7"/>
  <c r="AI51" i="7"/>
  <c r="AJ51" i="7"/>
  <c r="AL51" i="7"/>
  <c r="AI52" i="7"/>
  <c r="AJ52" i="7"/>
  <c r="AL52" i="7"/>
  <c r="AI53" i="7"/>
  <c r="AJ53" i="7"/>
  <c r="AL53" i="7"/>
  <c r="AI54" i="7"/>
  <c r="AJ54" i="7"/>
  <c r="AL54" i="7"/>
  <c r="AI55" i="7"/>
  <c r="AJ55" i="7"/>
  <c r="AL55" i="7"/>
  <c r="AI56" i="7"/>
  <c r="AJ56" i="7"/>
  <c r="AL56" i="7"/>
  <c r="AI57" i="7"/>
  <c r="AJ57" i="7"/>
  <c r="AL57" i="7"/>
  <c r="AI58" i="7"/>
  <c r="AJ58" i="7"/>
  <c r="AL58" i="7"/>
  <c r="AI59" i="7"/>
  <c r="AJ59" i="7"/>
  <c r="AL59" i="7"/>
  <c r="AI60" i="7"/>
  <c r="AJ60" i="7"/>
  <c r="AL60" i="7"/>
  <c r="AI61" i="7"/>
  <c r="AJ61" i="7"/>
  <c r="AL61" i="7"/>
  <c r="AI62" i="7"/>
  <c r="AJ62" i="7"/>
  <c r="AL62" i="7"/>
  <c r="AI63" i="7"/>
  <c r="AJ63" i="7"/>
  <c r="AL63" i="7"/>
  <c r="AI64" i="7"/>
  <c r="AJ64" i="7"/>
  <c r="AL64" i="7"/>
  <c r="AI65" i="7"/>
  <c r="AJ65" i="7"/>
  <c r="AL65" i="7"/>
  <c r="AI66" i="7"/>
  <c r="AJ66" i="7"/>
  <c r="AL66" i="7"/>
  <c r="AI67" i="7"/>
  <c r="AJ67" i="7"/>
  <c r="AL67" i="7"/>
  <c r="AI68" i="7"/>
  <c r="AJ68" i="7"/>
  <c r="AL68" i="7"/>
  <c r="AI69" i="7"/>
  <c r="AJ69" i="7"/>
  <c r="AL69" i="7"/>
  <c r="AI70" i="7"/>
  <c r="AJ70" i="7"/>
  <c r="AL70" i="7"/>
  <c r="AI71" i="7"/>
  <c r="AJ71" i="7"/>
  <c r="AL71" i="7"/>
  <c r="AI72" i="7"/>
  <c r="AJ72" i="7"/>
  <c r="AL72" i="7"/>
  <c r="AI73" i="7"/>
  <c r="AJ73" i="7"/>
  <c r="AL73" i="7"/>
  <c r="AI74" i="7"/>
  <c r="AJ74" i="7"/>
  <c r="AL74" i="7"/>
  <c r="AI75" i="7"/>
  <c r="AJ75" i="7"/>
  <c r="AL75" i="7"/>
  <c r="AI76" i="7"/>
  <c r="AJ76" i="7"/>
  <c r="AL76" i="7"/>
  <c r="AI77" i="7"/>
  <c r="AJ77" i="7"/>
  <c r="AL77" i="7"/>
  <c r="AI78" i="7"/>
  <c r="AJ78" i="7"/>
  <c r="AL78" i="7"/>
  <c r="AI79" i="7"/>
  <c r="AJ79" i="7"/>
  <c r="AL79" i="7"/>
  <c r="AI80" i="7"/>
  <c r="AJ80" i="7"/>
  <c r="AL80" i="7"/>
  <c r="AI81" i="7"/>
  <c r="AJ81" i="7"/>
  <c r="AL81" i="7"/>
  <c r="AI82" i="7"/>
  <c r="AJ82" i="7"/>
  <c r="AL82" i="7"/>
  <c r="AI83" i="7"/>
  <c r="AJ83" i="7"/>
  <c r="AL83" i="7"/>
  <c r="AI84" i="7"/>
  <c r="AJ84" i="7"/>
  <c r="AL84" i="7"/>
  <c r="AI85" i="7"/>
  <c r="AJ85" i="7"/>
  <c r="AL85" i="7"/>
  <c r="AI86" i="7"/>
  <c r="AJ86" i="7"/>
  <c r="AL86" i="7"/>
  <c r="AI87" i="7"/>
  <c r="AJ87" i="7"/>
  <c r="AL87" i="7"/>
  <c r="AI88" i="7"/>
  <c r="AJ88" i="7"/>
  <c r="AL88" i="7"/>
  <c r="AI89" i="7"/>
  <c r="AJ89" i="7"/>
  <c r="AL89" i="7"/>
  <c r="AI90" i="7"/>
  <c r="AJ90" i="7"/>
  <c r="AL90" i="7"/>
  <c r="AI91" i="7"/>
  <c r="AJ91" i="7"/>
  <c r="AL91" i="7"/>
  <c r="AI92" i="7"/>
  <c r="AJ92" i="7"/>
  <c r="AL92" i="7"/>
  <c r="AI93" i="7"/>
  <c r="AJ93" i="7"/>
  <c r="AL93" i="7"/>
  <c r="AI94" i="7"/>
  <c r="AJ94" i="7"/>
  <c r="AL94" i="7"/>
  <c r="AI95" i="7"/>
  <c r="AJ95" i="7"/>
  <c r="AL95" i="7"/>
  <c r="AI96" i="7"/>
  <c r="AJ96" i="7"/>
  <c r="AL96" i="7"/>
  <c r="AI97" i="7"/>
  <c r="AJ97" i="7"/>
  <c r="AL97" i="7"/>
  <c r="AI98" i="7"/>
  <c r="AJ98" i="7"/>
  <c r="AL98" i="7"/>
  <c r="AI99" i="7"/>
  <c r="AJ99" i="7"/>
  <c r="AL99" i="7"/>
  <c r="AI100" i="7"/>
  <c r="AJ100" i="7"/>
  <c r="AL100" i="7"/>
  <c r="AI101" i="7"/>
  <c r="AJ101" i="7"/>
  <c r="AL101" i="7"/>
  <c r="AI102" i="7"/>
  <c r="AJ102" i="7"/>
  <c r="AL102" i="7"/>
  <c r="AI103" i="7"/>
  <c r="AJ103" i="7"/>
  <c r="AL103" i="7"/>
  <c r="AI104" i="7"/>
  <c r="AJ104" i="7"/>
  <c r="AL104" i="7"/>
  <c r="AI105" i="7"/>
  <c r="AJ105" i="7"/>
  <c r="AL105" i="7"/>
  <c r="AI106" i="7"/>
  <c r="AJ106" i="7"/>
  <c r="AL106" i="7"/>
  <c r="AI107" i="7"/>
  <c r="AJ107" i="7"/>
  <c r="AL107" i="7"/>
  <c r="AI108" i="7"/>
  <c r="AJ108" i="7"/>
  <c r="AL108" i="7"/>
  <c r="AI109" i="7"/>
  <c r="AJ109" i="7"/>
  <c r="AL109" i="7"/>
  <c r="AI110" i="7"/>
  <c r="AJ110" i="7"/>
  <c r="AL110" i="7"/>
  <c r="AI111" i="7"/>
  <c r="AJ111" i="7"/>
  <c r="AL111" i="7"/>
  <c r="AI112" i="7"/>
  <c r="AJ112" i="7"/>
  <c r="AL112" i="7"/>
  <c r="AI113" i="7"/>
  <c r="AJ113" i="7"/>
  <c r="AL113" i="7"/>
  <c r="AI114" i="7"/>
  <c r="AJ114" i="7"/>
  <c r="AL114" i="7"/>
  <c r="AJ5" i="7"/>
  <c r="Z6" i="6"/>
  <c r="Z7" i="6"/>
  <c r="Z8" i="6"/>
  <c r="Z9" i="6"/>
  <c r="Z10" i="6"/>
  <c r="Z11" i="6"/>
  <c r="Z12" i="6"/>
  <c r="Z13" i="6"/>
  <c r="Z14" i="6"/>
  <c r="Z15" i="6"/>
  <c r="Z16" i="6"/>
  <c r="Z17" i="6"/>
  <c r="Z21" i="6"/>
  <c r="Z22" i="6"/>
  <c r="Z23" i="6"/>
  <c r="Z24" i="6"/>
  <c r="Z25" i="6"/>
  <c r="Z26" i="6"/>
  <c r="H5" i="6"/>
  <c r="Z5" i="6"/>
  <c r="AL31" i="6"/>
  <c r="AL29" i="6"/>
  <c r="AL30" i="6"/>
  <c r="AM31" i="6"/>
  <c r="AM29" i="6"/>
  <c r="AM30" i="6"/>
  <c r="AL32" i="6"/>
  <c r="AM32" i="6"/>
  <c r="F86" i="1" l="1"/>
  <c r="F86" i="20"/>
  <c r="E82" i="1"/>
  <c r="E82" i="20"/>
  <c r="C86" i="1"/>
  <c r="C86" i="20"/>
  <c r="D85" i="20"/>
  <c r="D85" i="1"/>
  <c r="D81" i="20"/>
  <c r="D81" i="1"/>
  <c r="D84" i="1"/>
  <c r="D84" i="20"/>
  <c r="D86" i="1"/>
  <c r="D86" i="20"/>
  <c r="F85" i="20"/>
  <c r="F85" i="1"/>
  <c r="D83" i="20"/>
  <c r="D83" i="1"/>
  <c r="F83" i="20"/>
  <c r="F83" i="1"/>
  <c r="C81" i="1"/>
  <c r="C81" i="20"/>
  <c r="AK118" i="7"/>
  <c r="AG138" i="3"/>
  <c r="AO32" i="6"/>
  <c r="AN32" i="6"/>
  <c r="AO31" i="6"/>
  <c r="AN31" i="6"/>
  <c r="AO30" i="6"/>
  <c r="AN30" i="6"/>
  <c r="AO29" i="6"/>
  <c r="AN29" i="6"/>
  <c r="AO28" i="6"/>
  <c r="AN28" i="6"/>
  <c r="AM28" i="6"/>
  <c r="AL28" i="6"/>
  <c r="AO27" i="6"/>
  <c r="AN27" i="6"/>
  <c r="AM27" i="6"/>
  <c r="AL27" i="6"/>
  <c r="AL33" i="6" s="1"/>
  <c r="V27" i="6"/>
  <c r="W27" i="6"/>
  <c r="V28" i="6"/>
  <c r="W28" i="6"/>
  <c r="V29" i="6"/>
  <c r="W29" i="6"/>
  <c r="V30" i="6"/>
  <c r="W30" i="6"/>
  <c r="V31" i="6"/>
  <c r="W31" i="6"/>
  <c r="V32" i="6"/>
  <c r="W32" i="6"/>
  <c r="AM38" i="6"/>
  <c r="H44" i="20" s="1"/>
  <c r="AL38" i="6"/>
  <c r="G44" i="20" s="1"/>
  <c r="AM37" i="6"/>
  <c r="H43" i="20" s="1"/>
  <c r="AL37" i="6"/>
  <c r="G43" i="20" s="1"/>
  <c r="AM36" i="6"/>
  <c r="H42" i="20" s="1"/>
  <c r="AL36" i="6"/>
  <c r="G42" i="20" s="1"/>
  <c r="AM35" i="6"/>
  <c r="H41" i="20" s="1"/>
  <c r="AL35" i="6"/>
  <c r="G41" i="20" s="1"/>
  <c r="AY17" i="6" a="1"/>
  <c r="AY17" i="6" s="1"/>
  <c r="AX17" i="6"/>
  <c r="AW17" i="6"/>
  <c r="AV17" i="6"/>
  <c r="AF17" i="6"/>
  <c r="AD17" i="6"/>
  <c r="AC17" i="6"/>
  <c r="AB17" i="6"/>
  <c r="AA17" i="6"/>
  <c r="N17" i="6"/>
  <c r="L17" i="6"/>
  <c r="K17" i="6"/>
  <c r="J17" i="6"/>
  <c r="I17" i="6"/>
  <c r="H17" i="6"/>
  <c r="AY16" i="6" a="1"/>
  <c r="AY16" i="6" s="1"/>
  <c r="AX16" i="6"/>
  <c r="AW16" i="6"/>
  <c r="AV16" i="6"/>
  <c r="AF16" i="6"/>
  <c r="AD16" i="6"/>
  <c r="AC16" i="6"/>
  <c r="AB16" i="6"/>
  <c r="AA16" i="6"/>
  <c r="N16" i="6"/>
  <c r="L16" i="6"/>
  <c r="K16" i="6"/>
  <c r="J16" i="6"/>
  <c r="I16" i="6"/>
  <c r="H16" i="6"/>
  <c r="AY15" i="6" a="1"/>
  <c r="AY15" i="6" s="1"/>
  <c r="AX15" i="6"/>
  <c r="AW15" i="6"/>
  <c r="AV15" i="6"/>
  <c r="AF15" i="6"/>
  <c r="AD15" i="6"/>
  <c r="AC15" i="6"/>
  <c r="AB15" i="6"/>
  <c r="AA15" i="6"/>
  <c r="N15" i="6"/>
  <c r="L15" i="6"/>
  <c r="K15" i="6"/>
  <c r="J15" i="6"/>
  <c r="I15" i="6"/>
  <c r="H15" i="6"/>
  <c r="AY14" i="6" a="1"/>
  <c r="AY14" i="6" s="1"/>
  <c r="AX14" i="6"/>
  <c r="AW14" i="6"/>
  <c r="AV14" i="6"/>
  <c r="AF14" i="6"/>
  <c r="AD14" i="6"/>
  <c r="AC14" i="6"/>
  <c r="AB14" i="6"/>
  <c r="AA14" i="6"/>
  <c r="N14" i="6"/>
  <c r="L14" i="6"/>
  <c r="K14" i="6"/>
  <c r="J14" i="6"/>
  <c r="I14" i="6"/>
  <c r="H14" i="6"/>
  <c r="AY13" i="6" a="1"/>
  <c r="AY13" i="6" s="1"/>
  <c r="AX13" i="6"/>
  <c r="AW13" i="6"/>
  <c r="AV13" i="6"/>
  <c r="AF13" i="6"/>
  <c r="AD13" i="6"/>
  <c r="AC13" i="6"/>
  <c r="AB13" i="6"/>
  <c r="AA13" i="6"/>
  <c r="N13" i="6"/>
  <c r="L13" i="6"/>
  <c r="K13" i="6"/>
  <c r="J13" i="6"/>
  <c r="I13" i="6"/>
  <c r="H13" i="6"/>
  <c r="AY12" i="6" a="1"/>
  <c r="AY12" i="6" s="1"/>
  <c r="AX12" i="6"/>
  <c r="AW12" i="6"/>
  <c r="AV12" i="6"/>
  <c r="AF12" i="6"/>
  <c r="AD12" i="6"/>
  <c r="AC12" i="6"/>
  <c r="AB12" i="6"/>
  <c r="AA12" i="6"/>
  <c r="N12" i="6"/>
  <c r="L12" i="6"/>
  <c r="K12" i="6"/>
  <c r="J12" i="6"/>
  <c r="I12" i="6"/>
  <c r="H12" i="6"/>
  <c r="AY11" i="6" a="1"/>
  <c r="AY11" i="6" s="1"/>
  <c r="AX11" i="6"/>
  <c r="AW11" i="6"/>
  <c r="AV11" i="6"/>
  <c r="AF11" i="6"/>
  <c r="AD11" i="6"/>
  <c r="AC11" i="6"/>
  <c r="AB11" i="6"/>
  <c r="AA11" i="6"/>
  <c r="N11" i="6"/>
  <c r="L11" i="6"/>
  <c r="K11" i="6"/>
  <c r="J11" i="6"/>
  <c r="I11" i="6"/>
  <c r="H11" i="6"/>
  <c r="BD120" i="7"/>
  <c r="BC120" i="7"/>
  <c r="BB120" i="7"/>
  <c r="BA120" i="7"/>
  <c r="BD119" i="7"/>
  <c r="BC119" i="7"/>
  <c r="BB119" i="7"/>
  <c r="BA119" i="7"/>
  <c r="BD118" i="7"/>
  <c r="BC118" i="7"/>
  <c r="BB118" i="7"/>
  <c r="BA118" i="7"/>
  <c r="BD117" i="7"/>
  <c r="BC117" i="7"/>
  <c r="BB117" i="7"/>
  <c r="BA117" i="7"/>
  <c r="BD116" i="7"/>
  <c r="BC116" i="7"/>
  <c r="BB116" i="7"/>
  <c r="BA116" i="7"/>
  <c r="AD115" i="7"/>
  <c r="BC121" i="7" s="1"/>
  <c r="AE115" i="7"/>
  <c r="BD121" i="7" s="1"/>
  <c r="AD116" i="7"/>
  <c r="AE116" i="7"/>
  <c r="AD117" i="7"/>
  <c r="AE117" i="7"/>
  <c r="AD118" i="7"/>
  <c r="AE118" i="7"/>
  <c r="AD119" i="7"/>
  <c r="AE119" i="7"/>
  <c r="AD120" i="7"/>
  <c r="AE120" i="7"/>
  <c r="AU137" i="3"/>
  <c r="AV137" i="3"/>
  <c r="AU138" i="3"/>
  <c r="AV138" i="3"/>
  <c r="AU139" i="3"/>
  <c r="AV139" i="3"/>
  <c r="AU140" i="3"/>
  <c r="AV140" i="3"/>
  <c r="AU141" i="3"/>
  <c r="AV141" i="3"/>
  <c r="AU142" i="3"/>
  <c r="AV142" i="3"/>
  <c r="Z137" i="3"/>
  <c r="AA137" i="3"/>
  <c r="AB137" i="3"/>
  <c r="Z138" i="3"/>
  <c r="AA138" i="3"/>
  <c r="AB138" i="3"/>
  <c r="Z139" i="3"/>
  <c r="AA139" i="3"/>
  <c r="AB139" i="3"/>
  <c r="Z140" i="3"/>
  <c r="AA140" i="3"/>
  <c r="AB140" i="3"/>
  <c r="Z141" i="3"/>
  <c r="AA141" i="3"/>
  <c r="AB141" i="3"/>
  <c r="Z142" i="3"/>
  <c r="AA142" i="3"/>
  <c r="AB142" i="3"/>
  <c r="AY137" i="5"/>
  <c r="AZ137" i="5"/>
  <c r="BA137" i="5"/>
  <c r="AY138" i="5"/>
  <c r="AZ138" i="5"/>
  <c r="BA138" i="5"/>
  <c r="AY139" i="5"/>
  <c r="AZ139" i="5"/>
  <c r="BA139" i="5"/>
  <c r="AY140" i="5"/>
  <c r="AZ140" i="5"/>
  <c r="BA140" i="5"/>
  <c r="AY141" i="5"/>
  <c r="AZ141" i="5"/>
  <c r="BA141" i="5"/>
  <c r="AY142" i="5"/>
  <c r="AZ142" i="5"/>
  <c r="BA142" i="5"/>
  <c r="AB137" i="5"/>
  <c r="AC137" i="5"/>
  <c r="AD137" i="5"/>
  <c r="AB138" i="5"/>
  <c r="AC138" i="5"/>
  <c r="AD138" i="5"/>
  <c r="AB139" i="5"/>
  <c r="AC139" i="5"/>
  <c r="AD139" i="5"/>
  <c r="AB140" i="5"/>
  <c r="AC140" i="5"/>
  <c r="AD140" i="5"/>
  <c r="AB141" i="5"/>
  <c r="AC141" i="5"/>
  <c r="AD141" i="5"/>
  <c r="AB142" i="5"/>
  <c r="AC142" i="5"/>
  <c r="AD142" i="5"/>
  <c r="AC120" i="7"/>
  <c r="AB120" i="7"/>
  <c r="AC119" i="7"/>
  <c r="AB119" i="7"/>
  <c r="AC118" i="7"/>
  <c r="AB118" i="7"/>
  <c r="AC117" i="7"/>
  <c r="AB117" i="7"/>
  <c r="AC116" i="7"/>
  <c r="AB116" i="7"/>
  <c r="AC115" i="7"/>
  <c r="AB115" i="7"/>
  <c r="BI69" i="7"/>
  <c r="BH69" i="7"/>
  <c r="BG69" i="7"/>
  <c r="AM69" i="7"/>
  <c r="AH69" i="7"/>
  <c r="N69" i="7"/>
  <c r="L69" i="7"/>
  <c r="K69" i="7"/>
  <c r="J69" i="7"/>
  <c r="I69" i="7"/>
  <c r="BI68" i="7"/>
  <c r="BH68" i="7"/>
  <c r="BG68" i="7"/>
  <c r="AM68" i="7"/>
  <c r="AH68" i="7"/>
  <c r="N68" i="7"/>
  <c r="L68" i="7"/>
  <c r="K68" i="7"/>
  <c r="J68" i="7"/>
  <c r="I68" i="7"/>
  <c r="BI67" i="7"/>
  <c r="BH67" i="7"/>
  <c r="BG67" i="7"/>
  <c r="AM67" i="7"/>
  <c r="AH67" i="7"/>
  <c r="N67" i="7"/>
  <c r="L67" i="7"/>
  <c r="K67" i="7"/>
  <c r="J67" i="7"/>
  <c r="I67" i="7"/>
  <c r="BI66" i="7"/>
  <c r="BH66" i="7"/>
  <c r="BG66" i="7"/>
  <c r="AM66" i="7"/>
  <c r="AH66" i="7"/>
  <c r="N66" i="7"/>
  <c r="L66" i="7"/>
  <c r="K66" i="7"/>
  <c r="J66" i="7"/>
  <c r="I66" i="7"/>
  <c r="BJ65" i="7" a="1"/>
  <c r="BJ65" i="7" s="1"/>
  <c r="BI65" i="7"/>
  <c r="BH65" i="7"/>
  <c r="BG65" i="7"/>
  <c r="AM65" i="7"/>
  <c r="AH65" i="7"/>
  <c r="N65" i="7"/>
  <c r="L65" i="7"/>
  <c r="K65" i="7"/>
  <c r="J65" i="7"/>
  <c r="I65" i="7"/>
  <c r="BI64" i="7"/>
  <c r="BH64" i="7"/>
  <c r="BG64" i="7"/>
  <c r="AM64" i="7"/>
  <c r="AH64" i="7"/>
  <c r="N64" i="7"/>
  <c r="L64" i="7"/>
  <c r="K64" i="7"/>
  <c r="J64" i="7"/>
  <c r="I64" i="7"/>
  <c r="BI63" i="7"/>
  <c r="BH63" i="7"/>
  <c r="BG63" i="7"/>
  <c r="AM63" i="7"/>
  <c r="AH63" i="7"/>
  <c r="N63" i="7"/>
  <c r="L63" i="7"/>
  <c r="K63" i="7"/>
  <c r="J63" i="7"/>
  <c r="I63" i="7"/>
  <c r="BI62" i="7"/>
  <c r="BH62" i="7"/>
  <c r="BG62" i="7"/>
  <c r="AM62" i="7"/>
  <c r="AH62" i="7"/>
  <c r="N62" i="7"/>
  <c r="L62" i="7"/>
  <c r="K62" i="7"/>
  <c r="J62" i="7"/>
  <c r="I62" i="7"/>
  <c r="BI61" i="7"/>
  <c r="BH61" i="7"/>
  <c r="BG61" i="7"/>
  <c r="AM61" i="7"/>
  <c r="AH61" i="7"/>
  <c r="N61" i="7"/>
  <c r="L61" i="7"/>
  <c r="K61" i="7"/>
  <c r="J61" i="7"/>
  <c r="I61" i="7"/>
  <c r="BJ60" i="7" a="1"/>
  <c r="BJ60" i="7" s="1"/>
  <c r="BI60" i="7"/>
  <c r="BH60" i="7"/>
  <c r="BG60" i="7"/>
  <c r="AM60" i="7"/>
  <c r="AH60" i="7"/>
  <c r="N60" i="7"/>
  <c r="L60" i="7"/>
  <c r="K60" i="7"/>
  <c r="J60" i="7"/>
  <c r="I60" i="7"/>
  <c r="BI59" i="7"/>
  <c r="BH59" i="7"/>
  <c r="BG59" i="7"/>
  <c r="AM59" i="7"/>
  <c r="AH59" i="7"/>
  <c r="N59" i="7"/>
  <c r="L59" i="7"/>
  <c r="K59" i="7"/>
  <c r="J59" i="7"/>
  <c r="I59" i="7"/>
  <c r="BI58" i="7"/>
  <c r="BH58" i="7"/>
  <c r="BG58" i="7"/>
  <c r="AM58" i="7"/>
  <c r="AH58" i="7"/>
  <c r="N58" i="7"/>
  <c r="L58" i="7"/>
  <c r="K58" i="7"/>
  <c r="J58" i="7"/>
  <c r="I58" i="7"/>
  <c r="BI57" i="7"/>
  <c r="BH57" i="7"/>
  <c r="BG57" i="7"/>
  <c r="AM57" i="7"/>
  <c r="AH57" i="7"/>
  <c r="N57" i="7"/>
  <c r="L57" i="7"/>
  <c r="K57" i="7"/>
  <c r="J57" i="7"/>
  <c r="I57" i="7"/>
  <c r="BI56" i="7"/>
  <c r="BH56" i="7"/>
  <c r="BG56" i="7"/>
  <c r="AM56" i="7"/>
  <c r="AH56" i="7"/>
  <c r="N56" i="7"/>
  <c r="L56" i="7"/>
  <c r="K56" i="7"/>
  <c r="J56" i="7"/>
  <c r="I56" i="7"/>
  <c r="BJ55" i="7" a="1"/>
  <c r="BJ55" i="7" s="1"/>
  <c r="BI55" i="7"/>
  <c r="BH55" i="7"/>
  <c r="BG55" i="7"/>
  <c r="AM55" i="7"/>
  <c r="AH55" i="7"/>
  <c r="N55" i="7"/>
  <c r="L55" i="7"/>
  <c r="K55" i="7"/>
  <c r="J55" i="7"/>
  <c r="I55" i="7"/>
  <c r="BI54" i="7"/>
  <c r="BH54" i="7"/>
  <c r="BG54" i="7"/>
  <c r="AM54" i="7"/>
  <c r="AH54" i="7"/>
  <c r="N54" i="7"/>
  <c r="L54" i="7"/>
  <c r="K54" i="7"/>
  <c r="J54" i="7"/>
  <c r="I54" i="7"/>
  <c r="BI53" i="7"/>
  <c r="BH53" i="7"/>
  <c r="BG53" i="7"/>
  <c r="AM53" i="7"/>
  <c r="AH53" i="7"/>
  <c r="N53" i="7"/>
  <c r="L53" i="7"/>
  <c r="K53" i="7"/>
  <c r="J53" i="7"/>
  <c r="I53" i="7"/>
  <c r="BI52" i="7"/>
  <c r="BH52" i="7"/>
  <c r="BG52" i="7"/>
  <c r="AM52" i="7"/>
  <c r="AH52" i="7"/>
  <c r="N52" i="7"/>
  <c r="L52" i="7"/>
  <c r="K52" i="7"/>
  <c r="J52" i="7"/>
  <c r="I52" i="7"/>
  <c r="BI51" i="7"/>
  <c r="BH51" i="7"/>
  <c r="BG51" i="7"/>
  <c r="AM51" i="7"/>
  <c r="AH51" i="7"/>
  <c r="N51" i="7"/>
  <c r="L51" i="7"/>
  <c r="K51" i="7"/>
  <c r="J51" i="7"/>
  <c r="I51" i="7"/>
  <c r="BJ50" i="7" a="1"/>
  <c r="BJ50" i="7" s="1"/>
  <c r="BI50" i="7"/>
  <c r="BH50" i="7"/>
  <c r="BG50" i="7"/>
  <c r="AM50" i="7"/>
  <c r="AH50" i="7"/>
  <c r="N50" i="7"/>
  <c r="L50" i="7"/>
  <c r="K50" i="7"/>
  <c r="J50" i="7"/>
  <c r="I50" i="7"/>
  <c r="BI49" i="7"/>
  <c r="BH49" i="7"/>
  <c r="BG49" i="7"/>
  <c r="AM49" i="7"/>
  <c r="AH49" i="7"/>
  <c r="N49" i="7"/>
  <c r="L49" i="7"/>
  <c r="K49" i="7"/>
  <c r="J49" i="7"/>
  <c r="I49" i="7"/>
  <c r="BI48" i="7"/>
  <c r="BH48" i="7"/>
  <c r="BG48" i="7"/>
  <c r="AM48" i="7"/>
  <c r="AH48" i="7"/>
  <c r="N48" i="7"/>
  <c r="L48" i="7"/>
  <c r="K48" i="7"/>
  <c r="J48" i="7"/>
  <c r="I48" i="7"/>
  <c r="BI47" i="7"/>
  <c r="BH47" i="7"/>
  <c r="BG47" i="7"/>
  <c r="AM47" i="7"/>
  <c r="AH47" i="7"/>
  <c r="N47" i="7"/>
  <c r="L47" i="7"/>
  <c r="K47" i="7"/>
  <c r="J47" i="7"/>
  <c r="I47" i="7"/>
  <c r="BI46" i="7"/>
  <c r="BH46" i="7"/>
  <c r="BG46" i="7"/>
  <c r="AM46" i="7"/>
  <c r="AH46" i="7"/>
  <c r="N46" i="7"/>
  <c r="L46" i="7"/>
  <c r="K46" i="7"/>
  <c r="J46" i="7"/>
  <c r="I46" i="7"/>
  <c r="BJ45" i="7" a="1"/>
  <c r="BJ45" i="7" s="1"/>
  <c r="BI45" i="7"/>
  <c r="BH45" i="7"/>
  <c r="BG45" i="7"/>
  <c r="AM45" i="7"/>
  <c r="AH45" i="7"/>
  <c r="N45" i="7"/>
  <c r="L45" i="7"/>
  <c r="K45" i="7"/>
  <c r="J45" i="7"/>
  <c r="I45" i="7"/>
  <c r="BI44" i="7"/>
  <c r="BH44" i="7"/>
  <c r="BG44" i="7"/>
  <c r="AM44" i="7"/>
  <c r="AH44" i="7"/>
  <c r="N44" i="7"/>
  <c r="L44" i="7"/>
  <c r="K44" i="7"/>
  <c r="J44" i="7"/>
  <c r="I44" i="7"/>
  <c r="BI43" i="7"/>
  <c r="BH43" i="7"/>
  <c r="BG43" i="7"/>
  <c r="AM43" i="7"/>
  <c r="AH43" i="7"/>
  <c r="N43" i="7"/>
  <c r="L43" i="7"/>
  <c r="K43" i="7"/>
  <c r="J43" i="7"/>
  <c r="I43" i="7"/>
  <c r="BI42" i="7"/>
  <c r="BH42" i="7"/>
  <c r="BG42" i="7"/>
  <c r="AM42" i="7"/>
  <c r="AH42" i="7"/>
  <c r="N42" i="7"/>
  <c r="L42" i="7"/>
  <c r="K42" i="7"/>
  <c r="J42" i="7"/>
  <c r="I42" i="7"/>
  <c r="BI41" i="7"/>
  <c r="BH41" i="7"/>
  <c r="BG41" i="7"/>
  <c r="AM41" i="7"/>
  <c r="AH41" i="7"/>
  <c r="N41" i="7"/>
  <c r="K41" i="7"/>
  <c r="J41" i="7"/>
  <c r="I41" i="7"/>
  <c r="BJ40" i="7" a="1"/>
  <c r="BJ40" i="7" s="1"/>
  <c r="BI40" i="7"/>
  <c r="BH40" i="7"/>
  <c r="BG40" i="7"/>
  <c r="AM40" i="7"/>
  <c r="AH40" i="7"/>
  <c r="N40" i="7"/>
  <c r="L40" i="7"/>
  <c r="K40" i="7"/>
  <c r="J40" i="7"/>
  <c r="I40" i="7"/>
  <c r="BI39" i="7"/>
  <c r="BH39" i="7"/>
  <c r="BG39" i="7"/>
  <c r="AM39" i="7"/>
  <c r="AH39" i="7"/>
  <c r="N39" i="7"/>
  <c r="L39" i="7"/>
  <c r="K39" i="7"/>
  <c r="J39" i="7"/>
  <c r="I39" i="7"/>
  <c r="BI38" i="7"/>
  <c r="BH38" i="7"/>
  <c r="BG38" i="7"/>
  <c r="AM38" i="7"/>
  <c r="AH38" i="7"/>
  <c r="N38" i="7"/>
  <c r="L38" i="7"/>
  <c r="K38" i="7"/>
  <c r="J38" i="7"/>
  <c r="I38" i="7"/>
  <c r="BI37" i="7"/>
  <c r="BH37" i="7"/>
  <c r="BG37" i="7"/>
  <c r="AM37" i="7"/>
  <c r="AH37" i="7"/>
  <c r="N37" i="7"/>
  <c r="L37" i="7"/>
  <c r="K37" i="7"/>
  <c r="J37" i="7"/>
  <c r="I37" i="7"/>
  <c r="BI36" i="7"/>
  <c r="BH36" i="7"/>
  <c r="BG36" i="7"/>
  <c r="AM36" i="7"/>
  <c r="AH36" i="7"/>
  <c r="N36" i="7"/>
  <c r="L36" i="7"/>
  <c r="K36" i="7"/>
  <c r="J36" i="7"/>
  <c r="I36" i="7"/>
  <c r="BJ35" i="7" a="1"/>
  <c r="BJ35" i="7" s="1"/>
  <c r="BI35" i="7"/>
  <c r="BH35" i="7"/>
  <c r="BG35" i="7"/>
  <c r="AM35" i="7"/>
  <c r="AI116" i="7"/>
  <c r="AH35" i="7"/>
  <c r="N35" i="7"/>
  <c r="L35" i="7"/>
  <c r="K35" i="7"/>
  <c r="J35" i="7"/>
  <c r="I35" i="7"/>
  <c r="AT142" i="3"/>
  <c r="AS142" i="3"/>
  <c r="AT141" i="3"/>
  <c r="AS141" i="3"/>
  <c r="AT140" i="3"/>
  <c r="AS140" i="3"/>
  <c r="AT139" i="3"/>
  <c r="AS139" i="3"/>
  <c r="AT138" i="3"/>
  <c r="AS138" i="3"/>
  <c r="AT137" i="3"/>
  <c r="AS137" i="3"/>
  <c r="Y142" i="3"/>
  <c r="X142" i="3"/>
  <c r="Y141" i="3"/>
  <c r="X141" i="3"/>
  <c r="Y140" i="3"/>
  <c r="X140" i="3"/>
  <c r="Y139" i="3"/>
  <c r="X139" i="3"/>
  <c r="Y138" i="3"/>
  <c r="X138" i="3"/>
  <c r="Y137" i="3"/>
  <c r="X137" i="3"/>
  <c r="AW137" i="5"/>
  <c r="AX137" i="5"/>
  <c r="AW138" i="5"/>
  <c r="AX138" i="5"/>
  <c r="AW139" i="5"/>
  <c r="AX139" i="5"/>
  <c r="AW140" i="5"/>
  <c r="AX140" i="5"/>
  <c r="AW141" i="5"/>
  <c r="AX141" i="5"/>
  <c r="AW142" i="5"/>
  <c r="AX142" i="5"/>
  <c r="BA82" i="3"/>
  <c r="AZ82" i="3"/>
  <c r="AY82" i="3"/>
  <c r="AD82" i="3"/>
  <c r="N82" i="3"/>
  <c r="L82" i="3"/>
  <c r="K82" i="3"/>
  <c r="J82" i="3"/>
  <c r="I82" i="3"/>
  <c r="BA81" i="3"/>
  <c r="AZ81" i="3"/>
  <c r="AY81" i="3"/>
  <c r="AD81" i="3"/>
  <c r="N81" i="3"/>
  <c r="L81" i="3"/>
  <c r="K81" i="3"/>
  <c r="J81" i="3"/>
  <c r="I81" i="3"/>
  <c r="BA80" i="3"/>
  <c r="AZ80" i="3"/>
  <c r="AY80" i="3"/>
  <c r="AD80" i="3"/>
  <c r="N80" i="3"/>
  <c r="L80" i="3"/>
  <c r="K80" i="3"/>
  <c r="J80" i="3"/>
  <c r="I80" i="3"/>
  <c r="BA79" i="3"/>
  <c r="AZ79" i="3"/>
  <c r="AY79" i="3"/>
  <c r="AD79" i="3"/>
  <c r="N79" i="3"/>
  <c r="L79" i="3"/>
  <c r="K79" i="3"/>
  <c r="J79" i="3"/>
  <c r="I79" i="3"/>
  <c r="BA78" i="3"/>
  <c r="AZ78" i="3"/>
  <c r="AY78" i="3"/>
  <c r="AD78" i="3"/>
  <c r="N78" i="3"/>
  <c r="L78" i="3"/>
  <c r="K78" i="3"/>
  <c r="J78" i="3"/>
  <c r="I78" i="3"/>
  <c r="BB77" i="3" a="1"/>
  <c r="BB77" i="3" s="1"/>
  <c r="BA77" i="3"/>
  <c r="AZ77" i="3"/>
  <c r="AY77" i="3"/>
  <c r="AD77" i="3"/>
  <c r="N77" i="3"/>
  <c r="L77" i="3"/>
  <c r="K77" i="3"/>
  <c r="J77" i="3"/>
  <c r="I77" i="3"/>
  <c r="BA76" i="3"/>
  <c r="AZ76" i="3"/>
  <c r="AY76" i="3"/>
  <c r="AD76" i="3"/>
  <c r="N76" i="3"/>
  <c r="L76" i="3"/>
  <c r="K76" i="3"/>
  <c r="J76" i="3"/>
  <c r="I76" i="3"/>
  <c r="BA75" i="3"/>
  <c r="AZ75" i="3"/>
  <c r="AY75" i="3"/>
  <c r="AD75" i="3"/>
  <c r="N75" i="3"/>
  <c r="L75" i="3"/>
  <c r="K75" i="3"/>
  <c r="J75" i="3"/>
  <c r="I75" i="3"/>
  <c r="BA74" i="3"/>
  <c r="AZ74" i="3"/>
  <c r="AY74" i="3"/>
  <c r="AD74" i="3"/>
  <c r="N74" i="3"/>
  <c r="L74" i="3"/>
  <c r="K74" i="3"/>
  <c r="J74" i="3"/>
  <c r="I74" i="3"/>
  <c r="BA73" i="3"/>
  <c r="AZ73" i="3"/>
  <c r="AY73" i="3"/>
  <c r="AD73" i="3"/>
  <c r="N73" i="3"/>
  <c r="L73" i="3"/>
  <c r="K73" i="3"/>
  <c r="J73" i="3"/>
  <c r="I73" i="3"/>
  <c r="BA72" i="3"/>
  <c r="AZ72" i="3"/>
  <c r="AY72" i="3"/>
  <c r="AD72" i="3"/>
  <c r="N72" i="3"/>
  <c r="L72" i="3"/>
  <c r="K72" i="3"/>
  <c r="J72" i="3"/>
  <c r="I72" i="3"/>
  <c r="BB71" i="3" a="1"/>
  <c r="BB71" i="3" s="1"/>
  <c r="BA71" i="3"/>
  <c r="AZ71" i="3"/>
  <c r="AY71" i="3"/>
  <c r="AD71" i="3"/>
  <c r="N71" i="3"/>
  <c r="L71" i="3"/>
  <c r="K71" i="3"/>
  <c r="J71" i="3"/>
  <c r="I71" i="3"/>
  <c r="BA70" i="3"/>
  <c r="AZ70" i="3"/>
  <c r="AY70" i="3"/>
  <c r="AD70" i="3"/>
  <c r="N70" i="3"/>
  <c r="L70" i="3"/>
  <c r="K70" i="3"/>
  <c r="J70" i="3"/>
  <c r="I70" i="3"/>
  <c r="BA69" i="3"/>
  <c r="AZ69" i="3"/>
  <c r="AY69" i="3"/>
  <c r="AD69" i="3"/>
  <c r="N69" i="3"/>
  <c r="L69" i="3"/>
  <c r="K69" i="3"/>
  <c r="J69" i="3"/>
  <c r="I69" i="3"/>
  <c r="BA68" i="3"/>
  <c r="AZ68" i="3"/>
  <c r="AY68" i="3"/>
  <c r="AD68" i="3"/>
  <c r="L68" i="3"/>
  <c r="K68" i="3"/>
  <c r="J68" i="3"/>
  <c r="I68" i="3"/>
  <c r="BA67" i="3"/>
  <c r="AZ67" i="3"/>
  <c r="AY67" i="3"/>
  <c r="AD67" i="3"/>
  <c r="N67" i="3"/>
  <c r="L67" i="3"/>
  <c r="K67" i="3"/>
  <c r="J67" i="3"/>
  <c r="I67" i="3"/>
  <c r="BA66" i="3"/>
  <c r="AZ66" i="3"/>
  <c r="AY66" i="3"/>
  <c r="AD66" i="3"/>
  <c r="N66" i="3"/>
  <c r="L66" i="3"/>
  <c r="K66" i="3"/>
  <c r="J66" i="3"/>
  <c r="I66" i="3"/>
  <c r="BB65" i="3" a="1"/>
  <c r="BB65" i="3" s="1"/>
  <c r="BA65" i="3"/>
  <c r="AZ65" i="3"/>
  <c r="AY65" i="3"/>
  <c r="AD65" i="3"/>
  <c r="N65" i="3"/>
  <c r="L65" i="3"/>
  <c r="K65" i="3"/>
  <c r="J65" i="3"/>
  <c r="I65" i="3"/>
  <c r="BA64" i="3"/>
  <c r="AZ64" i="3"/>
  <c r="AY64" i="3"/>
  <c r="AD64" i="3"/>
  <c r="N64" i="3"/>
  <c r="L64" i="3"/>
  <c r="K64" i="3"/>
  <c r="J64" i="3"/>
  <c r="I64" i="3"/>
  <c r="BA63" i="3"/>
  <c r="AZ63" i="3"/>
  <c r="AY63" i="3"/>
  <c r="AD63" i="3"/>
  <c r="N63" i="3"/>
  <c r="L63" i="3"/>
  <c r="K63" i="3"/>
  <c r="J63" i="3"/>
  <c r="I63" i="3"/>
  <c r="BA62" i="3"/>
  <c r="AZ62" i="3"/>
  <c r="AY62" i="3"/>
  <c r="AD62" i="3"/>
  <c r="N62" i="3"/>
  <c r="L62" i="3"/>
  <c r="K62" i="3"/>
  <c r="J62" i="3"/>
  <c r="I62" i="3"/>
  <c r="BA61" i="3"/>
  <c r="AZ61" i="3"/>
  <c r="AY61" i="3"/>
  <c r="AD61" i="3"/>
  <c r="N61" i="3"/>
  <c r="L61" i="3"/>
  <c r="K61" i="3"/>
  <c r="J61" i="3"/>
  <c r="I61" i="3"/>
  <c r="BA60" i="3"/>
  <c r="AZ60" i="3"/>
  <c r="AY60" i="3"/>
  <c r="AD60" i="3"/>
  <c r="N60" i="3"/>
  <c r="L60" i="3"/>
  <c r="K60" i="3"/>
  <c r="J60" i="3"/>
  <c r="I60" i="3"/>
  <c r="BB59" i="3" a="1"/>
  <c r="BB59" i="3" s="1"/>
  <c r="BA59" i="3"/>
  <c r="AZ59" i="3"/>
  <c r="AY59" i="3"/>
  <c r="AD59" i="3"/>
  <c r="N59" i="3"/>
  <c r="L59" i="3"/>
  <c r="K59" i="3"/>
  <c r="J59" i="3"/>
  <c r="I59" i="3"/>
  <c r="BA58" i="3"/>
  <c r="AZ58" i="3"/>
  <c r="AY58" i="3"/>
  <c r="AD58" i="3"/>
  <c r="N58" i="3"/>
  <c r="L58" i="3"/>
  <c r="K58" i="3"/>
  <c r="J58" i="3"/>
  <c r="I58" i="3"/>
  <c r="BA57" i="3"/>
  <c r="AZ57" i="3"/>
  <c r="AY57" i="3"/>
  <c r="AD57" i="3"/>
  <c r="N57" i="3"/>
  <c r="L57" i="3"/>
  <c r="K57" i="3"/>
  <c r="J57" i="3"/>
  <c r="I57" i="3"/>
  <c r="BA56" i="3"/>
  <c r="AZ56" i="3"/>
  <c r="AY56" i="3"/>
  <c r="AD56" i="3"/>
  <c r="N56" i="3"/>
  <c r="L56" i="3"/>
  <c r="K56" i="3"/>
  <c r="J56" i="3"/>
  <c r="I56" i="3"/>
  <c r="BA55" i="3"/>
  <c r="AZ55" i="3"/>
  <c r="AY55" i="3"/>
  <c r="AD55" i="3"/>
  <c r="N55" i="3"/>
  <c r="L55" i="3"/>
  <c r="K55" i="3"/>
  <c r="J55" i="3"/>
  <c r="I55" i="3"/>
  <c r="BA54" i="3"/>
  <c r="AZ54" i="3"/>
  <c r="AY54" i="3"/>
  <c r="AD54" i="3"/>
  <c r="N54" i="3"/>
  <c r="L54" i="3"/>
  <c r="K54" i="3"/>
  <c r="J54" i="3"/>
  <c r="I54" i="3"/>
  <c r="BB53" i="3" a="1"/>
  <c r="BB53" i="3" s="1"/>
  <c r="BA53" i="3"/>
  <c r="AZ53" i="3"/>
  <c r="AY53" i="3"/>
  <c r="AD53" i="3"/>
  <c r="N53" i="3"/>
  <c r="L53" i="3"/>
  <c r="K53" i="3"/>
  <c r="J53" i="3"/>
  <c r="I53" i="3"/>
  <c r="BA52" i="3"/>
  <c r="AZ52" i="3"/>
  <c r="AY52" i="3"/>
  <c r="AD52" i="3"/>
  <c r="N52" i="3"/>
  <c r="L52" i="3"/>
  <c r="K52" i="3"/>
  <c r="J52" i="3"/>
  <c r="I52" i="3"/>
  <c r="BA51" i="3"/>
  <c r="AZ51" i="3"/>
  <c r="AY51" i="3"/>
  <c r="AD51" i="3"/>
  <c r="N51" i="3"/>
  <c r="L51" i="3"/>
  <c r="K51" i="3"/>
  <c r="J51" i="3"/>
  <c r="I51" i="3"/>
  <c r="BA50" i="3"/>
  <c r="AZ50" i="3"/>
  <c r="AY50" i="3"/>
  <c r="AD50" i="3"/>
  <c r="N50" i="3"/>
  <c r="L50" i="3"/>
  <c r="K50" i="3"/>
  <c r="J50" i="3"/>
  <c r="I50" i="3"/>
  <c r="BA49" i="3"/>
  <c r="AZ49" i="3"/>
  <c r="AY49" i="3"/>
  <c r="AD49" i="3"/>
  <c r="N49" i="3"/>
  <c r="L49" i="3"/>
  <c r="K49" i="3"/>
  <c r="J49" i="3"/>
  <c r="I49" i="3"/>
  <c r="BA48" i="3"/>
  <c r="AZ48" i="3"/>
  <c r="AY48" i="3"/>
  <c r="AD48" i="3"/>
  <c r="N48" i="3"/>
  <c r="L48" i="3"/>
  <c r="K48" i="3"/>
  <c r="J48" i="3"/>
  <c r="I48" i="3"/>
  <c r="BB47" i="3" a="1"/>
  <c r="BB47" i="3" s="1"/>
  <c r="BA47" i="3"/>
  <c r="AZ47" i="3"/>
  <c r="AY47" i="3"/>
  <c r="AD47" i="3"/>
  <c r="N47" i="3"/>
  <c r="L47" i="3"/>
  <c r="K47" i="3"/>
  <c r="J47" i="3"/>
  <c r="I47" i="3"/>
  <c r="BA46" i="3"/>
  <c r="AZ46" i="3"/>
  <c r="AY46" i="3"/>
  <c r="AD46" i="3"/>
  <c r="N46" i="3"/>
  <c r="L46" i="3"/>
  <c r="K46" i="3"/>
  <c r="J46" i="3"/>
  <c r="I46" i="3"/>
  <c r="BA45" i="3"/>
  <c r="AZ45" i="3"/>
  <c r="AY45" i="3"/>
  <c r="AD45" i="3"/>
  <c r="N45" i="3"/>
  <c r="L45" i="3"/>
  <c r="K45" i="3"/>
  <c r="J45" i="3"/>
  <c r="I45" i="3"/>
  <c r="BA44" i="3"/>
  <c r="AZ44" i="3"/>
  <c r="AY44" i="3"/>
  <c r="AD44" i="3"/>
  <c r="N44" i="3"/>
  <c r="L44" i="3"/>
  <c r="K44" i="3"/>
  <c r="J44" i="3"/>
  <c r="I44" i="3"/>
  <c r="BA43" i="3"/>
  <c r="AZ43" i="3"/>
  <c r="AY43" i="3"/>
  <c r="AD43" i="3"/>
  <c r="N43" i="3"/>
  <c r="L43" i="3"/>
  <c r="K43" i="3"/>
  <c r="J43" i="3"/>
  <c r="I43" i="3"/>
  <c r="BA42" i="3"/>
  <c r="AZ42" i="3"/>
  <c r="AY42" i="3"/>
  <c r="AD42" i="3"/>
  <c r="N42" i="3"/>
  <c r="L42" i="3"/>
  <c r="K42" i="3"/>
  <c r="J42" i="3"/>
  <c r="I42" i="3"/>
  <c r="BB41" i="3" a="1"/>
  <c r="BB41" i="3" s="1"/>
  <c r="BA41" i="3"/>
  <c r="AZ41" i="3"/>
  <c r="AY41" i="3"/>
  <c r="AD41" i="3"/>
  <c r="N41" i="3"/>
  <c r="L41" i="3"/>
  <c r="K41" i="3"/>
  <c r="J41" i="3"/>
  <c r="I41" i="3"/>
  <c r="AA138" i="5"/>
  <c r="AA139" i="5"/>
  <c r="AA140" i="5"/>
  <c r="AA141" i="5"/>
  <c r="AA142" i="5"/>
  <c r="Z141" i="5"/>
  <c r="Z138" i="5"/>
  <c r="Z139" i="5"/>
  <c r="BE82" i="5"/>
  <c r="BD82" i="5"/>
  <c r="BC82" i="5"/>
  <c r="AK82" i="5"/>
  <c r="AI82" i="5"/>
  <c r="AH82" i="5"/>
  <c r="AG82" i="5"/>
  <c r="AF82" i="5"/>
  <c r="N82" i="5"/>
  <c r="L82" i="5"/>
  <c r="K82" i="5"/>
  <c r="J82" i="5"/>
  <c r="I82" i="5"/>
  <c r="BE81" i="5"/>
  <c r="BD81" i="5"/>
  <c r="BC81" i="5"/>
  <c r="AK81" i="5"/>
  <c r="AI81" i="5"/>
  <c r="AH81" i="5"/>
  <c r="AG81" i="5"/>
  <c r="AF81" i="5"/>
  <c r="N81" i="5"/>
  <c r="L81" i="5"/>
  <c r="K81" i="5"/>
  <c r="J81" i="5"/>
  <c r="I81" i="5"/>
  <c r="BE80" i="5"/>
  <c r="BD80" i="5"/>
  <c r="BC80" i="5"/>
  <c r="AK80" i="5"/>
  <c r="AI80" i="5"/>
  <c r="AH80" i="5"/>
  <c r="AG80" i="5"/>
  <c r="AF80" i="5"/>
  <c r="N80" i="5"/>
  <c r="L80" i="5"/>
  <c r="K80" i="5"/>
  <c r="J80" i="5"/>
  <c r="I80" i="5"/>
  <c r="BE79" i="5"/>
  <c r="BD79" i="5"/>
  <c r="BC79" i="5"/>
  <c r="AK79" i="5"/>
  <c r="AI79" i="5"/>
  <c r="AH79" i="5"/>
  <c r="AG79" i="5"/>
  <c r="AF79" i="5"/>
  <c r="N79" i="5"/>
  <c r="L79" i="5"/>
  <c r="K79" i="5"/>
  <c r="J79" i="5"/>
  <c r="I79" i="5"/>
  <c r="BE78" i="5"/>
  <c r="BD78" i="5"/>
  <c r="BC78" i="5"/>
  <c r="AK78" i="5"/>
  <c r="AI78" i="5"/>
  <c r="AH78" i="5"/>
  <c r="AG78" i="5"/>
  <c r="AF78" i="5"/>
  <c r="N78" i="5"/>
  <c r="L78" i="5"/>
  <c r="K78" i="5"/>
  <c r="J78" i="5"/>
  <c r="I78" i="5"/>
  <c r="BF77" i="5" a="1"/>
  <c r="BF77" i="5" s="1"/>
  <c r="BE77" i="5"/>
  <c r="BD77" i="5"/>
  <c r="BC77" i="5"/>
  <c r="AK77" i="5"/>
  <c r="AH77" i="5"/>
  <c r="AG77" i="5"/>
  <c r="AF77" i="5"/>
  <c r="N77" i="5"/>
  <c r="L77" i="5"/>
  <c r="K77" i="5"/>
  <c r="J77" i="5"/>
  <c r="I77" i="5"/>
  <c r="BE76" i="5"/>
  <c r="BD76" i="5"/>
  <c r="BC76" i="5"/>
  <c r="AK76" i="5"/>
  <c r="AI76" i="5"/>
  <c r="AH76" i="5"/>
  <c r="AG76" i="5"/>
  <c r="AF76" i="5"/>
  <c r="N76" i="5"/>
  <c r="L76" i="5"/>
  <c r="K76" i="5"/>
  <c r="J76" i="5"/>
  <c r="I76" i="5"/>
  <c r="BE75" i="5"/>
  <c r="BD75" i="5"/>
  <c r="BC75" i="5"/>
  <c r="AK75" i="5"/>
  <c r="AI75" i="5"/>
  <c r="AH75" i="5"/>
  <c r="AG75" i="5"/>
  <c r="AF75" i="5"/>
  <c r="N75" i="5"/>
  <c r="L75" i="5"/>
  <c r="K75" i="5"/>
  <c r="J75" i="5"/>
  <c r="I75" i="5"/>
  <c r="BE74" i="5"/>
  <c r="BD74" i="5"/>
  <c r="BC74" i="5"/>
  <c r="AK74" i="5"/>
  <c r="AI74" i="5"/>
  <c r="AH74" i="5"/>
  <c r="AG74" i="5"/>
  <c r="AF74" i="5"/>
  <c r="N74" i="5"/>
  <c r="L74" i="5"/>
  <c r="K74" i="5"/>
  <c r="J74" i="5"/>
  <c r="I74" i="5"/>
  <c r="BE73" i="5"/>
  <c r="BD73" i="5"/>
  <c r="BC73" i="5"/>
  <c r="AK73" i="5"/>
  <c r="AI73" i="5"/>
  <c r="AH73" i="5"/>
  <c r="AG73" i="5"/>
  <c r="AF73" i="5"/>
  <c r="N73" i="5"/>
  <c r="L73" i="5"/>
  <c r="K73" i="5"/>
  <c r="J73" i="5"/>
  <c r="I73" i="5"/>
  <c r="BE72" i="5"/>
  <c r="BD72" i="5"/>
  <c r="BC72" i="5"/>
  <c r="AK72" i="5"/>
  <c r="AI72" i="5"/>
  <c r="AH72" i="5"/>
  <c r="AG72" i="5"/>
  <c r="AF72" i="5"/>
  <c r="N72" i="5"/>
  <c r="L72" i="5"/>
  <c r="K72" i="5"/>
  <c r="J72" i="5"/>
  <c r="I72" i="5"/>
  <c r="BF71" i="5" a="1"/>
  <c r="BF71" i="5" s="1"/>
  <c r="BE71" i="5"/>
  <c r="BD71" i="5"/>
  <c r="BC71" i="5"/>
  <c r="AK71" i="5"/>
  <c r="AI71" i="5"/>
  <c r="AH71" i="5"/>
  <c r="AG71" i="5"/>
  <c r="AF71" i="5"/>
  <c r="N71" i="5"/>
  <c r="L71" i="5"/>
  <c r="K71" i="5"/>
  <c r="J71" i="5"/>
  <c r="I71" i="5"/>
  <c r="BE70" i="5"/>
  <c r="BD70" i="5"/>
  <c r="BC70" i="5"/>
  <c r="AK70" i="5"/>
  <c r="AI70" i="5"/>
  <c r="AH70" i="5"/>
  <c r="AG70" i="5"/>
  <c r="AF70" i="5"/>
  <c r="N70" i="5"/>
  <c r="L70" i="5"/>
  <c r="K70" i="5"/>
  <c r="J70" i="5"/>
  <c r="I70" i="5"/>
  <c r="BE69" i="5"/>
  <c r="BD69" i="5"/>
  <c r="BC69" i="5"/>
  <c r="AK69" i="5"/>
  <c r="AI69" i="5"/>
  <c r="AH69" i="5"/>
  <c r="AG69" i="5"/>
  <c r="AF69" i="5"/>
  <c r="N69" i="5"/>
  <c r="L69" i="5"/>
  <c r="K69" i="5"/>
  <c r="J69" i="5"/>
  <c r="I69" i="5"/>
  <c r="BE68" i="5"/>
  <c r="BD68" i="5"/>
  <c r="BC68" i="5"/>
  <c r="AK68" i="5"/>
  <c r="AI68" i="5"/>
  <c r="AH68" i="5"/>
  <c r="AG68" i="5"/>
  <c r="AF68" i="5"/>
  <c r="N68" i="5"/>
  <c r="L68" i="5"/>
  <c r="K68" i="5"/>
  <c r="J68" i="5"/>
  <c r="I68" i="5"/>
  <c r="BE67" i="5"/>
  <c r="BD67" i="5"/>
  <c r="BC67" i="5"/>
  <c r="AK67" i="5"/>
  <c r="AI67" i="5"/>
  <c r="AH67" i="5"/>
  <c r="AG67" i="5"/>
  <c r="AF67" i="5"/>
  <c r="N67" i="5"/>
  <c r="L67" i="5"/>
  <c r="K67" i="5"/>
  <c r="J67" i="5"/>
  <c r="I67" i="5"/>
  <c r="BE66" i="5"/>
  <c r="BD66" i="5"/>
  <c r="BC66" i="5"/>
  <c r="AK66" i="5"/>
  <c r="AI66" i="5"/>
  <c r="AH66" i="5"/>
  <c r="AG66" i="5"/>
  <c r="AF66" i="5"/>
  <c r="N66" i="5"/>
  <c r="L66" i="5"/>
  <c r="K66" i="5"/>
  <c r="J66" i="5"/>
  <c r="I66" i="5"/>
  <c r="BF65" i="5" a="1"/>
  <c r="BF65" i="5" s="1"/>
  <c r="BE65" i="5"/>
  <c r="BD65" i="5"/>
  <c r="BC65" i="5"/>
  <c r="AK65" i="5"/>
  <c r="AI65" i="5"/>
  <c r="AH65" i="5"/>
  <c r="AG65" i="5"/>
  <c r="AF65" i="5"/>
  <c r="N65" i="5"/>
  <c r="L65" i="5"/>
  <c r="K65" i="5"/>
  <c r="J65" i="5"/>
  <c r="I65" i="5"/>
  <c r="BE64" i="5"/>
  <c r="BD64" i="5"/>
  <c r="BC64" i="5"/>
  <c r="AK64" i="5"/>
  <c r="AI64" i="5"/>
  <c r="AH64" i="5"/>
  <c r="AG64" i="5"/>
  <c r="AF64" i="5"/>
  <c r="N64" i="5"/>
  <c r="L64" i="5"/>
  <c r="K64" i="5"/>
  <c r="J64" i="5"/>
  <c r="I64" i="5"/>
  <c r="BE63" i="5"/>
  <c r="BD63" i="5"/>
  <c r="BC63" i="5"/>
  <c r="AK63" i="5"/>
  <c r="AI63" i="5"/>
  <c r="AH63" i="5"/>
  <c r="AG63" i="5"/>
  <c r="AF63" i="5"/>
  <c r="N63" i="5"/>
  <c r="L63" i="5"/>
  <c r="K63" i="5"/>
  <c r="J63" i="5"/>
  <c r="I63" i="5"/>
  <c r="BE62" i="5"/>
  <c r="BD62" i="5"/>
  <c r="BC62" i="5"/>
  <c r="AK62" i="5"/>
  <c r="AI62" i="5"/>
  <c r="AH62" i="5"/>
  <c r="AG62" i="5"/>
  <c r="AF62" i="5"/>
  <c r="N62" i="5"/>
  <c r="L62" i="5"/>
  <c r="K62" i="5"/>
  <c r="J62" i="5"/>
  <c r="I62" i="5"/>
  <c r="BE61" i="5"/>
  <c r="BD61" i="5"/>
  <c r="BC61" i="5"/>
  <c r="AK61" i="5"/>
  <c r="AI61" i="5"/>
  <c r="AH61" i="5"/>
  <c r="AG61" i="5"/>
  <c r="AF61" i="5"/>
  <c r="N61" i="5"/>
  <c r="L61" i="5"/>
  <c r="K61" i="5"/>
  <c r="J61" i="5"/>
  <c r="I61" i="5"/>
  <c r="BE60" i="5"/>
  <c r="BD60" i="5"/>
  <c r="BC60" i="5"/>
  <c r="AK60" i="5"/>
  <c r="AI60" i="5"/>
  <c r="AH60" i="5"/>
  <c r="AG60" i="5"/>
  <c r="AF60" i="5"/>
  <c r="N60" i="5"/>
  <c r="L60" i="5"/>
  <c r="K60" i="5"/>
  <c r="J60" i="5"/>
  <c r="I60" i="5"/>
  <c r="BF59" i="5" a="1"/>
  <c r="BF59" i="5" s="1"/>
  <c r="BE59" i="5"/>
  <c r="BD59" i="5"/>
  <c r="BC59" i="5"/>
  <c r="AK59" i="5"/>
  <c r="AI59" i="5"/>
  <c r="AH59" i="5"/>
  <c r="AG59" i="5"/>
  <c r="AF59" i="5"/>
  <c r="N59" i="5"/>
  <c r="L59" i="5"/>
  <c r="K59" i="5"/>
  <c r="J59" i="5"/>
  <c r="I59" i="5"/>
  <c r="BE58" i="5"/>
  <c r="BD58" i="5"/>
  <c r="BC58" i="5"/>
  <c r="AK58" i="5"/>
  <c r="AI58" i="5"/>
  <c r="AH58" i="5"/>
  <c r="AG58" i="5"/>
  <c r="AF58" i="5"/>
  <c r="N58" i="5"/>
  <c r="L58" i="5"/>
  <c r="K58" i="5"/>
  <c r="J58" i="5"/>
  <c r="I58" i="5"/>
  <c r="BE57" i="5"/>
  <c r="BD57" i="5"/>
  <c r="BC57" i="5"/>
  <c r="AK57" i="5"/>
  <c r="AI57" i="5"/>
  <c r="AH57" i="5"/>
  <c r="AG57" i="5"/>
  <c r="AF57" i="5"/>
  <c r="N57" i="5"/>
  <c r="L57" i="5"/>
  <c r="K57" i="5"/>
  <c r="J57" i="5"/>
  <c r="I57" i="5"/>
  <c r="BE56" i="5"/>
  <c r="BD56" i="5"/>
  <c r="BC56" i="5"/>
  <c r="AK56" i="5"/>
  <c r="AI56" i="5"/>
  <c r="AH56" i="5"/>
  <c r="AG56" i="5"/>
  <c r="AF56" i="5"/>
  <c r="N56" i="5"/>
  <c r="L56" i="5"/>
  <c r="K56" i="5"/>
  <c r="J56" i="5"/>
  <c r="I56" i="5"/>
  <c r="BE55" i="5"/>
  <c r="BD55" i="5"/>
  <c r="BC55" i="5"/>
  <c r="AK55" i="5"/>
  <c r="AI55" i="5"/>
  <c r="AH55" i="5"/>
  <c r="AG55" i="5"/>
  <c r="AF55" i="5"/>
  <c r="N55" i="5"/>
  <c r="L55" i="5"/>
  <c r="K55" i="5"/>
  <c r="J55" i="5"/>
  <c r="I55" i="5"/>
  <c r="BE54" i="5"/>
  <c r="BD54" i="5"/>
  <c r="BC54" i="5"/>
  <c r="AK54" i="5"/>
  <c r="AI54" i="5"/>
  <c r="AH54" i="5"/>
  <c r="AG54" i="5"/>
  <c r="AF54" i="5"/>
  <c r="N54" i="5"/>
  <c r="L54" i="5"/>
  <c r="K54" i="5"/>
  <c r="J54" i="5"/>
  <c r="I54" i="5"/>
  <c r="BF53" i="5" a="1"/>
  <c r="BF53" i="5" s="1"/>
  <c r="BE53" i="5"/>
  <c r="BD53" i="5"/>
  <c r="BC53" i="5"/>
  <c r="AK53" i="5"/>
  <c r="AI53" i="5"/>
  <c r="AH53" i="5"/>
  <c r="AG53" i="5"/>
  <c r="AF53" i="5"/>
  <c r="N53" i="5"/>
  <c r="L53" i="5"/>
  <c r="K53" i="5"/>
  <c r="J53" i="5"/>
  <c r="I53" i="5"/>
  <c r="BE52" i="5"/>
  <c r="BD52" i="5"/>
  <c r="BC52" i="5"/>
  <c r="AK52" i="5"/>
  <c r="AI52" i="5"/>
  <c r="AH52" i="5"/>
  <c r="AG52" i="5"/>
  <c r="AF52" i="5"/>
  <c r="N52" i="5"/>
  <c r="L52" i="5"/>
  <c r="K52" i="5"/>
  <c r="J52" i="5"/>
  <c r="I52" i="5"/>
  <c r="BE51" i="5"/>
  <c r="BD51" i="5"/>
  <c r="BC51" i="5"/>
  <c r="AK51" i="5"/>
  <c r="AI51" i="5"/>
  <c r="AH51" i="5"/>
  <c r="AG51" i="5"/>
  <c r="AF51" i="5"/>
  <c r="N51" i="5"/>
  <c r="L51" i="5"/>
  <c r="K51" i="5"/>
  <c r="J51" i="5"/>
  <c r="I51" i="5"/>
  <c r="BE50" i="5"/>
  <c r="BD50" i="5"/>
  <c r="BC50" i="5"/>
  <c r="AK50" i="5"/>
  <c r="AI50" i="5"/>
  <c r="AH50" i="5"/>
  <c r="AG50" i="5"/>
  <c r="AF50" i="5"/>
  <c r="N50" i="5"/>
  <c r="L50" i="5"/>
  <c r="K50" i="5"/>
  <c r="J50" i="5"/>
  <c r="I50" i="5"/>
  <c r="BE49" i="5"/>
  <c r="BD49" i="5"/>
  <c r="BC49" i="5"/>
  <c r="AK49" i="5"/>
  <c r="AI49" i="5"/>
  <c r="AH49" i="5"/>
  <c r="AG49" i="5"/>
  <c r="AF49" i="5"/>
  <c r="N49" i="5"/>
  <c r="L49" i="5"/>
  <c r="K49" i="5"/>
  <c r="J49" i="5"/>
  <c r="I49" i="5"/>
  <c r="BE48" i="5"/>
  <c r="BD48" i="5"/>
  <c r="BC48" i="5"/>
  <c r="AK48" i="5"/>
  <c r="AI48" i="5"/>
  <c r="AH48" i="5"/>
  <c r="AG48" i="5"/>
  <c r="AF48" i="5"/>
  <c r="N48" i="5"/>
  <c r="L48" i="5"/>
  <c r="K48" i="5"/>
  <c r="J48" i="5"/>
  <c r="I48" i="5"/>
  <c r="BF47" i="5" a="1"/>
  <c r="BF47" i="5" s="1"/>
  <c r="BE47" i="5"/>
  <c r="BD47" i="5"/>
  <c r="BC47" i="5"/>
  <c r="AK47" i="5"/>
  <c r="AI47" i="5"/>
  <c r="AH47" i="5"/>
  <c r="AG47" i="5"/>
  <c r="AF47" i="5"/>
  <c r="N47" i="5"/>
  <c r="L47" i="5"/>
  <c r="K47" i="5"/>
  <c r="J47" i="5"/>
  <c r="I47" i="5"/>
  <c r="BE46" i="5"/>
  <c r="BD46" i="5"/>
  <c r="BC46" i="5"/>
  <c r="AK46" i="5"/>
  <c r="AI46" i="5"/>
  <c r="AH46" i="5"/>
  <c r="AG46" i="5"/>
  <c r="AF46" i="5"/>
  <c r="N46" i="5"/>
  <c r="L46" i="5"/>
  <c r="K46" i="5"/>
  <c r="J46" i="5"/>
  <c r="I46" i="5"/>
  <c r="BE45" i="5"/>
  <c r="BD45" i="5"/>
  <c r="BC45" i="5"/>
  <c r="AK45" i="5"/>
  <c r="AI45" i="5"/>
  <c r="AH45" i="5"/>
  <c r="AG45" i="5"/>
  <c r="AF45" i="5"/>
  <c r="N45" i="5"/>
  <c r="L45" i="5"/>
  <c r="K45" i="5"/>
  <c r="J45" i="5"/>
  <c r="I45" i="5"/>
  <c r="BE44" i="5"/>
  <c r="BD44" i="5"/>
  <c r="BC44" i="5"/>
  <c r="AK44" i="5"/>
  <c r="AI44" i="5"/>
  <c r="AH44" i="5"/>
  <c r="AG44" i="5"/>
  <c r="AF44" i="5"/>
  <c r="N44" i="5"/>
  <c r="L44" i="5"/>
  <c r="K44" i="5"/>
  <c r="J44" i="5"/>
  <c r="I44" i="5"/>
  <c r="BE43" i="5"/>
  <c r="BD43" i="5"/>
  <c r="BC43" i="5"/>
  <c r="AK43" i="5"/>
  <c r="AI43" i="5"/>
  <c r="AH43" i="5"/>
  <c r="AG43" i="5"/>
  <c r="AF43" i="5"/>
  <c r="N43" i="5"/>
  <c r="L43" i="5"/>
  <c r="K43" i="5"/>
  <c r="J43" i="5"/>
  <c r="I43" i="5"/>
  <c r="BE42" i="5"/>
  <c r="BD42" i="5"/>
  <c r="BC42" i="5"/>
  <c r="AK42" i="5"/>
  <c r="AI42" i="5"/>
  <c r="AH42" i="5"/>
  <c r="AG42" i="5"/>
  <c r="AF42" i="5"/>
  <c r="N42" i="5"/>
  <c r="L42" i="5"/>
  <c r="K42" i="5"/>
  <c r="J42" i="5"/>
  <c r="I42" i="5"/>
  <c r="BF41" i="5" a="1"/>
  <c r="BF41" i="5" s="1"/>
  <c r="BE41" i="5"/>
  <c r="BD41" i="5"/>
  <c r="BC41" i="5"/>
  <c r="AI41" i="5"/>
  <c r="AH41" i="5"/>
  <c r="AG41" i="5"/>
  <c r="AF41" i="5"/>
  <c r="N41" i="5"/>
  <c r="L41" i="5"/>
  <c r="K41" i="5"/>
  <c r="J41" i="5"/>
  <c r="I41" i="5"/>
  <c r="BA143" i="5" l="1"/>
  <c r="BA146" i="5"/>
  <c r="AW30" i="6"/>
  <c r="AY146" i="5"/>
  <c r="AZ143" i="5"/>
  <c r="C85" i="1"/>
  <c r="C85" i="20"/>
  <c r="BD122" i="7"/>
  <c r="BD124" i="7"/>
  <c r="BD126" i="7"/>
  <c r="C83" i="1"/>
  <c r="C83" i="20"/>
  <c r="AZ144" i="5"/>
  <c r="AX145" i="5"/>
  <c r="J11" i="20" s="1"/>
  <c r="BA147" i="5"/>
  <c r="G128" i="19"/>
  <c r="G39" i="20"/>
  <c r="G39" i="1"/>
  <c r="BA144" i="5"/>
  <c r="AV30" i="6"/>
  <c r="AW31" i="6"/>
  <c r="BC138" i="5"/>
  <c r="AV143" i="3"/>
  <c r="AV28" i="6"/>
  <c r="AV32" i="6"/>
  <c r="AZ146" i="5"/>
  <c r="AT146" i="3"/>
  <c r="H22" i="1" s="1"/>
  <c r="AZ138" i="3"/>
  <c r="AV29" i="6"/>
  <c r="BD138" i="5"/>
  <c r="AY145" i="5"/>
  <c r="AZ147" i="5"/>
  <c r="AU147" i="3"/>
  <c r="AU143" i="3"/>
  <c r="AV146" i="3"/>
  <c r="AY138" i="3"/>
  <c r="AU146" i="3"/>
  <c r="AV147" i="3"/>
  <c r="AV145" i="3"/>
  <c r="AU145" i="3"/>
  <c r="AV148" i="3"/>
  <c r="AV144" i="3"/>
  <c r="AU148" i="3"/>
  <c r="AU144" i="3"/>
  <c r="BG116" i="7"/>
  <c r="BC123" i="7"/>
  <c r="BC125" i="7"/>
  <c r="BH116" i="7"/>
  <c r="BD123" i="7"/>
  <c r="BD125" i="7"/>
  <c r="BC122" i="7"/>
  <c r="BC124" i="7"/>
  <c r="BC126" i="7"/>
  <c r="AW28" i="6"/>
  <c r="AW32" i="6"/>
  <c r="AW29" i="6"/>
  <c r="AV27" i="6"/>
  <c r="AW27" i="6"/>
  <c r="AV31" i="6"/>
  <c r="AS145" i="3"/>
  <c r="G21" i="1" s="1"/>
  <c r="J116" i="7"/>
  <c r="AT145" i="3"/>
  <c r="H41" i="1"/>
  <c r="H130" i="19"/>
  <c r="G44" i="1"/>
  <c r="G133" i="19"/>
  <c r="G41" i="1"/>
  <c r="G130" i="19"/>
  <c r="G42" i="1"/>
  <c r="G131" i="19"/>
  <c r="H42" i="1"/>
  <c r="H131" i="19"/>
  <c r="G43" i="1"/>
  <c r="G132" i="19"/>
  <c r="H43" i="1"/>
  <c r="H132" i="19"/>
  <c r="H44" i="1"/>
  <c r="H133" i="19"/>
  <c r="BA122" i="7"/>
  <c r="G30" i="20" s="1"/>
  <c r="BA124" i="7"/>
  <c r="G32" i="20" s="1"/>
  <c r="BA126" i="7"/>
  <c r="G34" i="20" s="1"/>
  <c r="K116" i="7"/>
  <c r="L116" i="7"/>
  <c r="L28" i="6"/>
  <c r="AS13" i="6"/>
  <c r="D114" i="19" s="1"/>
  <c r="AM33" i="6"/>
  <c r="H39" i="20" s="1"/>
  <c r="AT17" i="6"/>
  <c r="E118" i="19" s="1"/>
  <c r="AS11" i="6"/>
  <c r="D112" i="19" s="1"/>
  <c r="J28" i="6"/>
  <c r="K28" i="6"/>
  <c r="BA148" i="5"/>
  <c r="AY147" i="5"/>
  <c r="J138" i="5"/>
  <c r="AW145" i="5"/>
  <c r="I11" i="20" s="1"/>
  <c r="AY144" i="5"/>
  <c r="AX148" i="5"/>
  <c r="J14" i="20" s="1"/>
  <c r="AX144" i="5"/>
  <c r="J10" i="20" s="1"/>
  <c r="L138" i="5"/>
  <c r="AW144" i="5"/>
  <c r="I10" i="20" s="1"/>
  <c r="K138" i="5"/>
  <c r="AX147" i="5"/>
  <c r="J13" i="20" s="1"/>
  <c r="AZ148" i="5"/>
  <c r="BA145" i="5"/>
  <c r="AY143" i="5"/>
  <c r="AY148" i="5"/>
  <c r="AZ145" i="5"/>
  <c r="BF138" i="5"/>
  <c r="AG138" i="5"/>
  <c r="AI138" i="5"/>
  <c r="AH138" i="5"/>
  <c r="BE138" i="5"/>
  <c r="AS148" i="3"/>
  <c r="G24" i="20" s="1"/>
  <c r="AS144" i="3"/>
  <c r="G20" i="1" s="1"/>
  <c r="BA121" i="7"/>
  <c r="BA123" i="7"/>
  <c r="G31" i="20" s="1"/>
  <c r="BB121" i="7"/>
  <c r="H29" i="20" s="1"/>
  <c r="BB123" i="7"/>
  <c r="H31" i="20" s="1"/>
  <c r="BB125" i="7"/>
  <c r="H33" i="20" s="1"/>
  <c r="BA125" i="7"/>
  <c r="G33" i="20" s="1"/>
  <c r="BB122" i="7"/>
  <c r="H30" i="20" s="1"/>
  <c r="BB124" i="7"/>
  <c r="H32" i="20" s="1"/>
  <c r="BB126" i="7"/>
  <c r="H34" i="20" s="1"/>
  <c r="BA138" i="3"/>
  <c r="BB138" i="3"/>
  <c r="AS143" i="3"/>
  <c r="AS147" i="3"/>
  <c r="G23" i="20" s="1"/>
  <c r="AE138" i="3"/>
  <c r="AT143" i="3"/>
  <c r="H19" i="20" s="1"/>
  <c r="AT147" i="3"/>
  <c r="H23" i="20" s="1"/>
  <c r="AF138" i="3"/>
  <c r="AT144" i="3"/>
  <c r="H20" i="20" s="1"/>
  <c r="AT148" i="3"/>
  <c r="H24" i="20" s="1"/>
  <c r="AS146" i="3"/>
  <c r="G22" i="20" s="1"/>
  <c r="L138" i="3"/>
  <c r="J138" i="3"/>
  <c r="K138" i="3"/>
  <c r="AJ116" i="7"/>
  <c r="BJ116" i="7"/>
  <c r="AK116" i="7"/>
  <c r="BI116" i="7"/>
  <c r="AY28" i="6"/>
  <c r="AL34" i="6"/>
  <c r="G40" i="20" s="1"/>
  <c r="AT11" i="6"/>
  <c r="E112" i="19" s="1"/>
  <c r="AT12" i="6"/>
  <c r="E113" i="19" s="1"/>
  <c r="AT13" i="6"/>
  <c r="E114" i="19" s="1"/>
  <c r="AM34" i="6"/>
  <c r="H40" i="20" s="1"/>
  <c r="AT16" i="6"/>
  <c r="E117" i="19" s="1"/>
  <c r="AX28" i="6"/>
  <c r="AB28" i="6"/>
  <c r="AD28" i="6"/>
  <c r="AR14" i="6"/>
  <c r="C115" i="19" s="1"/>
  <c r="AR15" i="6"/>
  <c r="C116" i="19" s="1"/>
  <c r="AS16" i="6"/>
  <c r="D117" i="19" s="1"/>
  <c r="AC28" i="6"/>
  <c r="AR12" i="6"/>
  <c r="C113" i="19" s="1"/>
  <c r="AS12" i="6"/>
  <c r="D113" i="19" s="1"/>
  <c r="AR17" i="6"/>
  <c r="C118" i="19" s="1"/>
  <c r="AS17" i="6"/>
  <c r="D118" i="19" s="1"/>
  <c r="AR13" i="6"/>
  <c r="C114" i="19" s="1"/>
  <c r="AR16" i="6"/>
  <c r="C117" i="19" s="1"/>
  <c r="AS14" i="6"/>
  <c r="D115" i="19" s="1"/>
  <c r="AS15" i="6"/>
  <c r="D116" i="19" s="1"/>
  <c r="AR11" i="6"/>
  <c r="C112" i="19" s="1"/>
  <c r="AT14" i="6"/>
  <c r="E115" i="19" s="1"/>
  <c r="AT15" i="6"/>
  <c r="E116" i="19" s="1"/>
  <c r="AX146" i="5"/>
  <c r="J12" i="20" s="1"/>
  <c r="AW147" i="5"/>
  <c r="I13" i="20" s="1"/>
  <c r="C2" i="19"/>
  <c r="C1" i="19"/>
  <c r="BZ77" i="3"/>
  <c r="BN77" i="3"/>
  <c r="BD77" i="3"/>
  <c r="BO77" i="3"/>
  <c r="BY77" i="3"/>
  <c r="BF77" i="3"/>
  <c r="BP77" i="3"/>
  <c r="BX77" i="3"/>
  <c r="BE77" i="3"/>
  <c r="BI77" i="3"/>
  <c r="BJ77" i="3"/>
  <c r="CE77" i="3"/>
  <c r="BS77" i="3"/>
  <c r="BU77" i="3"/>
  <c r="CD77" i="3"/>
  <c r="CC77" i="3"/>
  <c r="BK77" i="3"/>
  <c r="BT77" i="3"/>
  <c r="BN71" i="3"/>
  <c r="BF71" i="3"/>
  <c r="BP71" i="3"/>
  <c r="BY71" i="3"/>
  <c r="BE71" i="3"/>
  <c r="BD71" i="3"/>
  <c r="BZ71" i="3"/>
  <c r="BX71" i="3"/>
  <c r="BO71" i="3"/>
  <c r="CE71" i="3"/>
  <c r="BT71" i="3"/>
  <c r="CD71" i="3"/>
  <c r="BK71" i="3"/>
  <c r="CC71" i="3"/>
  <c r="BI71" i="3"/>
  <c r="BS71" i="3"/>
  <c r="BJ71" i="3"/>
  <c r="BU71" i="3"/>
  <c r="BD65" i="3"/>
  <c r="BY65" i="3"/>
  <c r="BZ65" i="3"/>
  <c r="BN65" i="3"/>
  <c r="BF65" i="3"/>
  <c r="BX65" i="3"/>
  <c r="BO65" i="3"/>
  <c r="BP65" i="3"/>
  <c r="BE65" i="3"/>
  <c r="BJ65" i="3"/>
  <c r="BT65" i="3"/>
  <c r="BU65" i="3"/>
  <c r="BI65" i="3"/>
  <c r="CC65" i="3"/>
  <c r="CD65" i="3"/>
  <c r="BK65" i="3"/>
  <c r="CE65" i="3"/>
  <c r="BS65" i="3"/>
  <c r="BZ59" i="3"/>
  <c r="BE59" i="3"/>
  <c r="BF59" i="3"/>
  <c r="BD59" i="3"/>
  <c r="BO59" i="3"/>
  <c r="BY59" i="3"/>
  <c r="BX59" i="3"/>
  <c r="BN59" i="3"/>
  <c r="BP59" i="3"/>
  <c r="BK59" i="3"/>
  <c r="BJ59" i="3"/>
  <c r="CE59" i="3"/>
  <c r="BS59" i="3"/>
  <c r="BI59" i="3"/>
  <c r="CD59" i="3"/>
  <c r="CC59" i="3"/>
  <c r="BU59" i="3"/>
  <c r="BT59" i="3"/>
  <c r="BD53" i="3"/>
  <c r="BO53" i="3"/>
  <c r="BZ53" i="3"/>
  <c r="BE53" i="3"/>
  <c r="BF53" i="3"/>
  <c r="BN53" i="3"/>
  <c r="BY53" i="3"/>
  <c r="BP53" i="3"/>
  <c r="BX53" i="3"/>
  <c r="BU53" i="3"/>
  <c r="CE53" i="3"/>
  <c r="BI53" i="3"/>
  <c r="BS53" i="3"/>
  <c r="BT53" i="3"/>
  <c r="BJ53" i="3"/>
  <c r="BK53" i="3"/>
  <c r="CC53" i="3"/>
  <c r="CD53" i="3"/>
  <c r="BO47" i="3"/>
  <c r="BX47" i="3"/>
  <c r="BZ47" i="3"/>
  <c r="BE47" i="3"/>
  <c r="BY47" i="3"/>
  <c r="BN47" i="3"/>
  <c r="BF47" i="3"/>
  <c r="BP47" i="3"/>
  <c r="BD47" i="3"/>
  <c r="CD47" i="3"/>
  <c r="BS47" i="3"/>
  <c r="BU47" i="3"/>
  <c r="BT47" i="3"/>
  <c r="BI47" i="3"/>
  <c r="BJ47" i="3"/>
  <c r="CE47" i="3"/>
  <c r="BK47" i="3"/>
  <c r="CC47" i="3"/>
  <c r="BO41" i="3"/>
  <c r="BD41" i="3"/>
  <c r="BX41" i="3"/>
  <c r="BE41" i="3"/>
  <c r="BF41" i="3"/>
  <c r="BY41" i="3"/>
  <c r="BN41" i="3"/>
  <c r="BP41" i="3"/>
  <c r="BZ41" i="3"/>
  <c r="BJ41" i="3"/>
  <c r="BK41" i="3"/>
  <c r="CE41" i="3"/>
  <c r="CD41" i="3"/>
  <c r="BU41" i="3"/>
  <c r="BI41" i="3"/>
  <c r="BS41" i="3"/>
  <c r="BT41" i="3"/>
  <c r="CC41" i="3"/>
  <c r="BN65" i="7"/>
  <c r="BQ65" i="7"/>
  <c r="BM65" i="7"/>
  <c r="BR65" i="7"/>
  <c r="BL65" i="7"/>
  <c r="BS65" i="7"/>
  <c r="CB65" i="7"/>
  <c r="BW65" i="7"/>
  <c r="CA65" i="7"/>
  <c r="BV65" i="7"/>
  <c r="CC65" i="7"/>
  <c r="BX65" i="7"/>
  <c r="BQ60" i="7"/>
  <c r="BL60" i="7"/>
  <c r="BN60" i="7"/>
  <c r="BM60" i="7"/>
  <c r="BR60" i="7"/>
  <c r="BS60" i="7"/>
  <c r="BV60" i="7"/>
  <c r="CA60" i="7"/>
  <c r="BX60" i="7"/>
  <c r="CC60" i="7"/>
  <c r="BW60" i="7"/>
  <c r="CB60" i="7"/>
  <c r="BM55" i="7"/>
  <c r="BS55" i="7"/>
  <c r="BQ55" i="7"/>
  <c r="BR55" i="7"/>
  <c r="BN55" i="7"/>
  <c r="BL55" i="7"/>
  <c r="CB55" i="7"/>
  <c r="BV55" i="7"/>
  <c r="CA55" i="7"/>
  <c r="BX55" i="7"/>
  <c r="CC55" i="7"/>
  <c r="BW55" i="7"/>
  <c r="BQ50" i="7"/>
  <c r="BS50" i="7"/>
  <c r="BL50" i="7"/>
  <c r="BN50" i="7"/>
  <c r="BM50" i="7"/>
  <c r="BR50" i="7"/>
  <c r="BX50" i="7"/>
  <c r="CA50" i="7"/>
  <c r="CB50" i="7"/>
  <c r="BV50" i="7"/>
  <c r="CC50" i="7"/>
  <c r="BW50" i="7"/>
  <c r="BM45" i="7"/>
  <c r="BN45" i="7"/>
  <c r="BL45" i="7"/>
  <c r="BR45" i="7"/>
  <c r="BS45" i="7"/>
  <c r="BQ45" i="7"/>
  <c r="BX45" i="7"/>
  <c r="BW45" i="7"/>
  <c r="CB45" i="7"/>
  <c r="CC45" i="7"/>
  <c r="BV45" i="7"/>
  <c r="CA45" i="7"/>
  <c r="BR40" i="7"/>
  <c r="BQ40" i="7"/>
  <c r="BM40" i="7"/>
  <c r="BS40" i="7"/>
  <c r="BL40" i="7"/>
  <c r="BN40" i="7"/>
  <c r="BX40" i="7"/>
  <c r="CB40" i="7"/>
  <c r="BV40" i="7"/>
  <c r="CC40" i="7"/>
  <c r="CA40" i="7"/>
  <c r="BW40" i="7"/>
  <c r="BL35" i="7"/>
  <c r="BR35" i="7"/>
  <c r="BQ35" i="7"/>
  <c r="BN35" i="7"/>
  <c r="BS35" i="7"/>
  <c r="BM35" i="7"/>
  <c r="BV35" i="7"/>
  <c r="CA35" i="7"/>
  <c r="BW35" i="7"/>
  <c r="BX35" i="7"/>
  <c r="CB35" i="7"/>
  <c r="CC35" i="7"/>
  <c r="J11" i="1" l="1"/>
  <c r="BW116" i="7"/>
  <c r="BM116" i="7"/>
  <c r="C81" i="19"/>
  <c r="E48" i="19"/>
  <c r="BT138" i="3"/>
  <c r="C85" i="19"/>
  <c r="BZ138" i="3"/>
  <c r="CA116" i="7"/>
  <c r="C30" i="20" s="1"/>
  <c r="D81" i="19"/>
  <c r="E82" i="19"/>
  <c r="BO138" i="3"/>
  <c r="BP138" i="3"/>
  <c r="C84" i="19"/>
  <c r="D79" i="19"/>
  <c r="BR116" i="7"/>
  <c r="D96" i="19" s="1"/>
  <c r="BK138" i="3"/>
  <c r="E20" i="20" s="1"/>
  <c r="E80" i="19"/>
  <c r="C80" i="19"/>
  <c r="E51" i="19"/>
  <c r="BX138" i="3"/>
  <c r="E83" i="19"/>
  <c r="D83" i="19"/>
  <c r="BS116" i="7"/>
  <c r="E30" i="1" s="1"/>
  <c r="E79" i="19"/>
  <c r="C82" i="19"/>
  <c r="C46" i="19"/>
  <c r="BD138" i="3"/>
  <c r="C20" i="1" s="1"/>
  <c r="E81" i="19"/>
  <c r="CE138" i="3"/>
  <c r="C79" i="19"/>
  <c r="BQ116" i="7"/>
  <c r="C96" i="19" s="1"/>
  <c r="C48" i="19"/>
  <c r="E85" i="19"/>
  <c r="BJ138" i="3"/>
  <c r="D20" i="20" s="1"/>
  <c r="BY138" i="3"/>
  <c r="E49" i="19"/>
  <c r="C49" i="19"/>
  <c r="C52" i="19"/>
  <c r="C50" i="19"/>
  <c r="E47" i="19"/>
  <c r="E50" i="19"/>
  <c r="D85" i="19"/>
  <c r="D50" i="19"/>
  <c r="BS138" i="3"/>
  <c r="CC116" i="7"/>
  <c r="E30" i="20" s="1"/>
  <c r="D52" i="19"/>
  <c r="BI138" i="3"/>
  <c r="C20" i="20" s="1"/>
  <c r="D48" i="19"/>
  <c r="BN116" i="7"/>
  <c r="BV116" i="7"/>
  <c r="D51" i="19"/>
  <c r="D84" i="19"/>
  <c r="E84" i="19"/>
  <c r="D46" i="19"/>
  <c r="BE138" i="3"/>
  <c r="D63" i="19" s="1"/>
  <c r="D49" i="19"/>
  <c r="CD138" i="3"/>
  <c r="D80" i="19"/>
  <c r="BX116" i="7"/>
  <c r="D47" i="19"/>
  <c r="E52" i="19"/>
  <c r="BU138" i="3"/>
  <c r="CC138" i="3"/>
  <c r="BL116" i="7"/>
  <c r="D82" i="19"/>
  <c r="BF138" i="3"/>
  <c r="E63" i="19" s="1"/>
  <c r="E46" i="19"/>
  <c r="C51" i="19"/>
  <c r="C47" i="19"/>
  <c r="C83" i="19"/>
  <c r="BN138" i="3"/>
  <c r="CB116" i="7"/>
  <c r="D30" i="20" s="1"/>
  <c r="J31" i="19"/>
  <c r="G64" i="19"/>
  <c r="G21" i="20"/>
  <c r="H64" i="19"/>
  <c r="H21" i="20"/>
  <c r="H65" i="19"/>
  <c r="H22" i="20"/>
  <c r="G63" i="19"/>
  <c r="G20" i="20"/>
  <c r="G29" i="1"/>
  <c r="G29" i="20"/>
  <c r="G19" i="20"/>
  <c r="G19" i="1"/>
  <c r="H21" i="1"/>
  <c r="I13" i="1"/>
  <c r="I33" i="19"/>
  <c r="J13" i="1"/>
  <c r="J33" i="19"/>
  <c r="J12" i="1"/>
  <c r="J32" i="19"/>
  <c r="J10" i="1"/>
  <c r="J30" i="19"/>
  <c r="J14" i="1"/>
  <c r="J34" i="19"/>
  <c r="I11" i="1"/>
  <c r="I31" i="19"/>
  <c r="I10" i="1"/>
  <c r="I30" i="19"/>
  <c r="G23" i="1"/>
  <c r="G66" i="19"/>
  <c r="H20" i="1"/>
  <c r="H63" i="19"/>
  <c r="G22" i="1"/>
  <c r="G65" i="19"/>
  <c r="H24" i="1"/>
  <c r="H67" i="19"/>
  <c r="G62" i="19"/>
  <c r="H23" i="1"/>
  <c r="H66" i="19"/>
  <c r="H19" i="1"/>
  <c r="H62" i="19"/>
  <c r="G24" i="1"/>
  <c r="G67" i="19"/>
  <c r="G33" i="1"/>
  <c r="G99" i="19"/>
  <c r="G34" i="1"/>
  <c r="G100" i="19"/>
  <c r="H33" i="1"/>
  <c r="H99" i="19"/>
  <c r="G32" i="1"/>
  <c r="G98" i="19"/>
  <c r="H30" i="1"/>
  <c r="H96" i="19"/>
  <c r="H31" i="1"/>
  <c r="H97" i="19"/>
  <c r="G30" i="1"/>
  <c r="G96" i="19"/>
  <c r="H29" i="1"/>
  <c r="H95" i="19"/>
  <c r="G31" i="1"/>
  <c r="G97" i="19"/>
  <c r="H34" i="1"/>
  <c r="H100" i="19"/>
  <c r="G95" i="19"/>
  <c r="H32" i="1"/>
  <c r="H98" i="19"/>
  <c r="H39" i="1"/>
  <c r="H128" i="19"/>
  <c r="G40" i="1"/>
  <c r="G129" i="19"/>
  <c r="H40" i="1"/>
  <c r="H129" i="19"/>
  <c r="AT28" i="6"/>
  <c r="E40" i="20" s="1"/>
  <c r="AR28" i="6"/>
  <c r="C40" i="20" s="1"/>
  <c r="AS28" i="6"/>
  <c r="D40" i="20" s="1"/>
  <c r="C30" i="1" l="1"/>
  <c r="C63" i="19"/>
  <c r="E20" i="1"/>
  <c r="D30" i="1"/>
  <c r="D20" i="1"/>
  <c r="E96" i="19"/>
  <c r="C40" i="1"/>
  <c r="C129" i="19"/>
  <c r="E40" i="1"/>
  <c r="E129" i="19"/>
  <c r="D40" i="1"/>
  <c r="D129" i="19"/>
  <c r="BI114" i="7" l="1"/>
  <c r="BH114" i="7"/>
  <c r="BG114" i="7"/>
  <c r="AM114" i="7"/>
  <c r="AH114" i="7"/>
  <c r="N114" i="7"/>
  <c r="L114" i="7"/>
  <c r="K114" i="7"/>
  <c r="J114" i="7"/>
  <c r="I114" i="7"/>
  <c r="BI113" i="7"/>
  <c r="BH113" i="7"/>
  <c r="BG113" i="7"/>
  <c r="AM113" i="7"/>
  <c r="AH113" i="7"/>
  <c r="N113" i="7"/>
  <c r="L113" i="7"/>
  <c r="K113" i="7"/>
  <c r="J113" i="7"/>
  <c r="I113" i="7"/>
  <c r="BI112" i="7"/>
  <c r="BH112" i="7"/>
  <c r="BG112" i="7"/>
  <c r="AM112" i="7"/>
  <c r="AH112" i="7"/>
  <c r="N112" i="7"/>
  <c r="L112" i="7"/>
  <c r="K112" i="7"/>
  <c r="J112" i="7"/>
  <c r="I112" i="7"/>
  <c r="BI111" i="7"/>
  <c r="BH111" i="7"/>
  <c r="BG111" i="7"/>
  <c r="AM111" i="7"/>
  <c r="AH111" i="7"/>
  <c r="N111" i="7"/>
  <c r="L111" i="7"/>
  <c r="K111" i="7"/>
  <c r="J111" i="7"/>
  <c r="I111" i="7"/>
  <c r="BJ110" i="7" a="1"/>
  <c r="BJ110" i="7" s="1"/>
  <c r="BI110" i="7"/>
  <c r="BH110" i="7"/>
  <c r="BG110" i="7"/>
  <c r="AM110" i="7"/>
  <c r="AH110" i="7"/>
  <c r="N110" i="7"/>
  <c r="L110" i="7"/>
  <c r="K110" i="7"/>
  <c r="J110" i="7"/>
  <c r="I110" i="7"/>
  <c r="BI109" i="7"/>
  <c r="BH109" i="7"/>
  <c r="BG109" i="7"/>
  <c r="AM109" i="7"/>
  <c r="AH109" i="7"/>
  <c r="N109" i="7"/>
  <c r="L109" i="7"/>
  <c r="K109" i="7"/>
  <c r="J109" i="7"/>
  <c r="I109" i="7"/>
  <c r="BI108" i="7"/>
  <c r="BH108" i="7"/>
  <c r="BG108" i="7"/>
  <c r="AM108" i="7"/>
  <c r="AH108" i="7"/>
  <c r="N108" i="7"/>
  <c r="L108" i="7"/>
  <c r="K108" i="7"/>
  <c r="J108" i="7"/>
  <c r="I108" i="7"/>
  <c r="BI107" i="7"/>
  <c r="BH107" i="7"/>
  <c r="BG107" i="7"/>
  <c r="AM107" i="7"/>
  <c r="AH107" i="7"/>
  <c r="N107" i="7"/>
  <c r="L107" i="7"/>
  <c r="K107" i="7"/>
  <c r="J107" i="7"/>
  <c r="I107" i="7"/>
  <c r="BI106" i="7"/>
  <c r="BH106" i="7"/>
  <c r="BG106" i="7"/>
  <c r="AM106" i="7"/>
  <c r="AH106" i="7"/>
  <c r="N106" i="7"/>
  <c r="L106" i="7"/>
  <c r="K106" i="7"/>
  <c r="J106" i="7"/>
  <c r="I106" i="7"/>
  <c r="BJ105" i="7" a="1"/>
  <c r="BJ105" i="7" s="1"/>
  <c r="BI105" i="7"/>
  <c r="BH105" i="7"/>
  <c r="BG105" i="7"/>
  <c r="AM105" i="7"/>
  <c r="AH105" i="7"/>
  <c r="N105" i="7"/>
  <c r="L105" i="7"/>
  <c r="K105" i="7"/>
  <c r="J105" i="7"/>
  <c r="I105" i="7"/>
  <c r="BI104" i="7"/>
  <c r="BH104" i="7"/>
  <c r="BG104" i="7"/>
  <c r="AM104" i="7"/>
  <c r="AH104" i="7"/>
  <c r="N104" i="7"/>
  <c r="L104" i="7"/>
  <c r="K104" i="7"/>
  <c r="J104" i="7"/>
  <c r="I104" i="7"/>
  <c r="BI103" i="7"/>
  <c r="BH103" i="7"/>
  <c r="BG103" i="7"/>
  <c r="AM103" i="7"/>
  <c r="AH103" i="7"/>
  <c r="N103" i="7"/>
  <c r="L103" i="7"/>
  <c r="K103" i="7"/>
  <c r="J103" i="7"/>
  <c r="I103" i="7"/>
  <c r="BI102" i="7"/>
  <c r="BH102" i="7"/>
  <c r="BG102" i="7"/>
  <c r="AM102" i="7"/>
  <c r="AH102" i="7"/>
  <c r="N102" i="7"/>
  <c r="L102" i="7"/>
  <c r="K102" i="7"/>
  <c r="J102" i="7"/>
  <c r="I102" i="7"/>
  <c r="BI101" i="7"/>
  <c r="BH101" i="7"/>
  <c r="BG101" i="7"/>
  <c r="AM101" i="7"/>
  <c r="AH101" i="7"/>
  <c r="N101" i="7"/>
  <c r="L101" i="7"/>
  <c r="K101" i="7"/>
  <c r="J101" i="7"/>
  <c r="I101" i="7"/>
  <c r="BJ100" i="7" a="1"/>
  <c r="BJ100" i="7" s="1"/>
  <c r="BI100" i="7"/>
  <c r="BH100" i="7"/>
  <c r="BG100" i="7"/>
  <c r="AM100" i="7"/>
  <c r="AH100" i="7"/>
  <c r="N100" i="7"/>
  <c r="L100" i="7"/>
  <c r="K100" i="7"/>
  <c r="J100" i="7"/>
  <c r="I100" i="7"/>
  <c r="BI99" i="7"/>
  <c r="BH99" i="7"/>
  <c r="BG99" i="7"/>
  <c r="AM99" i="7"/>
  <c r="AH99" i="7"/>
  <c r="N99" i="7"/>
  <c r="L99" i="7"/>
  <c r="K99" i="7"/>
  <c r="J99" i="7"/>
  <c r="I99" i="7"/>
  <c r="BI98" i="7"/>
  <c r="BH98" i="7"/>
  <c r="BG98" i="7"/>
  <c r="AM98" i="7"/>
  <c r="AH98" i="7"/>
  <c r="N98" i="7"/>
  <c r="L98" i="7"/>
  <c r="K98" i="7"/>
  <c r="J98" i="7"/>
  <c r="I98" i="7"/>
  <c r="BI97" i="7"/>
  <c r="BH97" i="7"/>
  <c r="BG97" i="7"/>
  <c r="AM97" i="7"/>
  <c r="AH97" i="7"/>
  <c r="N97" i="7"/>
  <c r="L97" i="7"/>
  <c r="K97" i="7"/>
  <c r="J97" i="7"/>
  <c r="I97" i="7"/>
  <c r="BI96" i="7"/>
  <c r="BH96" i="7"/>
  <c r="BG96" i="7"/>
  <c r="AM96" i="7"/>
  <c r="AH96" i="7"/>
  <c r="N96" i="7"/>
  <c r="L96" i="7"/>
  <c r="K96" i="7"/>
  <c r="J96" i="7"/>
  <c r="I96" i="7"/>
  <c r="BJ95" i="7" a="1"/>
  <c r="BJ95" i="7" s="1"/>
  <c r="BI95" i="7"/>
  <c r="BH95" i="7"/>
  <c r="BG95" i="7"/>
  <c r="AM95" i="7"/>
  <c r="AH95" i="7"/>
  <c r="N95" i="7"/>
  <c r="L95" i="7"/>
  <c r="K95" i="7"/>
  <c r="J95" i="7"/>
  <c r="I95" i="7"/>
  <c r="BI94" i="7"/>
  <c r="BH94" i="7"/>
  <c r="BG94" i="7"/>
  <c r="AM94" i="7"/>
  <c r="AH94" i="7"/>
  <c r="N94" i="7"/>
  <c r="M94" i="7"/>
  <c r="K94" i="7"/>
  <c r="J94" i="7"/>
  <c r="I94" i="7"/>
  <c r="BI93" i="7"/>
  <c r="BH93" i="7"/>
  <c r="BG93" i="7"/>
  <c r="AM93" i="7"/>
  <c r="AH93" i="7"/>
  <c r="N93" i="7"/>
  <c r="M93" i="7"/>
  <c r="K93" i="7"/>
  <c r="J93" i="7"/>
  <c r="I93" i="7"/>
  <c r="BI92" i="7"/>
  <c r="BH92" i="7"/>
  <c r="BG92" i="7"/>
  <c r="AM92" i="7"/>
  <c r="AH92" i="7"/>
  <c r="N92" i="7"/>
  <c r="M92" i="7"/>
  <c r="K92" i="7"/>
  <c r="J92" i="7"/>
  <c r="I92" i="7"/>
  <c r="BI91" i="7"/>
  <c r="BH91" i="7"/>
  <c r="BG91" i="7"/>
  <c r="AM91" i="7"/>
  <c r="AH91" i="7"/>
  <c r="N91" i="7"/>
  <c r="M91" i="7"/>
  <c r="K91" i="7"/>
  <c r="J91" i="7"/>
  <c r="I91" i="7"/>
  <c r="BJ90" i="7" a="1"/>
  <c r="BJ90" i="7" s="1"/>
  <c r="BI90" i="7"/>
  <c r="BH90" i="7"/>
  <c r="BG90" i="7"/>
  <c r="AM90" i="7"/>
  <c r="AH90" i="7"/>
  <c r="N90" i="7"/>
  <c r="M90" i="7"/>
  <c r="K90" i="7"/>
  <c r="J90" i="7"/>
  <c r="I90" i="7"/>
  <c r="BI89" i="7"/>
  <c r="BH89" i="7"/>
  <c r="BG89" i="7"/>
  <c r="AM89" i="7"/>
  <c r="AH89" i="7"/>
  <c r="N89" i="7"/>
  <c r="M89" i="7"/>
  <c r="K89" i="7"/>
  <c r="J89" i="7"/>
  <c r="I89" i="7"/>
  <c r="BI88" i="7"/>
  <c r="BH88" i="7"/>
  <c r="BG88" i="7"/>
  <c r="AM88" i="7"/>
  <c r="AH88" i="7"/>
  <c r="N88" i="7"/>
  <c r="M88" i="7"/>
  <c r="K88" i="7"/>
  <c r="J88" i="7"/>
  <c r="I88" i="7"/>
  <c r="BI87" i="7"/>
  <c r="BH87" i="7"/>
  <c r="BG87" i="7"/>
  <c r="AM87" i="7"/>
  <c r="AH87" i="7"/>
  <c r="N87" i="7"/>
  <c r="M87" i="7"/>
  <c r="K87" i="7"/>
  <c r="J87" i="7"/>
  <c r="I87" i="7"/>
  <c r="BI86" i="7"/>
  <c r="BH86" i="7"/>
  <c r="BG86" i="7"/>
  <c r="AM86" i="7"/>
  <c r="AH86" i="7"/>
  <c r="N86" i="7"/>
  <c r="M86" i="7"/>
  <c r="K86" i="7"/>
  <c r="J86" i="7"/>
  <c r="I86" i="7"/>
  <c r="BJ85" i="7" a="1"/>
  <c r="BJ85" i="7" s="1"/>
  <c r="BI85" i="7"/>
  <c r="BH85" i="7"/>
  <c r="BG85" i="7"/>
  <c r="AM85" i="7"/>
  <c r="AH85" i="7"/>
  <c r="N85" i="7"/>
  <c r="M85" i="7"/>
  <c r="K85" i="7"/>
  <c r="J85" i="7"/>
  <c r="I85" i="7"/>
  <c r="BI84" i="7"/>
  <c r="BH84" i="7"/>
  <c r="BG84" i="7"/>
  <c r="AM84" i="7"/>
  <c r="AH84" i="7"/>
  <c r="N84" i="7"/>
  <c r="I84" i="7"/>
  <c r="J84" i="7"/>
  <c r="BI83" i="7"/>
  <c r="BH83" i="7"/>
  <c r="BG83" i="7"/>
  <c r="AM83" i="7"/>
  <c r="AH83" i="7"/>
  <c r="N83" i="7"/>
  <c r="I83" i="7"/>
  <c r="M83" i="7"/>
  <c r="BI82" i="7"/>
  <c r="BH82" i="7"/>
  <c r="BG82" i="7"/>
  <c r="AM82" i="7"/>
  <c r="AH82" i="7"/>
  <c r="N82" i="7"/>
  <c r="I82" i="7"/>
  <c r="M82" i="7"/>
  <c r="BI81" i="7"/>
  <c r="BH81" i="7"/>
  <c r="BG81" i="7"/>
  <c r="AM81" i="7"/>
  <c r="AH81" i="7"/>
  <c r="N81" i="7"/>
  <c r="I81" i="7"/>
  <c r="M81" i="7"/>
  <c r="BJ80" i="7" a="1"/>
  <c r="BJ80" i="7" s="1"/>
  <c r="BI80" i="7"/>
  <c r="BH80" i="7"/>
  <c r="BG80" i="7"/>
  <c r="AM80" i="7"/>
  <c r="AH80" i="7"/>
  <c r="N80" i="7"/>
  <c r="I80" i="7"/>
  <c r="M80" i="7"/>
  <c r="BI79" i="7"/>
  <c r="BH79" i="7"/>
  <c r="BG79" i="7"/>
  <c r="AM79" i="7"/>
  <c r="AH79" i="7"/>
  <c r="N79" i="7"/>
  <c r="I79" i="7"/>
  <c r="M79" i="7"/>
  <c r="BI78" i="7"/>
  <c r="BH78" i="7"/>
  <c r="BG78" i="7"/>
  <c r="AM78" i="7"/>
  <c r="AH78" i="7"/>
  <c r="N78" i="7"/>
  <c r="I78" i="7"/>
  <c r="K78" i="7"/>
  <c r="BI77" i="7"/>
  <c r="BH77" i="7"/>
  <c r="BG77" i="7"/>
  <c r="AM77" i="7"/>
  <c r="AH77" i="7"/>
  <c r="N77" i="7"/>
  <c r="I77" i="7"/>
  <c r="K77" i="7"/>
  <c r="BI76" i="7"/>
  <c r="BH76" i="7"/>
  <c r="BG76" i="7"/>
  <c r="AM76" i="7"/>
  <c r="AH76" i="7"/>
  <c r="N76" i="7"/>
  <c r="K76" i="7"/>
  <c r="I76" i="7"/>
  <c r="J76" i="7"/>
  <c r="BJ75" i="7" a="1"/>
  <c r="BJ75" i="7" s="1"/>
  <c r="BI75" i="7"/>
  <c r="BH75" i="7"/>
  <c r="BG75" i="7"/>
  <c r="AM75" i="7"/>
  <c r="AH75" i="7"/>
  <c r="N75" i="7"/>
  <c r="M75" i="7"/>
  <c r="K75" i="7"/>
  <c r="I75" i="7"/>
  <c r="J75" i="7"/>
  <c r="BI74" i="7"/>
  <c r="BH74" i="7"/>
  <c r="BG74" i="7"/>
  <c r="AM74" i="7"/>
  <c r="AH74" i="7"/>
  <c r="N74" i="7"/>
  <c r="M74" i="7"/>
  <c r="K74" i="7"/>
  <c r="J74" i="7"/>
  <c r="I74" i="7"/>
  <c r="BI73" i="7"/>
  <c r="BH73" i="7"/>
  <c r="BG73" i="7"/>
  <c r="AM73" i="7"/>
  <c r="AH73" i="7"/>
  <c r="N73" i="7"/>
  <c r="M73" i="7"/>
  <c r="K73" i="7"/>
  <c r="I73" i="7"/>
  <c r="J73" i="7"/>
  <c r="BI72" i="7"/>
  <c r="BH72" i="7"/>
  <c r="BG72" i="7"/>
  <c r="AM72" i="7"/>
  <c r="AH72" i="7"/>
  <c r="N72" i="7"/>
  <c r="I72" i="7"/>
  <c r="J72" i="7"/>
  <c r="BI71" i="7"/>
  <c r="BH71" i="7"/>
  <c r="BG71" i="7"/>
  <c r="AM71" i="7"/>
  <c r="AH71" i="7"/>
  <c r="N71" i="7"/>
  <c r="I71" i="7"/>
  <c r="M71" i="7"/>
  <c r="BJ70" i="7" a="1"/>
  <c r="BJ70" i="7" s="1"/>
  <c r="BI70" i="7"/>
  <c r="BH70" i="7"/>
  <c r="BG70" i="7"/>
  <c r="AM70" i="7"/>
  <c r="N70" i="7"/>
  <c r="I70" i="7"/>
  <c r="K70" i="7"/>
  <c r="BI34" i="7"/>
  <c r="BH34" i="7"/>
  <c r="BG34" i="7"/>
  <c r="AM34" i="7"/>
  <c r="AH34" i="7"/>
  <c r="N34" i="7"/>
  <c r="M34" i="7"/>
  <c r="K34" i="7"/>
  <c r="J34" i="7"/>
  <c r="I34" i="7"/>
  <c r="BI33" i="7"/>
  <c r="BH33" i="7"/>
  <c r="BG33" i="7"/>
  <c r="AM33" i="7"/>
  <c r="AH33" i="7"/>
  <c r="N33" i="7"/>
  <c r="M33" i="7"/>
  <c r="K33" i="7"/>
  <c r="J33" i="7"/>
  <c r="I33" i="7"/>
  <c r="BI32" i="7"/>
  <c r="BH32" i="7"/>
  <c r="BG32" i="7"/>
  <c r="AM32" i="7"/>
  <c r="AH32" i="7"/>
  <c r="N32" i="7"/>
  <c r="M32" i="7"/>
  <c r="K32" i="7"/>
  <c r="J32" i="7"/>
  <c r="I32" i="7"/>
  <c r="BI31" i="7"/>
  <c r="BH31" i="7"/>
  <c r="BG31" i="7"/>
  <c r="AM31" i="7"/>
  <c r="AH31" i="7"/>
  <c r="N31" i="7"/>
  <c r="M31" i="7"/>
  <c r="K31" i="7"/>
  <c r="J31" i="7"/>
  <c r="I31" i="7"/>
  <c r="BJ30" i="7" a="1"/>
  <c r="BJ30" i="7" s="1"/>
  <c r="BI30" i="7"/>
  <c r="BH30" i="7"/>
  <c r="BG30" i="7"/>
  <c r="AM30" i="7"/>
  <c r="AH30" i="7"/>
  <c r="N30" i="7"/>
  <c r="M30" i="7"/>
  <c r="K30" i="7"/>
  <c r="J30" i="7"/>
  <c r="I30" i="7"/>
  <c r="BI29" i="7"/>
  <c r="BH29" i="7"/>
  <c r="BG29" i="7"/>
  <c r="AM29" i="7"/>
  <c r="AH29" i="7"/>
  <c r="N29" i="7"/>
  <c r="M29" i="7"/>
  <c r="K29" i="7"/>
  <c r="J29" i="7"/>
  <c r="I29" i="7"/>
  <c r="BI28" i="7"/>
  <c r="BH28" i="7"/>
  <c r="BG28" i="7"/>
  <c r="AM28" i="7"/>
  <c r="AH28" i="7"/>
  <c r="N28" i="7"/>
  <c r="M28" i="7"/>
  <c r="K28" i="7"/>
  <c r="J28" i="7"/>
  <c r="I28" i="7"/>
  <c r="BI27" i="7"/>
  <c r="BH27" i="7"/>
  <c r="BG27" i="7"/>
  <c r="AM27" i="7"/>
  <c r="AH27" i="7"/>
  <c r="N27" i="7"/>
  <c r="M27" i="7"/>
  <c r="K27" i="7"/>
  <c r="J27" i="7"/>
  <c r="I27" i="7"/>
  <c r="BI26" i="7"/>
  <c r="BH26" i="7"/>
  <c r="BG26" i="7"/>
  <c r="AM26" i="7"/>
  <c r="AH26" i="7"/>
  <c r="N26" i="7"/>
  <c r="M26" i="7"/>
  <c r="K26" i="7"/>
  <c r="J26" i="7"/>
  <c r="I26" i="7"/>
  <c r="BJ25" i="7" a="1"/>
  <c r="BJ25" i="7" s="1"/>
  <c r="BI25" i="7"/>
  <c r="BH25" i="7"/>
  <c r="BG25" i="7"/>
  <c r="AM25" i="7"/>
  <c r="AH25" i="7"/>
  <c r="N25" i="7"/>
  <c r="M25" i="7"/>
  <c r="K25" i="7"/>
  <c r="J25" i="7"/>
  <c r="I25" i="7"/>
  <c r="BI24" i="7"/>
  <c r="BH24" i="7"/>
  <c r="BG24" i="7"/>
  <c r="AM24" i="7"/>
  <c r="AH24" i="7"/>
  <c r="N24" i="7"/>
  <c r="M24" i="7"/>
  <c r="K24" i="7"/>
  <c r="J24" i="7"/>
  <c r="I24" i="7"/>
  <c r="BI23" i="7"/>
  <c r="BH23" i="7"/>
  <c r="BG23" i="7"/>
  <c r="AM23" i="7"/>
  <c r="AH23" i="7"/>
  <c r="N23" i="7"/>
  <c r="M23" i="7"/>
  <c r="K23" i="7"/>
  <c r="J23" i="7"/>
  <c r="I23" i="7"/>
  <c r="BI22" i="7"/>
  <c r="BH22" i="7"/>
  <c r="BG22" i="7"/>
  <c r="AM22" i="7"/>
  <c r="AH22" i="7"/>
  <c r="N22" i="7"/>
  <c r="M22" i="7"/>
  <c r="K22" i="7"/>
  <c r="J22" i="7"/>
  <c r="I22" i="7"/>
  <c r="BI21" i="7"/>
  <c r="BH21" i="7"/>
  <c r="BG21" i="7"/>
  <c r="AM21" i="7"/>
  <c r="AH21" i="7"/>
  <c r="N21" i="7"/>
  <c r="M21" i="7"/>
  <c r="K21" i="7"/>
  <c r="J21" i="7"/>
  <c r="I21" i="7"/>
  <c r="BJ20" i="7" a="1"/>
  <c r="BJ20" i="7" s="1"/>
  <c r="BI20" i="7"/>
  <c r="BH20" i="7"/>
  <c r="BG20" i="7"/>
  <c r="AM20" i="7"/>
  <c r="AH20" i="7"/>
  <c r="N20" i="7"/>
  <c r="M20" i="7"/>
  <c r="K20" i="7"/>
  <c r="J20" i="7"/>
  <c r="I20" i="7"/>
  <c r="BI19" i="7"/>
  <c r="BH19" i="7"/>
  <c r="BG19" i="7"/>
  <c r="AM19" i="7"/>
  <c r="AH19" i="7"/>
  <c r="N19" i="7"/>
  <c r="M19" i="7"/>
  <c r="K19" i="7"/>
  <c r="J19" i="7"/>
  <c r="I19" i="7"/>
  <c r="BI18" i="7"/>
  <c r="BH18" i="7"/>
  <c r="BG18" i="7"/>
  <c r="AM18" i="7"/>
  <c r="AH18" i="7"/>
  <c r="N18" i="7"/>
  <c r="M18" i="7"/>
  <c r="K18" i="7"/>
  <c r="J18" i="7"/>
  <c r="I18" i="7"/>
  <c r="BI17" i="7"/>
  <c r="BH17" i="7"/>
  <c r="BG17" i="7"/>
  <c r="AM17" i="7"/>
  <c r="AH17" i="7"/>
  <c r="N17" i="7"/>
  <c r="M17" i="7"/>
  <c r="K17" i="7"/>
  <c r="J17" i="7"/>
  <c r="I17" i="7"/>
  <c r="BI16" i="7"/>
  <c r="BH16" i="7"/>
  <c r="BG16" i="7"/>
  <c r="AM16" i="7"/>
  <c r="AH16" i="7"/>
  <c r="N16" i="7"/>
  <c r="M16" i="7"/>
  <c r="K16" i="7"/>
  <c r="J16" i="7"/>
  <c r="I16" i="7"/>
  <c r="BJ15" i="7" a="1"/>
  <c r="BJ15" i="7" s="1"/>
  <c r="BI15" i="7"/>
  <c r="BH15" i="7"/>
  <c r="BG15" i="7"/>
  <c r="AM15" i="7"/>
  <c r="AH15" i="7"/>
  <c r="N15" i="7"/>
  <c r="M15" i="7"/>
  <c r="K15" i="7"/>
  <c r="J15" i="7"/>
  <c r="I15" i="7"/>
  <c r="BI14" i="7"/>
  <c r="BH14" i="7"/>
  <c r="BG14" i="7"/>
  <c r="AM14" i="7"/>
  <c r="AH14" i="7"/>
  <c r="N14" i="7"/>
  <c r="M14" i="7"/>
  <c r="K14" i="7"/>
  <c r="J14" i="7"/>
  <c r="I14" i="7"/>
  <c r="BI13" i="7"/>
  <c r="BH13" i="7"/>
  <c r="BG13" i="7"/>
  <c r="AM13" i="7"/>
  <c r="AH13" i="7"/>
  <c r="N13" i="7"/>
  <c r="M13" i="7"/>
  <c r="K13" i="7"/>
  <c r="J13" i="7"/>
  <c r="I13" i="7"/>
  <c r="BI12" i="7"/>
  <c r="BH12" i="7"/>
  <c r="BG12" i="7"/>
  <c r="AM12" i="7"/>
  <c r="AH12" i="7"/>
  <c r="N12" i="7"/>
  <c r="M12" i="7"/>
  <c r="K12" i="7"/>
  <c r="J12" i="7"/>
  <c r="I12" i="7"/>
  <c r="BI11" i="7"/>
  <c r="BH11" i="7"/>
  <c r="BG11" i="7"/>
  <c r="AM11" i="7"/>
  <c r="AH11" i="7"/>
  <c r="N11" i="7"/>
  <c r="M11" i="7"/>
  <c r="K11" i="7"/>
  <c r="J11" i="7"/>
  <c r="I11" i="7"/>
  <c r="BJ10" i="7" a="1"/>
  <c r="BJ10" i="7" s="1"/>
  <c r="BI10" i="7"/>
  <c r="BH10" i="7"/>
  <c r="BG10" i="7"/>
  <c r="AM10" i="7"/>
  <c r="AH10" i="7"/>
  <c r="N10" i="7"/>
  <c r="M10" i="7"/>
  <c r="K10" i="7"/>
  <c r="J10" i="7"/>
  <c r="I10" i="7"/>
  <c r="BI9" i="7"/>
  <c r="BH9" i="7"/>
  <c r="BG9" i="7"/>
  <c r="AM9" i="7"/>
  <c r="AH9" i="7"/>
  <c r="N9" i="7"/>
  <c r="M9" i="7"/>
  <c r="K9" i="7"/>
  <c r="J9" i="7"/>
  <c r="I9" i="7"/>
  <c r="BI8" i="7"/>
  <c r="BH8" i="7"/>
  <c r="BG8" i="7"/>
  <c r="AM8" i="7"/>
  <c r="AH8" i="7"/>
  <c r="N8" i="7"/>
  <c r="M8" i="7"/>
  <c r="K8" i="7"/>
  <c r="J8" i="7"/>
  <c r="I8" i="7"/>
  <c r="BI7" i="7"/>
  <c r="BH7" i="7"/>
  <c r="BG7" i="7"/>
  <c r="AM7" i="7"/>
  <c r="AH7" i="7"/>
  <c r="N7" i="7"/>
  <c r="M7" i="7"/>
  <c r="K7" i="7"/>
  <c r="J7" i="7"/>
  <c r="I7" i="7"/>
  <c r="BI6" i="7"/>
  <c r="BH6" i="7"/>
  <c r="BG6" i="7"/>
  <c r="AM6" i="7"/>
  <c r="AH6" i="7"/>
  <c r="N6" i="7"/>
  <c r="M6" i="7"/>
  <c r="K6" i="7"/>
  <c r="J6" i="7"/>
  <c r="I6" i="7"/>
  <c r="BJ5" i="7" a="1"/>
  <c r="BJ5" i="7" s="1"/>
  <c r="BI5" i="7"/>
  <c r="BH5" i="7"/>
  <c r="BG5" i="7"/>
  <c r="AI5" i="7"/>
  <c r="AH5" i="7"/>
  <c r="N5" i="7"/>
  <c r="M5" i="7"/>
  <c r="K5" i="7"/>
  <c r="J5" i="7"/>
  <c r="I5" i="7"/>
  <c r="BM110" i="7"/>
  <c r="BN110" i="7"/>
  <c r="BS110" i="7"/>
  <c r="BR110" i="7"/>
  <c r="BL110" i="7"/>
  <c r="BX110" i="7"/>
  <c r="CA110" i="7"/>
  <c r="CB110" i="7"/>
  <c r="BV110" i="7"/>
  <c r="BW110" i="7"/>
  <c r="CC110" i="7"/>
  <c r="BM105" i="7"/>
  <c r="BN105" i="7"/>
  <c r="BR105" i="7"/>
  <c r="BL105" i="7"/>
  <c r="BQ105" i="7"/>
  <c r="BS105" i="7"/>
  <c r="BV105" i="7"/>
  <c r="BW105" i="7"/>
  <c r="CC105" i="7"/>
  <c r="CB105" i="7"/>
  <c r="CA105" i="7"/>
  <c r="BX105" i="7"/>
  <c r="BQ100" i="7"/>
  <c r="BR100" i="7"/>
  <c r="BN100" i="7"/>
  <c r="BS100" i="7"/>
  <c r="BM100" i="7"/>
  <c r="BL100" i="7"/>
  <c r="CB100" i="7"/>
  <c r="BX100" i="7"/>
  <c r="CA100" i="7"/>
  <c r="BW100" i="7"/>
  <c r="BV100" i="7"/>
  <c r="CC100" i="7"/>
  <c r="BS95" i="7"/>
  <c r="BN95" i="7"/>
  <c r="BR95" i="7"/>
  <c r="BL95" i="7"/>
  <c r="CA95" i="7"/>
  <c r="CC95" i="7"/>
  <c r="BX95" i="7"/>
  <c r="BW95" i="7"/>
  <c r="CB95" i="7"/>
  <c r="BV95" i="7"/>
  <c r="BT80" i="7"/>
  <c r="BO80" i="7"/>
  <c r="BY80" i="7"/>
  <c r="CD80" i="7"/>
  <c r="BT75" i="7"/>
  <c r="BO75" i="7"/>
  <c r="CD75" i="7"/>
  <c r="BY75" i="7"/>
  <c r="BT70" i="7"/>
  <c r="BO70" i="7"/>
  <c r="CD70" i="7"/>
  <c r="BY70" i="7"/>
  <c r="BT90" i="7"/>
  <c r="BO90" i="7"/>
  <c r="CD90" i="7"/>
  <c r="BY90" i="7"/>
  <c r="BO85" i="7"/>
  <c r="BT85" i="7"/>
  <c r="CD85" i="7"/>
  <c r="BY85" i="7"/>
  <c r="BO30" i="7"/>
  <c r="BT30" i="7"/>
  <c r="CD30" i="7"/>
  <c r="BY30" i="7"/>
  <c r="BO25" i="7"/>
  <c r="BT25" i="7"/>
  <c r="CD25" i="7"/>
  <c r="BY25" i="7"/>
  <c r="BO20" i="7"/>
  <c r="BT20" i="7"/>
  <c r="BY20" i="7"/>
  <c r="CD20" i="7"/>
  <c r="BO15" i="7"/>
  <c r="BT15" i="7"/>
  <c r="BY15" i="7"/>
  <c r="CD15" i="7"/>
  <c r="BT10" i="7"/>
  <c r="BO10" i="7"/>
  <c r="CD10" i="7"/>
  <c r="BY10" i="7"/>
  <c r="BO5" i="7"/>
  <c r="BT5" i="7"/>
  <c r="CD5" i="7"/>
  <c r="BY5" i="7"/>
  <c r="BH118" i="7" l="1"/>
  <c r="BG117" i="7"/>
  <c r="BH117" i="7"/>
  <c r="BG118" i="7"/>
  <c r="BI117" i="7"/>
  <c r="AJ118" i="7"/>
  <c r="AJ117" i="7"/>
  <c r="BY117" i="7"/>
  <c r="CD117" i="7"/>
  <c r="F31" i="20" s="1"/>
  <c r="BT117" i="7"/>
  <c r="BO119" i="7"/>
  <c r="CB118" i="7"/>
  <c r="D32" i="20" s="1"/>
  <c r="CB120" i="7"/>
  <c r="D34" i="20" s="1"/>
  <c r="BQ118" i="7"/>
  <c r="C98" i="19" s="1"/>
  <c r="BQ120" i="7"/>
  <c r="C100" i="19" s="1"/>
  <c r="AJ120" i="7"/>
  <c r="AJ119" i="7"/>
  <c r="BJ117" i="7"/>
  <c r="AK120" i="7"/>
  <c r="BY119" i="7"/>
  <c r="BY120" i="7"/>
  <c r="AI120" i="7"/>
  <c r="AI119" i="7"/>
  <c r="AL119" i="7"/>
  <c r="AL120" i="7"/>
  <c r="AI117" i="7"/>
  <c r="K118" i="7"/>
  <c r="BX118" i="7"/>
  <c r="BX120" i="7"/>
  <c r="BT120" i="7"/>
  <c r="F100" i="19" s="1"/>
  <c r="BT119" i="7"/>
  <c r="AL117" i="7"/>
  <c r="BS120" i="7"/>
  <c r="E100" i="19" s="1"/>
  <c r="BS118" i="7"/>
  <c r="E98" i="19" s="1"/>
  <c r="BG115" i="7"/>
  <c r="BG120" i="7"/>
  <c r="BG119" i="7"/>
  <c r="BH120" i="7"/>
  <c r="BH115" i="7"/>
  <c r="BH119" i="7"/>
  <c r="BI118" i="7"/>
  <c r="CD120" i="7"/>
  <c r="F34" i="20" s="1"/>
  <c r="CD119" i="7"/>
  <c r="F33" i="20" s="1"/>
  <c r="K115" i="7"/>
  <c r="CA118" i="7"/>
  <c r="C32" i="20" s="1"/>
  <c r="CA120" i="7"/>
  <c r="C34" i="20" s="1"/>
  <c r="BV120" i="7"/>
  <c r="BV118" i="7"/>
  <c r="BI119" i="7"/>
  <c r="BI120" i="7"/>
  <c r="BI115" i="7"/>
  <c r="BJ118" i="7"/>
  <c r="BW120" i="7"/>
  <c r="BW118" i="7"/>
  <c r="BR118" i="7"/>
  <c r="D98" i="19" s="1"/>
  <c r="BR120" i="7"/>
  <c r="D100" i="19" s="1"/>
  <c r="CC120" i="7"/>
  <c r="E34" i="20" s="1"/>
  <c r="CC118" i="7"/>
  <c r="E32" i="20" s="1"/>
  <c r="BJ119" i="7"/>
  <c r="BJ120" i="7"/>
  <c r="BJ115" i="7"/>
  <c r="AI118" i="7"/>
  <c r="L120" i="7"/>
  <c r="J118" i="7"/>
  <c r="D93" i="19"/>
  <c r="C93" i="19"/>
  <c r="E94" i="19"/>
  <c r="F77" i="19"/>
  <c r="E91" i="19"/>
  <c r="F87" i="19"/>
  <c r="F78" i="19"/>
  <c r="F86" i="19"/>
  <c r="F89" i="19"/>
  <c r="D92" i="19"/>
  <c r="F73" i="19"/>
  <c r="D91" i="19"/>
  <c r="C92" i="19"/>
  <c r="E93" i="19"/>
  <c r="F88" i="19"/>
  <c r="F75" i="19"/>
  <c r="C94" i="19"/>
  <c r="D94" i="19"/>
  <c r="F76" i="19"/>
  <c r="C91" i="19"/>
  <c r="E92" i="19"/>
  <c r="F74" i="19"/>
  <c r="F90" i="19"/>
  <c r="BM120" i="7"/>
  <c r="AL115" i="7"/>
  <c r="AJ115" i="7"/>
  <c r="BL118" i="7"/>
  <c r="L118" i="7"/>
  <c r="BN120" i="7"/>
  <c r="BM118" i="7"/>
  <c r="BO117" i="7"/>
  <c r="J70" i="7"/>
  <c r="K72" i="7"/>
  <c r="M78" i="7"/>
  <c r="M70" i="7"/>
  <c r="M72" i="7"/>
  <c r="M77" i="7"/>
  <c r="M76" i="7"/>
  <c r="K84" i="7"/>
  <c r="M84" i="7"/>
  <c r="J77" i="7"/>
  <c r="J78" i="7"/>
  <c r="CD115" i="7"/>
  <c r="F29" i="20" s="1"/>
  <c r="BO120" i="7"/>
  <c r="BT115" i="7"/>
  <c r="F29" i="1" s="1"/>
  <c r="J115" i="7"/>
  <c r="BO115" i="7"/>
  <c r="BN118" i="7"/>
  <c r="J79" i="7"/>
  <c r="J81" i="7"/>
  <c r="BY115" i="7"/>
  <c r="K79" i="7"/>
  <c r="J80" i="7"/>
  <c r="K81" i="7"/>
  <c r="J82" i="7"/>
  <c r="M115" i="7"/>
  <c r="BL120" i="7"/>
  <c r="J71" i="7"/>
  <c r="K80" i="7"/>
  <c r="K82" i="7"/>
  <c r="J83" i="7"/>
  <c r="AI115" i="7"/>
  <c r="K71" i="7"/>
  <c r="K83" i="7"/>
  <c r="M119" i="7" l="1"/>
  <c r="K120" i="7"/>
  <c r="K119" i="7"/>
  <c r="J119" i="7"/>
  <c r="K117" i="7"/>
  <c r="M117" i="7"/>
  <c r="F31" i="1"/>
  <c r="F97" i="19"/>
  <c r="F33" i="1"/>
  <c r="F99" i="19"/>
  <c r="F95" i="19"/>
  <c r="M120" i="7"/>
  <c r="J117" i="7"/>
  <c r="J120" i="7"/>
  <c r="I6" i="3"/>
  <c r="I7" i="3"/>
  <c r="I8" i="3"/>
  <c r="I9" i="3"/>
  <c r="I10" i="3"/>
  <c r="AY7" i="6" a="1"/>
  <c r="AY7" i="6" s="1"/>
  <c r="AX7" i="6"/>
  <c r="AW7" i="6"/>
  <c r="AV7" i="6"/>
  <c r="AF7" i="6"/>
  <c r="AE7" i="6"/>
  <c r="AC7" i="6"/>
  <c r="AB7" i="6"/>
  <c r="AA7" i="6"/>
  <c r="N7" i="6"/>
  <c r="M7" i="6"/>
  <c r="K7" i="6"/>
  <c r="J7" i="6"/>
  <c r="I7" i="6"/>
  <c r="H7" i="6"/>
  <c r="AY6" i="6" a="1"/>
  <c r="AY6" i="6" s="1"/>
  <c r="AX6" i="6"/>
  <c r="AW6" i="6"/>
  <c r="AV6" i="6"/>
  <c r="AF6" i="6"/>
  <c r="AE6" i="6"/>
  <c r="AC6" i="6"/>
  <c r="AB6" i="6"/>
  <c r="AA6" i="6"/>
  <c r="N6" i="6"/>
  <c r="M6" i="6"/>
  <c r="K6" i="6"/>
  <c r="J6" i="6"/>
  <c r="I6" i="6"/>
  <c r="H6" i="6"/>
  <c r="AY5" i="6" a="1"/>
  <c r="AY5" i="6" s="1"/>
  <c r="AX5" i="6"/>
  <c r="AW5" i="6"/>
  <c r="AV5" i="6"/>
  <c r="AF5" i="6"/>
  <c r="AE5" i="6"/>
  <c r="AC5" i="6"/>
  <c r="AB5" i="6"/>
  <c r="AA5" i="6"/>
  <c r="N5" i="6"/>
  <c r="M5" i="6"/>
  <c r="K5" i="6"/>
  <c r="J5" i="6"/>
  <c r="I5" i="6"/>
  <c r="AY10" i="6" a="1"/>
  <c r="AY10" i="6" s="1"/>
  <c r="AX10" i="6"/>
  <c r="AW10" i="6"/>
  <c r="AV10" i="6"/>
  <c r="AF10" i="6"/>
  <c r="AE10" i="6"/>
  <c r="AC10" i="6"/>
  <c r="AB10" i="6"/>
  <c r="AA10" i="6"/>
  <c r="N10" i="6"/>
  <c r="M10" i="6"/>
  <c r="K10" i="6"/>
  <c r="J10" i="6"/>
  <c r="I10" i="6"/>
  <c r="H10" i="6"/>
  <c r="AY9" i="6" a="1"/>
  <c r="AY9" i="6" s="1"/>
  <c r="AX9" i="6"/>
  <c r="AW9" i="6"/>
  <c r="AV9" i="6"/>
  <c r="AF9" i="6"/>
  <c r="AE9" i="6"/>
  <c r="AC9" i="6"/>
  <c r="AB9" i="6"/>
  <c r="AA9" i="6"/>
  <c r="N9" i="6"/>
  <c r="M9" i="6"/>
  <c r="K9" i="6"/>
  <c r="J9" i="6"/>
  <c r="I9" i="6"/>
  <c r="H9" i="6"/>
  <c r="AY8" i="6" a="1"/>
  <c r="AY8" i="6" s="1"/>
  <c r="AX8" i="6"/>
  <c r="AW8" i="6"/>
  <c r="AV8" i="6"/>
  <c r="AF8" i="6"/>
  <c r="AE8" i="6"/>
  <c r="AC8" i="6"/>
  <c r="AB8" i="6"/>
  <c r="AA8" i="6"/>
  <c r="N8" i="6"/>
  <c r="M8" i="6"/>
  <c r="K8" i="6"/>
  <c r="J8" i="6"/>
  <c r="I8" i="6"/>
  <c r="H8" i="6"/>
  <c r="I38" i="3"/>
  <c r="J38" i="3"/>
  <c r="K38" i="3"/>
  <c r="M38" i="3"/>
  <c r="N38" i="3"/>
  <c r="BA22" i="3"/>
  <c r="AZ22" i="3"/>
  <c r="AY22" i="3"/>
  <c r="N22" i="3"/>
  <c r="M22" i="3"/>
  <c r="K22" i="3"/>
  <c r="J22" i="3"/>
  <c r="I22" i="3"/>
  <c r="BA21" i="3"/>
  <c r="AZ21" i="3"/>
  <c r="AY21" i="3"/>
  <c r="N21" i="3"/>
  <c r="M21" i="3"/>
  <c r="K21" i="3"/>
  <c r="J21" i="3"/>
  <c r="I21" i="3"/>
  <c r="BA20" i="3"/>
  <c r="AZ20" i="3"/>
  <c r="AY20" i="3"/>
  <c r="N20" i="3"/>
  <c r="M20" i="3"/>
  <c r="K20" i="3"/>
  <c r="J20" i="3"/>
  <c r="I20" i="3"/>
  <c r="BA19" i="3"/>
  <c r="AZ19" i="3"/>
  <c r="AY19" i="3"/>
  <c r="N19" i="3"/>
  <c r="M19" i="3"/>
  <c r="K19" i="3"/>
  <c r="J19" i="3"/>
  <c r="I19" i="3"/>
  <c r="BA18" i="3"/>
  <c r="AZ18" i="3"/>
  <c r="AY18" i="3"/>
  <c r="N18" i="3"/>
  <c r="M18" i="3"/>
  <c r="K18" i="3"/>
  <c r="J18" i="3"/>
  <c r="I18" i="3"/>
  <c r="BB17" i="3" a="1"/>
  <c r="BB17" i="3" s="1"/>
  <c r="BA17" i="3"/>
  <c r="AZ17" i="3"/>
  <c r="AY17" i="3"/>
  <c r="N17" i="3"/>
  <c r="M17" i="3"/>
  <c r="K17" i="3"/>
  <c r="J17" i="3"/>
  <c r="I17" i="3"/>
  <c r="BA16" i="3"/>
  <c r="AZ16" i="3"/>
  <c r="AY16" i="3"/>
  <c r="N16" i="3"/>
  <c r="M16" i="3"/>
  <c r="K16" i="3"/>
  <c r="J16" i="3"/>
  <c r="I16" i="3"/>
  <c r="BA15" i="3"/>
  <c r="AZ15" i="3"/>
  <c r="AY15" i="3"/>
  <c r="N15" i="3"/>
  <c r="M15" i="3"/>
  <c r="K15" i="3"/>
  <c r="J15" i="3"/>
  <c r="I15" i="3"/>
  <c r="BA14" i="3"/>
  <c r="AZ14" i="3"/>
  <c r="AY14" i="3"/>
  <c r="N14" i="3"/>
  <c r="M14" i="3"/>
  <c r="K14" i="3"/>
  <c r="J14" i="3"/>
  <c r="I14" i="3"/>
  <c r="BA13" i="3"/>
  <c r="AZ13" i="3"/>
  <c r="AY13" i="3"/>
  <c r="N13" i="3"/>
  <c r="M13" i="3"/>
  <c r="K13" i="3"/>
  <c r="J13" i="3"/>
  <c r="I13" i="3"/>
  <c r="BA12" i="3"/>
  <c r="AZ12" i="3"/>
  <c r="AY12" i="3"/>
  <c r="N12" i="3"/>
  <c r="M12" i="3"/>
  <c r="K12" i="3"/>
  <c r="J12" i="3"/>
  <c r="I12" i="3"/>
  <c r="BB11" i="3" a="1"/>
  <c r="BB11" i="3" s="1"/>
  <c r="BA11" i="3"/>
  <c r="AZ11" i="3"/>
  <c r="AY11" i="3"/>
  <c r="N11" i="3"/>
  <c r="M11" i="3"/>
  <c r="K11" i="3"/>
  <c r="J11" i="3"/>
  <c r="I11" i="3"/>
  <c r="BA10" i="3"/>
  <c r="AZ10" i="3"/>
  <c r="AY10" i="3"/>
  <c r="N10" i="3"/>
  <c r="M10" i="3"/>
  <c r="K10" i="3"/>
  <c r="J10" i="3"/>
  <c r="BA9" i="3"/>
  <c r="AZ9" i="3"/>
  <c r="AY9" i="3"/>
  <c r="N9" i="3"/>
  <c r="M9" i="3"/>
  <c r="K9" i="3"/>
  <c r="J9" i="3"/>
  <c r="BA8" i="3"/>
  <c r="AZ8" i="3"/>
  <c r="AY8" i="3"/>
  <c r="N8" i="3"/>
  <c r="M8" i="3"/>
  <c r="K8" i="3"/>
  <c r="J8" i="3"/>
  <c r="BA7" i="3"/>
  <c r="AZ7" i="3"/>
  <c r="AY7" i="3"/>
  <c r="N7" i="3"/>
  <c r="M7" i="3"/>
  <c r="K7" i="3"/>
  <c r="J7" i="3"/>
  <c r="BA6" i="3"/>
  <c r="AZ6" i="3"/>
  <c r="AY6" i="3"/>
  <c r="N6" i="3"/>
  <c r="M6" i="3"/>
  <c r="K6" i="3"/>
  <c r="J6" i="3"/>
  <c r="BB5" i="3" a="1"/>
  <c r="BB5" i="3" s="1"/>
  <c r="BA5" i="3"/>
  <c r="AZ5" i="3"/>
  <c r="AY5" i="3"/>
  <c r="AF5" i="3"/>
  <c r="N5" i="3"/>
  <c r="M5" i="3"/>
  <c r="K5" i="3"/>
  <c r="J5" i="3"/>
  <c r="I5" i="3"/>
  <c r="BA40" i="3"/>
  <c r="AZ40" i="3"/>
  <c r="AY40" i="3"/>
  <c r="N40" i="3"/>
  <c r="M40" i="3"/>
  <c r="K40" i="3"/>
  <c r="J40" i="3"/>
  <c r="I40" i="3"/>
  <c r="BA39" i="3"/>
  <c r="AZ39" i="3"/>
  <c r="AY39" i="3"/>
  <c r="N39" i="3"/>
  <c r="M39" i="3"/>
  <c r="K39" i="3"/>
  <c r="J39" i="3"/>
  <c r="I39" i="3"/>
  <c r="BA38" i="3"/>
  <c r="AZ38" i="3"/>
  <c r="AY38" i="3"/>
  <c r="BA37" i="3"/>
  <c r="AZ37" i="3"/>
  <c r="AY37" i="3"/>
  <c r="N37" i="3"/>
  <c r="M37" i="3"/>
  <c r="K37" i="3"/>
  <c r="J37" i="3"/>
  <c r="I37" i="3"/>
  <c r="BA36" i="3"/>
  <c r="AZ36" i="3"/>
  <c r="AY36" i="3"/>
  <c r="N36" i="3"/>
  <c r="M36" i="3"/>
  <c r="K36" i="3"/>
  <c r="J36" i="3"/>
  <c r="I36" i="3"/>
  <c r="BB35" i="3" a="1"/>
  <c r="BB35" i="3" s="1"/>
  <c r="BA35" i="3"/>
  <c r="AZ35" i="3"/>
  <c r="AY35" i="3"/>
  <c r="N35" i="3"/>
  <c r="M35" i="3"/>
  <c r="K35" i="3"/>
  <c r="J35" i="3"/>
  <c r="I35" i="3"/>
  <c r="BA34" i="3"/>
  <c r="AZ34" i="3"/>
  <c r="AY34" i="3"/>
  <c r="N34" i="3"/>
  <c r="M34" i="3"/>
  <c r="K34" i="3"/>
  <c r="J34" i="3"/>
  <c r="I34" i="3"/>
  <c r="BA33" i="3"/>
  <c r="AZ33" i="3"/>
  <c r="AY33" i="3"/>
  <c r="N33" i="3"/>
  <c r="M33" i="3"/>
  <c r="K33" i="3"/>
  <c r="J33" i="3"/>
  <c r="I33" i="3"/>
  <c r="BA32" i="3"/>
  <c r="AZ32" i="3"/>
  <c r="AY32" i="3"/>
  <c r="N32" i="3"/>
  <c r="M32" i="3"/>
  <c r="K32" i="3"/>
  <c r="J32" i="3"/>
  <c r="I32" i="3"/>
  <c r="BA31" i="3"/>
  <c r="AZ31" i="3"/>
  <c r="AY31" i="3"/>
  <c r="N31" i="3"/>
  <c r="M31" i="3"/>
  <c r="K31" i="3"/>
  <c r="J31" i="3"/>
  <c r="I31" i="3"/>
  <c r="BA30" i="3"/>
  <c r="AZ30" i="3"/>
  <c r="AY30" i="3"/>
  <c r="N30" i="3"/>
  <c r="M30" i="3"/>
  <c r="K30" i="3"/>
  <c r="J30" i="3"/>
  <c r="I30" i="3"/>
  <c r="BB29" i="3" a="1"/>
  <c r="BB29" i="3" s="1"/>
  <c r="BA29" i="3"/>
  <c r="AZ29" i="3"/>
  <c r="AY29" i="3"/>
  <c r="N29" i="3"/>
  <c r="M29" i="3"/>
  <c r="K29" i="3"/>
  <c r="J29" i="3"/>
  <c r="I29" i="3"/>
  <c r="BA28" i="3"/>
  <c r="AZ28" i="3"/>
  <c r="AY28" i="3"/>
  <c r="N28" i="3"/>
  <c r="M28" i="3"/>
  <c r="K28" i="3"/>
  <c r="J28" i="3"/>
  <c r="I28" i="3"/>
  <c r="BA27" i="3"/>
  <c r="AZ27" i="3"/>
  <c r="AY27" i="3"/>
  <c r="N27" i="3"/>
  <c r="M27" i="3"/>
  <c r="K27" i="3"/>
  <c r="J27" i="3"/>
  <c r="I27" i="3"/>
  <c r="BA26" i="3"/>
  <c r="AZ26" i="3"/>
  <c r="AY26" i="3"/>
  <c r="N26" i="3"/>
  <c r="M26" i="3"/>
  <c r="K26" i="3"/>
  <c r="J26" i="3"/>
  <c r="I26" i="3"/>
  <c r="BA25" i="3"/>
  <c r="AZ25" i="3"/>
  <c r="AY25" i="3"/>
  <c r="N25" i="3"/>
  <c r="M25" i="3"/>
  <c r="K25" i="3"/>
  <c r="J25" i="3"/>
  <c r="I25" i="3"/>
  <c r="BA24" i="3"/>
  <c r="AZ24" i="3"/>
  <c r="AY24" i="3"/>
  <c r="N24" i="3"/>
  <c r="M24" i="3"/>
  <c r="K24" i="3"/>
  <c r="J24" i="3"/>
  <c r="I24" i="3"/>
  <c r="BB23" i="3" a="1"/>
  <c r="BB23" i="3" s="1"/>
  <c r="BA23" i="3"/>
  <c r="AZ23" i="3"/>
  <c r="AY23" i="3"/>
  <c r="N23" i="3"/>
  <c r="M23" i="3"/>
  <c r="K23" i="3"/>
  <c r="J23" i="3"/>
  <c r="I23" i="3"/>
  <c r="Z142" i="5"/>
  <c r="AW148" i="5" s="1"/>
  <c r="I14" i="20" s="1"/>
  <c r="AA137" i="5"/>
  <c r="AX143" i="5" s="1"/>
  <c r="Z137" i="5"/>
  <c r="AW143" i="5" s="1"/>
  <c r="BE22" i="5"/>
  <c r="BD22" i="5"/>
  <c r="BC22" i="5"/>
  <c r="AK22" i="5"/>
  <c r="AJ22" i="5"/>
  <c r="AH22" i="5"/>
  <c r="AG22" i="5"/>
  <c r="AF22" i="5"/>
  <c r="N22" i="5"/>
  <c r="M22" i="5"/>
  <c r="K22" i="5"/>
  <c r="J22" i="5"/>
  <c r="I22" i="5"/>
  <c r="BE21" i="5"/>
  <c r="BD21" i="5"/>
  <c r="BC21" i="5"/>
  <c r="AK21" i="5"/>
  <c r="AJ21" i="5"/>
  <c r="AH21" i="5"/>
  <c r="AG21" i="5"/>
  <c r="AF21" i="5"/>
  <c r="N21" i="5"/>
  <c r="M21" i="5"/>
  <c r="K21" i="5"/>
  <c r="J21" i="5"/>
  <c r="I21" i="5"/>
  <c r="BE20" i="5"/>
  <c r="BD20" i="5"/>
  <c r="BC20" i="5"/>
  <c r="AK20" i="5"/>
  <c r="AJ20" i="5"/>
  <c r="AH20" i="5"/>
  <c r="AG20" i="5"/>
  <c r="AF20" i="5"/>
  <c r="N20" i="5"/>
  <c r="M20" i="5"/>
  <c r="K20" i="5"/>
  <c r="J20" i="5"/>
  <c r="I20" i="5"/>
  <c r="BE19" i="5"/>
  <c r="BD19" i="5"/>
  <c r="BC19" i="5"/>
  <c r="AK19" i="5"/>
  <c r="AJ19" i="5"/>
  <c r="AH19" i="5"/>
  <c r="AG19" i="5"/>
  <c r="AF19" i="5"/>
  <c r="N19" i="5"/>
  <c r="M19" i="5"/>
  <c r="K19" i="5"/>
  <c r="J19" i="5"/>
  <c r="I19" i="5"/>
  <c r="BE18" i="5"/>
  <c r="BD18" i="5"/>
  <c r="BC18" i="5"/>
  <c r="AK18" i="5"/>
  <c r="AJ18" i="5"/>
  <c r="AH18" i="5"/>
  <c r="AG18" i="5"/>
  <c r="AF18" i="5"/>
  <c r="N18" i="5"/>
  <c r="M18" i="5"/>
  <c r="K18" i="5"/>
  <c r="J18" i="5"/>
  <c r="I18" i="5"/>
  <c r="BF17" i="5" a="1"/>
  <c r="BF17" i="5" s="1"/>
  <c r="BE17" i="5"/>
  <c r="BD17" i="5"/>
  <c r="BC17" i="5"/>
  <c r="AK17" i="5"/>
  <c r="AJ17" i="5"/>
  <c r="AH17" i="5"/>
  <c r="AG17" i="5"/>
  <c r="AF17" i="5"/>
  <c r="N17" i="5"/>
  <c r="M17" i="5"/>
  <c r="K17" i="5"/>
  <c r="J17" i="5"/>
  <c r="I17" i="5"/>
  <c r="BE16" i="5"/>
  <c r="BD16" i="5"/>
  <c r="BC16" i="5"/>
  <c r="AK16" i="5"/>
  <c r="AJ16" i="5"/>
  <c r="AH16" i="5"/>
  <c r="AG16" i="5"/>
  <c r="AF16" i="5"/>
  <c r="N16" i="5"/>
  <c r="M16" i="5"/>
  <c r="K16" i="5"/>
  <c r="J16" i="5"/>
  <c r="I16" i="5"/>
  <c r="BE15" i="5"/>
  <c r="BD15" i="5"/>
  <c r="BC15" i="5"/>
  <c r="AK15" i="5"/>
  <c r="AJ15" i="5"/>
  <c r="AH15" i="5"/>
  <c r="AG15" i="5"/>
  <c r="AF15" i="5"/>
  <c r="N15" i="5"/>
  <c r="M15" i="5"/>
  <c r="K15" i="5"/>
  <c r="J15" i="5"/>
  <c r="I15" i="5"/>
  <c r="BE14" i="5"/>
  <c r="BD14" i="5"/>
  <c r="BC14" i="5"/>
  <c r="AK14" i="5"/>
  <c r="AJ14" i="5"/>
  <c r="AH14" i="5"/>
  <c r="AG14" i="5"/>
  <c r="AF14" i="5"/>
  <c r="N14" i="5"/>
  <c r="M14" i="5"/>
  <c r="K14" i="5"/>
  <c r="J14" i="5"/>
  <c r="I14" i="5"/>
  <c r="BE13" i="5"/>
  <c r="BD13" i="5"/>
  <c r="BC13" i="5"/>
  <c r="AK13" i="5"/>
  <c r="AJ13" i="5"/>
  <c r="AH13" i="5"/>
  <c r="AG13" i="5"/>
  <c r="AF13" i="5"/>
  <c r="N13" i="5"/>
  <c r="M13" i="5"/>
  <c r="K13" i="5"/>
  <c r="J13" i="5"/>
  <c r="I13" i="5"/>
  <c r="BE12" i="5"/>
  <c r="BD12" i="5"/>
  <c r="BC12" i="5"/>
  <c r="AK12" i="5"/>
  <c r="AJ12" i="5"/>
  <c r="AH12" i="5"/>
  <c r="AG12" i="5"/>
  <c r="AF12" i="5"/>
  <c r="N12" i="5"/>
  <c r="M12" i="5"/>
  <c r="K12" i="5"/>
  <c r="J12" i="5"/>
  <c r="I12" i="5"/>
  <c r="BF11" i="5" a="1"/>
  <c r="BF11" i="5" s="1"/>
  <c r="BE11" i="5"/>
  <c r="BD11" i="5"/>
  <c r="BC11" i="5"/>
  <c r="AK11" i="5"/>
  <c r="AJ11" i="5"/>
  <c r="AH11" i="5"/>
  <c r="AG11" i="5"/>
  <c r="AF11" i="5"/>
  <c r="N11" i="5"/>
  <c r="M11" i="5"/>
  <c r="K11" i="5"/>
  <c r="J11" i="5"/>
  <c r="I11" i="5"/>
  <c r="BE10" i="5"/>
  <c r="BD10" i="5"/>
  <c r="BC10" i="5"/>
  <c r="AK10" i="5"/>
  <c r="AJ10" i="5"/>
  <c r="AH10" i="5"/>
  <c r="AG10" i="5"/>
  <c r="AF10" i="5"/>
  <c r="N10" i="5"/>
  <c r="M10" i="5"/>
  <c r="K10" i="5"/>
  <c r="J10" i="5"/>
  <c r="I10" i="5"/>
  <c r="BE9" i="5"/>
  <c r="BD9" i="5"/>
  <c r="BC9" i="5"/>
  <c r="AK9" i="5"/>
  <c r="AJ9" i="5"/>
  <c r="AH9" i="5"/>
  <c r="AG9" i="5"/>
  <c r="AF9" i="5"/>
  <c r="N9" i="5"/>
  <c r="M9" i="5"/>
  <c r="K9" i="5"/>
  <c r="J9" i="5"/>
  <c r="I9" i="5"/>
  <c r="BE8" i="5"/>
  <c r="BD8" i="5"/>
  <c r="BC8" i="5"/>
  <c r="AK8" i="5"/>
  <c r="AJ8" i="5"/>
  <c r="AH8" i="5"/>
  <c r="AG8" i="5"/>
  <c r="AF8" i="5"/>
  <c r="N8" i="5"/>
  <c r="M8" i="5"/>
  <c r="K8" i="5"/>
  <c r="J8" i="5"/>
  <c r="I8" i="5"/>
  <c r="BE7" i="5"/>
  <c r="BD7" i="5"/>
  <c r="BC7" i="5"/>
  <c r="AK7" i="5"/>
  <c r="AJ7" i="5"/>
  <c r="AH7" i="5"/>
  <c r="AG7" i="5"/>
  <c r="AF7" i="5"/>
  <c r="N7" i="5"/>
  <c r="M7" i="5"/>
  <c r="K7" i="5"/>
  <c r="J7" i="5"/>
  <c r="I7" i="5"/>
  <c r="BE6" i="5"/>
  <c r="BD6" i="5"/>
  <c r="BC6" i="5"/>
  <c r="AK6" i="5"/>
  <c r="AJ6" i="5"/>
  <c r="AH6" i="5"/>
  <c r="AG6" i="5"/>
  <c r="AF6" i="5"/>
  <c r="N6" i="5"/>
  <c r="M6" i="5"/>
  <c r="K6" i="5"/>
  <c r="J6" i="5"/>
  <c r="I6" i="5"/>
  <c r="BF5" i="5" a="1"/>
  <c r="BF5" i="5" s="1"/>
  <c r="BE5" i="5"/>
  <c r="BD5" i="5"/>
  <c r="BC5" i="5"/>
  <c r="AK5" i="5"/>
  <c r="AJ5" i="5"/>
  <c r="AH5" i="5"/>
  <c r="AG5" i="5"/>
  <c r="AF5" i="5"/>
  <c r="N5" i="5"/>
  <c r="M5" i="5"/>
  <c r="K5" i="5"/>
  <c r="J5" i="5"/>
  <c r="I5" i="5"/>
  <c r="BE40" i="5"/>
  <c r="BD40" i="5"/>
  <c r="BC40" i="5"/>
  <c r="AK40" i="5"/>
  <c r="AJ40" i="5"/>
  <c r="AH40" i="5"/>
  <c r="AG40" i="5"/>
  <c r="AF40" i="5"/>
  <c r="N40" i="5"/>
  <c r="M40" i="5"/>
  <c r="K40" i="5"/>
  <c r="J40" i="5"/>
  <c r="I40" i="5"/>
  <c r="BE39" i="5"/>
  <c r="BD39" i="5"/>
  <c r="BC39" i="5"/>
  <c r="AK39" i="5"/>
  <c r="AJ39" i="5"/>
  <c r="AH39" i="5"/>
  <c r="AG39" i="5"/>
  <c r="AF39" i="5"/>
  <c r="N39" i="5"/>
  <c r="M39" i="5"/>
  <c r="K39" i="5"/>
  <c r="J39" i="5"/>
  <c r="I39" i="5"/>
  <c r="BE38" i="5"/>
  <c r="BD38" i="5"/>
  <c r="BC38" i="5"/>
  <c r="AK38" i="5"/>
  <c r="AJ38" i="5"/>
  <c r="AH38" i="5"/>
  <c r="AG38" i="5"/>
  <c r="AF38" i="5"/>
  <c r="N38" i="5"/>
  <c r="M38" i="5"/>
  <c r="K38" i="5"/>
  <c r="J38" i="5"/>
  <c r="I38" i="5"/>
  <c r="BE37" i="5"/>
  <c r="BD37" i="5"/>
  <c r="BC37" i="5"/>
  <c r="AK37" i="5"/>
  <c r="AJ37" i="5"/>
  <c r="AH37" i="5"/>
  <c r="AG37" i="5"/>
  <c r="AF37" i="5"/>
  <c r="N37" i="5"/>
  <c r="M37" i="5"/>
  <c r="K37" i="5"/>
  <c r="J37" i="5"/>
  <c r="I37" i="5"/>
  <c r="BE36" i="5"/>
  <c r="BD36" i="5"/>
  <c r="BC36" i="5"/>
  <c r="AK36" i="5"/>
  <c r="AJ36" i="5"/>
  <c r="AH36" i="5"/>
  <c r="AG36" i="5"/>
  <c r="AF36" i="5"/>
  <c r="N36" i="5"/>
  <c r="M36" i="5"/>
  <c r="K36" i="5"/>
  <c r="J36" i="5"/>
  <c r="I36" i="5"/>
  <c r="BF35" i="5" a="1"/>
  <c r="BF35" i="5" s="1"/>
  <c r="BE35" i="5"/>
  <c r="BD35" i="5"/>
  <c r="BC35" i="5"/>
  <c r="AK35" i="5"/>
  <c r="AJ35" i="5"/>
  <c r="AH35" i="5"/>
  <c r="AG35" i="5"/>
  <c r="AF35" i="5"/>
  <c r="N35" i="5"/>
  <c r="M35" i="5"/>
  <c r="K35" i="5"/>
  <c r="J35" i="5"/>
  <c r="I35" i="5"/>
  <c r="BE34" i="5"/>
  <c r="BD34" i="5"/>
  <c r="BC34" i="5"/>
  <c r="AK34" i="5"/>
  <c r="AJ34" i="5"/>
  <c r="AH34" i="5"/>
  <c r="AG34" i="5"/>
  <c r="AF34" i="5"/>
  <c r="N34" i="5"/>
  <c r="M34" i="5"/>
  <c r="K34" i="5"/>
  <c r="J34" i="5"/>
  <c r="I34" i="5"/>
  <c r="BE33" i="5"/>
  <c r="BD33" i="5"/>
  <c r="BC33" i="5"/>
  <c r="AK33" i="5"/>
  <c r="AJ33" i="5"/>
  <c r="AH33" i="5"/>
  <c r="AG33" i="5"/>
  <c r="AF33" i="5"/>
  <c r="N33" i="5"/>
  <c r="M33" i="5"/>
  <c r="K33" i="5"/>
  <c r="J33" i="5"/>
  <c r="I33" i="5"/>
  <c r="BE32" i="5"/>
  <c r="BD32" i="5"/>
  <c r="BC32" i="5"/>
  <c r="AK32" i="5"/>
  <c r="AJ32" i="5"/>
  <c r="AH32" i="5"/>
  <c r="AG32" i="5"/>
  <c r="AF32" i="5"/>
  <c r="N32" i="5"/>
  <c r="M32" i="5"/>
  <c r="K32" i="5"/>
  <c r="J32" i="5"/>
  <c r="I32" i="5"/>
  <c r="BE31" i="5"/>
  <c r="BD31" i="5"/>
  <c r="BC31" i="5"/>
  <c r="AK31" i="5"/>
  <c r="AJ31" i="5"/>
  <c r="AH31" i="5"/>
  <c r="AG31" i="5"/>
  <c r="AF31" i="5"/>
  <c r="N31" i="5"/>
  <c r="M31" i="5"/>
  <c r="K31" i="5"/>
  <c r="J31" i="5"/>
  <c r="I31" i="5"/>
  <c r="BE30" i="5"/>
  <c r="BD30" i="5"/>
  <c r="BC30" i="5"/>
  <c r="AK30" i="5"/>
  <c r="AJ30" i="5"/>
  <c r="AH30" i="5"/>
  <c r="AG30" i="5"/>
  <c r="AF30" i="5"/>
  <c r="N30" i="5"/>
  <c r="M30" i="5"/>
  <c r="K30" i="5"/>
  <c r="J30" i="5"/>
  <c r="I30" i="5"/>
  <c r="BF29" i="5" a="1"/>
  <c r="BF29" i="5" s="1"/>
  <c r="BE29" i="5"/>
  <c r="BD29" i="5"/>
  <c r="BC29" i="5"/>
  <c r="AK29" i="5"/>
  <c r="AJ29" i="5"/>
  <c r="AH29" i="5"/>
  <c r="AG29" i="5"/>
  <c r="AF29" i="5"/>
  <c r="N29" i="5"/>
  <c r="M29" i="5"/>
  <c r="K29" i="5"/>
  <c r="J29" i="5"/>
  <c r="I29" i="5"/>
  <c r="BE28" i="5"/>
  <c r="BD28" i="5"/>
  <c r="BC28" i="5"/>
  <c r="AK28" i="5"/>
  <c r="AJ28" i="5"/>
  <c r="AH28" i="5"/>
  <c r="AG28" i="5"/>
  <c r="AF28" i="5"/>
  <c r="N28" i="5"/>
  <c r="M28" i="5"/>
  <c r="K28" i="5"/>
  <c r="J28" i="5"/>
  <c r="I28" i="5"/>
  <c r="BE27" i="5"/>
  <c r="BD27" i="5"/>
  <c r="BC27" i="5"/>
  <c r="AK27" i="5"/>
  <c r="AJ27" i="5"/>
  <c r="AH27" i="5"/>
  <c r="AG27" i="5"/>
  <c r="AF27" i="5"/>
  <c r="N27" i="5"/>
  <c r="M27" i="5"/>
  <c r="K27" i="5"/>
  <c r="J27" i="5"/>
  <c r="I27" i="5"/>
  <c r="BE26" i="5"/>
  <c r="BD26" i="5"/>
  <c r="BC26" i="5"/>
  <c r="AK26" i="5"/>
  <c r="AJ26" i="5"/>
  <c r="AH26" i="5"/>
  <c r="AG26" i="5"/>
  <c r="AF26" i="5"/>
  <c r="N26" i="5"/>
  <c r="M26" i="5"/>
  <c r="K26" i="5"/>
  <c r="J26" i="5"/>
  <c r="I26" i="5"/>
  <c r="BE25" i="5"/>
  <c r="BD25" i="5"/>
  <c r="BC25" i="5"/>
  <c r="AK25" i="5"/>
  <c r="AJ25" i="5"/>
  <c r="AH25" i="5"/>
  <c r="AG25" i="5"/>
  <c r="AF25" i="5"/>
  <c r="N25" i="5"/>
  <c r="M25" i="5"/>
  <c r="K25" i="5"/>
  <c r="J25" i="5"/>
  <c r="I25" i="5"/>
  <c r="BE24" i="5"/>
  <c r="BD24" i="5"/>
  <c r="BC24" i="5"/>
  <c r="AK24" i="5"/>
  <c r="AJ24" i="5"/>
  <c r="AH24" i="5"/>
  <c r="AG24" i="5"/>
  <c r="AF24" i="5"/>
  <c r="N24" i="5"/>
  <c r="M24" i="5"/>
  <c r="K24" i="5"/>
  <c r="J24" i="5"/>
  <c r="I24" i="5"/>
  <c r="BF23" i="5" a="1"/>
  <c r="BF23" i="5" s="1"/>
  <c r="BE23" i="5"/>
  <c r="BD23" i="5"/>
  <c r="BC23" i="5"/>
  <c r="AK23" i="5"/>
  <c r="AJ23" i="5"/>
  <c r="AH23" i="5"/>
  <c r="AG23" i="5"/>
  <c r="AF23" i="5"/>
  <c r="N23" i="5"/>
  <c r="M23" i="5"/>
  <c r="K23" i="5"/>
  <c r="J23" i="5"/>
  <c r="I23" i="5"/>
  <c r="BG35" i="3"/>
  <c r="CA35" i="3"/>
  <c r="BQ35" i="3"/>
  <c r="BV35" i="3"/>
  <c r="BL35" i="3"/>
  <c r="CF35" i="3"/>
  <c r="BG29" i="3"/>
  <c r="BQ29" i="3"/>
  <c r="CA29" i="3"/>
  <c r="CF29" i="3"/>
  <c r="BV29" i="3"/>
  <c r="BL29" i="3"/>
  <c r="BQ23" i="3"/>
  <c r="CA23" i="3"/>
  <c r="BG23" i="3"/>
  <c r="CF23" i="3"/>
  <c r="BL23" i="3"/>
  <c r="BV23" i="3"/>
  <c r="BQ17" i="3"/>
  <c r="CA17" i="3"/>
  <c r="BG17" i="3"/>
  <c r="BL17" i="3"/>
  <c r="CF17" i="3"/>
  <c r="BV17" i="3"/>
  <c r="CA11" i="3"/>
  <c r="BG11" i="3"/>
  <c r="BQ11" i="3"/>
  <c r="CF11" i="3"/>
  <c r="BV11" i="3"/>
  <c r="BL11" i="3"/>
  <c r="BG5" i="3"/>
  <c r="BQ5" i="3"/>
  <c r="CA5" i="3"/>
  <c r="CF5" i="3"/>
  <c r="BV5" i="3"/>
  <c r="BL5" i="3"/>
  <c r="J9" i="20" l="1"/>
  <c r="J9" i="1"/>
  <c r="I9" i="20"/>
  <c r="I9" i="1"/>
  <c r="I29" i="19"/>
  <c r="J29" i="19"/>
  <c r="I14" i="1"/>
  <c r="I34" i="19"/>
  <c r="AX27" i="6"/>
  <c r="AY27" i="6"/>
  <c r="K27" i="6"/>
  <c r="CA137" i="3"/>
  <c r="BV137" i="3"/>
  <c r="CF137" i="3"/>
  <c r="BQ137" i="3"/>
  <c r="BL137" i="3"/>
  <c r="F19" i="20" s="1"/>
  <c r="AY137" i="3"/>
  <c r="AZ137" i="3"/>
  <c r="BA137" i="3"/>
  <c r="BB137" i="3"/>
  <c r="BE137" i="5"/>
  <c r="BC137" i="5"/>
  <c r="BD137" i="5"/>
  <c r="F41" i="19"/>
  <c r="F40" i="19"/>
  <c r="F42" i="19"/>
  <c r="F44" i="19"/>
  <c r="F43" i="19"/>
  <c r="F45" i="19"/>
  <c r="AJ137" i="5"/>
  <c r="AR6" i="6"/>
  <c r="C107" i="19" s="1"/>
  <c r="AB27" i="6"/>
  <c r="AR9" i="6"/>
  <c r="C110" i="19" s="1"/>
  <c r="BG137" i="3"/>
  <c r="J137" i="5"/>
  <c r="K137" i="5"/>
  <c r="BF137" i="5"/>
  <c r="M137" i="5"/>
  <c r="AG137" i="5"/>
  <c r="AH137" i="5"/>
  <c r="AE137" i="3"/>
  <c r="K137" i="3"/>
  <c r="AH137" i="3"/>
  <c r="J137" i="3"/>
  <c r="AF137" i="3"/>
  <c r="AR7" i="6"/>
  <c r="C108" i="19" s="1"/>
  <c r="AU7" i="6"/>
  <c r="F108" i="19" s="1"/>
  <c r="AS5" i="6"/>
  <c r="D106" i="19" s="1"/>
  <c r="AU5" i="6"/>
  <c r="F106" i="19" s="1"/>
  <c r="J27" i="6"/>
  <c r="AC27" i="6"/>
  <c r="AE27" i="6"/>
  <c r="M27" i="6"/>
  <c r="AR5" i="6"/>
  <c r="C106" i="19" s="1"/>
  <c r="AS8" i="6"/>
  <c r="D109" i="19" s="1"/>
  <c r="AS10" i="6"/>
  <c r="D111" i="19" s="1"/>
  <c r="AS6" i="6"/>
  <c r="D107" i="19" s="1"/>
  <c r="AU6" i="6"/>
  <c r="F107" i="19" s="1"/>
  <c r="AS7" i="6"/>
  <c r="D108" i="19" s="1"/>
  <c r="AU8" i="6"/>
  <c r="F109" i="19" s="1"/>
  <c r="AU10" i="6"/>
  <c r="F111" i="19" s="1"/>
  <c r="AS9" i="6"/>
  <c r="D110" i="19" s="1"/>
  <c r="AU9" i="6"/>
  <c r="F110" i="19" s="1"/>
  <c r="AR8" i="6"/>
  <c r="C109" i="19" s="1"/>
  <c r="AR10" i="6"/>
  <c r="C111" i="19" s="1"/>
  <c r="M137" i="3"/>
  <c r="F62" i="19" l="1"/>
  <c r="F19" i="1"/>
  <c r="AS27" i="6"/>
  <c r="D39" i="20" s="1"/>
  <c r="AR27" i="6"/>
  <c r="C39" i="20" s="1"/>
  <c r="AU27" i="6"/>
  <c r="F39" i="20" s="1"/>
  <c r="L24" i="6"/>
  <c r="L25" i="6"/>
  <c r="L26" i="6"/>
  <c r="L23" i="6"/>
  <c r="L30" i="6" l="1"/>
  <c r="D39" i="1"/>
  <c r="D128" i="19"/>
  <c r="F39" i="1"/>
  <c r="F128" i="19"/>
  <c r="C39" i="1"/>
  <c r="C128" i="19"/>
  <c r="L32" i="6"/>
  <c r="AG117" i="5"/>
  <c r="AH117" i="5"/>
  <c r="AG114" i="5"/>
  <c r="AH114" i="5"/>
  <c r="J117" i="5"/>
  <c r="K117" i="5"/>
  <c r="J114" i="5"/>
  <c r="K114" i="5"/>
  <c r="AA23" i="6"/>
  <c r="AB23" i="6"/>
  <c r="AC23" i="6"/>
  <c r="AA24" i="6"/>
  <c r="AB24" i="6"/>
  <c r="AC24" i="6"/>
  <c r="AA25" i="6"/>
  <c r="AB25" i="6"/>
  <c r="AC25" i="6"/>
  <c r="AA26" i="6"/>
  <c r="AB26" i="6"/>
  <c r="AC26" i="6"/>
  <c r="H23" i="6"/>
  <c r="I23" i="6"/>
  <c r="J23" i="6"/>
  <c r="K23" i="6"/>
  <c r="H24" i="6"/>
  <c r="I24" i="6"/>
  <c r="J24" i="6"/>
  <c r="K24" i="6"/>
  <c r="H25" i="6"/>
  <c r="I25" i="6"/>
  <c r="J25" i="6"/>
  <c r="K25" i="6"/>
  <c r="H26" i="6"/>
  <c r="I26" i="6"/>
  <c r="J26" i="6"/>
  <c r="K26" i="6"/>
  <c r="K30" i="6" l="1"/>
  <c r="AC30" i="6"/>
  <c r="AB30" i="6"/>
  <c r="J30" i="6"/>
  <c r="D88" i="5"/>
  <c r="D87" i="5"/>
  <c r="D86" i="5"/>
  <c r="D85" i="5"/>
  <c r="D84" i="5"/>
  <c r="AR30" i="6" l="1"/>
  <c r="AS30" i="6"/>
  <c r="D131" i="19" s="1"/>
  <c r="BD83" i="5"/>
  <c r="BD84" i="5"/>
  <c r="BD85" i="5"/>
  <c r="BD86" i="5"/>
  <c r="BD87" i="5"/>
  <c r="BD88" i="5"/>
  <c r="BC94" i="5"/>
  <c r="BC93" i="5"/>
  <c r="BC92" i="5"/>
  <c r="BC91" i="5"/>
  <c r="BC90" i="5"/>
  <c r="BC89" i="5"/>
  <c r="BC84" i="5"/>
  <c r="BC85" i="5"/>
  <c r="BC86" i="5"/>
  <c r="BC87" i="5"/>
  <c r="BC88" i="5"/>
  <c r="BC83" i="5"/>
  <c r="D42" i="20" l="1"/>
  <c r="C131" i="19"/>
  <c r="C42" i="20"/>
  <c r="I83" i="5"/>
  <c r="J83" i="5"/>
  <c r="K83" i="5"/>
  <c r="I84" i="5"/>
  <c r="J84" i="5"/>
  <c r="K84" i="5"/>
  <c r="I85" i="5"/>
  <c r="J85" i="5"/>
  <c r="K85" i="5"/>
  <c r="I86" i="5"/>
  <c r="J86" i="5"/>
  <c r="K86" i="5"/>
  <c r="I87" i="5"/>
  <c r="J87" i="5"/>
  <c r="K87" i="5"/>
  <c r="I88" i="5"/>
  <c r="J88" i="5"/>
  <c r="K88" i="5"/>
  <c r="AD23" i="6" l="1"/>
  <c r="AD24" i="6"/>
  <c r="AT24" i="6" s="1"/>
  <c r="E125" i="19" s="1"/>
  <c r="AD25" i="6"/>
  <c r="AT25" i="6" s="1"/>
  <c r="E126" i="19" s="1"/>
  <c r="AD26" i="6"/>
  <c r="AT26" i="6" s="1"/>
  <c r="E127" i="19" s="1"/>
  <c r="AE22" i="6"/>
  <c r="AE21" i="6"/>
  <c r="AC22" i="6"/>
  <c r="AC21" i="6"/>
  <c r="C42" i="1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AD32" i="6" l="1"/>
  <c r="AT32" i="6" s="1"/>
  <c r="E44" i="20" s="1"/>
  <c r="AD30" i="6"/>
  <c r="AT30" i="6" s="1"/>
  <c r="E42" i="20" s="1"/>
  <c r="AG140" i="3"/>
  <c r="AT23" i="6"/>
  <c r="E124" i="19" s="1"/>
  <c r="L142" i="3"/>
  <c r="D34" i="1"/>
  <c r="D32" i="1"/>
  <c r="C32" i="1"/>
  <c r="C34" i="1"/>
  <c r="E34" i="1"/>
  <c r="E32" i="1"/>
  <c r="L140" i="3"/>
  <c r="Z140" i="5"/>
  <c r="AW146" i="5" s="1"/>
  <c r="AI118" i="5"/>
  <c r="AI117" i="5"/>
  <c r="AI116" i="5"/>
  <c r="AI115" i="5"/>
  <c r="AI114" i="5"/>
  <c r="AI113" i="5"/>
  <c r="AI124" i="5"/>
  <c r="AI123" i="5"/>
  <c r="AI122" i="5"/>
  <c r="AI121" i="5"/>
  <c r="AI120" i="5"/>
  <c r="AI119" i="5"/>
  <c r="AI130" i="5"/>
  <c r="AI129" i="5"/>
  <c r="AI128" i="5"/>
  <c r="AI127" i="5"/>
  <c r="AI126" i="5"/>
  <c r="AI125" i="5"/>
  <c r="AI131" i="5"/>
  <c r="AI132" i="5"/>
  <c r="AI133" i="5"/>
  <c r="AI134" i="5"/>
  <c r="AI135" i="5"/>
  <c r="AI136" i="5"/>
  <c r="AH136" i="5"/>
  <c r="AH135" i="5"/>
  <c r="AH134" i="5"/>
  <c r="AH133" i="5"/>
  <c r="AH132" i="5"/>
  <c r="AH131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13" i="5"/>
  <c r="I32" i="19" l="1"/>
  <c r="I12" i="20"/>
  <c r="I12" i="1"/>
  <c r="AI140" i="5"/>
  <c r="AI142" i="5"/>
  <c r="E44" i="1"/>
  <c r="E133" i="19"/>
  <c r="D42" i="1"/>
  <c r="E42" i="1"/>
  <c r="E131" i="19"/>
  <c r="L142" i="5"/>
  <c r="L140" i="5"/>
  <c r="AY26" i="6" l="1" a="1"/>
  <c r="AY26" i="6" s="1"/>
  <c r="AX26" i="6"/>
  <c r="AW26" i="6"/>
  <c r="AV26" i="6"/>
  <c r="AF26" i="6"/>
  <c r="N26" i="6"/>
  <c r="AY25" i="6" a="1"/>
  <c r="AY25" i="6" s="1"/>
  <c r="AX25" i="6"/>
  <c r="AW25" i="6"/>
  <c r="AV25" i="6"/>
  <c r="AF25" i="6"/>
  <c r="AR25" i="6"/>
  <c r="C126" i="19" s="1"/>
  <c r="N25" i="6"/>
  <c r="AY24" i="6" a="1"/>
  <c r="AY24" i="6" s="1"/>
  <c r="AX24" i="6"/>
  <c r="AW24" i="6"/>
  <c r="AV24" i="6"/>
  <c r="AF24" i="6"/>
  <c r="AR24" i="6"/>
  <c r="C125" i="19" s="1"/>
  <c r="N24" i="6"/>
  <c r="AY23" i="6" a="1"/>
  <c r="AY23" i="6" s="1"/>
  <c r="AX23" i="6"/>
  <c r="AW23" i="6"/>
  <c r="AV23" i="6"/>
  <c r="AF23" i="6"/>
  <c r="AR23" i="6"/>
  <c r="C124" i="19" s="1"/>
  <c r="N23" i="6"/>
  <c r="BA136" i="3"/>
  <c r="AZ136" i="3"/>
  <c r="AY136" i="3"/>
  <c r="AD136" i="3"/>
  <c r="N136" i="3"/>
  <c r="K136" i="3"/>
  <c r="J136" i="3"/>
  <c r="I136" i="3"/>
  <c r="BA135" i="3"/>
  <c r="AZ135" i="3"/>
  <c r="AY135" i="3"/>
  <c r="AD135" i="3"/>
  <c r="N135" i="3"/>
  <c r="K135" i="3"/>
  <c r="J135" i="3"/>
  <c r="I135" i="3"/>
  <c r="BA134" i="3"/>
  <c r="AZ134" i="3"/>
  <c r="AY134" i="3"/>
  <c r="AD134" i="3"/>
  <c r="N134" i="3"/>
  <c r="K134" i="3"/>
  <c r="J134" i="3"/>
  <c r="I134" i="3"/>
  <c r="BA133" i="3"/>
  <c r="AZ133" i="3"/>
  <c r="AY133" i="3"/>
  <c r="AD133" i="3"/>
  <c r="N133" i="3"/>
  <c r="K133" i="3"/>
  <c r="J133" i="3"/>
  <c r="I133" i="3"/>
  <c r="BA132" i="3"/>
  <c r="AZ132" i="3"/>
  <c r="AY132" i="3"/>
  <c r="AD132" i="3"/>
  <c r="N132" i="3"/>
  <c r="K132" i="3"/>
  <c r="J132" i="3"/>
  <c r="I132" i="3"/>
  <c r="BB131" i="3" a="1"/>
  <c r="BB131" i="3" s="1"/>
  <c r="BA131" i="3"/>
  <c r="AZ131" i="3"/>
  <c r="AY131" i="3"/>
  <c r="AD131" i="3"/>
  <c r="N131" i="3"/>
  <c r="K131" i="3"/>
  <c r="J131" i="3"/>
  <c r="I131" i="3"/>
  <c r="BA130" i="3"/>
  <c r="AZ130" i="3"/>
  <c r="AY130" i="3"/>
  <c r="AD130" i="3"/>
  <c r="N130" i="3"/>
  <c r="K130" i="3"/>
  <c r="J130" i="3"/>
  <c r="I130" i="3"/>
  <c r="BA129" i="3"/>
  <c r="AZ129" i="3"/>
  <c r="AY129" i="3"/>
  <c r="AD129" i="3"/>
  <c r="N129" i="3"/>
  <c r="K129" i="3"/>
  <c r="J129" i="3"/>
  <c r="I129" i="3"/>
  <c r="BA128" i="3"/>
  <c r="AZ128" i="3"/>
  <c r="AY128" i="3"/>
  <c r="AD128" i="3"/>
  <c r="N128" i="3"/>
  <c r="K128" i="3"/>
  <c r="J128" i="3"/>
  <c r="I128" i="3"/>
  <c r="BA127" i="3"/>
  <c r="AZ127" i="3"/>
  <c r="AY127" i="3"/>
  <c r="AD127" i="3"/>
  <c r="N127" i="3"/>
  <c r="K127" i="3"/>
  <c r="J127" i="3"/>
  <c r="I127" i="3"/>
  <c r="BA126" i="3"/>
  <c r="AZ126" i="3"/>
  <c r="AY126" i="3"/>
  <c r="AD126" i="3"/>
  <c r="N126" i="3"/>
  <c r="K126" i="3"/>
  <c r="J126" i="3"/>
  <c r="I126" i="3"/>
  <c r="BB125" i="3" a="1"/>
  <c r="BB125" i="3" s="1"/>
  <c r="BA125" i="3"/>
  <c r="AZ125" i="3"/>
  <c r="AY125" i="3"/>
  <c r="AD125" i="3"/>
  <c r="N125" i="3"/>
  <c r="K125" i="3"/>
  <c r="J125" i="3"/>
  <c r="I125" i="3"/>
  <c r="BA124" i="3"/>
  <c r="AZ124" i="3"/>
  <c r="AY124" i="3"/>
  <c r="AD124" i="3"/>
  <c r="N124" i="3"/>
  <c r="K124" i="3"/>
  <c r="J124" i="3"/>
  <c r="I124" i="3"/>
  <c r="BA123" i="3"/>
  <c r="AZ123" i="3"/>
  <c r="AY123" i="3"/>
  <c r="AD123" i="3"/>
  <c r="N123" i="3"/>
  <c r="K123" i="3"/>
  <c r="J123" i="3"/>
  <c r="I123" i="3"/>
  <c r="BA122" i="3"/>
  <c r="AZ122" i="3"/>
  <c r="AY122" i="3"/>
  <c r="AD122" i="3"/>
  <c r="N122" i="3"/>
  <c r="K122" i="3"/>
  <c r="J122" i="3"/>
  <c r="I122" i="3"/>
  <c r="BA121" i="3"/>
  <c r="AZ121" i="3"/>
  <c r="AY121" i="3"/>
  <c r="AD121" i="3"/>
  <c r="N121" i="3"/>
  <c r="K121" i="3"/>
  <c r="J121" i="3"/>
  <c r="I121" i="3"/>
  <c r="BA120" i="3"/>
  <c r="AZ120" i="3"/>
  <c r="AY120" i="3"/>
  <c r="AD120" i="3"/>
  <c r="N120" i="3"/>
  <c r="K120" i="3"/>
  <c r="J120" i="3"/>
  <c r="I120" i="3"/>
  <c r="BB119" i="3" a="1"/>
  <c r="BB119" i="3" s="1"/>
  <c r="BA119" i="3"/>
  <c r="AZ119" i="3"/>
  <c r="AY119" i="3"/>
  <c r="AD119" i="3"/>
  <c r="N119" i="3"/>
  <c r="K119" i="3"/>
  <c r="J119" i="3"/>
  <c r="I119" i="3"/>
  <c r="BA118" i="3"/>
  <c r="AZ118" i="3"/>
  <c r="AY118" i="3"/>
  <c r="AD118" i="3"/>
  <c r="N118" i="3"/>
  <c r="K118" i="3"/>
  <c r="J118" i="3"/>
  <c r="I118" i="3"/>
  <c r="BA117" i="3"/>
  <c r="AZ117" i="3"/>
  <c r="AY117" i="3"/>
  <c r="AD117" i="3"/>
  <c r="N117" i="3"/>
  <c r="K117" i="3"/>
  <c r="J117" i="3"/>
  <c r="I117" i="3"/>
  <c r="BA116" i="3"/>
  <c r="AZ116" i="3"/>
  <c r="AY116" i="3"/>
  <c r="AD116" i="3"/>
  <c r="N116" i="3"/>
  <c r="K116" i="3"/>
  <c r="J116" i="3"/>
  <c r="I116" i="3"/>
  <c r="BA115" i="3"/>
  <c r="AZ115" i="3"/>
  <c r="AY115" i="3"/>
  <c r="AD115" i="3"/>
  <c r="N115" i="3"/>
  <c r="K115" i="3"/>
  <c r="J115" i="3"/>
  <c r="I115" i="3"/>
  <c r="BA114" i="3"/>
  <c r="AZ114" i="3"/>
  <c r="AY114" i="3"/>
  <c r="AD114" i="3"/>
  <c r="N114" i="3"/>
  <c r="K114" i="3"/>
  <c r="J114" i="3"/>
  <c r="I114" i="3"/>
  <c r="BB113" i="3" a="1"/>
  <c r="BB113" i="3" s="1"/>
  <c r="BA113" i="3"/>
  <c r="AZ113" i="3"/>
  <c r="AY113" i="3"/>
  <c r="AD113" i="3"/>
  <c r="N113" i="3"/>
  <c r="K113" i="3"/>
  <c r="J113" i="3"/>
  <c r="I113" i="3"/>
  <c r="BE136" i="5"/>
  <c r="BD136" i="5"/>
  <c r="BC136" i="5"/>
  <c r="AK136" i="5"/>
  <c r="AG136" i="5"/>
  <c r="AF136" i="5"/>
  <c r="N136" i="5"/>
  <c r="K136" i="5"/>
  <c r="J136" i="5"/>
  <c r="I136" i="5"/>
  <c r="BE135" i="5"/>
  <c r="BD135" i="5"/>
  <c r="BC135" i="5"/>
  <c r="AK135" i="5"/>
  <c r="AG135" i="5"/>
  <c r="AF135" i="5"/>
  <c r="N135" i="5"/>
  <c r="K135" i="5"/>
  <c r="J135" i="5"/>
  <c r="I135" i="5"/>
  <c r="BE134" i="5"/>
  <c r="BD134" i="5"/>
  <c r="BC134" i="5"/>
  <c r="AK134" i="5"/>
  <c r="AG134" i="5"/>
  <c r="AF134" i="5"/>
  <c r="N134" i="5"/>
  <c r="K134" i="5"/>
  <c r="J134" i="5"/>
  <c r="I134" i="5"/>
  <c r="BE133" i="5"/>
  <c r="BD133" i="5"/>
  <c r="BC133" i="5"/>
  <c r="AK133" i="5"/>
  <c r="AG133" i="5"/>
  <c r="AF133" i="5"/>
  <c r="N133" i="5"/>
  <c r="K133" i="5"/>
  <c r="J133" i="5"/>
  <c r="I133" i="5"/>
  <c r="BE132" i="5"/>
  <c r="BD132" i="5"/>
  <c r="BC132" i="5"/>
  <c r="AK132" i="5"/>
  <c r="AG132" i="5"/>
  <c r="AF132" i="5"/>
  <c r="N132" i="5"/>
  <c r="K132" i="5"/>
  <c r="J132" i="5"/>
  <c r="I132" i="5"/>
  <c r="BF131" i="5" a="1"/>
  <c r="BF131" i="5" s="1"/>
  <c r="BE131" i="5"/>
  <c r="BD131" i="5"/>
  <c r="BC131" i="5"/>
  <c r="AK131" i="5"/>
  <c r="AG131" i="5"/>
  <c r="AF131" i="5"/>
  <c r="N131" i="5"/>
  <c r="K131" i="5"/>
  <c r="J131" i="5"/>
  <c r="I131" i="5"/>
  <c r="BE130" i="5"/>
  <c r="BD130" i="5"/>
  <c r="BC130" i="5"/>
  <c r="AK130" i="5"/>
  <c r="AH130" i="5"/>
  <c r="AG130" i="5"/>
  <c r="AF130" i="5"/>
  <c r="N130" i="5"/>
  <c r="K130" i="5"/>
  <c r="J130" i="5"/>
  <c r="I130" i="5"/>
  <c r="BE129" i="5"/>
  <c r="BD129" i="5"/>
  <c r="BC129" i="5"/>
  <c r="AK129" i="5"/>
  <c r="AH129" i="5"/>
  <c r="AG129" i="5"/>
  <c r="AF129" i="5"/>
  <c r="N129" i="5"/>
  <c r="K129" i="5"/>
  <c r="J129" i="5"/>
  <c r="I129" i="5"/>
  <c r="BE128" i="5"/>
  <c r="BD128" i="5"/>
  <c r="BC128" i="5"/>
  <c r="AK128" i="5"/>
  <c r="AH128" i="5"/>
  <c r="AG128" i="5"/>
  <c r="AF128" i="5"/>
  <c r="N128" i="5"/>
  <c r="K128" i="5"/>
  <c r="J128" i="5"/>
  <c r="I128" i="5"/>
  <c r="BE127" i="5"/>
  <c r="BD127" i="5"/>
  <c r="BC127" i="5"/>
  <c r="AK127" i="5"/>
  <c r="AH127" i="5"/>
  <c r="AG127" i="5"/>
  <c r="AF127" i="5"/>
  <c r="N127" i="5"/>
  <c r="K127" i="5"/>
  <c r="J127" i="5"/>
  <c r="I127" i="5"/>
  <c r="BE126" i="5"/>
  <c r="BD126" i="5"/>
  <c r="BC126" i="5"/>
  <c r="AK126" i="5"/>
  <c r="AH126" i="5"/>
  <c r="AG126" i="5"/>
  <c r="AF126" i="5"/>
  <c r="N126" i="5"/>
  <c r="K126" i="5"/>
  <c r="J126" i="5"/>
  <c r="I126" i="5"/>
  <c r="BF125" i="5" a="1"/>
  <c r="BF125" i="5" s="1"/>
  <c r="BE125" i="5"/>
  <c r="BD125" i="5"/>
  <c r="BC125" i="5"/>
  <c r="AK125" i="5"/>
  <c r="AH125" i="5"/>
  <c r="AG125" i="5"/>
  <c r="AF125" i="5"/>
  <c r="N125" i="5"/>
  <c r="K125" i="5"/>
  <c r="J125" i="5"/>
  <c r="I125" i="5"/>
  <c r="BE124" i="5"/>
  <c r="BD124" i="5"/>
  <c r="BC124" i="5"/>
  <c r="AK124" i="5"/>
  <c r="AH124" i="5"/>
  <c r="AG124" i="5"/>
  <c r="AF124" i="5"/>
  <c r="N124" i="5"/>
  <c r="K124" i="5"/>
  <c r="J124" i="5"/>
  <c r="I124" i="5"/>
  <c r="BE123" i="5"/>
  <c r="BD123" i="5"/>
  <c r="BC123" i="5"/>
  <c r="AK123" i="5"/>
  <c r="AH123" i="5"/>
  <c r="AG123" i="5"/>
  <c r="AF123" i="5"/>
  <c r="N123" i="5"/>
  <c r="K123" i="5"/>
  <c r="J123" i="5"/>
  <c r="I123" i="5"/>
  <c r="BE122" i="5"/>
  <c r="BD122" i="5"/>
  <c r="BC122" i="5"/>
  <c r="AK122" i="5"/>
  <c r="AH122" i="5"/>
  <c r="AG122" i="5"/>
  <c r="AF122" i="5"/>
  <c r="N122" i="5"/>
  <c r="K122" i="5"/>
  <c r="J122" i="5"/>
  <c r="I122" i="5"/>
  <c r="BE121" i="5"/>
  <c r="BD121" i="5"/>
  <c r="BC121" i="5"/>
  <c r="AK121" i="5"/>
  <c r="AH121" i="5"/>
  <c r="AG121" i="5"/>
  <c r="AF121" i="5"/>
  <c r="N121" i="5"/>
  <c r="K121" i="5"/>
  <c r="J121" i="5"/>
  <c r="I121" i="5"/>
  <c r="BE120" i="5"/>
  <c r="BD120" i="5"/>
  <c r="BC120" i="5"/>
  <c r="AK120" i="5"/>
  <c r="AH120" i="5"/>
  <c r="AG120" i="5"/>
  <c r="AF120" i="5"/>
  <c r="N120" i="5"/>
  <c r="K120" i="5"/>
  <c r="J120" i="5"/>
  <c r="I120" i="5"/>
  <c r="BF119" i="5" a="1"/>
  <c r="BF119" i="5" s="1"/>
  <c r="BE119" i="5"/>
  <c r="BD119" i="5"/>
  <c r="BC119" i="5"/>
  <c r="AK119" i="5"/>
  <c r="AH119" i="5"/>
  <c r="AG119" i="5"/>
  <c r="AF119" i="5"/>
  <c r="N119" i="5"/>
  <c r="K119" i="5"/>
  <c r="J119" i="5"/>
  <c r="I119" i="5"/>
  <c r="BE118" i="5"/>
  <c r="BD118" i="5"/>
  <c r="BC118" i="5"/>
  <c r="AK118" i="5"/>
  <c r="AH118" i="5"/>
  <c r="AG118" i="5"/>
  <c r="AF118" i="5"/>
  <c r="N118" i="5"/>
  <c r="K118" i="5"/>
  <c r="J118" i="5"/>
  <c r="I118" i="5"/>
  <c r="BE117" i="5"/>
  <c r="BD117" i="5"/>
  <c r="BC117" i="5"/>
  <c r="AK117" i="5"/>
  <c r="AF117" i="5"/>
  <c r="N117" i="5"/>
  <c r="I117" i="5"/>
  <c r="BE116" i="5"/>
  <c r="BD116" i="5"/>
  <c r="BC116" i="5"/>
  <c r="AK116" i="5"/>
  <c r="AH116" i="5"/>
  <c r="AG116" i="5"/>
  <c r="AF116" i="5"/>
  <c r="N116" i="5"/>
  <c r="K116" i="5"/>
  <c r="J116" i="5"/>
  <c r="I116" i="5"/>
  <c r="BE115" i="5"/>
  <c r="BD115" i="5"/>
  <c r="BC115" i="5"/>
  <c r="AK115" i="5"/>
  <c r="AH115" i="5"/>
  <c r="AG115" i="5"/>
  <c r="AF115" i="5"/>
  <c r="N115" i="5"/>
  <c r="K115" i="5"/>
  <c r="J115" i="5"/>
  <c r="I115" i="5"/>
  <c r="BE114" i="5"/>
  <c r="BD114" i="5"/>
  <c r="BC114" i="5"/>
  <c r="AK114" i="5"/>
  <c r="AF114" i="5"/>
  <c r="N114" i="5"/>
  <c r="I114" i="5"/>
  <c r="BF113" i="5" a="1"/>
  <c r="BF113" i="5" s="1"/>
  <c r="BE113" i="5"/>
  <c r="BD113" i="5"/>
  <c r="BC113" i="5"/>
  <c r="AK113" i="5"/>
  <c r="AH113" i="5"/>
  <c r="AG113" i="5"/>
  <c r="AF113" i="5"/>
  <c r="N113" i="5"/>
  <c r="K113" i="5"/>
  <c r="J113" i="5"/>
  <c r="I113" i="5"/>
  <c r="BC140" i="5" l="1"/>
  <c r="BD140" i="5"/>
  <c r="AY140" i="3"/>
  <c r="AZ140" i="3"/>
  <c r="AY30" i="6"/>
  <c r="AX30" i="6"/>
  <c r="BF140" i="5"/>
  <c r="BA140" i="3"/>
  <c r="BB140" i="3"/>
  <c r="AE140" i="3"/>
  <c r="AF140" i="3"/>
  <c r="BE140" i="5"/>
  <c r="AG140" i="5"/>
  <c r="AH140" i="5"/>
  <c r="J140" i="3"/>
  <c r="K140" i="3"/>
  <c r="K140" i="5"/>
  <c r="J140" i="5"/>
  <c r="AS26" i="6"/>
  <c r="D127" i="19" s="1"/>
  <c r="AS23" i="6"/>
  <c r="D124" i="19" s="1"/>
  <c r="AS25" i="6"/>
  <c r="D126" i="19" s="1"/>
  <c r="AR26" i="6"/>
  <c r="C127" i="19" s="1"/>
  <c r="AS24" i="6"/>
  <c r="D125" i="19" s="1"/>
  <c r="F34" i="1" l="1"/>
  <c r="AY22" i="6" l="1" a="1"/>
  <c r="AY22" i="6" s="1"/>
  <c r="AX22" i="6"/>
  <c r="AW22" i="6"/>
  <c r="AV22" i="6"/>
  <c r="AF22" i="6"/>
  <c r="AB22" i="6"/>
  <c r="AA22" i="6"/>
  <c r="N22" i="6"/>
  <c r="M22" i="6"/>
  <c r="K22" i="6"/>
  <c r="J22" i="6"/>
  <c r="I22" i="6"/>
  <c r="H22" i="6"/>
  <c r="AY21" i="6" a="1"/>
  <c r="AY21" i="6" s="1"/>
  <c r="AX21" i="6"/>
  <c r="AW21" i="6"/>
  <c r="AV21" i="6"/>
  <c r="AF21" i="6"/>
  <c r="AB21" i="6"/>
  <c r="AA21" i="6"/>
  <c r="N21" i="6"/>
  <c r="M21" i="6"/>
  <c r="K21" i="6"/>
  <c r="J21" i="6"/>
  <c r="I21" i="6"/>
  <c r="H21" i="6"/>
  <c r="BA112" i="3"/>
  <c r="AZ112" i="3"/>
  <c r="AY112" i="3"/>
  <c r="AD112" i="3"/>
  <c r="N112" i="3"/>
  <c r="M112" i="3"/>
  <c r="K112" i="3"/>
  <c r="J112" i="3"/>
  <c r="I112" i="3"/>
  <c r="BA111" i="3"/>
  <c r="AZ111" i="3"/>
  <c r="AY111" i="3"/>
  <c r="AD111" i="3"/>
  <c r="N111" i="3"/>
  <c r="M111" i="3"/>
  <c r="K111" i="3"/>
  <c r="J111" i="3"/>
  <c r="I111" i="3"/>
  <c r="BA110" i="3"/>
  <c r="AZ110" i="3"/>
  <c r="AY110" i="3"/>
  <c r="AD110" i="3"/>
  <c r="N110" i="3"/>
  <c r="M110" i="3"/>
  <c r="K110" i="3"/>
  <c r="J110" i="3"/>
  <c r="I110" i="3"/>
  <c r="BA109" i="3"/>
  <c r="AZ109" i="3"/>
  <c r="AY109" i="3"/>
  <c r="AD109" i="3"/>
  <c r="N109" i="3"/>
  <c r="M109" i="3"/>
  <c r="K109" i="3"/>
  <c r="J109" i="3"/>
  <c r="I109" i="3"/>
  <c r="BA108" i="3"/>
  <c r="AZ108" i="3"/>
  <c r="AY108" i="3"/>
  <c r="AD108" i="3"/>
  <c r="N108" i="3"/>
  <c r="M108" i="3"/>
  <c r="K108" i="3"/>
  <c r="J108" i="3"/>
  <c r="I108" i="3"/>
  <c r="BB107" i="3" a="1"/>
  <c r="BB107" i="3" s="1"/>
  <c r="BA107" i="3"/>
  <c r="AZ107" i="3"/>
  <c r="AY107" i="3"/>
  <c r="AD107" i="3"/>
  <c r="N107" i="3"/>
  <c r="M107" i="3"/>
  <c r="K107" i="3"/>
  <c r="J107" i="3"/>
  <c r="I107" i="3"/>
  <c r="BA106" i="3"/>
  <c r="AZ106" i="3"/>
  <c r="AY106" i="3"/>
  <c r="AD106" i="3"/>
  <c r="N106" i="3"/>
  <c r="M106" i="3"/>
  <c r="K106" i="3"/>
  <c r="J106" i="3"/>
  <c r="I106" i="3"/>
  <c r="BA105" i="3"/>
  <c r="AZ105" i="3"/>
  <c r="AY105" i="3"/>
  <c r="AD105" i="3"/>
  <c r="N105" i="3"/>
  <c r="M105" i="3"/>
  <c r="K105" i="3"/>
  <c r="J105" i="3"/>
  <c r="I105" i="3"/>
  <c r="BA104" i="3"/>
  <c r="AZ104" i="3"/>
  <c r="AY104" i="3"/>
  <c r="AD104" i="3"/>
  <c r="N104" i="3"/>
  <c r="M104" i="3"/>
  <c r="K104" i="3"/>
  <c r="J104" i="3"/>
  <c r="I104" i="3"/>
  <c r="BA103" i="3"/>
  <c r="AZ103" i="3"/>
  <c r="AY103" i="3"/>
  <c r="AD103" i="3"/>
  <c r="N103" i="3"/>
  <c r="M103" i="3"/>
  <c r="K103" i="3"/>
  <c r="J103" i="3"/>
  <c r="I103" i="3"/>
  <c r="BA102" i="3"/>
  <c r="AZ102" i="3"/>
  <c r="AY102" i="3"/>
  <c r="AD102" i="3"/>
  <c r="N102" i="3"/>
  <c r="M102" i="3"/>
  <c r="K102" i="3"/>
  <c r="J102" i="3"/>
  <c r="I102" i="3"/>
  <c r="BB101" i="3" a="1"/>
  <c r="BB101" i="3" s="1"/>
  <c r="BA101" i="3"/>
  <c r="AZ101" i="3"/>
  <c r="AY101" i="3"/>
  <c r="AD101" i="3"/>
  <c r="N101" i="3"/>
  <c r="M101" i="3"/>
  <c r="K101" i="3"/>
  <c r="J101" i="3"/>
  <c r="I101" i="3"/>
  <c r="BE112" i="5"/>
  <c r="BD112" i="5"/>
  <c r="BC112" i="5"/>
  <c r="AK112" i="5"/>
  <c r="AJ112" i="5"/>
  <c r="AH112" i="5"/>
  <c r="AG112" i="5"/>
  <c r="AF112" i="5"/>
  <c r="N112" i="5"/>
  <c r="M112" i="5"/>
  <c r="K112" i="5"/>
  <c r="J112" i="5"/>
  <c r="I112" i="5"/>
  <c r="BE111" i="5"/>
  <c r="BD111" i="5"/>
  <c r="BC111" i="5"/>
  <c r="AK111" i="5"/>
  <c r="AJ111" i="5"/>
  <c r="AH111" i="5"/>
  <c r="AG111" i="5"/>
  <c r="AF111" i="5"/>
  <c r="N111" i="5"/>
  <c r="M111" i="5"/>
  <c r="K111" i="5"/>
  <c r="J111" i="5"/>
  <c r="I111" i="5"/>
  <c r="BE110" i="5"/>
  <c r="BD110" i="5"/>
  <c r="BC110" i="5"/>
  <c r="AK110" i="5"/>
  <c r="AJ110" i="5"/>
  <c r="AH110" i="5"/>
  <c r="AG110" i="5"/>
  <c r="AF110" i="5"/>
  <c r="N110" i="5"/>
  <c r="M110" i="5"/>
  <c r="K110" i="5"/>
  <c r="J110" i="5"/>
  <c r="I110" i="5"/>
  <c r="BE109" i="5"/>
  <c r="BD109" i="5"/>
  <c r="BC109" i="5"/>
  <c r="AK109" i="5"/>
  <c r="AJ109" i="5"/>
  <c r="AH109" i="5"/>
  <c r="AG109" i="5"/>
  <c r="AF109" i="5"/>
  <c r="N109" i="5"/>
  <c r="M109" i="5"/>
  <c r="K109" i="5"/>
  <c r="J109" i="5"/>
  <c r="I109" i="5"/>
  <c r="BE108" i="5"/>
  <c r="BD108" i="5"/>
  <c r="BC108" i="5"/>
  <c r="AK108" i="5"/>
  <c r="AJ108" i="5"/>
  <c r="AH108" i="5"/>
  <c r="AG108" i="5"/>
  <c r="AF108" i="5"/>
  <c r="N108" i="5"/>
  <c r="M108" i="5"/>
  <c r="K108" i="5"/>
  <c r="J108" i="5"/>
  <c r="I108" i="5"/>
  <c r="BF107" i="5" a="1"/>
  <c r="BF107" i="5" s="1"/>
  <c r="BE107" i="5"/>
  <c r="BD107" i="5"/>
  <c r="BC107" i="5"/>
  <c r="AK107" i="5"/>
  <c r="AJ107" i="5"/>
  <c r="AH107" i="5"/>
  <c r="AG107" i="5"/>
  <c r="AF107" i="5"/>
  <c r="N107" i="5"/>
  <c r="M107" i="5"/>
  <c r="K107" i="5"/>
  <c r="J107" i="5"/>
  <c r="I107" i="5"/>
  <c r="AR21" i="6" l="1"/>
  <c r="C122" i="19" s="1"/>
  <c r="AR22" i="6"/>
  <c r="C123" i="19" s="1"/>
  <c r="AU22" i="6"/>
  <c r="F123" i="19" s="1"/>
  <c r="AS22" i="6"/>
  <c r="D123" i="19" s="1"/>
  <c r="AS21" i="6"/>
  <c r="D122" i="19" s="1"/>
  <c r="AU21" i="6"/>
  <c r="F122" i="19" s="1"/>
  <c r="BE106" i="5" l="1"/>
  <c r="BD106" i="5"/>
  <c r="BC106" i="5"/>
  <c r="AK106" i="5"/>
  <c r="AJ106" i="5"/>
  <c r="AH106" i="5"/>
  <c r="AG106" i="5"/>
  <c r="AF106" i="5"/>
  <c r="N106" i="5"/>
  <c r="M106" i="5"/>
  <c r="K106" i="5"/>
  <c r="J106" i="5"/>
  <c r="I106" i="5"/>
  <c r="BE105" i="5"/>
  <c r="BD105" i="5"/>
  <c r="BC105" i="5"/>
  <c r="AK105" i="5"/>
  <c r="AJ105" i="5"/>
  <c r="AH105" i="5"/>
  <c r="AG105" i="5"/>
  <c r="AF105" i="5"/>
  <c r="N105" i="5"/>
  <c r="M105" i="5"/>
  <c r="K105" i="5"/>
  <c r="J105" i="5"/>
  <c r="I105" i="5"/>
  <c r="BE104" i="5"/>
  <c r="BD104" i="5"/>
  <c r="BC104" i="5"/>
  <c r="AK104" i="5"/>
  <c r="AJ104" i="5"/>
  <c r="AH104" i="5"/>
  <c r="AG104" i="5"/>
  <c r="AF104" i="5"/>
  <c r="N104" i="5"/>
  <c r="M104" i="5"/>
  <c r="K104" i="5"/>
  <c r="J104" i="5"/>
  <c r="I104" i="5"/>
  <c r="BE103" i="5"/>
  <c r="BD103" i="5"/>
  <c r="BC103" i="5"/>
  <c r="AK103" i="5"/>
  <c r="AJ103" i="5"/>
  <c r="AH103" i="5"/>
  <c r="AG103" i="5"/>
  <c r="AF103" i="5"/>
  <c r="N103" i="5"/>
  <c r="M103" i="5"/>
  <c r="K103" i="5"/>
  <c r="J103" i="5"/>
  <c r="I103" i="5"/>
  <c r="BE102" i="5"/>
  <c r="BD102" i="5"/>
  <c r="BC102" i="5"/>
  <c r="AK102" i="5"/>
  <c r="AJ102" i="5"/>
  <c r="AH102" i="5"/>
  <c r="AG102" i="5"/>
  <c r="AF102" i="5"/>
  <c r="N102" i="5"/>
  <c r="M102" i="5"/>
  <c r="K102" i="5"/>
  <c r="J102" i="5"/>
  <c r="I102" i="5"/>
  <c r="BF101" i="5" a="1"/>
  <c r="BF101" i="5" s="1"/>
  <c r="BE101" i="5"/>
  <c r="BD101" i="5"/>
  <c r="BC101" i="5"/>
  <c r="AK101" i="5"/>
  <c r="AJ101" i="5"/>
  <c r="AH101" i="5"/>
  <c r="AG101" i="5"/>
  <c r="AF101" i="5"/>
  <c r="N101" i="5"/>
  <c r="M101" i="5"/>
  <c r="K101" i="5"/>
  <c r="J101" i="5"/>
  <c r="I101" i="5"/>
  <c r="I90" i="5" l="1"/>
  <c r="I91" i="5"/>
  <c r="I92" i="5"/>
  <c r="I93" i="5"/>
  <c r="I94" i="5"/>
  <c r="I95" i="5"/>
  <c r="J95" i="5"/>
  <c r="K95" i="5"/>
  <c r="I96" i="5"/>
  <c r="I97" i="5"/>
  <c r="I98" i="5"/>
  <c r="I99" i="5"/>
  <c r="I100" i="5"/>
  <c r="I89" i="5"/>
  <c r="J89" i="5"/>
  <c r="K89" i="5"/>
  <c r="M83" i="5"/>
  <c r="N83" i="5"/>
  <c r="M84" i="5"/>
  <c r="N84" i="5"/>
  <c r="M85" i="5"/>
  <c r="N85" i="5"/>
  <c r="M86" i="5"/>
  <c r="N86" i="5"/>
  <c r="M87" i="5"/>
  <c r="N87" i="5"/>
  <c r="M88" i="5"/>
  <c r="N88" i="5"/>
  <c r="M89" i="5"/>
  <c r="N89" i="5"/>
  <c r="N90" i="5"/>
  <c r="N91" i="5"/>
  <c r="N92" i="5"/>
  <c r="N93" i="5"/>
  <c r="N94" i="5"/>
  <c r="M95" i="5"/>
  <c r="N95" i="5"/>
  <c r="N96" i="5"/>
  <c r="N97" i="5"/>
  <c r="N98" i="5"/>
  <c r="N99" i="5"/>
  <c r="N100" i="5"/>
  <c r="AF83" i="5"/>
  <c r="AG83" i="5"/>
  <c r="AH83" i="5"/>
  <c r="AF84" i="5"/>
  <c r="AG84" i="5"/>
  <c r="AH84" i="5"/>
  <c r="AF85" i="5"/>
  <c r="AG85" i="5"/>
  <c r="AH85" i="5"/>
  <c r="AF86" i="5"/>
  <c r="AG86" i="5"/>
  <c r="AH86" i="5"/>
  <c r="AF87" i="5"/>
  <c r="AG87" i="5"/>
  <c r="AH87" i="5"/>
  <c r="AF88" i="5"/>
  <c r="AG88" i="5"/>
  <c r="AH88" i="5"/>
  <c r="AF89" i="5"/>
  <c r="AG89" i="5"/>
  <c r="AH89" i="5"/>
  <c r="AF90" i="5"/>
  <c r="AF91" i="5"/>
  <c r="AF92" i="5"/>
  <c r="AF93" i="5"/>
  <c r="AF94" i="5"/>
  <c r="AF95" i="5"/>
  <c r="AG95" i="5"/>
  <c r="AH95" i="5"/>
  <c r="AF96" i="5"/>
  <c r="AF97" i="5"/>
  <c r="AF98" i="5"/>
  <c r="AF99" i="5"/>
  <c r="AF100" i="5"/>
  <c r="AJ83" i="5"/>
  <c r="AK83" i="5"/>
  <c r="AJ84" i="5"/>
  <c r="AK84" i="5"/>
  <c r="AJ85" i="5"/>
  <c r="AK85" i="5"/>
  <c r="AJ86" i="5"/>
  <c r="AK86" i="5"/>
  <c r="AJ87" i="5"/>
  <c r="AK87" i="5"/>
  <c r="AJ88" i="5"/>
  <c r="AK88" i="5"/>
  <c r="AJ89" i="5"/>
  <c r="AK89" i="5"/>
  <c r="AK90" i="5"/>
  <c r="AK91" i="5"/>
  <c r="AK92" i="5"/>
  <c r="AK93" i="5"/>
  <c r="AK94" i="5"/>
  <c r="AJ95" i="5"/>
  <c r="AK95" i="5"/>
  <c r="AK96" i="5"/>
  <c r="AK97" i="5"/>
  <c r="AK98" i="5"/>
  <c r="AK99" i="5"/>
  <c r="AK100" i="5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83" i="3"/>
  <c r="N84" i="3"/>
  <c r="E20" i="6" l="1"/>
  <c r="E19" i="6"/>
  <c r="E18" i="6"/>
  <c r="F100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83" i="3"/>
  <c r="BO131" i="3"/>
  <c r="BX131" i="3"/>
  <c r="BE131" i="3"/>
  <c r="BP131" i="3"/>
  <c r="BN131" i="3"/>
  <c r="BF131" i="3"/>
  <c r="BZ131" i="3"/>
  <c r="BD131" i="3"/>
  <c r="BY131" i="3"/>
  <c r="CC131" i="3"/>
  <c r="BS131" i="3"/>
  <c r="CE131" i="3"/>
  <c r="CD131" i="3"/>
  <c r="BI131" i="3"/>
  <c r="BT131" i="3"/>
  <c r="BU131" i="3"/>
  <c r="BK131" i="3"/>
  <c r="BJ131" i="3"/>
  <c r="BN125" i="3"/>
  <c r="BY125" i="3"/>
  <c r="BO125" i="3"/>
  <c r="BZ125" i="3"/>
  <c r="BE125" i="3"/>
  <c r="BX125" i="3"/>
  <c r="BD125" i="3"/>
  <c r="BP125" i="3"/>
  <c r="BT125" i="3"/>
  <c r="CC125" i="3"/>
  <c r="CE125" i="3"/>
  <c r="BJ125" i="3"/>
  <c r="BU125" i="3"/>
  <c r="CD125" i="3"/>
  <c r="BK125" i="3"/>
  <c r="BI125" i="3"/>
  <c r="BS125" i="3"/>
  <c r="BX119" i="3"/>
  <c r="BO119" i="3"/>
  <c r="BD119" i="3"/>
  <c r="BP119" i="3"/>
  <c r="BY119" i="3"/>
  <c r="BE119" i="3"/>
  <c r="BF119" i="3"/>
  <c r="BN119" i="3"/>
  <c r="BZ119" i="3"/>
  <c r="CE119" i="3"/>
  <c r="CD119" i="3"/>
  <c r="CC119" i="3"/>
  <c r="BU119" i="3"/>
  <c r="BJ119" i="3"/>
  <c r="BT119" i="3"/>
  <c r="BI119" i="3"/>
  <c r="BS119" i="3"/>
  <c r="BK119" i="3"/>
  <c r="BN113" i="3"/>
  <c r="BY113" i="3"/>
  <c r="BZ113" i="3"/>
  <c r="BX113" i="3"/>
  <c r="BO113" i="3"/>
  <c r="CE113" i="3"/>
  <c r="BS113" i="3"/>
  <c r="BT113" i="3"/>
  <c r="BK113" i="3"/>
  <c r="BU113" i="3"/>
  <c r="BI113" i="3"/>
  <c r="BJ113" i="3"/>
  <c r="CC113" i="3"/>
  <c r="CD113" i="3"/>
  <c r="BG95" i="3"/>
  <c r="CA95" i="3"/>
  <c r="BQ95" i="3"/>
  <c r="CF95" i="3"/>
  <c r="BV95" i="3"/>
  <c r="BL95" i="3"/>
  <c r="BQ89" i="3"/>
  <c r="BG89" i="3"/>
  <c r="CA89" i="3"/>
  <c r="BV89" i="3"/>
  <c r="BL89" i="3"/>
  <c r="CF89" i="3"/>
  <c r="BG83" i="3"/>
  <c r="CA83" i="3"/>
  <c r="BQ83" i="3"/>
  <c r="BV83" i="3"/>
  <c r="BL83" i="3"/>
  <c r="CF83" i="3"/>
  <c r="BQ107" i="3"/>
  <c r="CA107" i="3"/>
  <c r="BG107" i="3"/>
  <c r="CF107" i="3"/>
  <c r="BL107" i="3"/>
  <c r="BV107" i="3"/>
  <c r="CA101" i="3"/>
  <c r="BQ101" i="3"/>
  <c r="BG101" i="3"/>
  <c r="BV101" i="3"/>
  <c r="CF101" i="3"/>
  <c r="BL101" i="3"/>
  <c r="BZ140" i="3" l="1"/>
  <c r="BZ142" i="3"/>
  <c r="BK140" i="3"/>
  <c r="E22" i="20" s="1"/>
  <c r="BK142" i="3"/>
  <c r="E24" i="20" s="1"/>
  <c r="CA142" i="3"/>
  <c r="CA141" i="3"/>
  <c r="CA139" i="3"/>
  <c r="BS140" i="3"/>
  <c r="BS142" i="3"/>
  <c r="BD142" i="3"/>
  <c r="BD140" i="3"/>
  <c r="C58" i="19"/>
  <c r="BG139" i="3"/>
  <c r="F64" i="19" s="1"/>
  <c r="F53" i="19"/>
  <c r="BG141" i="3"/>
  <c r="F66" i="19" s="1"/>
  <c r="BG142" i="3"/>
  <c r="F67" i="19" s="1"/>
  <c r="CC140" i="3"/>
  <c r="CC142" i="3"/>
  <c r="CF139" i="3"/>
  <c r="CF141" i="3"/>
  <c r="CF142" i="3"/>
  <c r="BV139" i="3"/>
  <c r="BV142" i="3"/>
  <c r="BV141" i="3"/>
  <c r="C60" i="19"/>
  <c r="CD140" i="3"/>
  <c r="CD142" i="3"/>
  <c r="D61" i="19"/>
  <c r="C59" i="19"/>
  <c r="D59" i="19"/>
  <c r="CE142" i="3"/>
  <c r="CE140" i="3"/>
  <c r="BO140" i="3"/>
  <c r="BO142" i="3"/>
  <c r="BF142" i="3"/>
  <c r="E24" i="1" s="1"/>
  <c r="E58" i="19"/>
  <c r="BF140" i="3"/>
  <c r="BN142" i="3"/>
  <c r="BN140" i="3"/>
  <c r="F56" i="19"/>
  <c r="F57" i="19"/>
  <c r="F55" i="19"/>
  <c r="C61" i="19"/>
  <c r="BL141" i="3"/>
  <c r="F23" i="20" s="1"/>
  <c r="BL139" i="3"/>
  <c r="F21" i="20" s="1"/>
  <c r="BL142" i="3"/>
  <c r="F24" i="20" s="1"/>
  <c r="BI142" i="3"/>
  <c r="C24" i="20" s="1"/>
  <c r="BI140" i="3"/>
  <c r="C22" i="20" s="1"/>
  <c r="BT140" i="3"/>
  <c r="BT142" i="3"/>
  <c r="D60" i="19"/>
  <c r="BP140" i="3"/>
  <c r="BP142" i="3"/>
  <c r="BE142" i="3"/>
  <c r="D67" i="19" s="1"/>
  <c r="BE140" i="3"/>
  <c r="D65" i="19" s="1"/>
  <c r="D58" i="19"/>
  <c r="BY142" i="3"/>
  <c r="BY140" i="3"/>
  <c r="BX142" i="3"/>
  <c r="BX140" i="3"/>
  <c r="BQ141" i="3"/>
  <c r="BQ142" i="3"/>
  <c r="BQ139" i="3"/>
  <c r="E59" i="19"/>
  <c r="BU142" i="3"/>
  <c r="BU140" i="3"/>
  <c r="BJ140" i="3"/>
  <c r="D22" i="20" s="1"/>
  <c r="BJ142" i="3"/>
  <c r="D24" i="20" s="1"/>
  <c r="E60" i="19"/>
  <c r="F54" i="19"/>
  <c r="E61" i="19"/>
  <c r="I99" i="3"/>
  <c r="AD99" i="3"/>
  <c r="I92" i="3"/>
  <c r="AD92" i="3"/>
  <c r="I85" i="3"/>
  <c r="AD85" i="3"/>
  <c r="I84" i="3"/>
  <c r="AD84" i="3"/>
  <c r="I91" i="3"/>
  <c r="AD91" i="3"/>
  <c r="I97" i="3"/>
  <c r="AD97" i="3"/>
  <c r="I93" i="3"/>
  <c r="AD93" i="3"/>
  <c r="I83" i="3"/>
  <c r="AD83" i="3"/>
  <c r="I100" i="3"/>
  <c r="AD100" i="3"/>
  <c r="I88" i="3"/>
  <c r="AD88" i="3"/>
  <c r="I98" i="3"/>
  <c r="AD98" i="3"/>
  <c r="I87" i="3"/>
  <c r="AD87" i="3"/>
  <c r="I90" i="3"/>
  <c r="AD90" i="3"/>
  <c r="I89" i="3"/>
  <c r="AD89" i="3"/>
  <c r="I96" i="3"/>
  <c r="AD96" i="3"/>
  <c r="I95" i="3"/>
  <c r="AD95" i="3"/>
  <c r="I94" i="3"/>
  <c r="AD94" i="3"/>
  <c r="I86" i="3"/>
  <c r="AD86" i="3"/>
  <c r="C20" i="6"/>
  <c r="Z20" i="6" s="1"/>
  <c r="C18" i="6"/>
  <c r="Z18" i="6" s="1"/>
  <c r="C19" i="6"/>
  <c r="Z19" i="6" s="1"/>
  <c r="D96" i="3"/>
  <c r="D97" i="3"/>
  <c r="D98" i="3"/>
  <c r="D99" i="3"/>
  <c r="D100" i="3"/>
  <c r="D90" i="3"/>
  <c r="D91" i="3"/>
  <c r="D92" i="3"/>
  <c r="D93" i="3"/>
  <c r="D94" i="3"/>
  <c r="D84" i="3"/>
  <c r="D85" i="3"/>
  <c r="D86" i="3"/>
  <c r="D87" i="3"/>
  <c r="D88" i="3"/>
  <c r="D83" i="3"/>
  <c r="D89" i="3"/>
  <c r="D95" i="3"/>
  <c r="D97" i="5"/>
  <c r="D98" i="5"/>
  <c r="D99" i="5"/>
  <c r="D100" i="5"/>
  <c r="D96" i="5"/>
  <c r="D91" i="5"/>
  <c r="D92" i="5"/>
  <c r="D93" i="5"/>
  <c r="D94" i="5"/>
  <c r="D90" i="5"/>
  <c r="H1" i="6"/>
  <c r="Z1" i="6"/>
  <c r="I1" i="3"/>
  <c r="AD1" i="3"/>
  <c r="AF1" i="5"/>
  <c r="I1" i="5"/>
  <c r="F23" i="1" l="1"/>
  <c r="D22" i="1"/>
  <c r="F21" i="1"/>
  <c r="F24" i="1"/>
  <c r="D24" i="1"/>
  <c r="E67" i="19"/>
  <c r="C22" i="1"/>
  <c r="C65" i="19"/>
  <c r="C67" i="19"/>
  <c r="C24" i="1"/>
  <c r="E65" i="19"/>
  <c r="E22" i="1"/>
  <c r="AF92" i="3"/>
  <c r="AG92" i="3"/>
  <c r="AH92" i="3"/>
  <c r="AE92" i="3"/>
  <c r="AF100" i="3"/>
  <c r="AG100" i="3"/>
  <c r="AH100" i="3"/>
  <c r="AE100" i="3"/>
  <c r="AF88" i="3"/>
  <c r="AH88" i="3"/>
  <c r="AG88" i="3"/>
  <c r="AE88" i="3"/>
  <c r="AG91" i="3"/>
  <c r="AE91" i="3"/>
  <c r="AF91" i="3"/>
  <c r="AH91" i="3"/>
  <c r="AE87" i="3"/>
  <c r="AG87" i="3"/>
  <c r="AF87" i="3"/>
  <c r="AH87" i="3"/>
  <c r="AF90" i="3"/>
  <c r="AH90" i="3"/>
  <c r="AG90" i="3"/>
  <c r="AE90" i="3"/>
  <c r="AG85" i="3"/>
  <c r="AE85" i="3"/>
  <c r="AF85" i="3"/>
  <c r="AH85" i="3"/>
  <c r="AG99" i="3"/>
  <c r="AE99" i="3"/>
  <c r="AF99" i="3"/>
  <c r="AH99" i="3"/>
  <c r="AE89" i="3"/>
  <c r="AF89" i="3"/>
  <c r="AH89" i="3"/>
  <c r="AG89" i="3"/>
  <c r="AG93" i="3"/>
  <c r="AE93" i="3"/>
  <c r="AF93" i="3"/>
  <c r="AH93" i="3"/>
  <c r="AF96" i="3"/>
  <c r="AH96" i="3"/>
  <c r="AG96" i="3"/>
  <c r="AE96" i="3"/>
  <c r="AF86" i="3"/>
  <c r="AH86" i="3"/>
  <c r="AG86" i="3"/>
  <c r="AE86" i="3"/>
  <c r="AF84" i="3"/>
  <c r="AG84" i="3"/>
  <c r="AH84" i="3"/>
  <c r="AE84" i="3"/>
  <c r="AF98" i="3"/>
  <c r="AH98" i="3"/>
  <c r="AG98" i="3"/>
  <c r="AE98" i="3"/>
  <c r="AG83" i="3"/>
  <c r="AE83" i="3"/>
  <c r="AF83" i="3"/>
  <c r="AH83" i="3"/>
  <c r="AE95" i="3"/>
  <c r="AG95" i="3"/>
  <c r="AF95" i="3"/>
  <c r="AH95" i="3"/>
  <c r="AF94" i="3"/>
  <c r="AH94" i="3"/>
  <c r="AG94" i="3"/>
  <c r="AE94" i="3"/>
  <c r="AE97" i="3"/>
  <c r="AF97" i="3"/>
  <c r="AH97" i="3"/>
  <c r="AG97" i="3"/>
  <c r="AE18" i="6"/>
  <c r="AC18" i="6"/>
  <c r="AG96" i="5"/>
  <c r="AJ96" i="5"/>
  <c r="AH96" i="5"/>
  <c r="AJ99" i="5"/>
  <c r="AG99" i="5"/>
  <c r="AH99" i="5"/>
  <c r="AJ100" i="5"/>
  <c r="AG100" i="5"/>
  <c r="AH100" i="5"/>
  <c r="AC20" i="6"/>
  <c r="AE20" i="6"/>
  <c r="AG98" i="5"/>
  <c r="AH98" i="5"/>
  <c r="AJ98" i="5"/>
  <c r="AJ91" i="5"/>
  <c r="AG91" i="5"/>
  <c r="AH91" i="5"/>
  <c r="AG90" i="5"/>
  <c r="AH90" i="5"/>
  <c r="AJ90" i="5"/>
  <c r="AG94" i="5"/>
  <c r="AH94" i="5"/>
  <c r="AJ94" i="5"/>
  <c r="AJ97" i="5"/>
  <c r="AG97" i="5"/>
  <c r="AH97" i="5"/>
  <c r="AJ92" i="5"/>
  <c r="AG92" i="5"/>
  <c r="AH92" i="5"/>
  <c r="AC19" i="6"/>
  <c r="AE19" i="6"/>
  <c r="AG93" i="5"/>
  <c r="AH93" i="5"/>
  <c r="AJ93" i="5"/>
  <c r="K92" i="5"/>
  <c r="M92" i="5"/>
  <c r="J92" i="5"/>
  <c r="J99" i="5"/>
  <c r="M99" i="5"/>
  <c r="K99" i="5"/>
  <c r="J90" i="5"/>
  <c r="K90" i="5"/>
  <c r="M90" i="5"/>
  <c r="J91" i="5"/>
  <c r="M91" i="5"/>
  <c r="K91" i="5"/>
  <c r="J98" i="5"/>
  <c r="K98" i="5"/>
  <c r="M98" i="5"/>
  <c r="J94" i="5"/>
  <c r="K94" i="5"/>
  <c r="M94" i="5"/>
  <c r="K96" i="5"/>
  <c r="M96" i="5"/>
  <c r="J96" i="5"/>
  <c r="M97" i="5"/>
  <c r="J97" i="5"/>
  <c r="K97" i="5"/>
  <c r="M93" i="5"/>
  <c r="J93" i="5"/>
  <c r="K93" i="5"/>
  <c r="K100" i="5"/>
  <c r="M100" i="5"/>
  <c r="J100" i="5"/>
  <c r="J86" i="3"/>
  <c r="K86" i="3"/>
  <c r="M86" i="3"/>
  <c r="K100" i="3"/>
  <c r="M100" i="3"/>
  <c r="J100" i="3"/>
  <c r="K85" i="3"/>
  <c r="M85" i="3"/>
  <c r="J85" i="3"/>
  <c r="J84" i="3"/>
  <c r="K84" i="3"/>
  <c r="M84" i="3"/>
  <c r="J98" i="3"/>
  <c r="K98" i="3"/>
  <c r="M98" i="3"/>
  <c r="K99" i="3"/>
  <c r="J99" i="3"/>
  <c r="M99" i="3"/>
  <c r="K95" i="3"/>
  <c r="M95" i="3"/>
  <c r="J95" i="3"/>
  <c r="J94" i="3"/>
  <c r="K94" i="3"/>
  <c r="M94" i="3"/>
  <c r="K97" i="3"/>
  <c r="M97" i="3"/>
  <c r="J97" i="3"/>
  <c r="K89" i="3"/>
  <c r="M89" i="3"/>
  <c r="J89" i="3"/>
  <c r="J93" i="3"/>
  <c r="K93" i="3"/>
  <c r="M93" i="3"/>
  <c r="J96" i="3"/>
  <c r="M96" i="3"/>
  <c r="K96" i="3"/>
  <c r="J83" i="3"/>
  <c r="K83" i="3"/>
  <c r="M83" i="3"/>
  <c r="J92" i="3"/>
  <c r="K92" i="3"/>
  <c r="M92" i="3"/>
  <c r="J88" i="3"/>
  <c r="M88" i="3"/>
  <c r="K88" i="3"/>
  <c r="K91" i="3"/>
  <c r="M91" i="3"/>
  <c r="J91" i="3"/>
  <c r="K87" i="3"/>
  <c r="M87" i="3"/>
  <c r="J87" i="3"/>
  <c r="J90" i="3"/>
  <c r="K90" i="3"/>
  <c r="M90" i="3"/>
  <c r="AY20" i="6" a="1"/>
  <c r="AY20" i="6" s="1"/>
  <c r="AX20" i="6"/>
  <c r="AW20" i="6"/>
  <c r="AV20" i="6"/>
  <c r="AF20" i="6"/>
  <c r="AB20" i="6"/>
  <c r="AA20" i="6"/>
  <c r="N20" i="6"/>
  <c r="M20" i="6"/>
  <c r="K20" i="6"/>
  <c r="J20" i="6"/>
  <c r="I20" i="6"/>
  <c r="H20" i="6"/>
  <c r="AY19" i="6" a="1"/>
  <c r="AY19" i="6" s="1"/>
  <c r="AX19" i="6"/>
  <c r="AW19" i="6"/>
  <c r="AV19" i="6"/>
  <c r="AF19" i="6"/>
  <c r="AB19" i="6"/>
  <c r="AA19" i="6"/>
  <c r="N19" i="6"/>
  <c r="M19" i="6"/>
  <c r="K19" i="6"/>
  <c r="J19" i="6"/>
  <c r="I19" i="6"/>
  <c r="H19" i="6"/>
  <c r="AY18" i="6" a="1"/>
  <c r="AY18" i="6" s="1"/>
  <c r="AX18" i="6"/>
  <c r="AW18" i="6"/>
  <c r="AV18" i="6"/>
  <c r="AF18" i="6"/>
  <c r="AB18" i="6"/>
  <c r="AA18" i="6"/>
  <c r="N18" i="6"/>
  <c r="M18" i="6"/>
  <c r="K18" i="6"/>
  <c r="J18" i="6"/>
  <c r="I18" i="6"/>
  <c r="H18" i="6"/>
  <c r="BE100" i="5"/>
  <c r="BD100" i="5"/>
  <c r="BC100" i="5"/>
  <c r="BE99" i="5"/>
  <c r="BD99" i="5"/>
  <c r="BC99" i="5"/>
  <c r="BE98" i="5"/>
  <c r="BD98" i="5"/>
  <c r="BC98" i="5"/>
  <c r="BE97" i="5"/>
  <c r="BD97" i="5"/>
  <c r="BC97" i="5"/>
  <c r="BE96" i="5"/>
  <c r="BD96" i="5"/>
  <c r="BC96" i="5"/>
  <c r="BF95" i="5" a="1"/>
  <c r="BF95" i="5" s="1"/>
  <c r="BE95" i="5"/>
  <c r="BD95" i="5"/>
  <c r="BC95" i="5"/>
  <c r="BE94" i="5"/>
  <c r="BD94" i="5"/>
  <c r="BE93" i="5"/>
  <c r="BD93" i="5"/>
  <c r="BE92" i="5"/>
  <c r="BD92" i="5"/>
  <c r="BE91" i="5"/>
  <c r="BD91" i="5"/>
  <c r="BE90" i="5"/>
  <c r="BD90" i="5"/>
  <c r="BF89" i="5" a="1"/>
  <c r="BF89" i="5" s="1"/>
  <c r="BE89" i="5"/>
  <c r="BD89" i="5"/>
  <c r="BE88" i="5"/>
  <c r="BE87" i="5"/>
  <c r="BE86" i="5"/>
  <c r="BE85" i="5"/>
  <c r="BE84" i="5"/>
  <c r="BF83" i="5" a="1"/>
  <c r="BF83" i="5" s="1"/>
  <c r="BE83" i="5"/>
  <c r="BA100" i="3"/>
  <c r="AZ100" i="3"/>
  <c r="AY100" i="3"/>
  <c r="BA99" i="3"/>
  <c r="AZ99" i="3"/>
  <c r="AY99" i="3"/>
  <c r="BA98" i="3"/>
  <c r="AZ98" i="3"/>
  <c r="AY98" i="3"/>
  <c r="BA97" i="3"/>
  <c r="AZ97" i="3"/>
  <c r="AY97" i="3"/>
  <c r="BA96" i="3"/>
  <c r="AZ96" i="3"/>
  <c r="AY96" i="3"/>
  <c r="BB95" i="3" a="1"/>
  <c r="BB95" i="3" s="1"/>
  <c r="BA95" i="3"/>
  <c r="AZ95" i="3"/>
  <c r="AY95" i="3"/>
  <c r="BA94" i="3"/>
  <c r="AZ94" i="3"/>
  <c r="AY94" i="3"/>
  <c r="BA93" i="3"/>
  <c r="AZ93" i="3"/>
  <c r="AY93" i="3"/>
  <c r="BA92" i="3"/>
  <c r="AZ92" i="3"/>
  <c r="AY92" i="3"/>
  <c r="BA91" i="3"/>
  <c r="AZ91" i="3"/>
  <c r="AY91" i="3"/>
  <c r="BA90" i="3"/>
  <c r="AZ90" i="3"/>
  <c r="AY90" i="3"/>
  <c r="BB89" i="3" a="1"/>
  <c r="BB89" i="3" s="1"/>
  <c r="BA89" i="3"/>
  <c r="AZ89" i="3"/>
  <c r="AY89" i="3"/>
  <c r="BA88" i="3"/>
  <c r="AZ88" i="3"/>
  <c r="AY88" i="3"/>
  <c r="BA87" i="3"/>
  <c r="AZ87" i="3"/>
  <c r="AY87" i="3"/>
  <c r="BA86" i="3"/>
  <c r="AZ86" i="3"/>
  <c r="AY86" i="3"/>
  <c r="BA85" i="3"/>
  <c r="AZ85" i="3"/>
  <c r="AY85" i="3"/>
  <c r="BA84" i="3"/>
  <c r="AZ84" i="3"/>
  <c r="AY84" i="3"/>
  <c r="BB83" i="3" a="1"/>
  <c r="BB83" i="3" s="1"/>
  <c r="BA83" i="3"/>
  <c r="AZ83" i="3"/>
  <c r="AY83" i="3"/>
  <c r="CL131" i="5"/>
  <c r="BZ131" i="5"/>
  <c r="BX131" i="5"/>
  <c r="BL131" i="5"/>
  <c r="CM131" i="5"/>
  <c r="BY131" i="5"/>
  <c r="BK131" i="5"/>
  <c r="BJ131" i="5"/>
  <c r="CN131" i="5"/>
  <c r="CK131" i="5"/>
  <c r="BI131" i="5"/>
  <c r="BH131" i="5"/>
  <c r="BV131" i="5"/>
  <c r="BW131" i="5"/>
  <c r="CJ131" i="5"/>
  <c r="BP131" i="5"/>
  <c r="BQ131" i="5"/>
  <c r="CR131" i="5"/>
  <c r="CT131" i="5"/>
  <c r="CQ131" i="5"/>
  <c r="BR131" i="5"/>
  <c r="CE131" i="5"/>
  <c r="CS131" i="5"/>
  <c r="BS131" i="5"/>
  <c r="CD131" i="5"/>
  <c r="CF131" i="5"/>
  <c r="CU131" i="5"/>
  <c r="BO131" i="5"/>
  <c r="CC131" i="5"/>
  <c r="CG131" i="5"/>
  <c r="BX125" i="5"/>
  <c r="BZ125" i="5"/>
  <c r="BK125" i="5"/>
  <c r="BY125" i="5"/>
  <c r="CM125" i="5"/>
  <c r="BL125" i="5"/>
  <c r="CN125" i="5"/>
  <c r="BJ125" i="5"/>
  <c r="CL125" i="5"/>
  <c r="BV125" i="5"/>
  <c r="CJ125" i="5"/>
  <c r="BI125" i="5"/>
  <c r="BW125" i="5"/>
  <c r="CK125" i="5"/>
  <c r="BH125" i="5"/>
  <c r="CE125" i="5"/>
  <c r="CT125" i="5"/>
  <c r="CR125" i="5"/>
  <c r="CQ125" i="5"/>
  <c r="BP125" i="5"/>
  <c r="CG125" i="5"/>
  <c r="BR125" i="5"/>
  <c r="CC125" i="5"/>
  <c r="BO125" i="5"/>
  <c r="CS125" i="5"/>
  <c r="BS125" i="5"/>
  <c r="CF125" i="5"/>
  <c r="CU125" i="5"/>
  <c r="CD125" i="5"/>
  <c r="BQ125" i="5"/>
  <c r="BY119" i="5"/>
  <c r="BK119" i="5"/>
  <c r="CL119" i="5"/>
  <c r="CM119" i="5"/>
  <c r="BL119" i="5"/>
  <c r="BJ119" i="5"/>
  <c r="CN119" i="5"/>
  <c r="BX119" i="5"/>
  <c r="BZ119" i="5"/>
  <c r="BI119" i="5"/>
  <c r="BH119" i="5"/>
  <c r="CK119" i="5"/>
  <c r="BW119" i="5"/>
  <c r="CJ119" i="5"/>
  <c r="BV119" i="5"/>
  <c r="BP119" i="5"/>
  <c r="CF119" i="5"/>
  <c r="CS119" i="5"/>
  <c r="BO119" i="5"/>
  <c r="CR119" i="5"/>
  <c r="CE119" i="5"/>
  <c r="CQ119" i="5"/>
  <c r="BR119" i="5"/>
  <c r="BQ119" i="5"/>
  <c r="CC119" i="5"/>
  <c r="CT119" i="5"/>
  <c r="CD119" i="5"/>
  <c r="CU119" i="5"/>
  <c r="BS119" i="5"/>
  <c r="CG119" i="5"/>
  <c r="CN113" i="5"/>
  <c r="BZ113" i="5"/>
  <c r="BK113" i="5"/>
  <c r="BY113" i="5"/>
  <c r="BL113" i="5"/>
  <c r="CM113" i="5"/>
  <c r="BX113" i="5"/>
  <c r="BJ113" i="5"/>
  <c r="CL113" i="5"/>
  <c r="BW113" i="5"/>
  <c r="BH113" i="5"/>
  <c r="BI113" i="5"/>
  <c r="CK113" i="5"/>
  <c r="BV113" i="5"/>
  <c r="CJ113" i="5"/>
  <c r="CD113" i="5"/>
  <c r="CF113" i="5"/>
  <c r="CU113" i="5"/>
  <c r="CC113" i="5"/>
  <c r="BS113" i="5"/>
  <c r="BR113" i="5"/>
  <c r="CS113" i="5"/>
  <c r="BO113" i="5"/>
  <c r="CR113" i="5"/>
  <c r="BQ113" i="5"/>
  <c r="CG113" i="5"/>
  <c r="CQ113" i="5"/>
  <c r="BP113" i="5"/>
  <c r="CE113" i="5"/>
  <c r="CT113" i="5"/>
  <c r="CA95" i="5"/>
  <c r="CO95" i="5"/>
  <c r="BM95" i="5"/>
  <c r="BI95" i="5"/>
  <c r="BV95" i="5"/>
  <c r="CJ95" i="5"/>
  <c r="BW95" i="5"/>
  <c r="BH95" i="5"/>
  <c r="CK95" i="5"/>
  <c r="BP95" i="5"/>
  <c r="CQ95" i="5"/>
  <c r="CD95" i="5"/>
  <c r="CH95" i="5"/>
  <c r="CR95" i="5"/>
  <c r="BO95" i="5"/>
  <c r="BT95" i="5"/>
  <c r="CV95" i="5"/>
  <c r="CC95" i="5"/>
  <c r="CO89" i="5"/>
  <c r="CA89" i="5"/>
  <c r="BM89" i="5"/>
  <c r="BH89" i="5"/>
  <c r="CJ89" i="5"/>
  <c r="BW89" i="5"/>
  <c r="BV89" i="5"/>
  <c r="BI89" i="5"/>
  <c r="CK89" i="5"/>
  <c r="BT89" i="5"/>
  <c r="CC89" i="5"/>
  <c r="CQ89" i="5"/>
  <c r="CR89" i="5"/>
  <c r="CD89" i="5"/>
  <c r="BO89" i="5"/>
  <c r="BP89" i="5"/>
  <c r="CV89" i="5"/>
  <c r="CH89" i="5"/>
  <c r="CA83" i="5"/>
  <c r="CO83" i="5"/>
  <c r="BM83" i="5"/>
  <c r="BW83" i="5"/>
  <c r="BI83" i="5"/>
  <c r="BV83" i="5"/>
  <c r="CK83" i="5"/>
  <c r="CJ83" i="5"/>
  <c r="BH83" i="5"/>
  <c r="CD83" i="5"/>
  <c r="BP83" i="5"/>
  <c r="CR83" i="5"/>
  <c r="BT83" i="5"/>
  <c r="CC83" i="5"/>
  <c r="CH83" i="5"/>
  <c r="CV83" i="5"/>
  <c r="CQ83" i="5"/>
  <c r="BO83" i="5"/>
  <c r="BM107" i="5"/>
  <c r="CA107" i="5"/>
  <c r="CO107" i="5"/>
  <c r="BW107" i="5"/>
  <c r="BH107" i="5"/>
  <c r="BV107" i="5"/>
  <c r="CK107" i="5"/>
  <c r="BI107" i="5"/>
  <c r="CJ107" i="5"/>
  <c r="CH107" i="5"/>
  <c r="BT107" i="5"/>
  <c r="CD107" i="5"/>
  <c r="CV107" i="5"/>
  <c r="CR107" i="5"/>
  <c r="BO107" i="5"/>
  <c r="BP107" i="5"/>
  <c r="CC107" i="5"/>
  <c r="CQ107" i="5"/>
  <c r="CO101" i="5"/>
  <c r="CA101" i="5"/>
  <c r="BM101" i="5"/>
  <c r="BH101" i="5"/>
  <c r="BV101" i="5"/>
  <c r="CK101" i="5"/>
  <c r="BW101" i="5"/>
  <c r="CJ101" i="5"/>
  <c r="BI101" i="5"/>
  <c r="CQ101" i="5"/>
  <c r="BO101" i="5"/>
  <c r="CV101" i="5"/>
  <c r="CR101" i="5"/>
  <c r="CD101" i="5"/>
  <c r="CC101" i="5"/>
  <c r="CH101" i="5"/>
  <c r="BT101" i="5"/>
  <c r="BP101" i="5"/>
  <c r="CM77" i="5"/>
  <c r="BJ77" i="5"/>
  <c r="BX77" i="5"/>
  <c r="CL77" i="5"/>
  <c r="BL77" i="5"/>
  <c r="CN77" i="5"/>
  <c r="BZ77" i="5"/>
  <c r="BY77" i="5"/>
  <c r="BK77" i="5"/>
  <c r="BW77" i="5"/>
  <c r="BH77" i="5"/>
  <c r="BI77" i="5"/>
  <c r="BV77" i="5"/>
  <c r="CK77" i="5"/>
  <c r="CJ77" i="5"/>
  <c r="CU77" i="5"/>
  <c r="CR77" i="5"/>
  <c r="BS77" i="5"/>
  <c r="CF77" i="5"/>
  <c r="BO77" i="5"/>
  <c r="CG77" i="5"/>
  <c r="CS77" i="5"/>
  <c r="CD77" i="5"/>
  <c r="CE77" i="5"/>
  <c r="BP77" i="5"/>
  <c r="CT77" i="5"/>
  <c r="CQ77" i="5"/>
  <c r="CC77" i="5"/>
  <c r="BR77" i="5"/>
  <c r="BQ77" i="5"/>
  <c r="CN71" i="5"/>
  <c r="CL71" i="5"/>
  <c r="BJ71" i="5"/>
  <c r="BL71" i="5"/>
  <c r="BY71" i="5"/>
  <c r="BK71" i="5"/>
  <c r="BX71" i="5"/>
  <c r="CM71" i="5"/>
  <c r="BZ71" i="5"/>
  <c r="BV71" i="5"/>
  <c r="CK71" i="5"/>
  <c r="BW71" i="5"/>
  <c r="BH71" i="5"/>
  <c r="BI71" i="5"/>
  <c r="CJ71" i="5"/>
  <c r="CD71" i="5"/>
  <c r="CG71" i="5"/>
  <c r="BR71" i="5"/>
  <c r="CR71" i="5"/>
  <c r="CS71" i="5"/>
  <c r="CQ71" i="5"/>
  <c r="CU71" i="5"/>
  <c r="CF71" i="5"/>
  <c r="BQ71" i="5"/>
  <c r="CT71" i="5"/>
  <c r="CC71" i="5"/>
  <c r="BS71" i="5"/>
  <c r="BP71" i="5"/>
  <c r="BO71" i="5"/>
  <c r="CE71" i="5"/>
  <c r="BL65" i="5"/>
  <c r="CM65" i="5"/>
  <c r="CN65" i="5"/>
  <c r="BZ65" i="5"/>
  <c r="BK65" i="5"/>
  <c r="BY65" i="5"/>
  <c r="BJ65" i="5"/>
  <c r="CL65" i="5"/>
  <c r="BX65" i="5"/>
  <c r="BW65" i="5"/>
  <c r="CK65" i="5"/>
  <c r="BI65" i="5"/>
  <c r="BV65" i="5"/>
  <c r="BH65" i="5"/>
  <c r="CJ65" i="5"/>
  <c r="BO65" i="5"/>
  <c r="CD65" i="5"/>
  <c r="CU65" i="5"/>
  <c r="CF65" i="5"/>
  <c r="CE65" i="5"/>
  <c r="BP65" i="5"/>
  <c r="BQ65" i="5"/>
  <c r="BS65" i="5"/>
  <c r="CC65" i="5"/>
  <c r="CG65" i="5"/>
  <c r="CR65" i="5"/>
  <c r="CQ65" i="5"/>
  <c r="BR65" i="5"/>
  <c r="CS65" i="5"/>
  <c r="CT65" i="5"/>
  <c r="BJ59" i="5"/>
  <c r="BX59" i="5"/>
  <c r="CM59" i="5"/>
  <c r="CN59" i="5"/>
  <c r="BZ59" i="5"/>
  <c r="CL59" i="5"/>
  <c r="BY59" i="5"/>
  <c r="BK59" i="5"/>
  <c r="BL59" i="5"/>
  <c r="BI59" i="5"/>
  <c r="CJ59" i="5"/>
  <c r="BV59" i="5"/>
  <c r="CK59" i="5"/>
  <c r="BH59" i="5"/>
  <c r="BW59" i="5"/>
  <c r="CC59" i="5"/>
  <c r="BO59" i="5"/>
  <c r="CT59" i="5"/>
  <c r="CE59" i="5"/>
  <c r="BQ59" i="5"/>
  <c r="CF59" i="5"/>
  <c r="BR59" i="5"/>
  <c r="CD59" i="5"/>
  <c r="BS59" i="5"/>
  <c r="CS59" i="5"/>
  <c r="CQ59" i="5"/>
  <c r="CR59" i="5"/>
  <c r="CU59" i="5"/>
  <c r="CG59" i="5"/>
  <c r="BP59" i="5"/>
  <c r="CM53" i="5"/>
  <c r="BY53" i="5"/>
  <c r="CN53" i="5"/>
  <c r="CL53" i="5"/>
  <c r="BX53" i="5"/>
  <c r="BJ53" i="5"/>
  <c r="BZ53" i="5"/>
  <c r="BL53" i="5"/>
  <c r="BK53" i="5"/>
  <c r="CK53" i="5"/>
  <c r="BW53" i="5"/>
  <c r="BI53" i="5"/>
  <c r="BV53" i="5"/>
  <c r="BH53" i="5"/>
  <c r="CJ53" i="5"/>
  <c r="CD53" i="5"/>
  <c r="BQ53" i="5"/>
  <c r="CE53" i="5"/>
  <c r="CS53" i="5"/>
  <c r="BP53" i="5"/>
  <c r="CF53" i="5"/>
  <c r="BS53" i="5"/>
  <c r="CG53" i="5"/>
  <c r="CQ53" i="5"/>
  <c r="CT53" i="5"/>
  <c r="BO53" i="5"/>
  <c r="CC53" i="5"/>
  <c r="BR53" i="5"/>
  <c r="CR53" i="5"/>
  <c r="CU53" i="5"/>
  <c r="BJ47" i="5"/>
  <c r="BZ47" i="5"/>
  <c r="CM47" i="5"/>
  <c r="BX47" i="5"/>
  <c r="CL47" i="5"/>
  <c r="BL47" i="5"/>
  <c r="BK47" i="5"/>
  <c r="BY47" i="5"/>
  <c r="CN47" i="5"/>
  <c r="BV47" i="5"/>
  <c r="CJ47" i="5"/>
  <c r="CK47" i="5"/>
  <c r="BI47" i="5"/>
  <c r="BW47" i="5"/>
  <c r="BH47" i="5"/>
  <c r="CF47" i="5"/>
  <c r="BP47" i="5"/>
  <c r="CQ47" i="5"/>
  <c r="CG47" i="5"/>
  <c r="CD47" i="5"/>
  <c r="BQ47" i="5"/>
  <c r="CS47" i="5"/>
  <c r="BS47" i="5"/>
  <c r="CT47" i="5"/>
  <c r="CU47" i="5"/>
  <c r="CE47" i="5"/>
  <c r="BO47" i="5"/>
  <c r="CC47" i="5"/>
  <c r="BR47" i="5"/>
  <c r="CR47" i="5"/>
  <c r="CL41" i="5"/>
  <c r="BX41" i="5"/>
  <c r="CM41" i="5"/>
  <c r="BL41" i="5"/>
  <c r="BZ41" i="5"/>
  <c r="CN41" i="5"/>
  <c r="BY41" i="5"/>
  <c r="BK41" i="5"/>
  <c r="BJ41" i="5"/>
  <c r="CJ41" i="5"/>
  <c r="BH41" i="5"/>
  <c r="BV41" i="5"/>
  <c r="BI41" i="5"/>
  <c r="BW41" i="5"/>
  <c r="CK41" i="5"/>
  <c r="CE41" i="5"/>
  <c r="CD41" i="5"/>
  <c r="CG41" i="5"/>
  <c r="CQ41" i="5"/>
  <c r="CT41" i="5"/>
  <c r="BQ41" i="5"/>
  <c r="CR41" i="5"/>
  <c r="BP41" i="5"/>
  <c r="CF41" i="5"/>
  <c r="CS41" i="5"/>
  <c r="BS41" i="5"/>
  <c r="BR41" i="5"/>
  <c r="CC41" i="5"/>
  <c r="CU41" i="5"/>
  <c r="BO41" i="5"/>
  <c r="CO35" i="5"/>
  <c r="BM35" i="5"/>
  <c r="CA35" i="5"/>
  <c r="CJ35" i="5"/>
  <c r="BH35" i="5"/>
  <c r="BI35" i="5"/>
  <c r="BV35" i="5"/>
  <c r="BW35" i="5"/>
  <c r="CK35" i="5"/>
  <c r="CD35" i="5"/>
  <c r="CQ35" i="5"/>
  <c r="CC35" i="5"/>
  <c r="BP35" i="5"/>
  <c r="BT35" i="5"/>
  <c r="CR35" i="5"/>
  <c r="CV35" i="5"/>
  <c r="BO35" i="5"/>
  <c r="CH35" i="5"/>
  <c r="BM29" i="5"/>
  <c r="CA29" i="5"/>
  <c r="CO29" i="5"/>
  <c r="CK29" i="5"/>
  <c r="CJ29" i="5"/>
  <c r="BW29" i="5"/>
  <c r="BI29" i="5"/>
  <c r="BH29" i="5"/>
  <c r="BV29" i="5"/>
  <c r="CH29" i="5"/>
  <c r="CC29" i="5"/>
  <c r="CR29" i="5"/>
  <c r="CQ29" i="5"/>
  <c r="BP29" i="5"/>
  <c r="CD29" i="5"/>
  <c r="CV29" i="5"/>
  <c r="BT29" i="5"/>
  <c r="BO29" i="5"/>
  <c r="CO23" i="5"/>
  <c r="CA23" i="5"/>
  <c r="BM23" i="5"/>
  <c r="CJ23" i="5"/>
  <c r="BI23" i="5"/>
  <c r="CK23" i="5"/>
  <c r="BW23" i="5"/>
  <c r="BH23" i="5"/>
  <c r="BV23" i="5"/>
  <c r="CR23" i="5"/>
  <c r="CD23" i="5"/>
  <c r="BT23" i="5"/>
  <c r="CC23" i="5"/>
  <c r="CV23" i="5"/>
  <c r="BP23" i="5"/>
  <c r="BO23" i="5"/>
  <c r="CH23" i="5"/>
  <c r="CQ23" i="5"/>
  <c r="CO17" i="5"/>
  <c r="CA17" i="5"/>
  <c r="BM17" i="5"/>
  <c r="BV17" i="5"/>
  <c r="BH17" i="5"/>
  <c r="CJ17" i="5"/>
  <c r="BI17" i="5"/>
  <c r="CK17" i="5"/>
  <c r="BW17" i="5"/>
  <c r="BO17" i="5"/>
  <c r="CQ17" i="5"/>
  <c r="BT17" i="5"/>
  <c r="BP17" i="5"/>
  <c r="CD17" i="5"/>
  <c r="CR17" i="5"/>
  <c r="CH17" i="5"/>
  <c r="CC17" i="5"/>
  <c r="CV17" i="5"/>
  <c r="CO11" i="5"/>
  <c r="CA11" i="5"/>
  <c r="BM11" i="5"/>
  <c r="CJ11" i="5"/>
  <c r="BV11" i="5"/>
  <c r="BI11" i="5"/>
  <c r="BW11" i="5"/>
  <c r="BH11" i="5"/>
  <c r="CK11" i="5"/>
  <c r="CQ11" i="5"/>
  <c r="BT11" i="5"/>
  <c r="CH11" i="5"/>
  <c r="CC11" i="5"/>
  <c r="CR11" i="5"/>
  <c r="CD11" i="5"/>
  <c r="BO11" i="5"/>
  <c r="CV11" i="5"/>
  <c r="BP11" i="5"/>
  <c r="BM5" i="5"/>
  <c r="CA5" i="5"/>
  <c r="CO5" i="5"/>
  <c r="CK5" i="5"/>
  <c r="BV5" i="5"/>
  <c r="BI5" i="5"/>
  <c r="BW5" i="5"/>
  <c r="BH5" i="5"/>
  <c r="CJ5" i="5"/>
  <c r="CD5" i="5"/>
  <c r="BT5" i="5"/>
  <c r="BO5" i="5"/>
  <c r="BP5" i="5"/>
  <c r="CC5" i="5"/>
  <c r="CQ5" i="5"/>
  <c r="CR5" i="5"/>
  <c r="CV5" i="5"/>
  <c r="CH5" i="5"/>
  <c r="CS140" i="5" l="1"/>
  <c r="C11" i="19"/>
  <c r="CQ142" i="5"/>
  <c r="CQ141" i="5"/>
  <c r="CQ137" i="5"/>
  <c r="C23" i="19"/>
  <c r="E17" i="19"/>
  <c r="C18" i="19"/>
  <c r="F18" i="19"/>
  <c r="CQ139" i="5"/>
  <c r="G18" i="19"/>
  <c r="G25" i="19"/>
  <c r="BL140" i="5"/>
  <c r="H23" i="19"/>
  <c r="BZ140" i="5"/>
  <c r="G14" i="19"/>
  <c r="CA137" i="5"/>
  <c r="CA141" i="5"/>
  <c r="CA142" i="5"/>
  <c r="BO138" i="5"/>
  <c r="C10" i="20" s="1"/>
  <c r="BX140" i="5"/>
  <c r="CN138" i="5"/>
  <c r="CN142" i="5"/>
  <c r="CT138" i="5"/>
  <c r="CT142" i="5"/>
  <c r="G26" i="19"/>
  <c r="CK138" i="5"/>
  <c r="BI140" i="5"/>
  <c r="D32" i="19" s="1"/>
  <c r="D25" i="19"/>
  <c r="C26" i="19"/>
  <c r="H10" i="19"/>
  <c r="CK139" i="5"/>
  <c r="E26" i="19"/>
  <c r="BI138" i="5"/>
  <c r="D10" i="1" s="1"/>
  <c r="D13" i="19"/>
  <c r="CD138" i="5"/>
  <c r="D76" i="20"/>
  <c r="D72" i="20"/>
  <c r="C76" i="1"/>
  <c r="C72" i="1"/>
  <c r="BV138" i="5"/>
  <c r="BP140" i="5"/>
  <c r="D12" i="20" s="1"/>
  <c r="BV139" i="5"/>
  <c r="H20" i="19"/>
  <c r="BM139" i="5"/>
  <c r="H11" i="1" s="1"/>
  <c r="C13" i="19"/>
  <c r="BH138" i="5"/>
  <c r="E28" i="19"/>
  <c r="D12" i="19"/>
  <c r="F17" i="19"/>
  <c r="CG142" i="5"/>
  <c r="CG138" i="5"/>
  <c r="BV140" i="5"/>
  <c r="C12" i="19"/>
  <c r="D10" i="19"/>
  <c r="E66" i="1"/>
  <c r="E62" i="1"/>
  <c r="C74" i="20"/>
  <c r="D19" i="19"/>
  <c r="CR139" i="5"/>
  <c r="CR140" i="5"/>
  <c r="CN140" i="5"/>
  <c r="C10" i="19"/>
  <c r="BI141" i="5"/>
  <c r="D33" i="19" s="1"/>
  <c r="BI142" i="5"/>
  <c r="D14" i="1" s="1"/>
  <c r="D7" i="19"/>
  <c r="BI137" i="5"/>
  <c r="E14" i="19"/>
  <c r="C24" i="19"/>
  <c r="BT139" i="5"/>
  <c r="H11" i="20" s="1"/>
  <c r="C20" i="19"/>
  <c r="BH139" i="5"/>
  <c r="C11" i="1" s="1"/>
  <c r="F27" i="19"/>
  <c r="F26" i="19"/>
  <c r="G19" i="19"/>
  <c r="BQ140" i="5"/>
  <c r="E12" i="20" s="1"/>
  <c r="D15" i="19"/>
  <c r="BS142" i="5"/>
  <c r="G14" i="20" s="1"/>
  <c r="BS138" i="5"/>
  <c r="G10" i="20" s="1"/>
  <c r="CD139" i="5"/>
  <c r="BO140" i="5"/>
  <c r="C12" i="20" s="1"/>
  <c r="CO141" i="5"/>
  <c r="CO137" i="5"/>
  <c r="CO142" i="5"/>
  <c r="D21" i="19"/>
  <c r="C19" i="19"/>
  <c r="CF140" i="5"/>
  <c r="E13" i="19"/>
  <c r="BJ142" i="5"/>
  <c r="E14" i="1" s="1"/>
  <c r="BJ138" i="5"/>
  <c r="E30" i="19" s="1"/>
  <c r="CR142" i="5"/>
  <c r="CR137" i="5"/>
  <c r="CR141" i="5"/>
  <c r="BJ140" i="5"/>
  <c r="E12" i="1" s="1"/>
  <c r="E25" i="19"/>
  <c r="BT142" i="5"/>
  <c r="H14" i="20" s="1"/>
  <c r="BT141" i="5"/>
  <c r="H13" i="20" s="1"/>
  <c r="BT137" i="5"/>
  <c r="H9" i="20" s="1"/>
  <c r="BL138" i="5"/>
  <c r="BL142" i="5"/>
  <c r="G13" i="19"/>
  <c r="C15" i="19"/>
  <c r="CU138" i="5"/>
  <c r="CU142" i="5"/>
  <c r="BM142" i="5"/>
  <c r="H14" i="1" s="1"/>
  <c r="H7" i="19"/>
  <c r="BM137" i="5"/>
  <c r="H29" i="19" s="1"/>
  <c r="BM141" i="5"/>
  <c r="H13" i="1" s="1"/>
  <c r="CF138" i="5"/>
  <c r="CF142" i="5"/>
  <c r="D20" i="19"/>
  <c r="BI139" i="5"/>
  <c r="D31" i="19" s="1"/>
  <c r="D22" i="19"/>
  <c r="G15" i="19"/>
  <c r="BP139" i="5"/>
  <c r="D11" i="20" s="1"/>
  <c r="F15" i="19"/>
  <c r="CM138" i="5"/>
  <c r="CM142" i="5"/>
  <c r="CL140" i="5"/>
  <c r="G27" i="19"/>
  <c r="G28" i="19"/>
  <c r="E27" i="19"/>
  <c r="C8" i="19"/>
  <c r="BS140" i="5"/>
  <c r="G12" i="20" s="1"/>
  <c r="C17" i="19"/>
  <c r="D23" i="19"/>
  <c r="C55" i="1"/>
  <c r="C56" i="1"/>
  <c r="C51" i="1"/>
  <c r="H55" i="1"/>
  <c r="H56" i="1"/>
  <c r="H51" i="1"/>
  <c r="CC139" i="5"/>
  <c r="D18" i="19"/>
  <c r="CU140" i="5"/>
  <c r="CC142" i="5"/>
  <c r="CC137" i="5"/>
  <c r="CC141" i="5"/>
  <c r="F28" i="19"/>
  <c r="BR140" i="5"/>
  <c r="F12" i="20" s="1"/>
  <c r="C27" i="19"/>
  <c r="CD140" i="5"/>
  <c r="G16" i="19"/>
  <c r="CR138" i="5"/>
  <c r="H8" i="19"/>
  <c r="D16" i="19"/>
  <c r="CO139" i="5"/>
  <c r="F14" i="19"/>
  <c r="D28" i="19"/>
  <c r="CJ139" i="5"/>
  <c r="BQ138" i="5"/>
  <c r="E10" i="20" s="1"/>
  <c r="BQ142" i="5"/>
  <c r="E14" i="20" s="1"/>
  <c r="BR142" i="5"/>
  <c r="F14" i="20" s="1"/>
  <c r="BR138" i="5"/>
  <c r="F10" i="20" s="1"/>
  <c r="BH140" i="5"/>
  <c r="C12" i="1" s="1"/>
  <c r="C25" i="19"/>
  <c r="F16" i="19"/>
  <c r="BV137" i="5"/>
  <c r="BV141" i="5"/>
  <c r="BV142" i="5"/>
  <c r="CT140" i="5"/>
  <c r="H22" i="19"/>
  <c r="C22" i="19"/>
  <c r="C66" i="1"/>
  <c r="C62" i="1"/>
  <c r="D8" i="19"/>
  <c r="D27" i="19"/>
  <c r="BW139" i="5"/>
  <c r="CH137" i="5"/>
  <c r="CH141" i="5"/>
  <c r="CH142" i="5"/>
  <c r="H12" i="19"/>
  <c r="CS138" i="5"/>
  <c r="CS142" i="5"/>
  <c r="CV139" i="5"/>
  <c r="E19" i="19"/>
  <c r="D9" i="19"/>
  <c r="BW140" i="5"/>
  <c r="BZ142" i="5"/>
  <c r="BZ138" i="5"/>
  <c r="CJ140" i="5"/>
  <c r="D14" i="19"/>
  <c r="D24" i="19"/>
  <c r="BO141" i="5"/>
  <c r="C13" i="20" s="1"/>
  <c r="BO137" i="5"/>
  <c r="C9" i="20" s="1"/>
  <c r="BO142" i="5"/>
  <c r="C14" i="20" s="1"/>
  <c r="E16" i="19"/>
  <c r="D17" i="19"/>
  <c r="CQ140" i="5"/>
  <c r="F19" i="19"/>
  <c r="H21" i="19"/>
  <c r="D54" i="20"/>
  <c r="C56" i="20"/>
  <c r="C55" i="20"/>
  <c r="C51" i="20"/>
  <c r="D51" i="1"/>
  <c r="D55" i="1"/>
  <c r="D56" i="1"/>
  <c r="BP142" i="5"/>
  <c r="D14" i="20" s="1"/>
  <c r="BP137" i="5"/>
  <c r="D9" i="20" s="1"/>
  <c r="BP141" i="5"/>
  <c r="D13" i="20" s="1"/>
  <c r="C28" i="19"/>
  <c r="CA139" i="5"/>
  <c r="H24" i="19"/>
  <c r="H9" i="19"/>
  <c r="CG140" i="5"/>
  <c r="E18" i="19"/>
  <c r="CJ138" i="5"/>
  <c r="CM140" i="5"/>
  <c r="CD141" i="5"/>
  <c r="CD137" i="5"/>
  <c r="CD142" i="5"/>
  <c r="BO139" i="5"/>
  <c r="C11" i="20" s="1"/>
  <c r="CH139" i="5"/>
  <c r="D11" i="19"/>
  <c r="BY140" i="5"/>
  <c r="BW142" i="5"/>
  <c r="BW137" i="5"/>
  <c r="BW141" i="5"/>
  <c r="C21" i="19"/>
  <c r="BX142" i="5"/>
  <c r="BX138" i="5"/>
  <c r="BY138" i="5"/>
  <c r="BY142" i="5"/>
  <c r="C14" i="19"/>
  <c r="BW138" i="5"/>
  <c r="BP138" i="5"/>
  <c r="D10" i="20" s="1"/>
  <c r="C9" i="19"/>
  <c r="F63" i="1"/>
  <c r="F54" i="20"/>
  <c r="CC140" i="5"/>
  <c r="BK142" i="5"/>
  <c r="F14" i="1" s="1"/>
  <c r="F13" i="19"/>
  <c r="BK138" i="5"/>
  <c r="F10" i="1" s="1"/>
  <c r="H11" i="19"/>
  <c r="CC138" i="5"/>
  <c r="CJ141" i="5"/>
  <c r="CJ142" i="5"/>
  <c r="CJ137" i="5"/>
  <c r="CL138" i="5"/>
  <c r="CL142" i="5"/>
  <c r="C16" i="19"/>
  <c r="CE140" i="5"/>
  <c r="C7" i="19"/>
  <c r="BH137" i="5"/>
  <c r="C29" i="19" s="1"/>
  <c r="BH142" i="5"/>
  <c r="BH141" i="5"/>
  <c r="G17" i="19"/>
  <c r="F63" i="20"/>
  <c r="C52" i="20"/>
  <c r="CE138" i="5"/>
  <c r="CE142" i="5"/>
  <c r="E15" i="19"/>
  <c r="D26" i="19"/>
  <c r="C64" i="20"/>
  <c r="E74" i="20"/>
  <c r="F54" i="1"/>
  <c r="F66" i="1"/>
  <c r="F65" i="1"/>
  <c r="F61" i="1"/>
  <c r="E64" i="1"/>
  <c r="C54" i="1"/>
  <c r="D62" i="20"/>
  <c r="D66" i="20"/>
  <c r="C64" i="1"/>
  <c r="F73" i="20"/>
  <c r="F25" i="19"/>
  <c r="BK140" i="5"/>
  <c r="F12" i="1" s="1"/>
  <c r="C53" i="1"/>
  <c r="C72" i="20"/>
  <c r="C76" i="20"/>
  <c r="D64" i="1"/>
  <c r="D56" i="20"/>
  <c r="D51" i="20"/>
  <c r="D55" i="20"/>
  <c r="E76" i="1"/>
  <c r="E72" i="1"/>
  <c r="H53" i="20"/>
  <c r="F52" i="20"/>
  <c r="F56" i="20"/>
  <c r="F73" i="1"/>
  <c r="C52" i="1"/>
  <c r="F66" i="20"/>
  <c r="F61" i="20"/>
  <c r="F65" i="20"/>
  <c r="CQ138" i="5"/>
  <c r="CV137" i="5"/>
  <c r="CV142" i="5"/>
  <c r="CV141" i="5"/>
  <c r="CK142" i="5"/>
  <c r="CK137" i="5"/>
  <c r="CK141" i="5"/>
  <c r="G56" i="20"/>
  <c r="G52" i="20"/>
  <c r="D64" i="20"/>
  <c r="D53" i="20"/>
  <c r="F76" i="20"/>
  <c r="F71" i="20"/>
  <c r="F75" i="20"/>
  <c r="C54" i="20"/>
  <c r="H53" i="1"/>
  <c r="E54" i="1"/>
  <c r="D54" i="1"/>
  <c r="E54" i="20"/>
  <c r="F76" i="1"/>
  <c r="F75" i="1"/>
  <c r="F71" i="1"/>
  <c r="D53" i="1"/>
  <c r="E76" i="20"/>
  <c r="E72" i="20"/>
  <c r="E64" i="20"/>
  <c r="E52" i="20"/>
  <c r="E56" i="20"/>
  <c r="E74" i="1"/>
  <c r="C74" i="1"/>
  <c r="E62" i="20"/>
  <c r="E66" i="20"/>
  <c r="E52" i="1"/>
  <c r="E56" i="1"/>
  <c r="D74" i="20"/>
  <c r="D52" i="1"/>
  <c r="G56" i="1"/>
  <c r="G52" i="1"/>
  <c r="D74" i="1"/>
  <c r="C53" i="20"/>
  <c r="D66" i="1"/>
  <c r="D62" i="1"/>
  <c r="CK140" i="5"/>
  <c r="F56" i="1"/>
  <c r="F52" i="1"/>
  <c r="D72" i="1"/>
  <c r="D76" i="1"/>
  <c r="D52" i="20"/>
  <c r="G54" i="1"/>
  <c r="C66" i="20"/>
  <c r="C62" i="20"/>
  <c r="G54" i="20"/>
  <c r="H51" i="20"/>
  <c r="H56" i="20"/>
  <c r="H55" i="20"/>
  <c r="AB31" i="6"/>
  <c r="AG142" i="3"/>
  <c r="BD142" i="5"/>
  <c r="BD139" i="5"/>
  <c r="BD141" i="5"/>
  <c r="BC139" i="5"/>
  <c r="BC142" i="5"/>
  <c r="BC141" i="5"/>
  <c r="AY139" i="3"/>
  <c r="AY142" i="3"/>
  <c r="AY141" i="3"/>
  <c r="AZ139" i="3"/>
  <c r="AZ141" i="3"/>
  <c r="AZ142" i="3"/>
  <c r="BB142" i="3"/>
  <c r="BA142" i="3"/>
  <c r="J31" i="6"/>
  <c r="K29" i="6"/>
  <c r="K32" i="6"/>
  <c r="K31" i="6"/>
  <c r="M31" i="6"/>
  <c r="AX29" i="6"/>
  <c r="AX31" i="6"/>
  <c r="AX32" i="6"/>
  <c r="AY29" i="6"/>
  <c r="AY31" i="6"/>
  <c r="AY32" i="6"/>
  <c r="AC29" i="6"/>
  <c r="AC32" i="6"/>
  <c r="AC31" i="6"/>
  <c r="AE29" i="6"/>
  <c r="AE31" i="6"/>
  <c r="AE32" i="6"/>
  <c r="AB29" i="6"/>
  <c r="AB32" i="6"/>
  <c r="BA139" i="3"/>
  <c r="BA141" i="3"/>
  <c r="BB139" i="3"/>
  <c r="BB141" i="3"/>
  <c r="M141" i="3"/>
  <c r="BF139" i="5"/>
  <c r="BF142" i="5"/>
  <c r="BF141" i="5"/>
  <c r="K141" i="3"/>
  <c r="AE142" i="3"/>
  <c r="AE139" i="3"/>
  <c r="AE141" i="3"/>
  <c r="J141" i="3"/>
  <c r="AF142" i="3"/>
  <c r="AF141" i="3"/>
  <c r="AF139" i="3"/>
  <c r="AJ142" i="5"/>
  <c r="AJ139" i="5"/>
  <c r="AJ141" i="5"/>
  <c r="AH142" i="3"/>
  <c r="AH139" i="3"/>
  <c r="AH141" i="3"/>
  <c r="M139" i="5"/>
  <c r="M141" i="5"/>
  <c r="AH141" i="5"/>
  <c r="AH142" i="5"/>
  <c r="AH139" i="5"/>
  <c r="K139" i="5"/>
  <c r="K141" i="5"/>
  <c r="AG139" i="5"/>
  <c r="AG141" i="5"/>
  <c r="AG142" i="5"/>
  <c r="BE139" i="5"/>
  <c r="BE142" i="5"/>
  <c r="BE141" i="5"/>
  <c r="J139" i="5"/>
  <c r="J141" i="5"/>
  <c r="K142" i="5"/>
  <c r="J142" i="5"/>
  <c r="M142" i="5"/>
  <c r="M32" i="6"/>
  <c r="M142" i="3"/>
  <c r="K142" i="3"/>
  <c r="J32" i="6"/>
  <c r="M139" i="3"/>
  <c r="K139" i="3"/>
  <c r="J139" i="3"/>
  <c r="J142" i="3"/>
  <c r="M29" i="6"/>
  <c r="J29" i="6"/>
  <c r="AU18" i="6"/>
  <c r="F119" i="19" s="1"/>
  <c r="AS19" i="6"/>
  <c r="D120" i="19" s="1"/>
  <c r="AU20" i="6"/>
  <c r="F121" i="19" s="1"/>
  <c r="AR18" i="6"/>
  <c r="C119" i="19" s="1"/>
  <c r="AU19" i="6"/>
  <c r="F120" i="19" s="1"/>
  <c r="AR19" i="6"/>
  <c r="C120" i="19" s="1"/>
  <c r="AS20" i="6"/>
  <c r="D121" i="19" s="1"/>
  <c r="AR20" i="6"/>
  <c r="C121" i="19" s="1"/>
  <c r="AS18" i="6"/>
  <c r="D119" i="19" s="1"/>
  <c r="F34" i="19" l="1"/>
  <c r="D30" i="19"/>
  <c r="H33" i="19"/>
  <c r="F32" i="19"/>
  <c r="H9" i="1"/>
  <c r="H31" i="19"/>
  <c r="E10" i="1"/>
  <c r="E34" i="19"/>
  <c r="D13" i="1"/>
  <c r="C31" i="19"/>
  <c r="H34" i="19"/>
  <c r="D12" i="1"/>
  <c r="C9" i="1"/>
  <c r="D34" i="19"/>
  <c r="D11" i="1"/>
  <c r="C32" i="19"/>
  <c r="F30" i="19"/>
  <c r="G14" i="1"/>
  <c r="G34" i="19"/>
  <c r="E32" i="19"/>
  <c r="G30" i="19"/>
  <c r="G10" i="1"/>
  <c r="C30" i="19"/>
  <c r="C10" i="1"/>
  <c r="C33" i="19"/>
  <c r="C13" i="1"/>
  <c r="C14" i="1"/>
  <c r="C34" i="19"/>
  <c r="D29" i="19"/>
  <c r="D9" i="1"/>
  <c r="G12" i="1"/>
  <c r="G32" i="19"/>
  <c r="AR31" i="6"/>
  <c r="C43" i="20" s="1"/>
  <c r="AS31" i="6"/>
  <c r="D43" i="20" s="1"/>
  <c r="AR29" i="6"/>
  <c r="C41" i="20" s="1"/>
  <c r="AU31" i="6"/>
  <c r="AS32" i="6"/>
  <c r="D44" i="20" s="1"/>
  <c r="AU29" i="6"/>
  <c r="F41" i="20" s="1"/>
  <c r="AS29" i="6"/>
  <c r="D41" i="20" s="1"/>
  <c r="AR32" i="6"/>
  <c r="AU32" i="6"/>
  <c r="F44" i="20" s="1"/>
  <c r="C44" i="1" l="1"/>
  <c r="C44" i="20"/>
  <c r="F43" i="1"/>
  <c r="F43" i="20"/>
  <c r="C133" i="19"/>
  <c r="F132" i="19"/>
  <c r="C132" i="19"/>
  <c r="C43" i="1"/>
  <c r="D132" i="19"/>
  <c r="D43" i="1"/>
  <c r="D41" i="1"/>
  <c r="D130" i="19"/>
  <c r="F44" i="1"/>
  <c r="F133" i="19"/>
  <c r="F41" i="1"/>
  <c r="F130" i="19"/>
  <c r="C41" i="1"/>
  <c r="C130" i="19"/>
  <c r="D44" i="1"/>
  <c r="D133" i="19"/>
</calcChain>
</file>

<file path=xl/comments1.xml><?xml version="1.0" encoding="utf-8"?>
<comments xmlns="http://schemas.openxmlformats.org/spreadsheetml/2006/main">
  <authors>
    <author>Jean</author>
  </authors>
  <commentList>
    <comment ref="BG2" authorId="0" shapeId="0">
      <text>
        <r>
          <rPr>
            <b/>
            <sz val="9"/>
            <color indexed="81"/>
            <rFont val="宋体"/>
            <family val="3"/>
            <charset val="134"/>
          </rPr>
          <t>Jean: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Jean</author>
  </authors>
  <commentList>
    <comment ref="BG2" authorId="0" shapeId="0">
      <text>
        <r>
          <rPr>
            <b/>
            <sz val="9"/>
            <color indexed="81"/>
            <rFont val="宋体"/>
            <family val="3"/>
            <charset val="134"/>
          </rPr>
          <t>Jean: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<sst xmlns="http://schemas.openxmlformats.org/spreadsheetml/2006/main" count="4835" uniqueCount="1384">
  <si>
    <t>Reference:</t>
  </si>
  <si>
    <t>Tested:</t>
  </si>
  <si>
    <t>Columns</t>
  </si>
  <si>
    <t>dec.cb-psnr</t>
  </si>
  <si>
    <t>dec.cr-hpsnr</t>
  </si>
  <si>
    <t>dec.cr-psnr</t>
  </si>
  <si>
    <t>dec.d1-psnr</t>
  </si>
  <si>
    <t>D1 Geometry PSNR</t>
  </si>
  <si>
    <t>dec.d2-psnr</t>
  </si>
  <si>
    <t>D2 Geometry PSNR</t>
  </si>
  <si>
    <t>dec.enc.match</t>
  </si>
  <si>
    <t>Enc/Dec match</t>
  </si>
  <si>
    <t>dec.ext.maxrssk</t>
  </si>
  <si>
    <t>dec.numpoints</t>
  </si>
  <si>
    <t>№ output points</t>
  </si>
  <si>
    <t>dec.reflectance-hpsnr</t>
  </si>
  <si>
    <t>dec.reflectance-psnr</t>
  </si>
  <si>
    <t>dec.utime</t>
  </si>
  <si>
    <t>dec.y-hpsnr</t>
  </si>
  <si>
    <t>dec.y-psnr</t>
  </si>
  <si>
    <t>enc.bits.colour</t>
  </si>
  <si>
    <t>enc.bits.geometry</t>
  </si>
  <si>
    <t>Geometry Bitstream</t>
  </si>
  <si>
    <t>enc.bits.reflectance</t>
  </si>
  <si>
    <t>Reflectance Bitstream</t>
  </si>
  <si>
    <t>enc.ext.bits</t>
  </si>
  <si>
    <t>enc.ext.maxrssk</t>
  </si>
  <si>
    <t>enc.utime</t>
  </si>
  <si>
    <t>User Encoder runtime</t>
  </si>
  <si>
    <t>eqn.bitrate</t>
  </si>
  <si>
    <t>eqn.bpop</t>
  </si>
  <si>
    <t>eqn.bpp</t>
  </si>
  <si>
    <t>eqn.bpp.colour</t>
  </si>
  <si>
    <t>eqn.bpp.geometry</t>
  </si>
  <si>
    <t>eqn.bpp.reflectance</t>
  </si>
  <si>
    <t>eqn.compratio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</si>
  <si>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</si>
  <si>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</si>
  <si>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</si>
  <si>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</si>
  <si>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</si>
  <si>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</si>
  <si>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</si>
  <si>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</si>
  <si>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</si>
  <si>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</si>
  <si>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</si>
  <si>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</si>
  <si>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</si>
  <si>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</si>
  <si>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Sequence</t>
  </si>
  <si>
    <t>sequence</t>
  </si>
  <si>
    <t>Variant</t>
  </si>
  <si>
    <t>variant</t>
  </si>
  <si>
    <t>№ input points</t>
  </si>
  <si>
    <t>src.numpoints</t>
  </si>
  <si>
    <t>Geometry precision [bits]</t>
  </si>
  <si>
    <t>src.geometry-precision</t>
  </si>
  <si>
    <t>№ frames</t>
  </si>
  <si>
    <t>src.framecount</t>
  </si>
  <si>
    <t>Frame rate [fps]</t>
  </si>
  <si>
    <t>src.framerate</t>
  </si>
  <si>
    <t>Rate [Mbps]</t>
  </si>
  <si>
    <t>A.eqn.bitrate</t>
  </si>
  <si>
    <t>Bits per input point [bpip]</t>
  </si>
  <si>
    <t>Total</t>
  </si>
  <si>
    <t>A.eqn.bpp</t>
  </si>
  <si>
    <t>Geometry</t>
  </si>
  <si>
    <t>A.eqn.bpp.geometry</t>
  </si>
  <si>
    <t xml:space="preserve">Colour </t>
  </si>
  <si>
    <t>A.eqn.bpp.colour</t>
  </si>
  <si>
    <t>Reflectance</t>
  </si>
  <si>
    <t>A.eqn.bpp.reflectance</t>
  </si>
  <si>
    <t>A.eqn.bpop</t>
  </si>
  <si>
    <t>A.dec.numpoints</t>
  </si>
  <si>
    <t>Bitstream [bits]</t>
  </si>
  <si>
    <t>A.enc.ext.bits</t>
  </si>
  <si>
    <t>A.enc.bits.geometry</t>
  </si>
  <si>
    <t>Colour</t>
  </si>
  <si>
    <t>A.enc.bits.colour</t>
  </si>
  <si>
    <t>A.enc.bits.reflectance</t>
  </si>
  <si>
    <t>Luma</t>
  </si>
  <si>
    <t>A.dec.y-psnr</t>
  </si>
  <si>
    <t>Chroma Cb</t>
  </si>
  <si>
    <t>A.dec.cb-psnr</t>
  </si>
  <si>
    <t>Chroma Cr</t>
  </si>
  <si>
    <t>A.dec.cr-psnr</t>
  </si>
  <si>
    <t>A.dec.reflectance-psnr</t>
  </si>
  <si>
    <t>User Encoder runtime [s]</t>
  </si>
  <si>
    <t>A.enc.utime</t>
  </si>
  <si>
    <t>User Decoder runtime [s]</t>
  </si>
  <si>
    <t>A.dec.utime</t>
  </si>
  <si>
    <t>Encoder max RSS [k]</t>
  </si>
  <si>
    <t>A.enc.ext.maxrssk</t>
  </si>
  <si>
    <t>Decoder max RSS [k]</t>
  </si>
  <si>
    <t>A.dec.ext.maxrssk</t>
  </si>
  <si>
    <t>A.dec.enc.match</t>
  </si>
  <si>
    <t>B.eqn.bitrate</t>
  </si>
  <si>
    <t>B.eqn.bpp</t>
  </si>
  <si>
    <t>B.eqn.bpp.geometry</t>
  </si>
  <si>
    <t>B.eqn.bpp.colour</t>
  </si>
  <si>
    <t>B.eqn.bpp.reflectance</t>
  </si>
  <si>
    <t>B.eqn.bpop</t>
  </si>
  <si>
    <t>B.dec.numpoints</t>
  </si>
  <si>
    <t>B.enc.ext.bits</t>
  </si>
  <si>
    <t>B.enc.bits.geometry</t>
  </si>
  <si>
    <t>B.enc.bits.colour</t>
  </si>
  <si>
    <t>B.enc.bits.reflectance</t>
  </si>
  <si>
    <t>B.dec.y-psnr</t>
  </si>
  <si>
    <t>B.dec.cb-psnr</t>
  </si>
  <si>
    <t>B.dec.cr-psnr</t>
  </si>
  <si>
    <t>B.dec.reflectance-psnr</t>
  </si>
  <si>
    <t>B.enc.utime</t>
  </si>
  <si>
    <t>B.dec.utime</t>
  </si>
  <si>
    <t>B.enc.ext.maxrssk</t>
  </si>
  <si>
    <t>B.dec.ext.maxrssk</t>
  </si>
  <si>
    <t>B.dec.enc.match</t>
  </si>
  <si>
    <t>Encoder max RSS [%]</t>
  </si>
  <si>
    <t>eqn.ab.ratio-enc-maxrssk</t>
  </si>
  <si>
    <t>Decoder max RSS [%]</t>
  </si>
  <si>
    <t>eqn.ab.ratio-dec-maxrssk</t>
  </si>
  <si>
    <t>End-to-End BD‑AttrRate [%]</t>
  </si>
  <si>
    <t>eqn.ab.bdrate-y-attrrate</t>
  </si>
  <si>
    <t>eqn.ab.bdrate-cb-attrrate</t>
  </si>
  <si>
    <t>eqn.ab.bdrate-cr-attrrate</t>
  </si>
  <si>
    <t>eqn.ab.bdrate-reflectance-attrrate</t>
  </si>
  <si>
    <t>End-to-End BD‑TotalRate [%]</t>
  </si>
  <si>
    <t>eqn.ab.bdrate-y</t>
  </si>
  <si>
    <t>eqn.ab.bdrate-cb</t>
  </si>
  <si>
    <t>eqn.ab.bdrate-cr</t>
  </si>
  <si>
    <t>eqn.ab.bdrate-reflectance</t>
  </si>
  <si>
    <t>r01</t>
  </si>
  <si>
    <t>r02</t>
  </si>
  <si>
    <t>r03</t>
  </si>
  <si>
    <t>r04</t>
  </si>
  <si>
    <t>r05</t>
  </si>
  <si>
    <t>r06</t>
  </si>
  <si>
    <t>Overall average</t>
  </si>
  <si>
    <t>Overall</t>
  </si>
  <si>
    <t>All Intra</t>
  </si>
  <si>
    <t>D1</t>
  </si>
  <si>
    <t>eqn.ab.bdrate-d1-geomrate</t>
  </si>
  <si>
    <t>eqn.ab.bdrate-d1</t>
  </si>
  <si>
    <t>Comp. ratio [%]</t>
  </si>
  <si>
    <t>A.eqn.compratio</t>
  </si>
  <si>
    <t>B.eqn.compratio</t>
  </si>
  <si>
    <t>bpip ratio [%]</t>
  </si>
  <si>
    <t>eqn.ab.ratio-bpp</t>
  </si>
  <si>
    <t>eqn.ab.ratio-bpp-geometry</t>
  </si>
  <si>
    <t>eqn.ab.ratio-bpp-colour</t>
  </si>
  <si>
    <t>eqn.ab.ratio-bpp-reflectance</t>
  </si>
  <si>
    <t>lossless geometry, lossless attributes [all intra]</t>
  </si>
  <si>
    <t>A.dec.y-hpsnr</t>
  </si>
  <si>
    <t>A.dec.cb-hpsnr</t>
  </si>
  <si>
    <t>A.dec.cr-hpsnr</t>
  </si>
  <si>
    <t>A.dec.reflectance-hpsnr</t>
  </si>
  <si>
    <t>B.dec.y-hpsnr</t>
  </si>
  <si>
    <t>B.dec.cb-hpsnr</t>
  </si>
  <si>
    <t>B.dec.cr-hpsnr</t>
  </si>
  <si>
    <t>B.dec.reflectance-hpsnr</t>
  </si>
  <si>
    <t>EtE Hausdorff BD‑AttrRate [%]</t>
  </si>
  <si>
    <t>eqn.ab.bdrate-hy-attrrate</t>
  </si>
  <si>
    <t>eqn.ab.bdrate-hcb-attrrate</t>
  </si>
  <si>
    <t>eqn.ab.bdrate-hcr-attrrate</t>
  </si>
  <si>
    <t>eqn.ab.bdrate-hreflectance-attrrate</t>
  </si>
  <si>
    <t>eqn.ab.bdrate-hy</t>
  </si>
  <si>
    <t>eqn.ab.bdrate-hcb</t>
  </si>
  <si>
    <t>eqn.ab.bdrate-hcr</t>
  </si>
  <si>
    <t>eqn.ab.bdrate-hreflectance</t>
  </si>
  <si>
    <t>AVSC1_ai</t>
    <phoneticPr fontId="2" type="noConversion"/>
  </si>
  <si>
    <t>AVSC2_ai</t>
    <phoneticPr fontId="2" type="noConversion"/>
  </si>
  <si>
    <t>AVSCat2-frame average</t>
    <phoneticPr fontId="2" type="noConversion"/>
  </si>
  <si>
    <t>AVSCat2-frame average</t>
    <phoneticPr fontId="2" type="noConversion"/>
  </si>
  <si>
    <t>AVSC3_ai</t>
    <phoneticPr fontId="2" type="noConversion"/>
  </si>
  <si>
    <t>lossless geometry, limit-lossy attributes [all intra]</t>
    <phoneticPr fontId="2" type="noConversion"/>
  </si>
  <si>
    <t>AVSCat2-frame average</t>
    <phoneticPr fontId="2" type="noConversion"/>
  </si>
  <si>
    <t>AVSC4_ai</t>
    <phoneticPr fontId="2" type="noConversion"/>
  </si>
  <si>
    <t>AVSCat2-frame average</t>
    <phoneticPr fontId="2" type="noConversion"/>
  </si>
  <si>
    <t>AVSCat2-frame</t>
    <phoneticPr fontId="2" type="noConversion"/>
  </si>
  <si>
    <t>AVSCat2-frame</t>
    <phoneticPr fontId="2" type="noConversion"/>
  </si>
  <si>
    <t>AVSCat2-frame</t>
    <phoneticPr fontId="2" type="noConversion"/>
  </si>
  <si>
    <t>AVSC2 losslG,lossyA,intra</t>
    <phoneticPr fontId="2" type="noConversion"/>
  </si>
  <si>
    <t>AVSC3 losslG,limit-lossyA,intra</t>
    <phoneticPr fontId="2" type="noConversion"/>
  </si>
  <si>
    <t>AVSC4 losslG,losslA,intra</t>
    <phoneticPr fontId="2" type="noConversion"/>
  </si>
  <si>
    <t>AVSC2_ai_lossless geometry, lossy attributes [all intra]</t>
    <phoneticPr fontId="2" type="noConversion"/>
  </si>
  <si>
    <t>AVSC4_ai_lossless geometry, lossless attributes [all intra]</t>
    <phoneticPr fontId="2" type="noConversion"/>
  </si>
  <si>
    <t>D1</t>
    <phoneticPr fontId="2" type="noConversion"/>
  </si>
  <si>
    <t>AVSC4_ra</t>
    <phoneticPr fontId="2" type="noConversion"/>
  </si>
  <si>
    <t>Chroma Cb EtE Hausdorff PSNR</t>
  </si>
  <si>
    <t>Decoder max RSS</t>
  </si>
  <si>
    <t>Reflectance EtE Hausdorff PSNR</t>
  </si>
  <si>
    <t>User Decoder runtime</t>
  </si>
  <si>
    <t>Luma EtE Hausdorff PSNR</t>
  </si>
  <si>
    <t>Colour Bitstream</t>
  </si>
  <si>
    <t>Total Bitstream</t>
  </si>
  <si>
    <t>Encoder max RSS</t>
  </si>
  <si>
    <t>Rate</t>
  </si>
  <si>
    <t>Total Bits per output point</t>
  </si>
  <si>
    <t>Total Bits per input point</t>
  </si>
  <si>
    <t>Colour  Bits per input point</t>
  </si>
  <si>
    <t>Geometry Bits per input point</t>
  </si>
  <si>
    <t>Reflectance Bits per input point</t>
  </si>
  <si>
    <t>Comp. ratio</t>
  </si>
  <si>
    <t>col.AVSC2 losslG,lossyA,intra.variant</t>
  </si>
  <si>
    <t>col.AVSC2 losslG,lossyA,intra.src.numpoints</t>
  </si>
  <si>
    <t>col.AVSC2 losslG,lossyA,intra.src.geometry-precision</t>
  </si>
  <si>
    <t>col.AVSC2 losslG,lossyA,intra.src.framecount</t>
  </si>
  <si>
    <t>col.AVSC2 losslG,lossyA,intra.src.framerate</t>
  </si>
  <si>
    <t>col.AVSC2 losslG,lossyA,intra.A.eqn.bitrate</t>
  </si>
  <si>
    <t>col.AVSC2 losslG,lossyA,intra.A.eqn.bpp</t>
  </si>
  <si>
    <t>col.AVSC2 losslG,lossyA,intra.A.eqn.bpp.geometry</t>
  </si>
  <si>
    <t>col.AVSC2 losslG,lossyA,intra.A.eqn.bpp.colour</t>
  </si>
  <si>
    <t>col.AVSC2 losslG,lossyA,intra.A.eqn.bpp.reflectance</t>
  </si>
  <si>
    <t>col.AVSC2 losslG,lossyA,intra.A.eqn.bpop</t>
  </si>
  <si>
    <t>col.AVSC2 losslG,lossyA,intra.A.dec.numpoints</t>
  </si>
  <si>
    <t>col.AVSC2 losslG,lossyA,intra.A.enc.ext.bits</t>
  </si>
  <si>
    <t>col.AVSC2 losslG,lossyA,intra.A.enc.bits.geometry</t>
  </si>
  <si>
    <t>col.AVSC2 losslG,lossyA,intra.A.enc.bits.colour</t>
  </si>
  <si>
    <t>col.AVSC2 losslG,lossyA,intra.A.enc.bits.reflectance</t>
  </si>
  <si>
    <t>col.AVSC2 losslG,lossyA,intra.A.dec.y-psnr</t>
  </si>
  <si>
    <t>col.AVSC2 losslG,lossyA,intra.A.dec.cb-psnr</t>
  </si>
  <si>
    <t>col.AVSC2 losslG,lossyA,intra.A.dec.cr-psnr</t>
  </si>
  <si>
    <t>col.AVSC2 losslG,lossyA,intra.A.dec.reflectance-psnr</t>
  </si>
  <si>
    <t>col.AVSC2 losslG,lossyA,intra.A.enc.utime</t>
  </si>
  <si>
    <t>col.AVSC2 losslG,lossyA,intra.A.dec.utime</t>
  </si>
  <si>
    <t>col.AVSC2 losslG,lossyA,intra.A.enc.ext.maxrssk</t>
  </si>
  <si>
    <t>col.AVSC2 losslG,lossyA,intra.A.dec.ext.maxrssk</t>
  </si>
  <si>
    <t>col.AVSC2 losslG,lossyA,intra.A.dec.enc.match</t>
  </si>
  <si>
    <t>col.AVSC2 losslG,lossyA,intra.B.eqn.bitrate</t>
  </si>
  <si>
    <t>col.AVSC2 losslG,lossyA,intra.B.eqn.bpp</t>
  </si>
  <si>
    <t>col.AVSC2 losslG,lossyA,intra.B.eqn.bpp.geometry</t>
  </si>
  <si>
    <t>col.AVSC2 losslG,lossyA,intra.B.eqn.bpp.colour</t>
  </si>
  <si>
    <t>col.AVSC2 losslG,lossyA,intra.B.eqn.bpp.reflectance</t>
  </si>
  <si>
    <t>col.AVSC2 losslG,lossyA,intra.B.eqn.bpop</t>
  </si>
  <si>
    <t>col.AVSC2 losslG,lossyA,intra.B.dec.numpoints</t>
  </si>
  <si>
    <t>col.AVSC2 losslG,lossyA,intra.B.enc.ext.bits</t>
  </si>
  <si>
    <t>col.AVSC2 losslG,lossyA,intra.B.enc.bits.geometry</t>
  </si>
  <si>
    <t>col.AVSC2 losslG,lossyA,intra.B.enc.bits.colour</t>
  </si>
  <si>
    <t>col.AVSC2 losslG,lossyA,intra.B.enc.bits.reflectance</t>
  </si>
  <si>
    <t>col.AVSC2 losslG,lossyA,intra.B.dec.y-psnr</t>
  </si>
  <si>
    <t>col.AVSC2 losslG,lossyA,intra.B.dec.cb-psnr</t>
  </si>
  <si>
    <t>col.AVSC2 losslG,lossyA,intra.B.dec.cr-psnr</t>
  </si>
  <si>
    <t>col.AVSC2 losslG,lossyA,intra.B.dec.reflectance-psnr</t>
  </si>
  <si>
    <t>col.AVSC2 losslG,lossyA,intra.B.enc.utime</t>
  </si>
  <si>
    <t>col.AVSC2 losslG,lossyA,intra.B.dec.utime</t>
  </si>
  <si>
    <t>col.AVSC2 losslG,lossyA,intra.B.enc.ext.maxrssk</t>
  </si>
  <si>
    <t>col.AVSC2 losslG,lossyA,intra.B.dec.ext.maxrssk</t>
  </si>
  <si>
    <t>col.AVSC2 losslG,lossyA,intra.B.dec.enc.match</t>
  </si>
  <si>
    <t>col.AVSC2 losslG,lossyA,intra.eqn.ab.ratio-enc-maxrssk</t>
  </si>
  <si>
    <t>col.AVSC2 losslG,lossyA,intra.eqn.ab.ratio-dec-maxrssk</t>
  </si>
  <si>
    <t>col.AVSC2 losslG,lossyA,intra.eqn.ab.bdrate-y-attrrate</t>
  </si>
  <si>
    <t>col.AVSC2 losslG,lossyA,intra.eqn.ab.bdrate-cb-attrrate</t>
  </si>
  <si>
    <t>col.AVSC2 losslG,lossyA,intra.eqn.ab.bdrate-cr-attrrate</t>
  </si>
  <si>
    <t>col.AVSC2 losslG,lossyA,intra.eqn.ab.bdrate-reflectance-attrrate</t>
  </si>
  <si>
    <t>col.AVSC2 losslG,lossyA,intra.eqn.ab.bdrate-y</t>
  </si>
  <si>
    <t>col.AVSC2 losslG,lossyA,intra.eqn.ab.bdrate-cb</t>
  </si>
  <si>
    <t>col.AVSC2 losslG,lossyA,intra.eqn.ab.bdrate-cr</t>
  </si>
  <si>
    <t>col.AVSC2 losslG,lossyA,intra.eqn.ab.bdrate-reflectance</t>
  </si>
  <si>
    <t>name.A.AVSC2 losslG,lossyA,intra</t>
  </si>
  <si>
    <t>name.B.AVSC2 losslG,lossyA,intra</t>
  </si>
  <si>
    <t>cols.AVSC2 losslG,lossyA,intra</t>
  </si>
  <si>
    <t>col.AVSC2 losslG,lossyA,intra.class</t>
  </si>
  <si>
    <t>col.AVSC2 losslG,lossyA,intra.sequence</t>
  </si>
  <si>
    <t>col.AVSC4 losslG,losslA,intra.class</t>
  </si>
  <si>
    <t>col.AVSC4 losslG,losslA,intra.sequence</t>
  </si>
  <si>
    <t>col.AVSC4 losslG,losslA,intra.src.numpoints</t>
  </si>
  <si>
    <t>col.AVSC4 losslG,losslA,intra.src.geometry-precision</t>
  </si>
  <si>
    <t>col.AVSC4 losslG,losslA,intra.src.framecount</t>
  </si>
  <si>
    <t>col.AVSC4 losslG,losslA,intra.src.framerate</t>
  </si>
  <si>
    <t>col.AVSC4 losslG,losslA,intra.A.eqn.compratio</t>
  </si>
  <si>
    <t>col.AVSC4 losslG,losslA,intra.A.eqn.bitrate</t>
  </si>
  <si>
    <t>col.AVSC4 losslG,losslA,intra.A.eqn.bpp</t>
  </si>
  <si>
    <t>col.AVSC4 losslG,losslA,intra.A.eqn.bpp.geometry</t>
  </si>
  <si>
    <t>col.AVSC4 losslG,losslA,intra.A.eqn.bpp.colour</t>
  </si>
  <si>
    <t>col.AVSC4 losslG,losslA,intra.A.eqn.bpp.reflectance</t>
  </si>
  <si>
    <t>col.AVSC4 losslG,losslA,intra.A.eqn.bpop</t>
  </si>
  <si>
    <t>col.AVSC4 losslG,losslA,intra.A.dec.numpoints</t>
  </si>
  <si>
    <t>col.AVSC4 losslG,losslA,intra.A.enc.ext.bits</t>
  </si>
  <si>
    <t>col.AVSC4 losslG,losslA,intra.A.enc.bits.geometry</t>
  </si>
  <si>
    <t>col.AVSC4 losslG,losslA,intra.A.enc.bits.colour</t>
  </si>
  <si>
    <t>col.AVSC4 losslG,losslA,intra.A.enc.bits.reflectance</t>
  </si>
  <si>
    <t>col.AVSC4 losslG,losslA,intra.A.enc.utime</t>
  </si>
  <si>
    <t>col.AVSC4 losslG,losslA,intra.A.dec.utime</t>
  </si>
  <si>
    <t>col.AVSC4 losslG,losslA,intra.A.enc.ext.maxrssk</t>
  </si>
  <si>
    <t>col.AVSC4 losslG,losslA,intra.A.dec.ext.maxrssk</t>
  </si>
  <si>
    <t>col.AVSC4 losslG,losslA,intra.A.dec.enc.match</t>
  </si>
  <si>
    <t>col.AVSC4 losslG,losslA,intra.B.eqn.compratio</t>
  </si>
  <si>
    <t>col.AVSC4 losslG,losslA,intra.B.eqn.bitrate</t>
  </si>
  <si>
    <t>col.AVSC4 losslG,losslA,intra.B.eqn.bpp</t>
  </si>
  <si>
    <t>col.AVSC4 losslG,losslA,intra.B.eqn.bpp.geometry</t>
  </si>
  <si>
    <t>col.AVSC4 losslG,losslA,intra.B.eqn.bpp.colour</t>
  </si>
  <si>
    <t>col.AVSC4 losslG,losslA,intra.B.eqn.bpp.reflectance</t>
  </si>
  <si>
    <t>col.AVSC4 losslG,losslA,intra.B.eqn.bpop</t>
  </si>
  <si>
    <t>col.AVSC4 losslG,losslA,intra.B.dec.numpoints</t>
  </si>
  <si>
    <t>col.AVSC4 losslG,losslA,intra.B.enc.ext.bits</t>
  </si>
  <si>
    <t>col.AVSC4 losslG,losslA,intra.B.enc.bits.geometry</t>
  </si>
  <si>
    <t>col.AVSC4 losslG,losslA,intra.B.enc.bits.colour</t>
  </si>
  <si>
    <t>col.AVSC4 losslG,losslA,intra.B.enc.bits.reflectance</t>
  </si>
  <si>
    <t>col.AVSC4 losslG,losslA,intra.B.enc.utime</t>
  </si>
  <si>
    <t>col.AVSC4 losslG,losslA,intra.B.dec.utime</t>
  </si>
  <si>
    <t>col.AVSC4 losslG,losslA,intra.B.enc.ext.maxrssk</t>
  </si>
  <si>
    <t>col.AVSC4 losslG,losslA,intra.B.dec.ext.maxrssk</t>
  </si>
  <si>
    <t>col.AVSC4 losslG,losslA,intra.B.dec.enc.match</t>
  </si>
  <si>
    <t>col.AVSC4 losslG,losslA,intra.eqn.ab.ratio-bpp</t>
  </si>
  <si>
    <t>col.AVSC4 losslG,losslA,intra.eqn.ab.ratio-bpp-geometry</t>
  </si>
  <si>
    <t>col.AVSC4 losslG,losslA,intra.eqn.ab.ratio-bpp-colour</t>
  </si>
  <si>
    <t>col.AVSC4 losslG,losslA,intra.eqn.ab.ratio-bpp-reflectance</t>
  </si>
  <si>
    <t>col.AVSC4 losslG,losslA,intra.eqn.ab.ratio-enc-maxrssk</t>
  </si>
  <si>
    <t>col.AVSC4 losslG,losslA,intra.eqn.ab.ratio-dec-maxrssk</t>
  </si>
  <si>
    <t>name.A.AVSC4 losslG,losslA,intra</t>
  </si>
  <si>
    <t>name.B.AVSC4 losslG,losslA,intra</t>
  </si>
  <si>
    <t>cols.AVSC4 losslG,losslA,intra</t>
  </si>
  <si>
    <t>col.AVSC1 limit-lossyG,lossyA,intra.class</t>
  </si>
  <si>
    <t>col.AVSC1 limit-lossyG,lossyA,intra.sequence</t>
  </si>
  <si>
    <t>col.AVSC1 limit-lossyG,lossyA,intra.variant</t>
  </si>
  <si>
    <t>col.AVSC1 limit-lossyG,lossyA,intra.src.geometry-precision</t>
  </si>
  <si>
    <t>col.AVSC1 limit-lossyG,lossyA,intra.src.framecount</t>
  </si>
  <si>
    <t>col.AVSC1 limit-lossyG,lossyA,intra.src.framerate</t>
  </si>
  <si>
    <t>col.AVSC1 limit-lossyG,lossyA,intra.A.eqn.bitrate</t>
  </si>
  <si>
    <t>col.AVSC1 limit-lossyG,lossyA,intra.A.eqn.bpp</t>
  </si>
  <si>
    <t>col.AVSC1 limit-lossyG,lossyA,intra.A.eqn.bpp.geometry</t>
  </si>
  <si>
    <t>col.AVSC1 limit-lossyG,lossyA,intra.A.eqn.bpp.colour</t>
  </si>
  <si>
    <t>col.AVSC1 limit-lossyG,lossyA,intra.A.eqn.bpp.reflectance</t>
  </si>
  <si>
    <t>col.AVSC1 limit-lossyG,lossyA,intra.A.eqn.bpop</t>
  </si>
  <si>
    <t>col.AVSC1 limit-lossyG,lossyA,intra.A.dec.numpoints</t>
  </si>
  <si>
    <t>col.AVSC1 limit-lossyG,lossyA,intra.A.enc.ext.bits</t>
  </si>
  <si>
    <t>col.AVSC1 limit-lossyG,lossyA,intra.A.enc.bits.geometry</t>
  </si>
  <si>
    <t>col.AVSC1 limit-lossyG,lossyA,intra.A.enc.bits.colour</t>
  </si>
  <si>
    <t>col.AVSC1 limit-lossyG,lossyA,intra.A.enc.bits.reflectance</t>
  </si>
  <si>
    <t>col.AVSC1 limit-lossyG,lossyA,intra.A.dec.y-psnr</t>
  </si>
  <si>
    <t>col.AVSC1 limit-lossyG,lossyA,intra.A.dec.cb-psnr</t>
  </si>
  <si>
    <t>col.AVSC1 limit-lossyG,lossyA,intra.A.dec.cr-psnr</t>
  </si>
  <si>
    <t>col.AVSC1 limit-lossyG,lossyA,intra.A.dec.reflectance-psnr</t>
  </si>
  <si>
    <t>col.AVSC1 limit-lossyG,lossyA,intra.A.enc.utime</t>
  </si>
  <si>
    <t>col.AVSC1 limit-lossyG,lossyA,intra.A.dec.utime</t>
  </si>
  <si>
    <t>col.AVSC1 limit-lossyG,lossyA,intra.A.enc.ext.maxrssk</t>
  </si>
  <si>
    <t>col.AVSC1 limit-lossyG,lossyA,intra.B.eqn.bitrate</t>
  </si>
  <si>
    <t>col.AVSC1 limit-lossyG,lossyA,intra.B.eqn.bpp</t>
  </si>
  <si>
    <t>col.AVSC1 limit-lossyG,lossyA,intra.B.eqn.bpp.geometry</t>
  </si>
  <si>
    <t>col.AVSC1 limit-lossyG,lossyA,intra.B.eqn.bpp.colour</t>
  </si>
  <si>
    <t>col.AVSC1 limit-lossyG,lossyA,intra.B.eqn.bpp.reflectance</t>
  </si>
  <si>
    <t>col.AVSC1 limit-lossyG,lossyA,intra.B.eqn.bpop</t>
  </si>
  <si>
    <t>col.AVSC1 limit-lossyG,lossyA,intra.B.dec.numpoints</t>
  </si>
  <si>
    <t>col.AVSC1 limit-lossyG,lossyA,intra.B.enc.ext.bits</t>
  </si>
  <si>
    <t>col.AVSC1 limit-lossyG,lossyA,intra.B.enc.bits.geometry</t>
  </si>
  <si>
    <t>col.AVSC1 limit-lossyG,lossyA,intra.B.enc.bits.colour</t>
  </si>
  <si>
    <t>col.AVSC1 limit-lossyG,lossyA,intra.B.enc.bits.reflectance</t>
  </si>
  <si>
    <t>col.AVSC1 limit-lossyG,lossyA,intra.B.dec.y-psnr</t>
  </si>
  <si>
    <t>col.AVSC1 limit-lossyG,lossyA,intra.B.dec.cb-psnr</t>
  </si>
  <si>
    <t>col.AVSC1 limit-lossyG,lossyA,intra.B.dec.cr-psnr</t>
  </si>
  <si>
    <t>col.AVSC1 limit-lossyG,lossyA,intra.B.dec.reflectance-psnr</t>
  </si>
  <si>
    <t>col.AVSC1 limit-lossyG,lossyA,intra.B.enc.utime</t>
  </si>
  <si>
    <t>col.AVSC1 limit-lossyG,lossyA,intra.B.dec.utime</t>
  </si>
  <si>
    <t>col.AVSC1 limit-lossyG,lossyA,intra.B.enc.ext.maxrssk</t>
  </si>
  <si>
    <t>col.AVSC1 limit-lossyG,lossyA,intra.B.dec.ext.maxrssk</t>
  </si>
  <si>
    <t>col.AVSC1 limit-lossyG,lossyA,intra.eqn.ab.ratio-enc-maxrssk</t>
  </si>
  <si>
    <t>col.AVSC1 limit-lossyG,lossyA,intra.eqn.ab.ratio-dec-maxrssk</t>
  </si>
  <si>
    <t>col.AVSC1 limit-lossyG,lossyA,intra.eqn.ab.bdrate-d1-geomrate</t>
  </si>
  <si>
    <t>col.AVSC1 limit-lossyG,lossyA,intra.eqn.ab.bdrate-y-attrrate</t>
  </si>
  <si>
    <t>col.AVSC1 limit-lossyG,lossyA,intra.eqn.ab.bdrate-cb-attrrate</t>
  </si>
  <si>
    <t>col.AVSC1 limit-lossyG,lossyA,intra.eqn.ab.bdrate-cr-attrrate</t>
  </si>
  <si>
    <t>col.AVSC1 limit-lossyG,lossyA,intra.eqn.ab.bdrate-reflectance-attrrate</t>
  </si>
  <si>
    <t>col.AVSC1 limit-lossyG,lossyA,intra.eqn.ab.bdrate-d1</t>
  </si>
  <si>
    <t>col.AVSC1 limit-lossyG,lossyA,intra.eqn.ab.bdrate-y</t>
  </si>
  <si>
    <t>col.AVSC1 limit-lossyG,lossyA,intra.eqn.ab.bdrate-cb</t>
  </si>
  <si>
    <t>col.AVSC1 limit-lossyG,lossyA,intra.eqn.ab.bdrate-cr</t>
  </si>
  <si>
    <t>col.AVSC1 limit-lossyG,lossyA,intra.eqn.ab.bdrate-reflectance</t>
  </si>
  <si>
    <t>name.A.AVSC1 limit-lossyG,lossyA,intra</t>
  </si>
  <si>
    <t>name.B.AVSC1 limit-lossyG,lossyA,intra</t>
  </si>
  <si>
    <t>cols.AVSC1 limit-lossyG,lossyA,intra</t>
  </si>
  <si>
    <t>col.AVSC3 losslG,limit-lossyA,intra.class</t>
  </si>
  <si>
    <t>col.AVSC3 losslG,limit-lossyA,intra.sequence</t>
  </si>
  <si>
    <t>col.AVSC3 losslG,limit-lossyA,intra.variant</t>
  </si>
  <si>
    <t>col.AVSC3 losslG,limit-lossyA,intra.src.numpoints</t>
  </si>
  <si>
    <t>col.AVSC3 losslG,limit-lossyA,intra.src.geometry-precision</t>
  </si>
  <si>
    <t>col.AVSC3 losslG,limit-lossyA,intra.src.framecount</t>
  </si>
  <si>
    <t>col.AVSC3 losslG,limit-lossyA,intra.src.framerate</t>
  </si>
  <si>
    <t>col.AVSC3 losslG,limit-lossyA,intra.A.eqn.bitrate</t>
  </si>
  <si>
    <t>col.AVSC3 losslG,limit-lossyA,intra.A.eqn.bpp</t>
  </si>
  <si>
    <t>col.AVSC3 losslG,limit-lossyA,intra.A.eqn.bpp.geometry</t>
  </si>
  <si>
    <t>col.AVSC3 losslG,limit-lossyA,intra.A.eqn.bpp.colour</t>
  </si>
  <si>
    <t>col.AVSC3 losslG,limit-lossyA,intra.A.eqn.bpp.reflectance</t>
  </si>
  <si>
    <t>col.AVSC3 losslG,limit-lossyA,intra.A.eqn.bpop</t>
  </si>
  <si>
    <t>col.AVSC3 losslG,limit-lossyA,intra.A.dec.numpoints</t>
  </si>
  <si>
    <t>col.AVSC3 losslG,limit-lossyA,intra.A.enc.ext.bits</t>
  </si>
  <si>
    <t>col.AVSC3 losslG,limit-lossyA,intra.A.enc.bits.geometry</t>
  </si>
  <si>
    <t>col.AVSC3 losslG,limit-lossyA,intra.A.enc.bits.colour</t>
  </si>
  <si>
    <t>col.AVSC3 losslG,limit-lossyA,intra.A.enc.bits.reflectance</t>
  </si>
  <si>
    <t>col.AVSC3 losslG,limit-lossyA,intra.A.dec.y-psnr</t>
  </si>
  <si>
    <t>col.AVSC3 losslG,limit-lossyA,intra.A.dec.cb-psnr</t>
  </si>
  <si>
    <t>col.AVSC3 losslG,limit-lossyA,intra.A.dec.cr-psnr</t>
  </si>
  <si>
    <t>col.AVSC3 losslG,limit-lossyA,intra.A.dec.reflectance-psnr</t>
  </si>
  <si>
    <t>col.AVSC3 losslG,limit-lossyA,intra.A.dec.y-hpsnr</t>
  </si>
  <si>
    <t>col.AVSC3 losslG,limit-lossyA,intra.A.dec.cb-hpsnr</t>
  </si>
  <si>
    <t>col.AVSC3 losslG,limit-lossyA,intra.A.dec.cr-hpsnr</t>
  </si>
  <si>
    <t>col.AVSC3 losslG,limit-lossyA,intra.A.dec.reflectance-hpsnr</t>
  </si>
  <si>
    <t>col.AVSC3 losslG,limit-lossyA,intra.A.enc.utime</t>
  </si>
  <si>
    <t>col.AVSC3 losslG,limit-lossyA,intra.A.dec.utime</t>
  </si>
  <si>
    <t>col.AVSC3 losslG,limit-lossyA,intra.A.enc.ext.maxrssk</t>
  </si>
  <si>
    <t>col.AVSC3 losslG,limit-lossyA,intra.A.dec.ext.maxrssk</t>
  </si>
  <si>
    <t>col.AVSC3 losslG,limit-lossyA,intra.A.dec.enc.match</t>
  </si>
  <si>
    <t>col.AVSC3 losslG,limit-lossyA,intra.B.eqn.bitrate</t>
  </si>
  <si>
    <t>col.AVSC3 losslG,limit-lossyA,intra.B.eqn.bpp</t>
  </si>
  <si>
    <t>col.AVSC3 losslG,limit-lossyA,intra.B.eqn.bpp.geometry</t>
  </si>
  <si>
    <t>col.AVSC3 losslG,limit-lossyA,intra.B.eqn.bpp.colour</t>
  </si>
  <si>
    <t>col.AVSC3 losslG,limit-lossyA,intra.B.eqn.bpp.reflectance</t>
  </si>
  <si>
    <t>col.AVSC3 losslG,limit-lossyA,intra.B.eqn.bpop</t>
  </si>
  <si>
    <t>col.AVSC3 losslG,limit-lossyA,intra.B.dec.numpoints</t>
  </si>
  <si>
    <t>col.AVSC3 losslG,limit-lossyA,intra.B.enc.ext.bits</t>
  </si>
  <si>
    <t>col.AVSC3 losslG,limit-lossyA,intra.B.enc.bits.geometry</t>
  </si>
  <si>
    <t>col.AVSC3 losslG,limit-lossyA,intra.B.enc.bits.colour</t>
  </si>
  <si>
    <t>col.AVSC3 losslG,limit-lossyA,intra.B.enc.bits.reflectance</t>
  </si>
  <si>
    <t>col.AVSC3 losslG,limit-lossyA,intra.B.dec.y-psnr</t>
  </si>
  <si>
    <t>col.AVSC3 losslG,limit-lossyA,intra.B.dec.cb-psnr</t>
  </si>
  <si>
    <t>col.AVSC3 losslG,limit-lossyA,intra.B.dec.cr-psnr</t>
  </si>
  <si>
    <t>col.AVSC3 losslG,limit-lossyA,intra.B.dec.reflectance-psnr</t>
  </si>
  <si>
    <t>col.AVSC3 losslG,limit-lossyA,intra.B.dec.y-hpsnr</t>
  </si>
  <si>
    <t>col.AVSC3 losslG,limit-lossyA,intra.B.dec.cb-hpsnr</t>
  </si>
  <si>
    <t>col.AVSC3 losslG,limit-lossyA,intra.B.dec.cr-hpsnr</t>
  </si>
  <si>
    <t>col.AVSC3 losslG,limit-lossyA,intra.B.dec.reflectance-hpsnr</t>
  </si>
  <si>
    <t>col.AVSC3 losslG,limit-lossyA,intra.B.enc.utime</t>
  </si>
  <si>
    <t>col.AVSC3 losslG,limit-lossyA,intra.B.dec.utime</t>
  </si>
  <si>
    <t>col.AVSC3 losslG,limit-lossyA,intra.B.enc.ext.maxrssk</t>
  </si>
  <si>
    <t>col.AVSC3 losslG,limit-lossyA,intra.B.dec.ext.maxrssk</t>
  </si>
  <si>
    <t>col.AVSC3 losslG,limit-lossyA,intra.B.dec.enc.match</t>
  </si>
  <si>
    <t>col.AVSC3 losslG,limit-lossyA,intra.eqn.ab.ratio-enc-maxrssk</t>
  </si>
  <si>
    <t>col.AVSC3 losslG,limit-lossyA,intra.eqn.ab.ratio-dec-maxrssk</t>
  </si>
  <si>
    <t>col.AVSC3 losslG,limit-lossyA,intra.eqn.ab.bdrate-y-attrrate</t>
  </si>
  <si>
    <t>col.AVSC3 losslG,limit-lossyA,intra.eqn.ab.bdrate-cb-attrrate</t>
  </si>
  <si>
    <t>col.AVSC3 losslG,limit-lossyA,intra.eqn.ab.bdrate-cr-attrrate</t>
  </si>
  <si>
    <t>col.AVSC3 losslG,limit-lossyA,intra.eqn.ab.bdrate-reflectance-attrrate</t>
  </si>
  <si>
    <t>col.AVSC3 losslG,limit-lossyA,intra.eqn.ab.bdrate-hy-attrrate</t>
  </si>
  <si>
    <t>col.AVSC3 losslG,limit-lossyA,intra.eqn.ab.bdrate-hcb-attrrate</t>
  </si>
  <si>
    <t>col.AVSC3 losslG,limit-lossyA,intra.eqn.ab.bdrate-hcr-attrrate</t>
  </si>
  <si>
    <t>col.AVSC3 losslG,limit-lossyA,intra.eqn.ab.bdrate-hreflectance-attrrate</t>
  </si>
  <si>
    <t>col.AVSC3 losslG,limit-lossyA,intra.eqn.ab.bdrate-y</t>
  </si>
  <si>
    <t>col.AVSC3 losslG,limit-lossyA,intra.eqn.ab.bdrate-cb</t>
  </si>
  <si>
    <t>col.AVSC3 losslG,limit-lossyA,intra.eqn.ab.bdrate-cr</t>
  </si>
  <si>
    <t>col.AVSC3 losslG,limit-lossyA,intra.eqn.ab.bdrate-reflectance</t>
  </si>
  <si>
    <t>col.AVSC3 losslG,limit-lossyA,intra.eqn.ab.bdrate-hy</t>
  </si>
  <si>
    <t>col.AVSC3 losslG,limit-lossyA,intra.eqn.ab.bdrate-hcb</t>
  </si>
  <si>
    <t>col.AVSC3 losslG,limit-lossyA,intra.eqn.ab.bdrate-hcr</t>
  </si>
  <si>
    <t>col.AVSC3 losslG,limit-lossyA,intra.eqn.ab.bdrate-hreflectance</t>
  </si>
  <si>
    <t>name.A.AVSC3 losslG,limit-lossyA,intra</t>
  </si>
  <si>
    <t>name.B.AVSC3 losslG,limit-lossyA,intra</t>
  </si>
  <si>
    <t>cols.AVSC3 losslG,limit-lossyA,intra</t>
  </si>
  <si>
    <t>'AVSC4 losslG,losslA,intra'!$H$1</t>
    <phoneticPr fontId="2" type="noConversion"/>
  </si>
  <si>
    <t>'AVSC4 losslG,losslA,intra'!$Z$1</t>
    <phoneticPr fontId="2" type="noConversion"/>
  </si>
  <si>
    <t>'AVSC3 losslG,limit-lossyA,intra'!$I$1</t>
    <phoneticPr fontId="2" type="noConversion"/>
  </si>
  <si>
    <t>'AVSC3 losslG,limit-lossyA,intra'!$AH$1</t>
    <phoneticPr fontId="2" type="noConversion"/>
  </si>
  <si>
    <t>'AVSC3 losslG,limit-lossyA,intra'!$A$5:$CD$9</t>
    <phoneticPr fontId="2" type="noConversion"/>
  </si>
  <si>
    <t>'AVSC3 losslG,limit-lossyA,intra'!$A$10:$CD$14</t>
    <phoneticPr fontId="2" type="noConversion"/>
  </si>
  <si>
    <t>'AVSC3 losslG,limit-lossyA,intra'!$A$15:$CD$19</t>
    <phoneticPr fontId="2" type="noConversion"/>
  </si>
  <si>
    <t>'AVSC4 losslG,losslA,intra'!$A$5:$AY$5</t>
    <phoneticPr fontId="2" type="noConversion"/>
  </si>
  <si>
    <t>'AVSC4 losslG,losslA,intra'!$A$6:$AY$6</t>
    <phoneticPr fontId="2" type="noConversion"/>
  </si>
  <si>
    <t>'AVSC4 losslG,losslA,intra'!$A$7:$AY$7</t>
    <phoneticPr fontId="2" type="noConversion"/>
  </si>
  <si>
    <t>names!$B$1:$W$1</t>
    <phoneticPr fontId="2" type="noConversion"/>
  </si>
  <si>
    <t>names!$B$3:$Y$3</t>
    <phoneticPr fontId="2" type="noConversion"/>
  </si>
  <si>
    <t>dec.cb-hpsnr</t>
    <phoneticPr fontId="2" type="noConversion"/>
  </si>
  <si>
    <t>dec.cr-hpsnr</t>
    <phoneticPr fontId="2" type="noConversion"/>
  </si>
  <si>
    <t>dec.cb-hpsnr</t>
    <phoneticPr fontId="2" type="noConversion"/>
  </si>
  <si>
    <t>dec.d1-hpsnr</t>
    <phoneticPr fontId="2" type="noConversion"/>
  </si>
  <si>
    <t>dec.d2-hpsnr</t>
    <phoneticPr fontId="2" type="noConversion"/>
  </si>
  <si>
    <t>Chroma Cr EtE Hausdorff PSNR</t>
    <phoneticPr fontId="2" type="noConversion"/>
  </si>
  <si>
    <t>D1 Geometry Hausdorff PSNR</t>
    <phoneticPr fontId="2" type="noConversion"/>
  </si>
  <si>
    <t>D2 Geometry Hausdorff PSNR</t>
    <phoneticPr fontId="2" type="noConversion"/>
  </si>
  <si>
    <t>ford_01</t>
    <phoneticPr fontId="2" type="noConversion"/>
  </si>
  <si>
    <t>ford_02</t>
  </si>
  <si>
    <t>ford_03</t>
  </si>
  <si>
    <t>ford_02</t>
    <phoneticPr fontId="2" type="noConversion"/>
  </si>
  <si>
    <t>ford_03</t>
    <phoneticPr fontId="2" type="noConversion"/>
  </si>
  <si>
    <t>ford_01</t>
    <phoneticPr fontId="2" type="noConversion"/>
  </si>
  <si>
    <t>ford_02</t>
    <phoneticPr fontId="2" type="noConversion"/>
  </si>
  <si>
    <t>ford_03</t>
    <phoneticPr fontId="2" type="noConversion"/>
  </si>
  <si>
    <t>range.AVSC4 losslG,losslA,intra.ford_03</t>
    <phoneticPr fontId="2" type="noConversion"/>
  </si>
  <si>
    <t>range.AVSC4 losslG,losslA,intra.ford_02</t>
    <phoneticPr fontId="2" type="noConversion"/>
  </si>
  <si>
    <t>range.AVSC4 losslG,losslA,intra.ford_01</t>
    <phoneticPr fontId="2" type="noConversion"/>
  </si>
  <si>
    <t>range.AVSC3 losslG,limit-lossyA,intra.ford_03</t>
    <phoneticPr fontId="2" type="noConversion"/>
  </si>
  <si>
    <t>range.AVSC3 losslG,limit-lossyA,intra.ford_02</t>
    <phoneticPr fontId="2" type="noConversion"/>
  </si>
  <si>
    <t>range.AVSC3 losslG,limit-lossyA,intra.ford_01</t>
    <phoneticPr fontId="2" type="noConversion"/>
  </si>
  <si>
    <t>range.AVSC2 losslG,lossyA,intra.ford_02</t>
    <phoneticPr fontId="2" type="noConversion"/>
  </si>
  <si>
    <t>range.AVSC2 losslG,lossyA,intra.ford_01</t>
    <phoneticPr fontId="2" type="noConversion"/>
  </si>
  <si>
    <t>End-to-End BD‑AttrRate [%]</t>
    <phoneticPr fontId="2" type="noConversion"/>
  </si>
  <si>
    <t>End-to-End BD‑GeomRate [%]</t>
    <phoneticPr fontId="2" type="noConversion"/>
  </si>
  <si>
    <t>Total bits per output point [bpop]</t>
    <phoneticPr fontId="2" type="noConversion"/>
  </si>
  <si>
    <t>Total bits per output point [bpop]</t>
    <phoneticPr fontId="2" type="noConversion"/>
  </si>
  <si>
    <t>User encoder runtime [s]</t>
    <phoneticPr fontId="2" type="noConversion"/>
  </si>
  <si>
    <t>G:T bits ratio [%]</t>
    <phoneticPr fontId="2" type="noConversion"/>
  </si>
  <si>
    <t>G:T bits ratio mean
[%]</t>
    <phoneticPr fontId="2" type="noConversion"/>
  </si>
  <si>
    <t>End-to-End BD‑AttrRate [%]</t>
    <phoneticPr fontId="2" type="noConversion"/>
  </si>
  <si>
    <t>Attr PSNR [dB]</t>
    <phoneticPr fontId="2" type="noConversion"/>
  </si>
  <si>
    <t>Attr PSNR [dB]</t>
    <phoneticPr fontId="2" type="noConversion"/>
  </si>
  <si>
    <t>User decoder runtime [s]</t>
    <phoneticPr fontId="2" type="noConversion"/>
  </si>
  <si>
    <t>G:T bits ratio [%]</t>
    <phoneticPr fontId="2" type="noConversion"/>
  </si>
  <si>
    <t>G:T bits ratio mean[%]</t>
    <phoneticPr fontId="2" type="noConversion"/>
  </si>
  <si>
    <t>Attr Hausdorff PSNR [dB]</t>
    <phoneticPr fontId="2" type="noConversion"/>
  </si>
  <si>
    <t>Total bits per output point [bpop]</t>
    <phoneticPr fontId="2" type="noConversion"/>
  </si>
  <si>
    <t>End-to-End Hausdorff BD‑TotalRate [%]</t>
    <phoneticPr fontId="2" type="noConversion"/>
  </si>
  <si>
    <t>Total bits per output point [bpop]</t>
    <phoneticPr fontId="2" type="noConversion"/>
  </si>
  <si>
    <t>User decoder runtime [s]</t>
    <phoneticPr fontId="2" type="noConversion"/>
  </si>
  <si>
    <t>G:T bits ratio [%]</t>
    <phoneticPr fontId="2" type="noConversion"/>
  </si>
  <si>
    <t>G:T bits ratio mean[%]</t>
    <phoneticPr fontId="2" type="noConversion"/>
  </si>
  <si>
    <t>End-to-End BD‑AttrRate [%]</t>
    <phoneticPr fontId="2" type="noConversion"/>
  </si>
  <si>
    <t>Attr PSNR [dB]</t>
    <phoneticPr fontId="2" type="noConversion"/>
  </si>
  <si>
    <t>class</t>
    <phoneticPr fontId="2" type="noConversion"/>
  </si>
  <si>
    <t>eqn.ab.delta-geom_total_bits_ratio</t>
    <phoneticPr fontId="2" type="noConversion"/>
  </si>
  <si>
    <t>eqn.ab.mean-delta-geom_total_bits_ratio</t>
    <phoneticPr fontId="2" type="noConversion"/>
  </si>
  <si>
    <t>eqn.ab.delta-geom_total_bits_ratio</t>
    <phoneticPr fontId="2" type="noConversion"/>
  </si>
  <si>
    <t>eqn.ab.mean-delta-geom_total_bits_ratio</t>
    <phoneticPr fontId="2" type="noConversion"/>
  </si>
  <si>
    <t>eqn.ab.mean-delta-geom_total_bits_ratio</t>
    <phoneticPr fontId="2" type="noConversion"/>
  </si>
  <si>
    <t>col.AVSC2 losslG,lossyA,intra.eqn.ab.delta-geom_total_bits_ratio</t>
    <phoneticPr fontId="2" type="noConversion"/>
  </si>
  <si>
    <t>col.AVSC2 losslG,lossyA,intra.eqn.ab.mean-delta-geom_total_bits_ratio</t>
    <phoneticPr fontId="2" type="noConversion"/>
  </si>
  <si>
    <t>col.AVSC4 losslG,losslA,intra.eqn.ab.delta-geom_total_bits_ratio</t>
    <phoneticPr fontId="2" type="noConversion"/>
  </si>
  <si>
    <t>col.AVSC4 losslG,losslA,intra.eqn.ab.mean-delta-geom_total_bits_ratio</t>
    <phoneticPr fontId="2" type="noConversion"/>
  </si>
  <si>
    <t>col.AVSC3 losslG,limit-lossyA,intra.eqn.ab.delta-geom_total_bits_ratio</t>
    <phoneticPr fontId="2" type="noConversion"/>
  </si>
  <si>
    <t>col.AVSC3 losslG,limit-lossyA,intra.eqn.ab.mean-delta-geom_total_bits_ratio</t>
    <phoneticPr fontId="2" type="noConversion"/>
  </si>
  <si>
    <t>cols.AVSC2 losslG,lossyA,ra</t>
  </si>
  <si>
    <t>cols.AVSC3 losslG,limit-lossyA,ra</t>
  </si>
  <si>
    <t>cols.AVSC4 losslG,losslA,ra</t>
  </si>
  <si>
    <t>col.AVSC1 limit-lossyG,lossyA,ra.class</t>
  </si>
  <si>
    <t>col.AVSC1 limit-lossyG,lossyA,ra.sequence</t>
  </si>
  <si>
    <t>col.AVSC1 limit-lossyG,lossyA,ra.variant</t>
  </si>
  <si>
    <t>col.AVSC1 limit-lossyG,lossyA,ra.src.numpoints</t>
  </si>
  <si>
    <t>col.AVSC1 limit-lossyG,lossyA,ra.src.geometry-precision</t>
  </si>
  <si>
    <t>col.AVSC1 limit-lossyG,lossyA,ra.src.framecount</t>
  </si>
  <si>
    <t>col.AVSC1 limit-lossyG,lossyA,ra.src.framerate</t>
  </si>
  <si>
    <t>col.AVSC1 limit-lossyG,lossyA,ra.A.eqn.bitrate</t>
  </si>
  <si>
    <t>col.AVSC1 limit-lossyG,lossyA,ra.A.eqn.bpp</t>
  </si>
  <si>
    <t>col.AVSC1 limit-lossyG,lossyA,ra.A.eqn.bpp.geometry</t>
  </si>
  <si>
    <t>col.AVSC1 limit-lossyG,lossyA,ra.A.eqn.bpp.colour</t>
  </si>
  <si>
    <t>col.AVSC1 limit-lossyG,lossyA,ra.A.eqn.bpp.reflectance</t>
  </si>
  <si>
    <t>col.AVSC1 limit-lossyG,lossyA,ra.A.eqn.bpop</t>
  </si>
  <si>
    <t>col.AVSC1 limit-lossyG,lossyA,ra.A.dec.numpoints</t>
  </si>
  <si>
    <t>col.AVSC1 limit-lossyG,lossyA,ra.A.enc.ext.bits</t>
  </si>
  <si>
    <t>col.AVSC1 limit-lossyG,lossyA,ra.A.enc.bits.geometry</t>
  </si>
  <si>
    <t>col.AVSC1 limit-lossyG,lossyA,ra.A.enc.bits.colour</t>
  </si>
  <si>
    <t>col.AVSC1 limit-lossyG,lossyA,ra.A.enc.bits.reflectance</t>
  </si>
  <si>
    <t>col.AVSC1 limit-lossyG,lossyA,ra.A.dec.y-psnr</t>
  </si>
  <si>
    <t>col.AVSC1 limit-lossyG,lossyA,ra.A.dec.cb-psnr</t>
  </si>
  <si>
    <t>col.AVSC1 limit-lossyG,lossyA,ra.A.dec.cr-psnr</t>
  </si>
  <si>
    <t>col.AVSC1 limit-lossyG,lossyA,ra.A.dec.reflectance-psnr</t>
  </si>
  <si>
    <t>col.AVSC1 limit-lossyG,lossyA,ra.A.enc.utime</t>
  </si>
  <si>
    <t>col.AVSC1 limit-lossyG,lossyA,ra.A.dec.utime</t>
  </si>
  <si>
    <t>col.AVSC1 limit-lossyG,lossyA,ra.A.enc.ext.maxrssk</t>
  </si>
  <si>
    <t>col.AVSC1 limit-lossyG,lossyA,ra.A.dec.ext.maxrssk</t>
  </si>
  <si>
    <t>col.AVSC1 limit-lossyG,lossyA,ra.B.eqn.bitrate</t>
  </si>
  <si>
    <t>col.AVSC1 limit-lossyG,lossyA,ra.B.eqn.bpp</t>
  </si>
  <si>
    <t>col.AVSC1 limit-lossyG,lossyA,ra.B.eqn.bpp.geometry</t>
  </si>
  <si>
    <t>col.AVSC1 limit-lossyG,lossyA,ra.B.eqn.bpp.colour</t>
  </si>
  <si>
    <t>col.AVSC1 limit-lossyG,lossyA,ra.B.eqn.bpp.reflectance</t>
  </si>
  <si>
    <t>col.AVSC1 limit-lossyG,lossyA,ra.B.eqn.bpop</t>
  </si>
  <si>
    <t>col.AVSC1 limit-lossyG,lossyA,ra.B.dec.numpoints</t>
  </si>
  <si>
    <t>col.AVSC1 limit-lossyG,lossyA,ra.B.enc.ext.bits</t>
  </si>
  <si>
    <t>col.AVSC1 limit-lossyG,lossyA,ra.B.enc.bits.geometry</t>
  </si>
  <si>
    <t>col.AVSC1 limit-lossyG,lossyA,ra.B.enc.bits.colour</t>
  </si>
  <si>
    <t>col.AVSC1 limit-lossyG,lossyA,ra.B.enc.bits.reflectance</t>
  </si>
  <si>
    <t>col.AVSC1 limit-lossyG,lossyA,ra.B.dec.y-psnr</t>
  </si>
  <si>
    <t>col.AVSC1 limit-lossyG,lossyA,ra.B.dec.cb-psnr</t>
  </si>
  <si>
    <t>col.AVSC1 limit-lossyG,lossyA,ra.B.dec.cr-psnr</t>
  </si>
  <si>
    <t>col.AVSC1 limit-lossyG,lossyA,ra.B.dec.reflectance-psnr</t>
  </si>
  <si>
    <t>col.AVSC1 limit-lossyG,lossyA,ra.B.enc.utime</t>
  </si>
  <si>
    <t>col.AVSC1 limit-lossyG,lossyA,ra.B.dec.utime</t>
  </si>
  <si>
    <t>col.AVSC1 limit-lossyG,lossyA,ra.B.enc.ext.maxrssk</t>
  </si>
  <si>
    <t>col.AVSC1 limit-lossyG,lossyA,ra.B.dec.ext.maxrssk</t>
  </si>
  <si>
    <t>col.AVSC1 limit-lossyG,lossyA,ra.eqn.ab.ratio-enc-maxrssk</t>
  </si>
  <si>
    <t>col.AVSC1 limit-lossyG,lossyA,ra.eqn.ab.ratio-dec-maxrssk</t>
  </si>
  <si>
    <t>col.AVSC1 limit-lossyG,lossyA,ra.eqn.ab.delta-geom_total_bits_ratio</t>
  </si>
  <si>
    <t>col.AVSC1 limit-lossyG,lossyA,ra.eqn.ab.mean-delta-geom_totle_bits_ratio</t>
  </si>
  <si>
    <t>col.AVSC1 limit-lossyG,lossyA,ra.eqn.ab.bdrate-d1-geomrate</t>
  </si>
  <si>
    <t>col.AVSC1 limit-lossyG,lossyA,ra.eqn.ab.bdrate-y-attrrate</t>
  </si>
  <si>
    <t>col.AVSC1 limit-lossyG,lossyA,ra.eqn.ab.bdrate-cb-attrrate</t>
  </si>
  <si>
    <t>col.AVSC1 limit-lossyG,lossyA,ra.eqn.ab.bdrate-cr-attrrate</t>
  </si>
  <si>
    <t>col.AVSC1 limit-lossyG,lossyA,ra.eqn.ab.bdrate-reflectance-attrrate</t>
  </si>
  <si>
    <t>col.AVSC1 limit-lossyG,lossyA,ra.eqn.ab.bdrate-d1</t>
  </si>
  <si>
    <t>col.AVSC1 limit-lossyG,lossyA,ra.eqn.ab.bdrate-y</t>
  </si>
  <si>
    <t>col.AVSC1 limit-lossyG,lossyA,ra.eqn.ab.bdrate-cb</t>
  </si>
  <si>
    <t>col.AVSC1 limit-lossyG,lossyA,ra.eqn.ab.bdrate-cr</t>
  </si>
  <si>
    <t>col.AVSC1 limit-lossyG,lossyA,ra.eqn.ab.bdrate-reflectance</t>
  </si>
  <si>
    <t>col.AVSC2 losslG,lossyA,ra.class</t>
  </si>
  <si>
    <t>col.AVSC2 losslG,lossyA,ra.sequence</t>
  </si>
  <si>
    <t>col.AVSC2 losslG,lossyA,ra.variant</t>
  </si>
  <si>
    <t>col.AVSC2 losslG,lossyA,ra.src.numpoints</t>
  </si>
  <si>
    <t>col.AVSC2 losslG,lossyA,ra.src.geometry-precision</t>
  </si>
  <si>
    <t>col.AVSC2 losslG,lossyA,ra.src.framecount</t>
  </si>
  <si>
    <t>col.AVSC2 losslG,lossyA,ra.src.framerate</t>
  </si>
  <si>
    <t>col.AVSC2 losslG,lossyA,ra.A.eqn.bitrate</t>
  </si>
  <si>
    <t>col.AVSC2 losslG,lossyA,ra.A.eqn.bpp</t>
  </si>
  <si>
    <t>col.AVSC2 losslG,lossyA,ra.A.eqn.bpp.geometry</t>
  </si>
  <si>
    <t>col.AVSC2 losslG,lossyA,ra.A.eqn.bpp.colour</t>
  </si>
  <si>
    <t>col.AVSC2 losslG,lossyA,ra.A.eqn.bpp.reflectance</t>
  </si>
  <si>
    <t>col.AVSC2 losslG,lossyA,ra.A.eqn.bpop</t>
  </si>
  <si>
    <t>col.AVSC2 losslG,lossyA,ra.A.dec.numpoints</t>
  </si>
  <si>
    <t>col.AVSC2 losslG,lossyA,ra.A.enc.ext.bits</t>
  </si>
  <si>
    <t>col.AVSC2 losslG,lossyA,ra.A.enc.bits.geometry</t>
  </si>
  <si>
    <t>col.AVSC2 losslG,lossyA,ra.A.enc.bits.colour</t>
  </si>
  <si>
    <t>col.AVSC2 losslG,lossyA,ra.A.enc.bits.reflectance</t>
  </si>
  <si>
    <t>col.AVSC2 losslG,lossyA,ra.A.dec.y-psnr</t>
  </si>
  <si>
    <t>col.AVSC2 losslG,lossyA,ra.A.dec.cb-psnr</t>
  </si>
  <si>
    <t>col.AVSC2 losslG,lossyA,ra.A.dec.cr-psnr</t>
  </si>
  <si>
    <t>col.AVSC2 losslG,lossyA,ra.A.dec.reflectance-psnr</t>
  </si>
  <si>
    <t>col.AVSC2 losslG,lossyA,ra.A.enc.utime</t>
  </si>
  <si>
    <t>col.AVSC2 losslG,lossyA,ra.A.dec.utime</t>
  </si>
  <si>
    <t>col.AVSC2 losslG,lossyA,ra.A.enc.ext.maxrssk</t>
  </si>
  <si>
    <t>col.AVSC2 losslG,lossyA,ra.A.dec.ext.maxrssk</t>
  </si>
  <si>
    <t>col.AVSC2 losslG,lossyA,ra.A.dec.enc.match</t>
  </si>
  <si>
    <t>col.AVSC2 losslG,lossyA,ra.B.eqn.bitrate</t>
  </si>
  <si>
    <t>col.AVSC2 losslG,lossyA,ra.B.eqn.bpp</t>
  </si>
  <si>
    <t>col.AVSC2 losslG,lossyA,ra.B.eqn.bpp.geometry</t>
  </si>
  <si>
    <t>col.AVSC2 losslG,lossyA,ra.B.eqn.bpp.colour</t>
  </si>
  <si>
    <t>col.AVSC2 losslG,lossyA,ra.B.eqn.bpp.reflectance</t>
  </si>
  <si>
    <t>col.AVSC2 losslG,lossyA,ra.B.eqn.bpop</t>
  </si>
  <si>
    <t>col.AVSC2 losslG,lossyA,ra.B.dec.numpoints</t>
  </si>
  <si>
    <t>col.AVSC2 losslG,lossyA,ra.B.enc.ext.bits</t>
  </si>
  <si>
    <t>col.AVSC2 losslG,lossyA,ra.B.enc.bits.geometry</t>
  </si>
  <si>
    <t>col.AVSC2 losslG,lossyA,ra.B.enc.bits.colour</t>
  </si>
  <si>
    <t>col.AVSC2 losslG,lossyA,ra.B.enc.bits.reflectance</t>
  </si>
  <si>
    <t>col.AVSC2 losslG,lossyA,ra.B.dec.y-psnr</t>
  </si>
  <si>
    <t>col.AVSC2 losslG,lossyA,ra.B.dec.cb-psnr</t>
  </si>
  <si>
    <t>col.AVSC2 losslG,lossyA,ra.B.dec.cr-psnr</t>
  </si>
  <si>
    <t>col.AVSC2 losslG,lossyA,ra.B.dec.reflectance-psnr</t>
  </si>
  <si>
    <t>col.AVSC2 losslG,lossyA,ra.B.enc.utime</t>
  </si>
  <si>
    <t>col.AVSC2 losslG,lossyA,ra.B.dec.utime</t>
  </si>
  <si>
    <t>col.AVSC2 losslG,lossyA,ra.B.enc.ext.maxrssk</t>
  </si>
  <si>
    <t>col.AVSC2 losslG,lossyA,ra.B.dec.ext.maxrssk</t>
  </si>
  <si>
    <t>col.AVSC2 losslG,lossyA,ra.B.dec.enc.match</t>
  </si>
  <si>
    <t>col.AVSC2 losslG,lossyA,ra.eqn.ab.ratio-enc-maxrssk</t>
  </si>
  <si>
    <t>col.AVSC2 losslG,lossyA,ra.eqn.ab.ratio-dec-maxrssk</t>
  </si>
  <si>
    <t>col.AVSC2 losslG,lossyA,ra.eqn.ab.delta-geom_total_bits_ratio</t>
  </si>
  <si>
    <t>col.AVSC2 losslG,lossyA,ra.eqn.ab.mean-delta-geom_total_bits_ratio</t>
  </si>
  <si>
    <t>col.AVSC2 losslG,lossyA,ra.eqn.ab.bdrate-y-attrrate</t>
  </si>
  <si>
    <t>col.AVSC2 losslG,lossyA,ra.eqn.ab.bdrate-cb-attrrate</t>
  </si>
  <si>
    <t>col.AVSC2 losslG,lossyA,ra.eqn.ab.bdrate-cr-attrrate</t>
  </si>
  <si>
    <t>col.AVSC2 losslG,lossyA,ra.eqn.ab.bdrate-reflectance-attrrate</t>
  </si>
  <si>
    <t>col.AVSC2 losslG,lossyA,ra.eqn.ab.bdrate-y</t>
  </si>
  <si>
    <t>col.AVSC2 losslG,lossyA,ra.eqn.ab.bdrate-cb</t>
  </si>
  <si>
    <t>col.AVSC2 losslG,lossyA,ra.eqn.ab.bdrate-cr</t>
  </si>
  <si>
    <t>col.AVSC2 losslG,lossyA,ra.eqn.ab.bdrate-reflectance</t>
  </si>
  <si>
    <t>name.A.AVSC2 losslG,lossyA,ra</t>
  </si>
  <si>
    <t>name.B.AVSC2 losslG,lossyA,ra</t>
  </si>
  <si>
    <t>range.AVSC2 losslG,lossyA,ra.ford_01</t>
  </si>
  <si>
    <t>range.AVSC2 losslG,lossyA,ra.ford_02</t>
  </si>
  <si>
    <t>range.AVSC2 losslG,lossyA,ra.ford_03</t>
  </si>
  <si>
    <t>col.AVSC3 losslG,limit-lossyA,ra.class</t>
  </si>
  <si>
    <t>col.AVSC3 losslG,limit-lossyA,ra.sequence</t>
  </si>
  <si>
    <t>col.AVSC3 losslG,limit-lossyA,ra.variant</t>
  </si>
  <si>
    <t>col.AVSC3 losslG,limit-lossyA,ra.src.numpoints</t>
  </si>
  <si>
    <t>col.AVSC3 losslG,limit-lossyA,ra.src.geometry-precision</t>
  </si>
  <si>
    <t>col.AVSC3 losslG,limit-lossyA,ra.src.framecount</t>
  </si>
  <si>
    <t>col.AVSC3 losslG,limit-lossyA,ra.src.framerate</t>
  </si>
  <si>
    <t>col.AVSC3 losslG,limit-lossyA,ra.A.eqn.bitrate</t>
  </si>
  <si>
    <t>col.AVSC3 losslG,limit-lossyA,ra.A.eqn.bpp</t>
  </si>
  <si>
    <t>col.AVSC3 losslG,limit-lossyA,ra.A.eqn.bpp.geometry</t>
  </si>
  <si>
    <t>col.AVSC3 losslG,limit-lossyA,ra.A.eqn.bpp.colour</t>
  </si>
  <si>
    <t>col.AVSC3 losslG,limit-lossyA,ra.A.eqn.bpp.reflectance</t>
  </si>
  <si>
    <t>col.AVSC3 losslG,limit-lossyA,ra.A.eqn.bpop</t>
  </si>
  <si>
    <t>col.AVSC3 losslG,limit-lossyA,ra.A.dec.numpoints</t>
  </si>
  <si>
    <t>col.AVSC3 losslG,limit-lossyA,ra.A.enc.ext.bits</t>
  </si>
  <si>
    <t>col.AVSC3 losslG,limit-lossyA,ra.A.enc.bits.geometry</t>
  </si>
  <si>
    <t>col.AVSC3 losslG,limit-lossyA,ra.A.enc.bits.colour</t>
  </si>
  <si>
    <t>col.AVSC3 losslG,limit-lossyA,ra.A.enc.bits.reflectance</t>
  </si>
  <si>
    <t>col.AVSC3 losslG,limit-lossyA,ra.A.dec.y-psnr</t>
  </si>
  <si>
    <t>col.AVSC3 losslG,limit-lossyA,ra.A.dec.cb-psnr</t>
  </si>
  <si>
    <t>col.AVSC3 losslG,limit-lossyA,ra.A.dec.cr-psnr</t>
  </si>
  <si>
    <t>col.AVSC3 losslG,limit-lossyA,ra.A.dec.reflectance-psnr</t>
  </si>
  <si>
    <t>col.AVSC3 losslG,limit-lossyA,ra.A.dec.y-hpsnr</t>
  </si>
  <si>
    <t>col.AVSC3 losslG,limit-lossyA,ra.A.dec.cb-hpsnr</t>
  </si>
  <si>
    <t>col.AVSC3 losslG,limit-lossyA,ra.A.dec.cr-hpsnr</t>
  </si>
  <si>
    <t>col.AVSC3 losslG,limit-lossyA,ra.A.dec.reflectance-hpsnr</t>
  </si>
  <si>
    <t>col.AVSC3 losslG,limit-lossyA,ra.A.enc.utime</t>
  </si>
  <si>
    <t>col.AVSC3 losslG,limit-lossyA,ra.A.dec.utime</t>
  </si>
  <si>
    <t>col.AVSC3 losslG,limit-lossyA,ra.A.enc.ext.maxrssk</t>
  </si>
  <si>
    <t>col.AVSC3 losslG,limit-lossyA,ra.A.dec.ext.maxrssk</t>
  </si>
  <si>
    <t>col.AVSC3 losslG,limit-lossyA,ra.A.dec.enc.match</t>
  </si>
  <si>
    <t>col.AVSC3 losslG,limit-lossyA,ra.B.eqn.bitrate</t>
  </si>
  <si>
    <t>col.AVSC3 losslG,limit-lossyA,ra.B.eqn.bpp</t>
  </si>
  <si>
    <t>col.AVSC3 losslG,limit-lossyA,ra.B.eqn.bpp.geometry</t>
  </si>
  <si>
    <t>col.AVSC3 losslG,limit-lossyA,ra.B.eqn.bpp.colour</t>
  </si>
  <si>
    <t>col.AVSC3 losslG,limit-lossyA,ra.B.eqn.bpp.reflectance</t>
  </si>
  <si>
    <t>col.AVSC3 losslG,limit-lossyA,ra.B.eqn.bpop</t>
  </si>
  <si>
    <t>col.AVSC3 losslG,limit-lossyA,ra.B.dec.numpoints</t>
  </si>
  <si>
    <t>col.AVSC3 losslG,limit-lossyA,ra.B.enc.ext.bits</t>
  </si>
  <si>
    <t>col.AVSC3 losslG,limit-lossyA,ra.B.enc.bits.geometry</t>
  </si>
  <si>
    <t>col.AVSC3 losslG,limit-lossyA,ra.B.enc.bits.colour</t>
  </si>
  <si>
    <t>col.AVSC3 losslG,limit-lossyA,ra.B.enc.bits.reflectance</t>
  </si>
  <si>
    <t>col.AVSC3 losslG,limit-lossyA,ra.B.dec.y-psnr</t>
  </si>
  <si>
    <t>col.AVSC3 losslG,limit-lossyA,ra.B.dec.cb-psnr</t>
  </si>
  <si>
    <t>col.AVSC3 losslG,limit-lossyA,ra.B.dec.cr-psnr</t>
  </si>
  <si>
    <t>col.AVSC3 losslG,limit-lossyA,ra.B.dec.reflectance-psnr</t>
  </si>
  <si>
    <t>col.AVSC3 losslG,limit-lossyA,ra.B.dec.y-hpsnr</t>
  </si>
  <si>
    <t>col.AVSC3 losslG,limit-lossyA,ra.B.dec.cb-hpsnr</t>
  </si>
  <si>
    <t>col.AVSC3 losslG,limit-lossyA,ra.B.dec.cr-hpsnr</t>
  </si>
  <si>
    <t>col.AVSC3 losslG,limit-lossyA,ra.B.dec.reflectance-hpsnr</t>
  </si>
  <si>
    <t>col.AVSC3 losslG,limit-lossyA,ra.B.enc.utime</t>
  </si>
  <si>
    <t>col.AVSC3 losslG,limit-lossyA,ra.B.dec.utime</t>
  </si>
  <si>
    <t>col.AVSC3 losslG,limit-lossyA,ra.B.enc.ext.maxrssk</t>
  </si>
  <si>
    <t>col.AVSC3 losslG,limit-lossyA,ra.B.dec.ext.maxrssk</t>
  </si>
  <si>
    <t>col.AVSC3 losslG,limit-lossyA,ra.B.dec.enc.match</t>
  </si>
  <si>
    <t>col.AVSC3 losslG,limit-lossyA,ra.eqn.ab.ratio-enc-maxrssk</t>
  </si>
  <si>
    <t>col.AVSC3 losslG,limit-lossyA,ra.eqn.ab.ratio-dec-maxrssk</t>
  </si>
  <si>
    <t>col.AVSC3 losslG,limit-lossyA,ra.eqn.ab.delta-geom_total_bits_ratio</t>
  </si>
  <si>
    <t>col.AVSC3 losslG,limit-lossyA,ra.eqn.ab.mean-delta-geom_total_bits_ratio</t>
  </si>
  <si>
    <t>col.AVSC3 losslG,limit-lossyA,ra.eqn.ab.bdrate-y-attrrate</t>
  </si>
  <si>
    <t>col.AVSC3 losslG,limit-lossyA,ra.eqn.ab.bdrate-cb-attrrate</t>
  </si>
  <si>
    <t>col.AVSC3 losslG,limit-lossyA,ra.eqn.ab.bdrate-cr-attrrate</t>
  </si>
  <si>
    <t>col.AVSC3 losslG,limit-lossyA,ra.eqn.ab.bdrate-reflectance-attrrate</t>
  </si>
  <si>
    <t>col.AVSC3 losslG,limit-lossyA,ra.eqn.ab.bdrate-hy-attrrate</t>
  </si>
  <si>
    <t>col.AVSC3 losslG,limit-lossyA,ra.eqn.ab.bdrate-hcb-attrrate</t>
  </si>
  <si>
    <t>col.AVSC3 losslG,limit-lossyA,ra.eqn.ab.bdrate-hcr-attrrate</t>
  </si>
  <si>
    <t>col.AVSC3 losslG,limit-lossyA,ra.eqn.ab.bdrate-hreflectance-attrrate</t>
  </si>
  <si>
    <t>col.AVSC3 losslG,limit-lossyA,ra.eqn.ab.bdrate-y</t>
  </si>
  <si>
    <t>col.AVSC3 losslG,limit-lossyA,ra.eqn.ab.bdrate-cb</t>
  </si>
  <si>
    <t>col.AVSC3 losslG,limit-lossyA,ra.eqn.ab.bdrate-cr</t>
  </si>
  <si>
    <t>col.AVSC3 losslG,limit-lossyA,ra.eqn.ab.bdrate-reflectance</t>
  </si>
  <si>
    <t>col.AVSC3 losslG,limit-lossyA,ra.eqn.ab.bdrate-hy</t>
  </si>
  <si>
    <t>col.AVSC3 losslG,limit-lossyA,ra.eqn.ab.bdrate-hcb</t>
  </si>
  <si>
    <t>col.AVSC3 losslG,limit-lossyA,ra.eqn.ab.bdrate-hcr</t>
  </si>
  <si>
    <t>col.AVSC3 losslG,limit-lossyA,ra.eqn.ab.bdrate-hreflectance</t>
  </si>
  <si>
    <t>name.A.AVSC3 losslG,limit-lossyA,ra</t>
  </si>
  <si>
    <t>'AVSC3 losslG,limit-lossyA,ra'!$I$1</t>
  </si>
  <si>
    <t>name.B.AVSC3 losslG,limit-lossyA,ra</t>
  </si>
  <si>
    <t>'AVSC3 losslG,limit-lossyA,ra'!$AH$1</t>
  </si>
  <si>
    <t>range.AVSC3 losslG,limit-lossyA,ra.ford_01</t>
  </si>
  <si>
    <t>'AVSC3 losslG,limit-lossyA,ra'!$A$5:$CD$9</t>
  </si>
  <si>
    <t>range.AVSC3 losslG,limit-lossyA,ra.ford_02</t>
  </si>
  <si>
    <t>'AVSC3 losslG,limit-lossyA,ra'!$A$10:$CD$14</t>
  </si>
  <si>
    <t>range.AVSC3 losslG,limit-lossyA,ra.ford_03</t>
  </si>
  <si>
    <t>'AVSC3 losslG,limit-lossyA,ra'!$A$15:$CD$19</t>
  </si>
  <si>
    <t>col.AVSC4 losslG,losslA,ra.class</t>
  </si>
  <si>
    <t>col.AVSC4 losslG,losslA,ra.sequence</t>
  </si>
  <si>
    <t>col.AVSC4 losslG,losslA,ra.src.numpoints</t>
  </si>
  <si>
    <t>col.AVSC4 losslG,losslA,ra.src.geometry-precision</t>
  </si>
  <si>
    <t>col.AVSC4 losslG,losslA,ra.src.framecount</t>
  </si>
  <si>
    <t>col.AVSC4 losslG,losslA,ra.src.framerate</t>
  </si>
  <si>
    <t>col.AVSC4 losslG,losslA,ra.A.eqn.compratio</t>
  </si>
  <si>
    <t>col.AVSC4 losslG,losslA,ra.A.eqn.bitrate</t>
  </si>
  <si>
    <t>col.AVSC4 losslG,losslA,ra.A.eqn.bpp</t>
  </si>
  <si>
    <t>col.AVSC4 losslG,losslA,ra.A.eqn.bpp.geometry</t>
  </si>
  <si>
    <t>col.AVSC4 losslG,losslA,ra.A.eqn.bpp.colour</t>
  </si>
  <si>
    <t>col.AVSC4 losslG,losslA,ra.A.eqn.bpp.reflectance</t>
  </si>
  <si>
    <t>col.AVSC4 losslG,losslA,ra.A.eqn.bpop</t>
  </si>
  <si>
    <t>col.AVSC4 losslG,losslA,ra.A.dec.numpoints</t>
  </si>
  <si>
    <t>col.AVSC4 losslG,losslA,ra.A.enc.ext.bits</t>
  </si>
  <si>
    <t>col.AVSC4 losslG,losslA,ra.A.enc.bits.geometry</t>
  </si>
  <si>
    <t>col.AVSC4 losslG,losslA,ra.A.enc.bits.colour</t>
  </si>
  <si>
    <t>col.AVSC4 losslG,losslA,ra.A.enc.bits.reflectance</t>
  </si>
  <si>
    <t>col.AVSC4 losslG,losslA,ra.A.enc.utime</t>
  </si>
  <si>
    <t>col.AVSC4 losslG,losslA,ra.A.dec.utime</t>
  </si>
  <si>
    <t>col.AVSC4 losslG,losslA,ra.A.enc.ext.maxrssk</t>
  </si>
  <si>
    <t>col.AVSC4 losslG,losslA,ra.A.dec.ext.maxrssk</t>
  </si>
  <si>
    <t>col.AVSC4 losslG,losslA,ra.A.dec.enc.match</t>
  </si>
  <si>
    <t>col.AVSC4 losslG,losslA,ra.B.eqn.compratio</t>
  </si>
  <si>
    <t>col.AVSC4 losslG,losslA,ra.B.eqn.bitrate</t>
  </si>
  <si>
    <t>col.AVSC4 losslG,losslA,ra.B.eqn.bpp</t>
  </si>
  <si>
    <t>col.AVSC4 losslG,losslA,ra.B.eqn.bpp.geometry</t>
  </si>
  <si>
    <t>col.AVSC4 losslG,losslA,ra.B.eqn.bpp.colour</t>
  </si>
  <si>
    <t>col.AVSC4 losslG,losslA,ra.B.eqn.bpp.reflectance</t>
  </si>
  <si>
    <t>col.AVSC4 losslG,losslA,ra.B.eqn.bpop</t>
  </si>
  <si>
    <t>col.AVSC4 losslG,losslA,ra.B.dec.numpoints</t>
  </si>
  <si>
    <t>col.AVSC4 losslG,losslA,ra.B.enc.ext.bits</t>
  </si>
  <si>
    <t>col.AVSC4 losslG,losslA,ra.B.enc.bits.geometry</t>
  </si>
  <si>
    <t>col.AVSC4 losslG,losslA,ra.B.enc.bits.colour</t>
  </si>
  <si>
    <t>col.AVSC4 losslG,losslA,ra.B.enc.bits.reflectance</t>
  </si>
  <si>
    <t>col.AVSC4 losslG,losslA,ra.B.enc.utime</t>
  </si>
  <si>
    <t>col.AVSC4 losslG,losslA,ra.B.dec.utime</t>
  </si>
  <si>
    <t>col.AVSC4 losslG,losslA,ra.B.enc.ext.maxrssk</t>
  </si>
  <si>
    <t>col.AVSC4 losslG,losslA,ra.B.dec.ext.maxrssk</t>
  </si>
  <si>
    <t>col.AVSC4 losslG,losslA,ra.B.dec.enc.match</t>
  </si>
  <si>
    <t>col.AVSC4 losslG,losslA,ra.eqn.ab.ratio-bpp</t>
  </si>
  <si>
    <t>col.AVSC4 losslG,losslA,ra.eqn.ab.ratio-bpp-geometry</t>
  </si>
  <si>
    <t>col.AVSC4 losslG,losslA,ra.eqn.ab.ratio-bpp-colour</t>
  </si>
  <si>
    <t>col.AVSC4 losslG,losslA,ra.eqn.ab.ratio-bpp-reflectance</t>
  </si>
  <si>
    <t>col.AVSC4 losslG,losslA,ra.eqn.ab.ratio-enc-maxrssk</t>
  </si>
  <si>
    <t>col.AVSC4 losslG,losslA,ra.eqn.ab.ratio-dec-maxrssk</t>
  </si>
  <si>
    <t>col.AVSC4 losslG,losslA,ra.eqn.ab.delta-geom_total_bits_ratio</t>
  </si>
  <si>
    <t>col.AVSC4 losslG,losslA,ra.eqn.ab.mean-delta-geom_total_bits_ratio</t>
  </si>
  <si>
    <t>name.A.AVSC4 losslG,losslA,ra</t>
  </si>
  <si>
    <t>'AVSC4 losslG,losslA,ra'!$H$1</t>
  </si>
  <si>
    <t>name.B.AVSC4 losslG,losslA,ra</t>
  </si>
  <si>
    <t>'AVSC4 losslG,losslA,ra'!$Z$1</t>
  </si>
  <si>
    <t>range.AVSC4 losslG,losslA,ra.ford_01</t>
  </si>
  <si>
    <t>'AVSC4 losslG,losslA,ra'!$A$5:$AY$5</t>
  </si>
  <si>
    <t>range.AVSC4 losslG,losslA,ra.ford_02</t>
  </si>
  <si>
    <t>'AVSC4 losslG,losslA,ra'!$A$6:$AY$6</t>
  </si>
  <si>
    <t>range.AVSC4 losslG,losslA,ra.ford_03</t>
  </si>
  <si>
    <t>'AVSC4 losslG,losslA,ra'!$A$7:$AY$7</t>
  </si>
  <si>
    <t>'AVSC2 losslG,lossyA,ra'!$I$1</t>
    <phoneticPr fontId="2" type="noConversion"/>
  </si>
  <si>
    <t>'AVSC2 losslG,lossyA,ra'!$AD$1</t>
    <phoneticPr fontId="2" type="noConversion"/>
  </si>
  <si>
    <t>'AVSC2 losslG,lossyA,ra'!$A$5:$BL$10</t>
    <phoneticPr fontId="2" type="noConversion"/>
  </si>
  <si>
    <t>'AVSC2 losslG,lossyA,ra'!$A$11:$BL$16</t>
    <phoneticPr fontId="2" type="noConversion"/>
  </si>
  <si>
    <t>'AVSC2 losslG,lossyA,ra'!$A$17:$BL$22</t>
    <phoneticPr fontId="2" type="noConversion"/>
  </si>
  <si>
    <t>'AVSC2 losslG,lossyA,intra'!$I$1</t>
    <phoneticPr fontId="2" type="noConversion"/>
  </si>
  <si>
    <t>'AVSC2 losslG,lossyA,intra'!$AD$1</t>
    <phoneticPr fontId="2" type="noConversion"/>
  </si>
  <si>
    <t>'AVSC2 losslG,lossyA,intra'!$A$11:$BL$16</t>
    <phoneticPr fontId="2" type="noConversion"/>
  </si>
  <si>
    <t>AVSC2 losslG,lossyA,ra</t>
    <phoneticPr fontId="2" type="noConversion"/>
  </si>
  <si>
    <t>AVSC3 losslG,limit-lossyA,ra</t>
    <phoneticPr fontId="2" type="noConversion"/>
  </si>
  <si>
    <t>AVSC4 losslG,losslA,ra</t>
    <phoneticPr fontId="2" type="noConversion"/>
  </si>
  <si>
    <t>names!$B$2:$U$2</t>
    <phoneticPr fontId="2" type="noConversion"/>
  </si>
  <si>
    <t>names!$B$4:$R$4</t>
    <phoneticPr fontId="2" type="noConversion"/>
  </si>
  <si>
    <t>names!$B$6:$U$6</t>
    <phoneticPr fontId="2" type="noConversion"/>
  </si>
  <si>
    <t>'names!$B$7:$Y$7</t>
    <phoneticPr fontId="2" type="noConversion"/>
  </si>
  <si>
    <t>names!$B$8:$R$8</t>
    <phoneticPr fontId="2" type="noConversion"/>
  </si>
  <si>
    <t>Chroma Cr End-to-End PSNR</t>
    <phoneticPr fontId="2" type="noConversion"/>
  </si>
  <si>
    <t>Chroma Cb End-to-End PSNR</t>
    <phoneticPr fontId="2" type="noConversion"/>
  </si>
  <si>
    <t>Reflectance End-to-End PSNR</t>
    <phoneticPr fontId="2" type="noConversion"/>
  </si>
  <si>
    <t>Luma End-to-End PSNR</t>
    <phoneticPr fontId="2" type="noConversion"/>
  </si>
  <si>
    <t>low 5 data points</t>
    <phoneticPr fontId="2" type="noConversion"/>
  </si>
  <si>
    <t>high 5 data points</t>
    <phoneticPr fontId="2" type="noConversion"/>
  </si>
  <si>
    <t>low 5 data points</t>
    <phoneticPr fontId="2" type="noConversion"/>
  </si>
  <si>
    <t>all data points</t>
  </si>
  <si>
    <t>D1</t>
    <phoneticPr fontId="2" type="noConversion"/>
  </si>
  <si>
    <t>all data points</t>
    <phoneticPr fontId="2" type="noConversion"/>
  </si>
  <si>
    <t>high 5 data points</t>
    <phoneticPr fontId="2" type="noConversion"/>
  </si>
  <si>
    <t>ford_03</t>
    <phoneticPr fontId="2" type="noConversion"/>
  </si>
  <si>
    <t>livox_01_all</t>
    <phoneticPr fontId="2" type="noConversion"/>
  </si>
  <si>
    <t>livox_01_all</t>
    <phoneticPr fontId="2" type="noConversion"/>
  </si>
  <si>
    <t>livox_02_all</t>
    <phoneticPr fontId="2" type="noConversion"/>
  </si>
  <si>
    <t>livox_01_all</t>
  </si>
  <si>
    <t>livox_02_all</t>
  </si>
  <si>
    <t>'AVSC2 losslG,lossyA,intra'!$A$17:$BL$22</t>
    <phoneticPr fontId="2" type="noConversion"/>
  </si>
  <si>
    <t>'AVSC2 losslG,lossyA,intra'!$A$5:$BL$10</t>
    <phoneticPr fontId="2" type="noConversion"/>
  </si>
  <si>
    <t>range.AVSC2 losslG,lossyA,intra.ford_03</t>
    <phoneticPr fontId="2" type="noConversion"/>
  </si>
  <si>
    <t>range.AVSC2 losslG,lossyA,intra.livox_01_all</t>
    <phoneticPr fontId="2" type="noConversion"/>
  </si>
  <si>
    <t>'AVSC2 losslG,lossyA,intra'!$A$23:$BL$28</t>
    <phoneticPr fontId="2" type="noConversion"/>
  </si>
  <si>
    <t>'AVSC2 losslG,lossyA,intra'!$A$29:$BL$34</t>
    <phoneticPr fontId="2" type="noConversion"/>
  </si>
  <si>
    <t>'AVSC2 losslG,lossyA,intra'!$A$35:$BL$40</t>
    <phoneticPr fontId="2" type="noConversion"/>
  </si>
  <si>
    <t>'AVSC2 losslG,lossyA,intra'!$A$41:$BL$46</t>
    <phoneticPr fontId="2" type="noConversion"/>
  </si>
  <si>
    <t>'AVSC2 losslG,lossyA,intra'!$A$47:$BL$52</t>
    <phoneticPr fontId="2" type="noConversion"/>
  </si>
  <si>
    <t>'AVSC2 losslG,lossyA,intra'!$A$53:$BL$58</t>
    <phoneticPr fontId="2" type="noConversion"/>
  </si>
  <si>
    <t>range.AVSC3 losslG,limit-lossyA,intra.livox_01_all</t>
    <phoneticPr fontId="2" type="noConversion"/>
  </si>
  <si>
    <t>'AVSC3 losslG,limit-lossyA,intra'!$A$20:$CD$24</t>
    <phoneticPr fontId="2" type="noConversion"/>
  </si>
  <si>
    <t>'AVSC3 losslG,limit-lossyA,intra'!$A$25:$CD$29</t>
    <phoneticPr fontId="2" type="noConversion"/>
  </si>
  <si>
    <t>'AVSC3 losslG,limit-lossyA,intra'!$A$30:$CD$34</t>
    <phoneticPr fontId="2" type="noConversion"/>
  </si>
  <si>
    <t>'AVSC3 losslG,limit-lossyA,intra'!$A$35:$CD$39</t>
    <phoneticPr fontId="2" type="noConversion"/>
  </si>
  <si>
    <t>'AVSC3 losslG,limit-lossyA,intra'!$A$40:$CD$44</t>
    <phoneticPr fontId="2" type="noConversion"/>
  </si>
  <si>
    <t>'AVSC3 losslG,limit-lossyA,intra'!$A$45:$CD$49</t>
    <phoneticPr fontId="2" type="noConversion"/>
  </si>
  <si>
    <t>range.AVSC4 losslG,losslA,intra.livox_01_all</t>
    <phoneticPr fontId="2" type="noConversion"/>
  </si>
  <si>
    <t>'AVSC4 losslG,losslA,intra'!$A$8:$AY$8</t>
    <phoneticPr fontId="2" type="noConversion"/>
  </si>
  <si>
    <t>'AVSC4 losslG,losslA,intra'!$A$9:$AY$9</t>
    <phoneticPr fontId="2" type="noConversion"/>
  </si>
  <si>
    <t>'AVSC4 losslG,losslA,intra'!$A$10:$AY$10</t>
    <phoneticPr fontId="2" type="noConversion"/>
  </si>
  <si>
    <t>'AVSC4 losslG,losslA,intra'!$A$11:$AY$11</t>
    <phoneticPr fontId="2" type="noConversion"/>
  </si>
  <si>
    <t>'AVSC4 losslG,losslA,intra'!$A$12:$AY$12</t>
    <phoneticPr fontId="2" type="noConversion"/>
  </si>
  <si>
    <t>'AVSC2 losslG,lossyA,ra'!$A$23:$BL$28</t>
    <phoneticPr fontId="2" type="noConversion"/>
  </si>
  <si>
    <t>'AVSC2 losslG,lossyA,ra'!$A$29:$BL$34</t>
    <phoneticPr fontId="2" type="noConversion"/>
  </si>
  <si>
    <t>'AVSC2 losslG,lossyA,ra'!$A$35:$BL$40</t>
    <phoneticPr fontId="2" type="noConversion"/>
  </si>
  <si>
    <t>'AVSC3 losslG,limit-lossyA,ra'!$A$20:$CD$24</t>
    <phoneticPr fontId="2" type="noConversion"/>
  </si>
  <si>
    <t>'AVSC3 losslG,limit-lossyA,ra'!$A$25:$CD$29</t>
    <phoneticPr fontId="2" type="noConversion"/>
  </si>
  <si>
    <t>'AVSC3 losslG,limit-lossyA,ra'!$A$30:$CD$34</t>
    <phoneticPr fontId="2" type="noConversion"/>
  </si>
  <si>
    <t>'AVSC4 losslG,losslA,ra'!$A$8:$AY$8</t>
    <phoneticPr fontId="2" type="noConversion"/>
  </si>
  <si>
    <t>'AVSC4 losslG,losslA,ra'!$A$9:$AY$9</t>
    <phoneticPr fontId="2" type="noConversion"/>
  </si>
  <si>
    <t>'AVSC4 losslG,losslA,ra'!$A$10:$AY$10</t>
    <phoneticPr fontId="2" type="noConversion"/>
  </si>
  <si>
    <t>v0</t>
    <phoneticPr fontId="2" type="noConversion"/>
  </si>
  <si>
    <t>m4809</t>
    <phoneticPr fontId="2" type="noConversion"/>
  </si>
  <si>
    <t>v1</t>
    <phoneticPr fontId="2" type="noConversion"/>
  </si>
  <si>
    <t>N2701</t>
    <phoneticPr fontId="2" type="noConversion"/>
  </si>
  <si>
    <t>v1.1</t>
    <phoneticPr fontId="2" type="noConversion"/>
  </si>
  <si>
    <t>增加支持livox数据</t>
    <phoneticPr fontId="2" type="noConversion"/>
  </si>
  <si>
    <t>N2703</t>
    <phoneticPr fontId="2" type="noConversion"/>
  </si>
  <si>
    <t>BDRate计算 基于AVS 4点扩展支持6点</t>
    <phoneticPr fontId="2" type="noConversion"/>
  </si>
  <si>
    <t>BDRate计算 增加支持5个低码率点、5个高码率点</t>
    <phoneticPr fontId="2" type="noConversion"/>
  </si>
  <si>
    <t>v1.2</t>
    <phoneticPr fontId="2" type="noConversion"/>
  </si>
  <si>
    <t>更新livox数据点数笔误</t>
    <phoneticPr fontId="2" type="noConversion"/>
  </si>
  <si>
    <t>v1.3</t>
    <phoneticPr fontId="2" type="noConversion"/>
  </si>
  <si>
    <t>BDRate计算 基于hermite 避免非单调问题</t>
    <phoneticPr fontId="2" type="noConversion"/>
  </si>
  <si>
    <t>m4913</t>
    <phoneticPr fontId="2" type="noConversion"/>
  </si>
  <si>
    <t>v1.4</t>
    <phoneticPr fontId="2" type="noConversion"/>
  </si>
  <si>
    <t>N2734</t>
    <phoneticPr fontId="2" type="noConversion"/>
  </si>
  <si>
    <t>Geometry  Hausdorff MSE
[mm]</t>
    <phoneticPr fontId="2" type="noConversion"/>
  </si>
  <si>
    <t>Geometry  Hausdorff MSE
[mm]</t>
    <phoneticPr fontId="2" type="noConversion"/>
  </si>
  <si>
    <t>A.geo.h-mse</t>
    <phoneticPr fontId="2" type="noConversion"/>
  </si>
  <si>
    <t>B.geo.h-mse</t>
    <phoneticPr fontId="2" type="noConversion"/>
  </si>
  <si>
    <t>geo.h-mse</t>
    <phoneticPr fontId="2" type="noConversion"/>
  </si>
  <si>
    <t>geo.h-mse</t>
    <phoneticPr fontId="2" type="noConversion"/>
  </si>
  <si>
    <t>basketball_player_vox11</t>
  </si>
  <si>
    <t>basketball_player_vox11</t>
    <phoneticPr fontId="2" type="noConversion"/>
  </si>
  <si>
    <t>dancer_player_vox11</t>
  </si>
  <si>
    <t>exercise_vox11</t>
    <phoneticPr fontId="2" type="noConversion"/>
  </si>
  <si>
    <t>model_vox11</t>
    <phoneticPr fontId="2" type="noConversion"/>
  </si>
  <si>
    <t>AVSCat3</t>
    <phoneticPr fontId="2" type="noConversion"/>
  </si>
  <si>
    <t>basketball_player_vox11</t>
    <phoneticPr fontId="2" type="noConversion"/>
  </si>
  <si>
    <t>dancer_player_vox11</t>
    <phoneticPr fontId="2" type="noConversion"/>
  </si>
  <si>
    <t>exercise_vox11</t>
    <phoneticPr fontId="2" type="noConversion"/>
  </si>
  <si>
    <t>exercise_vox11</t>
    <phoneticPr fontId="2" type="noConversion"/>
  </si>
  <si>
    <t>exercise_vox11</t>
    <phoneticPr fontId="2" type="noConversion"/>
  </si>
  <si>
    <t>model_vox11</t>
    <phoneticPr fontId="2" type="noConversion"/>
  </si>
  <si>
    <t>r05</t>
    <phoneticPr fontId="2" type="noConversion"/>
  </si>
  <si>
    <t>range.AVSC2 losslG,lossyA,intra.livox_02_all</t>
    <phoneticPr fontId="2" type="noConversion"/>
  </si>
  <si>
    <t>range.AVSC2 losslG,lossyA,intra.basketball_player_vox11</t>
    <phoneticPr fontId="2" type="noConversion"/>
  </si>
  <si>
    <t>range.AVSC2 losslG,lossyA,intra.dancer_player_vox11</t>
    <phoneticPr fontId="2" type="noConversion"/>
  </si>
  <si>
    <t>range.AVSC2 losslG,lossyA,intra.exercise_vox11</t>
    <phoneticPr fontId="2" type="noConversion"/>
  </si>
  <si>
    <t>range.AVSC2 losslG,lossyA,intra.model_vox11</t>
    <phoneticPr fontId="2" type="noConversion"/>
  </si>
  <si>
    <t>range.AVSC3 losslG,limit-lossyA,intra.livox_02_all</t>
    <phoneticPr fontId="2" type="noConversion"/>
  </si>
  <si>
    <t>range.AVSC3 losslG,limit-lossyA,intra.basketball_player_vox11</t>
    <phoneticPr fontId="2" type="noConversion"/>
  </si>
  <si>
    <t>range.AVSC3 losslG,limit-lossyA,intra.dancer_player_vox11</t>
    <phoneticPr fontId="2" type="noConversion"/>
  </si>
  <si>
    <t>range.AVSC3 losslG,limit-lossyA,intra.exercise_vox11</t>
    <phoneticPr fontId="2" type="noConversion"/>
  </si>
  <si>
    <t>range.AVSC3 losslG,limit-lossyA,intra.model_vox11</t>
    <phoneticPr fontId="2" type="noConversion"/>
  </si>
  <si>
    <t>range.AVSC4 losslG,losslA,intra.livox_02_all</t>
    <phoneticPr fontId="2" type="noConversion"/>
  </si>
  <si>
    <t>range.AVSC4 losslG,losslA,intra.basketball_player_vox11</t>
    <phoneticPr fontId="2" type="noConversion"/>
  </si>
  <si>
    <t>range.AVSC4 losslG,losslA,intra.dancer_player_vox11</t>
    <phoneticPr fontId="2" type="noConversion"/>
  </si>
  <si>
    <t>range.AVSC4 losslG,losslA,intra.exercise_vox11</t>
    <phoneticPr fontId="2" type="noConversion"/>
  </si>
  <si>
    <t>range.AVSC4 losslG,losslA,intra.model_vox11</t>
    <phoneticPr fontId="2" type="noConversion"/>
  </si>
  <si>
    <t>增加支持MSE指标、动态人物数据，删除livox的4个子雷达数据</t>
    <phoneticPr fontId="2" type="noConversion"/>
  </si>
  <si>
    <t>v1.5</t>
    <phoneticPr fontId="2" type="noConversion"/>
  </si>
  <si>
    <t>增加动态人物数据的统计计算</t>
    <phoneticPr fontId="2" type="noConversion"/>
  </si>
  <si>
    <t>AVSCat3 average</t>
    <phoneticPr fontId="2" type="noConversion"/>
  </si>
  <si>
    <t>User Encoder runtime [s]</t>
    <phoneticPr fontId="2" type="noConversion"/>
  </si>
  <si>
    <t>User Decoder runtime [s]</t>
    <phoneticPr fontId="2" type="noConversion"/>
  </si>
  <si>
    <t>AVSCat3 average</t>
    <phoneticPr fontId="2" type="noConversion"/>
  </si>
  <si>
    <t>AVSCat3 average</t>
    <phoneticPr fontId="2" type="noConversion"/>
  </si>
  <si>
    <t>names!$B$5:$W$5</t>
    <phoneticPr fontId="2" type="noConversion"/>
  </si>
  <si>
    <t>User Encoder runtime [s]</t>
    <phoneticPr fontId="2" type="noConversion"/>
  </si>
  <si>
    <t>User Decoder runtime [s]</t>
    <phoneticPr fontId="2" type="noConversion"/>
  </si>
  <si>
    <t>User Encoder runtime [s]</t>
    <phoneticPr fontId="2" type="noConversion"/>
  </si>
  <si>
    <t>D1</t>
    <phoneticPr fontId="2" type="noConversion"/>
  </si>
  <si>
    <t>limit-lossy geometry, lossy attributes [all intra]</t>
    <phoneticPr fontId="2" type="noConversion"/>
  </si>
  <si>
    <t>AVSC1 limit-lossyG,lossyA,intra</t>
    <phoneticPr fontId="2" type="noConversion"/>
  </si>
  <si>
    <t>AVSC1 limit-lossyG,lossyA,ra</t>
    <phoneticPr fontId="2" type="noConversion"/>
  </si>
  <si>
    <t>cols.AVSC1 limit-lossyG,lossyA,ra</t>
  </si>
  <si>
    <t>col.AVSC1 limit-lossyG,lossyA,intra.A.dec.ext.maxrssk</t>
  </si>
  <si>
    <t>col.AVSC1 limit-lossyG,lossyA,intra.A.geo.h-mse</t>
  </si>
  <si>
    <t>col.AVSC1 limit-lossyG,lossyA,intra.B.geo.h-mse</t>
  </si>
  <si>
    <t>col.AVSC1 limit-lossyG,lossyA,intra.eqn.ab.delta-geom_total_bits_ratio</t>
  </si>
  <si>
    <t>col.AVSC1 limit-lossyG,lossyA,intra.eqn.ab.mean-delta-geom_totle_bits_ratio</t>
  </si>
  <si>
    <t>'AVSC1 limit-lossyG,lossyA,intra'!$AF$1</t>
  </si>
  <si>
    <t>'AVSC1 limit-lossyG,lossyA,intra'!$A$5:$BT$10</t>
  </si>
  <si>
    <t>'AVSC1 limit-lossyG,lossyA,intra'!$A$11:$BT$16</t>
  </si>
  <si>
    <t>'AVSC1 limit-lossyG,lossyA,intra'!$A$17:$BT$22</t>
  </si>
  <si>
    <t>'AVSC1 limit-lossyG,lossyA,intra'!$A$23:$BT$28</t>
  </si>
  <si>
    <t>'AVSC1 limit-lossyG,lossyA,intra'!$A$29:$BT$34</t>
  </si>
  <si>
    <t>'AVSC1 limit-lossyG,lossyA,intra'!$A$35:$BT$40</t>
  </si>
  <si>
    <t>'AVSC1 limit-lossyG,lossyA,intra'!$I$1</t>
    <phoneticPr fontId="2" type="noConversion"/>
  </si>
  <si>
    <t>range.AVSC1 limit-lossyG,lossyA,intra.ford_01</t>
  </si>
  <si>
    <t>range.AVSC1 limit-lossyG,lossyA,intra.ford_02</t>
  </si>
  <si>
    <t>range.AVSC1 limit-lossyG,lossyA,intra.ford_03</t>
  </si>
  <si>
    <t>range.AVSC1 limit-lossyG,lossyA,intra.livox_01_all</t>
  </si>
  <si>
    <t>range.AVSC1 limit-lossyG,lossyA,intra.livox_02_all</t>
  </si>
  <si>
    <t>range.AVSC1 limit-lossyG,lossyA,intra.basketball_player_vox11</t>
  </si>
  <si>
    <t>range.AVSC1 limit-lossyG,lossyA,intra.dancer_player_vox11</t>
  </si>
  <si>
    <t>'AVSC1 limit-lossyG,lossyA,intra'!$A$41:$BT$46</t>
  </si>
  <si>
    <t>range.AVSC1 limit-lossyG,lossyA,intra.exercise_vox11</t>
  </si>
  <si>
    <t>'AVSC1 limit-lossyG,lossyA,intra'!$A$47:$BT$52</t>
  </si>
  <si>
    <t>range.AVSC1 limit-lossyG,lossyA,intra.model_vox11</t>
  </si>
  <si>
    <t>'AVSC1 limit-lossyG,lossyA,intra'!$A$53:$BT$58</t>
  </si>
  <si>
    <t>col.AVSC1 limit-lossyG,lossyA,ra.A.geo.h-mse</t>
  </si>
  <si>
    <t>col.AVSC1 limit-lossyG,lossyA,ra.B.geo.h-mse</t>
  </si>
  <si>
    <t>col.AVSC1 limit-lossyG,lossyA,intra.src.numpoints</t>
    <phoneticPr fontId="2" type="noConversion"/>
  </si>
  <si>
    <t>col.AVSC1 limit-lossyG,lossyA,ra.B.dec.d1-psnr</t>
    <phoneticPr fontId="2" type="noConversion"/>
  </si>
  <si>
    <t>col.AVSC1 limit-lossyG,lossyA,ra.B.dec.d1-hpsnr</t>
    <phoneticPr fontId="2" type="noConversion"/>
  </si>
  <si>
    <t>col.AVSC1 limit-lossyG,lossyA,ra.A.dec.d1-psnr</t>
    <phoneticPr fontId="2" type="noConversion"/>
  </si>
  <si>
    <t>col.AVSC1 limit-lossyG,lossyA,ra.A.dec.d1-hpsnr</t>
    <phoneticPr fontId="2" type="noConversion"/>
  </si>
  <si>
    <t>col.AVSC1 limit-lossyG,lossyA,intra.A.dec.d1-psnr</t>
    <phoneticPr fontId="2" type="noConversion"/>
  </si>
  <si>
    <t>col.AVSC1 limit-lossyG,lossyA,intra.A.dec.d1-hpsnr</t>
    <phoneticPr fontId="2" type="noConversion"/>
  </si>
  <si>
    <t>col.AVSC1 limit-lossyG,lossyA,intra.B.dec.d1-psnr</t>
    <phoneticPr fontId="2" type="noConversion"/>
  </si>
  <si>
    <t>col.AVSC1 limit-lossyG,lossyA,intra.B.dec.d1-hpsnr</t>
    <phoneticPr fontId="2" type="noConversion"/>
  </si>
  <si>
    <t>col.AVSC1 limit-lossyG,lossyA,intra.eqn.ab.bdrate-d1-hgeomrate</t>
    <phoneticPr fontId="2" type="noConversion"/>
  </si>
  <si>
    <t>col.AVSC1 limit-lossyG,lossyA,intra.eqn.ab.bdrate-d1-h</t>
    <phoneticPr fontId="2" type="noConversion"/>
  </si>
  <si>
    <t>col.AVSC1 limit-lossyG,lossyA,ra.eqn.ab.bdrate-d1-hgeomrate</t>
    <phoneticPr fontId="2" type="noConversion"/>
  </si>
  <si>
    <t>col.AVSC1 limit-lossyG,lossyA,ra.eqn.ab.bdrate-d1-h</t>
    <phoneticPr fontId="2" type="noConversion"/>
  </si>
  <si>
    <t>A.dec.d1-psnr</t>
    <phoneticPr fontId="2" type="noConversion"/>
  </si>
  <si>
    <t>A.dec.d1-hpsnr</t>
    <phoneticPr fontId="2" type="noConversion"/>
  </si>
  <si>
    <t>B.dec.d1-psnr</t>
    <phoneticPr fontId="2" type="noConversion"/>
  </si>
  <si>
    <t>B.dec.d1-hpsnr</t>
    <phoneticPr fontId="2" type="noConversion"/>
  </si>
  <si>
    <t>eqn.ab.bdrate-d1-hgeomrate</t>
    <phoneticPr fontId="2" type="noConversion"/>
  </si>
  <si>
    <t>eqn.ab.bdrate-d1-h</t>
    <phoneticPr fontId="2" type="noConversion"/>
  </si>
  <si>
    <t>eqn.ab.bdrate-d1-h</t>
    <phoneticPr fontId="2" type="noConversion"/>
  </si>
  <si>
    <t>D1-H</t>
    <phoneticPr fontId="2" type="noConversion"/>
  </si>
  <si>
    <t>Geometry  (Hausdorff) PSNR [dB]</t>
    <phoneticPr fontId="2" type="noConversion"/>
  </si>
  <si>
    <t>Geometry  (Hausdorff) PSNR [dB]</t>
    <phoneticPr fontId="2" type="noConversion"/>
  </si>
  <si>
    <t>D1-H</t>
    <phoneticPr fontId="2" type="noConversion"/>
  </si>
  <si>
    <t>D1-H</t>
    <phoneticPr fontId="2" type="noConversion"/>
  </si>
  <si>
    <t>AVSCat3 average</t>
    <phoneticPr fontId="2" type="noConversion"/>
  </si>
  <si>
    <t>v1.51</t>
    <phoneticPr fontId="2" type="noConversion"/>
  </si>
  <si>
    <t>调整AVSC1 D2 为 D1-Hausdorff</t>
    <phoneticPr fontId="2" type="noConversion"/>
  </si>
  <si>
    <t>封闭开发</t>
    <phoneticPr fontId="2" type="noConversion"/>
  </si>
  <si>
    <t>Note: BD-rate is computed using piece-wise Hermite cubic interpolation</t>
    <phoneticPr fontId="2" type="noConversion"/>
  </si>
  <si>
    <t>v1.52</t>
    <phoneticPr fontId="2" type="noConversion"/>
  </si>
  <si>
    <t>更新cat3数据计算表格笔误</t>
    <phoneticPr fontId="2" type="noConversion"/>
  </si>
  <si>
    <t>v1.53</t>
    <phoneticPr fontId="2" type="noConversion"/>
  </si>
  <si>
    <t>更新cat3 C2/C3 数据计算表格笔误</t>
    <phoneticPr fontId="2" type="noConversion"/>
  </si>
  <si>
    <t>v1.54</t>
    <phoneticPr fontId="2" type="noConversion"/>
  </si>
  <si>
    <t>更新cat3 C4 数据计算表格笔误</t>
    <phoneticPr fontId="2" type="noConversion"/>
  </si>
  <si>
    <t>v1.55</t>
    <phoneticPr fontId="2" type="noConversion"/>
  </si>
  <si>
    <t>更新cat3 C1 数据计算表格笔误</t>
    <phoneticPr fontId="2" type="noConversion"/>
  </si>
  <si>
    <t>dec.d1-psnr</t>
    <phoneticPr fontId="2" type="noConversion"/>
  </si>
  <si>
    <t>bridge_1mm</t>
    <phoneticPr fontId="2" type="noConversion"/>
  </si>
  <si>
    <t>double_T_section_1mm</t>
    <phoneticPr fontId="2" type="noConversion"/>
  </si>
  <si>
    <t>intersection1_1mm</t>
    <phoneticPr fontId="2" type="noConversion"/>
  </si>
  <si>
    <t>intersection2_1mm</t>
    <phoneticPr fontId="2" type="noConversion"/>
  </si>
  <si>
    <t>straight_road_1mm</t>
    <phoneticPr fontId="2" type="noConversion"/>
  </si>
  <si>
    <t>T_section_1mm</t>
    <phoneticPr fontId="2" type="noConversion"/>
  </si>
  <si>
    <t>T_section_1mm</t>
    <phoneticPr fontId="2" type="noConversion"/>
  </si>
  <si>
    <t>Geometry precision [bits]</t>
    <phoneticPr fontId="2" type="noConversion"/>
  </si>
  <si>
    <t>AVSC3_ai_lossless geometry, limit-lossy attributes [all intra]</t>
    <phoneticPr fontId="2" type="noConversion"/>
  </si>
  <si>
    <t>End-to-End Hausdorff BD‑AttrRate [%]</t>
    <phoneticPr fontId="2" type="noConversion"/>
  </si>
  <si>
    <t>bridge_1mm</t>
    <phoneticPr fontId="2" type="noConversion"/>
  </si>
  <si>
    <t>AVSCat3</t>
    <phoneticPr fontId="2" type="noConversion"/>
  </si>
  <si>
    <t>r05</t>
    <phoneticPr fontId="2" type="noConversion"/>
  </si>
  <si>
    <t>dancer_player_vox11</t>
    <phoneticPr fontId="2" type="noConversion"/>
  </si>
  <si>
    <t>dec.d1-hpsnr</t>
    <phoneticPr fontId="2" type="noConversion"/>
  </si>
  <si>
    <t>v1.6</t>
    <phoneticPr fontId="2" type="noConversion"/>
  </si>
  <si>
    <t>N2748</t>
    <phoneticPr fontId="2" type="noConversion"/>
  </si>
  <si>
    <t>reference</t>
  </si>
  <si>
    <t>tested</t>
  </si>
  <si>
    <t>Overall average</t>
    <phoneticPr fontId="2" type="noConversion"/>
  </si>
  <si>
    <t>v1.61</t>
    <phoneticPr fontId="2" type="noConversion"/>
  </si>
  <si>
    <t>增加支持cat1静态LiDAR数据</t>
    <phoneticPr fontId="2" type="noConversion"/>
  </si>
  <si>
    <t>增加Summary表单支持cat1统计，anchor数据为深度为0，K=0，M=0，所有属性扩展clipping</t>
    <phoneticPr fontId="2" type="noConversion"/>
  </si>
  <si>
    <t>bridge_1mm</t>
  </si>
  <si>
    <t>bridge_1mm</t>
    <phoneticPr fontId="2" type="noConversion"/>
  </si>
  <si>
    <t>range.AVSC1 limit-lossyG,lossyA,intra.bridge_1mm</t>
    <phoneticPr fontId="2" type="noConversion"/>
  </si>
  <si>
    <t>double_T_section_1mm</t>
  </si>
  <si>
    <t>double_T_section_1mm</t>
    <phoneticPr fontId="2" type="noConversion"/>
  </si>
  <si>
    <t>range.AVSC1 limit-lossyG,lossyA,intra.double_T_section_1mm</t>
    <phoneticPr fontId="2" type="noConversion"/>
  </si>
  <si>
    <t>intersection1_1mm</t>
  </si>
  <si>
    <t>intersection1_1mm</t>
    <phoneticPr fontId="2" type="noConversion"/>
  </si>
  <si>
    <t>range.AVSC1 limit-lossyG,lossyA,intra.intersection1_1mm</t>
    <phoneticPr fontId="2" type="noConversion"/>
  </si>
  <si>
    <t>intersection2_1mm</t>
  </si>
  <si>
    <t>range.AVSC1 limit-lossyG,lossyA,intra.intersection2_1mm</t>
    <phoneticPr fontId="2" type="noConversion"/>
  </si>
  <si>
    <t>straight_road_1mm</t>
  </si>
  <si>
    <t>straight_road_1mm</t>
    <phoneticPr fontId="2" type="noConversion"/>
  </si>
  <si>
    <t>range.AVSC1 limit-lossyG,lossyA,intra.straight_road_1mm</t>
    <phoneticPr fontId="2" type="noConversion"/>
  </si>
  <si>
    <t>T_section_1mm</t>
  </si>
  <si>
    <t>T_section_1mm</t>
    <phoneticPr fontId="2" type="noConversion"/>
  </si>
  <si>
    <t>range.AVSC1 limit-lossyG,lossyA,intra.T_section_1mm</t>
    <phoneticPr fontId="2" type="noConversion"/>
  </si>
  <si>
    <t>'AVSC1 limit-lossyG,lossyA,intra'!$A$59:$BT$64</t>
    <phoneticPr fontId="2" type="noConversion"/>
  </si>
  <si>
    <t>'AVSC1 limit-lossyG,lossyA,intra'!$A$65:$BT$70</t>
    <phoneticPr fontId="2" type="noConversion"/>
  </si>
  <si>
    <t>'AVSC1 limit-lossyG,lossyA,intra'!$A$71:$BT$76</t>
    <phoneticPr fontId="2" type="noConversion"/>
  </si>
  <si>
    <t>'AVSC1 limit-lossyG,lossyA,intra'!$A$77:$BT$82</t>
    <phoneticPr fontId="2" type="noConversion"/>
  </si>
  <si>
    <t>bridge_1mm</t>
    <phoneticPr fontId="2" type="noConversion"/>
  </si>
  <si>
    <t>range.AVSC2 losslG,lossyA,intra.bridge_1mm</t>
    <phoneticPr fontId="2" type="noConversion"/>
  </si>
  <si>
    <t>range.AVSC2 losslG,lossyA,intra.double_T_section_1mm</t>
    <phoneticPr fontId="2" type="noConversion"/>
  </si>
  <si>
    <t>range.AVSC2 losslG,lossyA,intra.intersection1_1mm</t>
    <phoneticPr fontId="2" type="noConversion"/>
  </si>
  <si>
    <t>range.AVSC2 losslG,lossyA,intra.intersection2_1mm</t>
    <phoneticPr fontId="2" type="noConversion"/>
  </si>
  <si>
    <t>range.AVSC2 losslG,lossyA,intra.straight_road_1mm</t>
    <phoneticPr fontId="2" type="noConversion"/>
  </si>
  <si>
    <t>range.AVSC2 losslG,lossyA,intra.T_section_1mm</t>
    <phoneticPr fontId="2" type="noConversion"/>
  </si>
  <si>
    <t>'AVSC2 losslG,lossyA,intra'!$A$59:$BL$64</t>
    <phoneticPr fontId="2" type="noConversion"/>
  </si>
  <si>
    <t>'AVSC2 losslG,lossyA,intra'!$A$65:$BL$70</t>
    <phoneticPr fontId="2" type="noConversion"/>
  </si>
  <si>
    <t>'AVSC2 losslG,lossyA,intra'!$A$71:$BL$76</t>
    <phoneticPr fontId="2" type="noConversion"/>
  </si>
  <si>
    <t>'AVSC2 losslG,lossyA,intra'!$A$77:$BL$82</t>
    <phoneticPr fontId="2" type="noConversion"/>
  </si>
  <si>
    <t>range.AVSC3 losslG,limit-lossyA,intra.bridge_1mm</t>
    <phoneticPr fontId="2" type="noConversion"/>
  </si>
  <si>
    <t>range.AVSC3 losslG,limit-lossyA,intra.double_T_section_1mm</t>
    <phoneticPr fontId="2" type="noConversion"/>
  </si>
  <si>
    <t>range.AVSC3 losslG,limit-lossyA,intra.intersection1_1mm</t>
    <phoneticPr fontId="2" type="noConversion"/>
  </si>
  <si>
    <t>range.AVSC3 losslG,limit-lossyA,intra.intersection2_1mm</t>
    <phoneticPr fontId="2" type="noConversion"/>
  </si>
  <si>
    <t>range.AVSC3 losslG,limit-lossyA,intra.straight_road_1mm</t>
    <phoneticPr fontId="2" type="noConversion"/>
  </si>
  <si>
    <t>range.AVSC3 losslG,limit-lossyA,intra.T_section_1mm</t>
    <phoneticPr fontId="2" type="noConversion"/>
  </si>
  <si>
    <t>'AVSC3 losslG,limit-lossyA,intra'!$A$50:$CD$54</t>
    <phoneticPr fontId="2" type="noConversion"/>
  </si>
  <si>
    <t>'AVSC3 losslG,limit-lossyA,intra'!$A$55:$CD$59</t>
    <phoneticPr fontId="2" type="noConversion"/>
  </si>
  <si>
    <t>'AVSC3 losslG,limit-lossyA,intra'!$A$60:$CD$64</t>
    <phoneticPr fontId="2" type="noConversion"/>
  </si>
  <si>
    <t>'AVSC3 losslG,limit-lossyA,intra'!$A$65:$CD$69</t>
    <phoneticPr fontId="2" type="noConversion"/>
  </si>
  <si>
    <t>'AVSC3 losslG,limit-lossyA,intra'!$A$75:$CD$79</t>
    <phoneticPr fontId="2" type="noConversion"/>
  </si>
  <si>
    <t>range.AVSC4 losslG,losslA,intra.bridge_1mm</t>
    <phoneticPr fontId="2" type="noConversion"/>
  </si>
  <si>
    <t>range.AVSC4 losslG,losslA,intra.double_T_section_1mm</t>
    <phoneticPr fontId="2" type="noConversion"/>
  </si>
  <si>
    <t>range.AVSC4 losslG,losslA,intra.intersection1_1mm</t>
    <phoneticPr fontId="2" type="noConversion"/>
  </si>
  <si>
    <t>range.AVSC4 losslG,losslA,intra.intersection2_1mm</t>
    <phoneticPr fontId="2" type="noConversion"/>
  </si>
  <si>
    <t>range.AVSC4 losslG,losslA,intra.straight_road_1mm</t>
    <phoneticPr fontId="2" type="noConversion"/>
  </si>
  <si>
    <t>range.AVSC4 losslG,losslA,intra.T_section_1mm</t>
    <phoneticPr fontId="2" type="noConversion"/>
  </si>
  <si>
    <t>'AVSC4 losslG,losslA,intra'!$A$13:$AY$13</t>
    <phoneticPr fontId="2" type="noConversion"/>
  </si>
  <si>
    <t>'AVSC4 losslG,losslA,intra'!$A$14:$AY$14</t>
    <phoneticPr fontId="2" type="noConversion"/>
  </si>
  <si>
    <t>'AVSC4 losslG,losslA,intra'!$A$15:$AY$15</t>
    <phoneticPr fontId="2" type="noConversion"/>
  </si>
  <si>
    <t>'AVSC4 losslG,losslA,intra'!$A$16:$AY$16</t>
    <phoneticPr fontId="2" type="noConversion"/>
  </si>
  <si>
    <t>'AVSC4 losslG,losslA,intra'!$A$17:$AY$17</t>
    <phoneticPr fontId="2" type="noConversion"/>
  </si>
  <si>
    <t>name.A.AVSC1 limit-lossyG,lossyA,ra</t>
    <phoneticPr fontId="2" type="noConversion"/>
  </si>
  <si>
    <t>name.B.AVSC1 limit-lossyG,lossyA,ra</t>
    <phoneticPr fontId="2" type="noConversion"/>
  </si>
  <si>
    <t>range.AVSC1 limit-lossyG,lossyA,ra.bridge_1mm</t>
    <phoneticPr fontId="2" type="noConversion"/>
  </si>
  <si>
    <t>range.AVSC1 limit-lossyG,lossyA,ra.double_T_section_1mm</t>
    <phoneticPr fontId="2" type="noConversion"/>
  </si>
  <si>
    <t>range.AVSC1 limit-lossyG,lossyA,ra.intersection1_1mm</t>
    <phoneticPr fontId="2" type="noConversion"/>
  </si>
  <si>
    <t>range.AVSC1 limit-lossyG,lossyA,ra.intersection2_1mm</t>
    <phoneticPr fontId="2" type="noConversion"/>
  </si>
  <si>
    <t>range.AVSC1 limit-lossyG,lossyA,ra.straight_road_1mm</t>
    <phoneticPr fontId="2" type="noConversion"/>
  </si>
  <si>
    <t>range.AVSC1 limit-lossyG,lossyA,ra.T_section_1mm</t>
    <phoneticPr fontId="2" type="noConversion"/>
  </si>
  <si>
    <t>'AVSC1 limit-lossyG,lossyA,ra'!$I$1</t>
    <phoneticPr fontId="2" type="noConversion"/>
  </si>
  <si>
    <t>'AVSC1 limit-lossyG,lossyA,ra'!$AF$1</t>
    <phoneticPr fontId="2" type="noConversion"/>
  </si>
  <si>
    <t>'AVSC1 limit-lossyG,lossyA,ra'!$A$5:$BT$10</t>
    <phoneticPr fontId="2" type="noConversion"/>
  </si>
  <si>
    <t>'AVSC1 limit-lossyG,lossyA,ra'!$A$11:$BT$16</t>
    <phoneticPr fontId="2" type="noConversion"/>
  </si>
  <si>
    <t>'AVSC1 limit-lossyG,lossyA,ra'!$A$17:$BT$22</t>
    <phoneticPr fontId="2" type="noConversion"/>
  </si>
  <si>
    <t>'AVSC1 limit-lossyG,lossyA,ra'!$A$23:$BT$28</t>
    <phoneticPr fontId="2" type="noConversion"/>
  </si>
  <si>
    <t>'AVSC1 limit-lossyG,lossyA,ra'!$A$29:$BT$34</t>
    <phoneticPr fontId="2" type="noConversion"/>
  </si>
  <si>
    <t>'AVSC1 limit-lossyG,lossyA,ra'!$A$35:$BT$40</t>
    <phoneticPr fontId="2" type="noConversion"/>
  </si>
  <si>
    <t>range.AVSC2 losslG,lossyA,ra.bridge_1mm</t>
    <phoneticPr fontId="2" type="noConversion"/>
  </si>
  <si>
    <t>range.AVSC2 losslG,lossyA,ra.double_T_section_1mm</t>
    <phoneticPr fontId="2" type="noConversion"/>
  </si>
  <si>
    <t>range.AVSC2 losslG,lossyA,ra.intersection1_1mm</t>
    <phoneticPr fontId="2" type="noConversion"/>
  </si>
  <si>
    <t>range.AVSC2 losslG,lossyA,ra.intersection2_1mm</t>
    <phoneticPr fontId="2" type="noConversion"/>
  </si>
  <si>
    <t>range.AVSC2 losslG,lossyA,ra.straight_road_1mm</t>
    <phoneticPr fontId="2" type="noConversion"/>
  </si>
  <si>
    <t>range.AVSC2 losslG,lossyA,ra.T_section_1mm</t>
    <phoneticPr fontId="2" type="noConversion"/>
  </si>
  <si>
    <t>range.AVSC3 losslG,limit-lossyA,ra.bridge_1mm</t>
    <phoneticPr fontId="2" type="noConversion"/>
  </si>
  <si>
    <t>range.AVSC3 losslG,limit-lossyA,ra.double_T_section_1mm</t>
    <phoneticPr fontId="2" type="noConversion"/>
  </si>
  <si>
    <t>range.AVSC3 losslG,limit-lossyA,ra.intersection1_1mm</t>
    <phoneticPr fontId="2" type="noConversion"/>
  </si>
  <si>
    <t>range.AVSC3 losslG,limit-lossyA,ra.intersection2_1mm</t>
    <phoneticPr fontId="2" type="noConversion"/>
  </si>
  <si>
    <t>range.AVSC3 losslG,limit-lossyA,ra.straight_road_1mm</t>
    <phoneticPr fontId="2" type="noConversion"/>
  </si>
  <si>
    <t>range.AVSC3 losslG,limit-lossyA,ra.T_section_1mm</t>
    <phoneticPr fontId="2" type="noConversion"/>
  </si>
  <si>
    <t>range.AVSC4 losslG,losslA,ra.bridge_1mm</t>
    <phoneticPr fontId="2" type="noConversion"/>
  </si>
  <si>
    <t>range.AVSC4 losslG,losslA,ra.double_T_section_1mm</t>
    <phoneticPr fontId="2" type="noConversion"/>
  </si>
  <si>
    <t>range.AVSC4 losslG,losslA,ra.intersection1_1mm</t>
    <phoneticPr fontId="2" type="noConversion"/>
  </si>
  <si>
    <t>range.AVSC4 losslG,losslA,ra.intersection2_1mm</t>
    <phoneticPr fontId="2" type="noConversion"/>
  </si>
  <si>
    <t>range.AVSC4 losslG,losslA,ra.straight_road_1mm</t>
    <phoneticPr fontId="2" type="noConversion"/>
  </si>
  <si>
    <t>range.AVSC4 losslG,losslA,ra.T_section_1mm</t>
    <phoneticPr fontId="2" type="noConversion"/>
  </si>
  <si>
    <t>v1.62</t>
    <phoneticPr fontId="2" type="noConversion"/>
  </si>
  <si>
    <t>增加AVSCat3作为可选的统计</t>
    <phoneticPr fontId="2" type="noConversion"/>
  </si>
  <si>
    <t>N2826</t>
    <phoneticPr fontId="2" type="noConversion"/>
  </si>
  <si>
    <t>AVSCat3 average</t>
    <phoneticPr fontId="2" type="noConversion"/>
  </si>
  <si>
    <t>Avg. Time [%]</t>
    <phoneticPr fontId="2" type="noConversion"/>
  </si>
  <si>
    <t>Avg. Enc Time</t>
    <phoneticPr fontId="2" type="noConversion"/>
  </si>
  <si>
    <t>Avg. Dec Time</t>
    <phoneticPr fontId="2" type="noConversion"/>
  </si>
  <si>
    <t xml:space="preserve"> </t>
    <phoneticPr fontId="2" type="noConversion"/>
  </si>
  <si>
    <t>Average</t>
  </si>
  <si>
    <t>AVSCat2-frame</t>
  </si>
  <si>
    <t>AVSCat3</t>
  </si>
  <si>
    <t>lossless geometry, lossy attributes [all intra]</t>
  </si>
  <si>
    <t>v1.7</t>
    <phoneticPr fontId="2" type="noConversion"/>
  </si>
  <si>
    <t>intersection2_1mm</t>
    <phoneticPr fontId="2" type="noConversion"/>
  </si>
  <si>
    <t xml:space="preserve"> </t>
    <phoneticPr fontId="2" type="noConversion"/>
  </si>
  <si>
    <t>intersection2_1mm</t>
    <phoneticPr fontId="2" type="noConversion"/>
  </si>
  <si>
    <t>增加Summary_per_set表单，修改intersection2_1mm为去完全重复点后的点数，数据更新至PCEM-v0.3</t>
    <phoneticPr fontId="2" type="noConversion"/>
  </si>
  <si>
    <t>v1.7-fix</t>
    <phoneticPr fontId="2" type="noConversion"/>
  </si>
  <si>
    <t>修正Summary C4表格笔误</t>
    <phoneticPr fontId="2" type="noConversion"/>
  </si>
  <si>
    <t>v1.71</t>
    <phoneticPr fontId="2" type="noConversion"/>
  </si>
  <si>
    <t>N2884</t>
    <phoneticPr fontId="2" type="noConversion"/>
  </si>
  <si>
    <t>AVSCat1A</t>
    <phoneticPr fontId="2" type="noConversion"/>
  </si>
  <si>
    <t>stanford_area_2_vox20</t>
    <phoneticPr fontId="2" type="noConversion"/>
  </si>
  <si>
    <t>stanford_area_4_vox20</t>
    <phoneticPr fontId="2" type="noConversion"/>
  </si>
  <si>
    <t>Church_vox16</t>
    <phoneticPr fontId="2" type="noConversion"/>
  </si>
  <si>
    <t>Courthouse_vox16</t>
    <phoneticPr fontId="2" type="noConversion"/>
  </si>
  <si>
    <t>Ignatius_vox11</t>
    <phoneticPr fontId="2" type="noConversion"/>
  </si>
  <si>
    <t>QQdog_vox15</t>
    <phoneticPr fontId="2" type="noConversion"/>
  </si>
  <si>
    <t>Truck_vox15</t>
    <phoneticPr fontId="2" type="noConversion"/>
  </si>
  <si>
    <t>AVSCat1B</t>
    <phoneticPr fontId="2" type="noConversion"/>
  </si>
  <si>
    <t>AVSCat1B average</t>
    <phoneticPr fontId="2" type="noConversion"/>
  </si>
  <si>
    <t>AVSCat1A average</t>
    <phoneticPr fontId="2" type="noConversion"/>
  </si>
  <si>
    <t>AVSCat1A+AVSCat2 average</t>
    <phoneticPr fontId="2" type="noConversion"/>
  </si>
  <si>
    <t>AVSCat1A time [%]</t>
    <phoneticPr fontId="2" type="noConversion"/>
  </si>
  <si>
    <t>AVSCat1B time [%]</t>
    <phoneticPr fontId="2" type="noConversion"/>
  </si>
  <si>
    <t>AVSCat2-frame average</t>
    <phoneticPr fontId="2" type="noConversion"/>
  </si>
  <si>
    <t>AVSCat2-frame time [%]</t>
    <phoneticPr fontId="2" type="noConversion"/>
  </si>
  <si>
    <t>AVSCat3 time [%]</t>
    <phoneticPr fontId="2" type="noConversion"/>
  </si>
  <si>
    <t>AVSCat1A+AVSCat2 average</t>
    <phoneticPr fontId="2" type="noConversion"/>
  </si>
  <si>
    <t>AVSCat1A+AVSCat2 time [%]</t>
    <phoneticPr fontId="2" type="noConversion"/>
  </si>
  <si>
    <t>Overall average</t>
    <phoneticPr fontId="2" type="noConversion"/>
  </si>
  <si>
    <t>Overall time [%]</t>
    <phoneticPr fontId="2" type="noConversion"/>
  </si>
  <si>
    <t>AVSCat1B average</t>
    <phoneticPr fontId="2" type="noConversion"/>
  </si>
  <si>
    <t>r01</t>
    <phoneticPr fontId="2" type="noConversion"/>
  </si>
  <si>
    <t>AVSCat1B average</t>
    <phoneticPr fontId="2" type="noConversion"/>
  </si>
  <si>
    <t>AVSCat1A+AVSCat2 average</t>
    <phoneticPr fontId="2" type="noConversion"/>
  </si>
  <si>
    <t>AVSCat1A</t>
    <phoneticPr fontId="2" type="noConversion"/>
  </si>
  <si>
    <t>AVSCat1B</t>
    <phoneticPr fontId="2" type="noConversion"/>
  </si>
  <si>
    <t>AVSCat1A</t>
    <phoneticPr fontId="2" type="noConversion"/>
  </si>
  <si>
    <t>AVSCat1B average</t>
    <phoneticPr fontId="2" type="noConversion"/>
  </si>
  <si>
    <t>AVSCat1A average</t>
    <phoneticPr fontId="2" type="noConversion"/>
  </si>
  <si>
    <t>stanford_area_2_vox20</t>
  </si>
  <si>
    <t>stanford_area_4_vox20</t>
  </si>
  <si>
    <t>Church_vox16</t>
  </si>
  <si>
    <t>Courthouse_vox16</t>
  </si>
  <si>
    <t>Truck_vox15</t>
  </si>
  <si>
    <t>AVSCat1B average</t>
    <phoneticPr fontId="2" type="noConversion"/>
  </si>
  <si>
    <t>AVSCat1B average</t>
    <phoneticPr fontId="2" type="noConversion"/>
  </si>
  <si>
    <t>AVSCat1A average</t>
    <phoneticPr fontId="2" type="noConversion"/>
  </si>
  <si>
    <t>增加数字博物馆数据集及统计刷新，绘图尚未更新</t>
    <phoneticPr fontId="2" type="noConversion"/>
  </si>
  <si>
    <t>AVSCat1A</t>
  </si>
  <si>
    <t>AVSCat1B</t>
  </si>
  <si>
    <t>Ignatius_vox11</t>
  </si>
  <si>
    <t>QQdog_vox15</t>
  </si>
  <si>
    <t>AVSCat1A+AVSCat2 average</t>
  </si>
  <si>
    <t>PCEM v0.3</t>
  </si>
  <si>
    <t>PCEM v0.4</t>
  </si>
  <si>
    <t>range.AVSC1 limit-lossyG,lossyA,intra.stanford_area_2_vox20</t>
    <phoneticPr fontId="2" type="noConversion"/>
  </si>
  <si>
    <t>Church_vox16</t>
    <phoneticPr fontId="2" type="noConversion"/>
  </si>
  <si>
    <t>range.AVSC1 limit-lossyG,lossyA,intra.Church_vox16</t>
    <phoneticPr fontId="2" type="noConversion"/>
  </si>
  <si>
    <t>range.AVSC1 limit-lossyG,lossyA,intra.stanford_area_4_vox20</t>
    <phoneticPr fontId="2" type="noConversion"/>
  </si>
  <si>
    <t>Courthouse_vox16</t>
    <phoneticPr fontId="2" type="noConversion"/>
  </si>
  <si>
    <t>range.AVSC1 limit-lossyG,lossyA,intra.Courthouse_vox16</t>
    <phoneticPr fontId="2" type="noConversion"/>
  </si>
  <si>
    <t>Ignatius_vox11</t>
    <phoneticPr fontId="2" type="noConversion"/>
  </si>
  <si>
    <t>range.AVSC1 limit-lossyG,lossyA,intra.Ignatius_vox11</t>
    <phoneticPr fontId="2" type="noConversion"/>
  </si>
  <si>
    <t>range.AVSC1 limit-lossyG,lossyA,intra.QQdog_vox15</t>
    <phoneticPr fontId="2" type="noConversion"/>
  </si>
  <si>
    <t>range.AVSC1 limit-lossyG,lossyA,intra.Truck_vox15</t>
    <phoneticPr fontId="2" type="noConversion"/>
  </si>
  <si>
    <t>'AVSC1 limit-lossyG,lossyA,intra'!$A$83:$BT$88</t>
    <phoneticPr fontId="2" type="noConversion"/>
  </si>
  <si>
    <t>'AVSC1 limit-lossyG,lossyA,intra'!$A$89:$BT$94</t>
    <phoneticPr fontId="2" type="noConversion"/>
  </si>
  <si>
    <t>'AVSC1 limit-lossyG,lossyA,intra'!$A$95:$BT$100</t>
    <phoneticPr fontId="2" type="noConversion"/>
  </si>
  <si>
    <t>'AVSC1 limit-lossyG,lossyA,intra'!$A$101:$BT$106</t>
    <phoneticPr fontId="2" type="noConversion"/>
  </si>
  <si>
    <t>'AVSC1 limit-lossyG,lossyA,intra'!$A$107:$BT$112</t>
    <phoneticPr fontId="2" type="noConversion"/>
  </si>
  <si>
    <t>'AVSC1 limit-lossyG,lossyA,intra'!$A$113:$BT$118</t>
    <phoneticPr fontId="2" type="noConversion"/>
  </si>
  <si>
    <t>'AVSC1 limit-lossyG,lossyA,intra'!$A$119:$BT$124</t>
    <phoneticPr fontId="2" type="noConversion"/>
  </si>
  <si>
    <t>'AVSC1 limit-lossyG,lossyA,intra'!$A$125:$BT$130</t>
    <phoneticPr fontId="2" type="noConversion"/>
  </si>
  <si>
    <t>'AVSC1 limit-lossyG,lossyA,intra'!$A$131:$BT$136</t>
    <phoneticPr fontId="2" type="noConversion"/>
  </si>
  <si>
    <t>range.AVSC2 losslG,lossyA,intra.stanford_area_2_vox20</t>
    <phoneticPr fontId="2" type="noConversion"/>
  </si>
  <si>
    <t>range.AVSC2 losslG,lossyA,intra.stanford_area_4_vox20</t>
    <phoneticPr fontId="2" type="noConversion"/>
  </si>
  <si>
    <t>range.AVSC2 losslG,lossyA,intra.Church_vox16</t>
    <phoneticPr fontId="2" type="noConversion"/>
  </si>
  <si>
    <t>range.AVSC2 losslG,lossyA,intra.Courthouse_vox16</t>
    <phoneticPr fontId="2" type="noConversion"/>
  </si>
  <si>
    <t>range.AVSC2 losslG,lossyA,intra.Ignatius_vox11</t>
    <phoneticPr fontId="2" type="noConversion"/>
  </si>
  <si>
    <t>range.AVSC2 losslG,lossyA,intra.QQdog_vox15</t>
    <phoneticPr fontId="2" type="noConversion"/>
  </si>
  <si>
    <t>range.AVSC2 losslG,lossyA,intra.Truck_vox15</t>
    <phoneticPr fontId="2" type="noConversion"/>
  </si>
  <si>
    <t>'AVSC2 losslG,lossyA,intra'!$A$83:$BL$88</t>
    <phoneticPr fontId="2" type="noConversion"/>
  </si>
  <si>
    <t>'AVSC2 losslG,lossyA,intra'!$A$89:$BL$94</t>
    <phoneticPr fontId="2" type="noConversion"/>
  </si>
  <si>
    <t>'AVSC2 losslG,lossyA,intra'!$A$95:$BL$100</t>
    <phoneticPr fontId="2" type="noConversion"/>
  </si>
  <si>
    <t>'AVSC2 losslG,lossyA,intra'!$A$101:$BL$106</t>
    <phoneticPr fontId="2" type="noConversion"/>
  </si>
  <si>
    <t>'AVSC2 losslG,lossyA,intra'!$A$107:$BL$112</t>
    <phoneticPr fontId="2" type="noConversion"/>
  </si>
  <si>
    <t>'AVSC2 losslG,lossyA,intra'!$A$113:$BL$118</t>
    <phoneticPr fontId="2" type="noConversion"/>
  </si>
  <si>
    <t>'AVSC2 losslG,lossyA,intra'!$A$119:$BL$124</t>
    <phoneticPr fontId="2" type="noConversion"/>
  </si>
  <si>
    <t>'AVSC2 losslG,lossyA,intra'!$A$125:$BL$130</t>
    <phoneticPr fontId="2" type="noConversion"/>
  </si>
  <si>
    <t>'AVSC2 losslG,lossyA,intra'!$A$131:$BL$136</t>
    <phoneticPr fontId="2" type="noConversion"/>
  </si>
  <si>
    <t>range.AVSC3 losslG,limit-lossyA,intra.stanford_area_2_vox20</t>
    <phoneticPr fontId="2" type="noConversion"/>
  </si>
  <si>
    <t>range.AVSC3 losslG,limit-lossyA,intra.stanford_area_4_vox20</t>
    <phoneticPr fontId="2" type="noConversion"/>
  </si>
  <si>
    <t>range.AVSC3 losslG,limit-lossyA,intra.Church_vox16</t>
    <phoneticPr fontId="2" type="noConversion"/>
  </si>
  <si>
    <t>range.AVSC3 losslG,limit-lossyA,intra.Courthouse_vox16</t>
    <phoneticPr fontId="2" type="noConversion"/>
  </si>
  <si>
    <t>range.AVSC3 losslG,limit-lossyA,intra.Ignatius_vox11</t>
    <phoneticPr fontId="2" type="noConversion"/>
  </si>
  <si>
    <t>range.AVSC3 losslG,limit-lossyA,intra.QQdog_vox15</t>
    <phoneticPr fontId="2" type="noConversion"/>
  </si>
  <si>
    <t>range.AVSC3 losslG,limit-lossyA,intra.Truck_vox15</t>
    <phoneticPr fontId="2" type="noConversion"/>
  </si>
  <si>
    <t>'AVSC3 losslG,limit-lossyA,intra'!$A$70:$CD$74</t>
    <phoneticPr fontId="2" type="noConversion"/>
  </si>
  <si>
    <t>'AVSC3 losslG,limit-lossyA,intra'!$A$80:$CD$84</t>
    <phoneticPr fontId="2" type="noConversion"/>
  </si>
  <si>
    <t>'AVSC3 losslG,limit-lossyA,intra'!$A$85:$CD$89</t>
    <phoneticPr fontId="2" type="noConversion"/>
  </si>
  <si>
    <t>'AVSC3 losslG,limit-lossyA,intra'!$A$90:$CD$94</t>
    <phoneticPr fontId="2" type="noConversion"/>
  </si>
  <si>
    <t>'AVSC3 losslG,limit-lossyA,intra'!$A$95:$CD$99</t>
    <phoneticPr fontId="2" type="noConversion"/>
  </si>
  <si>
    <t>'AVSC3 losslG,limit-lossyA,intra'!$A$100:$CD$104</t>
    <phoneticPr fontId="2" type="noConversion"/>
  </si>
  <si>
    <t>'AVSC3 losslG,limit-lossyA,intra'!$A$105:$CD$109</t>
    <phoneticPr fontId="2" type="noConversion"/>
  </si>
  <si>
    <t>'AVSC3 losslG,limit-lossyA,intra'!$A$110:$CD$114</t>
    <phoneticPr fontId="2" type="noConversion"/>
  </si>
  <si>
    <t>QQdog_vox15</t>
    <phoneticPr fontId="2" type="noConversion"/>
  </si>
  <si>
    <t>stanford_area_2_vox20</t>
    <phoneticPr fontId="2" type="noConversion"/>
  </si>
  <si>
    <t>range.AVSC4 losslG,losslA,intra.stanford_area_2_vox20</t>
    <phoneticPr fontId="2" type="noConversion"/>
  </si>
  <si>
    <t>range.AVSC4 losslG,losslA,intra.stanford_area_4_vox20</t>
    <phoneticPr fontId="2" type="noConversion"/>
  </si>
  <si>
    <t>range.AVSC4 losslG,losslA,intra.Church_vox16</t>
    <phoneticPr fontId="2" type="noConversion"/>
  </si>
  <si>
    <t>range.AVSC4 losslG,losslA,intra.Courthouse_vox16</t>
    <phoneticPr fontId="2" type="noConversion"/>
  </si>
  <si>
    <t>range.AVSC4 losslG,losslA,intra.Ignatius_vox11</t>
    <phoneticPr fontId="2" type="noConversion"/>
  </si>
  <si>
    <t>range.AVSC4 losslG,losslA,intra.QQdog_vox15</t>
    <phoneticPr fontId="2" type="noConversion"/>
  </si>
  <si>
    <t>Truck_vox15</t>
    <phoneticPr fontId="2" type="noConversion"/>
  </si>
  <si>
    <t>range.AVSC4 losslG,losslA,intra.Truck_vox15</t>
    <phoneticPr fontId="2" type="noConversion"/>
  </si>
  <si>
    <t>'AVSC4 losslG,losslA,intra'!$A$18:$AY$18</t>
    <phoneticPr fontId="2" type="noConversion"/>
  </si>
  <si>
    <t>'AVSC4 losslG,losslA,intra'!$A$19:$AY$19</t>
    <phoneticPr fontId="2" type="noConversion"/>
  </si>
  <si>
    <t>'AVSC4 losslG,losslA,intra'!$A$20:$AY$20</t>
    <phoneticPr fontId="2" type="noConversion"/>
  </si>
  <si>
    <t>'AVSC4 losslG,losslA,intra'!$A$21:$AY$21</t>
    <phoneticPr fontId="2" type="noConversion"/>
  </si>
  <si>
    <t>'AVSC4 losslG,losslA,intra'!$A$22:$AY$22</t>
    <phoneticPr fontId="2" type="noConversion"/>
  </si>
  <si>
    <t>'AVSC4 losslG,losslA,intra'!$A$23:$AY$23</t>
    <phoneticPr fontId="2" type="noConversion"/>
  </si>
  <si>
    <t>'AVSC4 losslG,losslA,intra'!$A$24:$AY$24</t>
    <phoneticPr fontId="2" type="noConversion"/>
  </si>
  <si>
    <t>'AVSC4 losslG,losslA,intra'!$A$25:$AY$25</t>
    <phoneticPr fontId="2" type="noConversion"/>
  </si>
  <si>
    <t>'AVSC4 losslG,losslA,intra'!$A$26:$AY$26</t>
    <phoneticPr fontId="2" type="noConversion"/>
  </si>
  <si>
    <t>range.AVSC1 limit-lossyG,lossyA,ra.stanford_area_2_vox20</t>
  </si>
  <si>
    <t>'AVSC1 limit-lossyG,lossyA,ra'!$A$41:$BT$46</t>
  </si>
  <si>
    <t>range.AVSC1 limit-lossyG,lossyA,ra.stanford_area_4_vox20</t>
  </si>
  <si>
    <t>'AVSC1 limit-lossyG,lossyA,ra'!$A$47:$BT$52</t>
  </si>
  <si>
    <t>range.AVSC1 limit-lossyG,lossyA,ra.Church_vox16</t>
  </si>
  <si>
    <t>'AVSC1 limit-lossyG,lossyA,ra'!$A$53:$BT$58</t>
  </si>
  <si>
    <t>range.AVSC1 limit-lossyG,lossyA,ra.Courthouse_vox16</t>
  </si>
  <si>
    <t>'AVSC1 limit-lossyG,lossyA,ra'!$A$59:$BT$64</t>
  </si>
  <si>
    <t>range.AVSC1 limit-lossyG,lossyA,ra.Ignatius_vox11</t>
  </si>
  <si>
    <t>'AVSC1 limit-lossyG,lossyA,ra'!$A$65:$BT$70</t>
  </si>
  <si>
    <t>range.AVSC1 limit-lossyG,lossyA,ra.QQdog_vox15</t>
  </si>
  <si>
    <t>'AVSC1 limit-lossyG,lossyA,ra'!$A$71:$BT$76</t>
  </si>
  <si>
    <t>range.AVSC1 limit-lossyG,lossyA,ra.Truck_vox15</t>
  </si>
  <si>
    <t>'AVSC1 limit-lossyG,lossyA,ra'!$A$77:$BT$82</t>
  </si>
  <si>
    <t>range.AVSC1 limit-lossyG,lossyA,ra.ford_01</t>
  </si>
  <si>
    <t>'AVSC1 limit-lossyG,lossyA,ra'!$A$83:$BT$88</t>
  </si>
  <si>
    <t>range.AVSC1 limit-lossyG,lossyA,ra.ford_02</t>
  </si>
  <si>
    <t>'AVSC1 limit-lossyG,lossyA,ra'!$A$89:$BT$94</t>
  </si>
  <si>
    <t>range.AVSC1 limit-lossyG,lossyA,ra.ford_03</t>
  </si>
  <si>
    <t>'AVSC1 limit-lossyG,lossyA,ra'!$A$95:$BT$100</t>
  </si>
  <si>
    <t>range.AVSC1 limit-lossyG,lossyA,ra.livox_01_all</t>
  </si>
  <si>
    <t>'AVSC1 limit-lossyG,lossyA,ra'!$A$101:$BT$106</t>
  </si>
  <si>
    <t>range.AVSC1 limit-lossyG,lossyA,ra.livox_02_all</t>
  </si>
  <si>
    <t>'AVSC1 limit-lossyG,lossyA,ra'!$A$107:$BT$112</t>
  </si>
  <si>
    <t>range.AVSC1 limit-lossyG,lossyA,ra.basketball_player_vox11</t>
  </si>
  <si>
    <t>'AVSC1 limit-lossyG,lossyA,ra'!$A$113:$BT$118</t>
  </si>
  <si>
    <t>range.AVSC1 limit-lossyG,lossyA,ra.dancer_player_vox11</t>
  </si>
  <si>
    <t>'AVSC1 limit-lossyG,lossyA,ra'!$A$119:$BT$124</t>
  </si>
  <si>
    <t>range.AVSC1 limit-lossyG,lossyA,ra.exercise_vox11</t>
  </si>
  <si>
    <t>'AVSC1 limit-lossyG,lossyA,ra'!$A$125:$BT$130</t>
  </si>
  <si>
    <t>range.AVSC1 limit-lossyG,lossyA,ra.model_vox11</t>
  </si>
  <si>
    <t>'AVSC1 limit-lossyG,lossyA,ra'!$A$131:$BT$136</t>
  </si>
  <si>
    <t>range.AVSC4 losslG,losslA,ra.stanford_area_4_vox20</t>
  </si>
  <si>
    <t>'AVSC4 losslG,losslA,ra'!$A$11:$AY$11</t>
  </si>
  <si>
    <t>range.AVSC4 losslG,losslA,ra.stanford_area_2_vox20</t>
  </si>
  <si>
    <t>'AVSC4 losslG,losslA,ra'!$A$12:$AY$12</t>
  </si>
  <si>
    <t>range.AVSC4 losslG,losslA,ra.Church_vox16</t>
  </si>
  <si>
    <t>'AVSC4 losslG,losslA,ra'!$A$13:$AY$13</t>
  </si>
  <si>
    <t>range.AVSC4 losslG,losslA,ra.Courthouse_vox16</t>
  </si>
  <si>
    <t>'AVSC4 losslG,losslA,ra'!$A$14:$AY$14</t>
  </si>
  <si>
    <t>range.AVSC4 losslG,losslA,ra.Ignatius_vox11</t>
  </si>
  <si>
    <t>'AVSC4 losslG,losslA,ra'!$A$15:$AY$15</t>
  </si>
  <si>
    <t>range.AVSC4 losslG,losslA,ra.QQdog_vox15</t>
  </si>
  <si>
    <t>'AVSC4 losslG,losslA,ra'!$A$16:$AY$16</t>
  </si>
  <si>
    <t>range.AVSC4 losslG,losslA,ra.Truck_vox15</t>
  </si>
  <si>
    <t>'AVSC4 losslG,losslA,ra'!$A$17:$AY$17</t>
  </si>
  <si>
    <t>'AVSC4 losslG,losslA,ra'!$A$18:$AY$18</t>
  </si>
  <si>
    <t>'AVSC4 losslG,losslA,ra'!$A$19:$AY$19</t>
  </si>
  <si>
    <t>'AVSC4 losslG,losslA,ra'!$A$20:$AY$20</t>
  </si>
  <si>
    <t>range.AVSC4 losslG,losslA,ra.livox_01_all</t>
  </si>
  <si>
    <t>'AVSC4 losslG,losslA,ra'!$A$21:$AY$21</t>
  </si>
  <si>
    <t>range.AVSC4 losslG,losslA,ra.livox_02_all</t>
  </si>
  <si>
    <t>'AVSC4 losslG,losslA,ra'!$A$22:$AY$22</t>
  </si>
  <si>
    <t>range.AVSC4 losslG,losslA,ra.basketball_player_vox11</t>
  </si>
  <si>
    <t>'AVSC4 losslG,losslA,ra'!$A$23:$AY$23</t>
  </si>
  <si>
    <t>range.AVSC4 losslG,losslA,ra.dancer_player_vox11</t>
  </si>
  <si>
    <t>'AVSC4 losslG,losslA,ra'!$A$24:$AY$24</t>
  </si>
  <si>
    <t>range.AVSC4 losslG,losslA,ra.exercise_vox11</t>
  </si>
  <si>
    <t>'AVSC4 losslG,losslA,ra'!$A$25:$AY$25</t>
  </si>
  <si>
    <t>range.AVSC4 losslG,losslA,ra.model_vox11</t>
  </si>
  <si>
    <t>'AVSC4 losslG,losslA,ra'!$A$26:$AY$26</t>
  </si>
  <si>
    <t>range.AVSC3 losslG,limit-lossyA,ra.stanford_area_2_vox20</t>
  </si>
  <si>
    <t>'AVSC3 losslG,limit-lossyA,ra'!$A$35:$CD$39</t>
  </si>
  <si>
    <t>range.AVSC3 losslG,limit-lossyA,ra.stanford_area_4_vox20</t>
  </si>
  <si>
    <t>'AVSC3 losslG,limit-lossyA,ra'!$A$40:$CD$44</t>
  </si>
  <si>
    <t>range.AVSC3 losslG,limit-lossyA,ra.Church_vox16</t>
  </si>
  <si>
    <t>'AVSC3 losslG,limit-lossyA,ra'!$A$45:$CD$49</t>
  </si>
  <si>
    <t>range.AVSC3 losslG,limit-lossyA,ra.Courthouse_vox16</t>
  </si>
  <si>
    <t>'AVSC3 losslG,limit-lossyA,ra'!$A$50:$CD$54</t>
  </si>
  <si>
    <t>range.AVSC3 losslG,limit-lossyA,ra.Ignatius_vox11</t>
  </si>
  <si>
    <t>'AVSC3 losslG,limit-lossyA,ra'!$A$55:$CD$59</t>
  </si>
  <si>
    <t>range.AVSC3 losslG,limit-lossyA,ra.QQdog_vox15</t>
  </si>
  <si>
    <t>'AVSC3 losslG,limit-lossyA,ra'!$A$60:$CD$64</t>
  </si>
  <si>
    <t>range.AVSC3 losslG,limit-lossyA,ra.Truck_vox15</t>
  </si>
  <si>
    <t>'AVSC3 losslG,limit-lossyA,ra'!$A$65:$CD$69</t>
  </si>
  <si>
    <t>'AVSC3 losslG,limit-lossyA,ra'!$A$70:$CD$74</t>
  </si>
  <si>
    <t>'AVSC3 losslG,limit-lossyA,ra'!$A$75:$CD$79</t>
  </si>
  <si>
    <t>'AVSC3 losslG,limit-lossyA,ra'!$A$80:$CD$84</t>
  </si>
  <si>
    <t>range.AVSC3 losslG,limit-lossyA,ra.livox_01_all</t>
  </si>
  <si>
    <t>'AVSC3 losslG,limit-lossyA,ra'!$A$85:$CD$89</t>
  </si>
  <si>
    <t>range.AVSC3 losslG,limit-lossyA,ra.livox_02_all</t>
  </si>
  <si>
    <t>'AVSC3 losslG,limit-lossyA,ra'!$A$90:$CD$94</t>
  </si>
  <si>
    <t>range.AVSC3 losslG,limit-lossyA,ra.basketball_player_vox11</t>
  </si>
  <si>
    <t>'AVSC3 losslG,limit-lossyA,ra'!$A$95:$CD$99</t>
  </si>
  <si>
    <t>range.AVSC3 losslG,limit-lossyA,ra.dancer_player_vox11</t>
  </si>
  <si>
    <t>'AVSC3 losslG,limit-lossyA,ra'!$A$100:$CD$104</t>
  </si>
  <si>
    <t>range.AVSC3 losslG,limit-lossyA,ra.exercise_vox11</t>
  </si>
  <si>
    <t>'AVSC3 losslG,limit-lossyA,ra'!$A$105:$CD$109</t>
  </si>
  <si>
    <t>range.AVSC3 losslG,limit-lossyA,ra.model_vox11</t>
  </si>
  <si>
    <t>'AVSC3 losslG,limit-lossyA,ra'!$A$110:$CD$114</t>
  </si>
  <si>
    <t>range.AVSC2 losslG,lossyA,ra.stanford_area_2_vox20</t>
  </si>
  <si>
    <t>'AVSC2 losslG,lossyA,ra'!$A$41:$BL$46</t>
  </si>
  <si>
    <t>range.AVSC2 losslG,lossyA,ra.stanford_area_4_vox20</t>
  </si>
  <si>
    <t>'AVSC2 losslG,lossyA,ra'!$A$47:$BL$52</t>
  </si>
  <si>
    <t>range.AVSC2 losslG,lossyA,ra.Church_vox16</t>
  </si>
  <si>
    <t>'AVSC2 losslG,lossyA,ra'!$A$53:$BL$58</t>
  </si>
  <si>
    <t>range.AVSC2 losslG,lossyA,ra.Courthouse_vox16</t>
  </si>
  <si>
    <t>'AVSC2 losslG,lossyA,ra'!$A$59:$BL$64</t>
  </si>
  <si>
    <t>range.AVSC2 losslG,lossyA,ra.Ignatius_vox11</t>
  </si>
  <si>
    <t>'AVSC2 losslG,lossyA,ra'!$A$65:$BL$70</t>
  </si>
  <si>
    <t>range.AVSC2 losslG,lossyA,ra.QQdog_vox15</t>
  </si>
  <si>
    <t>'AVSC2 losslG,lossyA,ra'!$A$71:$BL$76</t>
  </si>
  <si>
    <t>range.AVSC2 losslG,lossyA,ra.Truck_vox15</t>
  </si>
  <si>
    <t>'AVSC2 losslG,lossyA,ra'!$A$77:$BL$82</t>
  </si>
  <si>
    <t>'AVSC2 losslG,lossyA,ra'!$A$83:$BL$88</t>
  </si>
  <si>
    <t>'AVSC2 losslG,lossyA,ra'!$A$89:$BL$94</t>
  </si>
  <si>
    <t>'AVSC2 losslG,lossyA,ra'!$A$95:$BL$100</t>
  </si>
  <si>
    <t>range.AVSC2 losslG,lossyA,ra.livox_01_all</t>
  </si>
  <si>
    <t>'AVSC2 losslG,lossyA,ra'!$A$101:$BL$106</t>
  </si>
  <si>
    <t>range.AVSC2 losslG,lossyA,ra.livox_02_all</t>
  </si>
  <si>
    <t>'AVSC2 losslG,lossyA,ra'!$A$107:$BL$112</t>
  </si>
  <si>
    <t>range.AVSC2 losslG,lossyA,ra.basketball_player_vox11</t>
  </si>
  <si>
    <t>'AVSC2 losslG,lossyA,ra'!$A$113:$BL$118</t>
  </si>
  <si>
    <t>range.AVSC2 losslG,lossyA,ra.dancer_player_vox11</t>
  </si>
  <si>
    <t>'AVSC2 losslG,lossyA,ra'!$A$119:$BL$124</t>
  </si>
  <si>
    <t>range.AVSC2 losslG,lossyA,ra.exercise_vox11</t>
  </si>
  <si>
    <t>'AVSC2 losslG,lossyA,ra'!$A$125:$BL$130</t>
  </si>
  <si>
    <t>range.AVSC2 losslG,lossyA,ra.model_vox11</t>
  </si>
  <si>
    <t>'AVSC2 losslG,lossyA,ra'!$A$131:$BL$136</t>
  </si>
  <si>
    <t>AVSC1_ra</t>
    <phoneticPr fontId="2" type="noConversion"/>
  </si>
  <si>
    <t>AVSC2_ra</t>
    <phoneticPr fontId="2" type="noConversion"/>
  </si>
  <si>
    <t>AVSC3_ra</t>
    <phoneticPr fontId="2" type="noConversion"/>
  </si>
  <si>
    <t>End-to-End BD‑TotalRate [%]</t>
    <phoneticPr fontId="2" type="noConversion"/>
  </si>
  <si>
    <t>limit-lossy geometry, lossy attributes</t>
    <phoneticPr fontId="2" type="noConversion"/>
  </si>
  <si>
    <t>lossless geometry, limit-lossy attributes</t>
    <phoneticPr fontId="2" type="noConversion"/>
  </si>
  <si>
    <t>lossless geometry, lossless attributes</t>
    <phoneticPr fontId="2" type="noConversion"/>
  </si>
  <si>
    <t>lossless geometry, lossy attributes</t>
    <phoneticPr fontId="2" type="noConversion"/>
  </si>
  <si>
    <t>lossless geometry, lossless attributes</t>
    <phoneticPr fontId="2" type="noConversion"/>
  </si>
  <si>
    <t>lossless geometry, limit-lossy attributes</t>
    <phoneticPr fontId="2" type="noConversion"/>
  </si>
  <si>
    <t>End-to-End BD‑TotalRate [%]</t>
    <phoneticPr fontId="2" type="noConversion"/>
  </si>
  <si>
    <t>End-to-End BD‑TotalRate [%]</t>
    <phoneticPr fontId="2" type="noConversion"/>
  </si>
  <si>
    <t>Random Access</t>
    <phoneticPr fontId="2" type="noConversion"/>
  </si>
  <si>
    <t>End-to-End BD‑TotalRate [%]</t>
    <phoneticPr fontId="2" type="noConversion"/>
  </si>
  <si>
    <t>End-to-End BD‑TotalRate [%]</t>
    <phoneticPr fontId="2" type="noConversion"/>
  </si>
  <si>
    <t>AVSC2 losslG,lossyA,intra</t>
  </si>
  <si>
    <t>EtE Hausdorff BD‑TotalRate [%]</t>
    <phoneticPr fontId="2" type="noConversion"/>
  </si>
  <si>
    <t>AVSC1_ai</t>
    <phoneticPr fontId="2" type="noConversion"/>
  </si>
  <si>
    <t>v1.72</t>
    <phoneticPr fontId="2" type="noConversion"/>
  </si>
  <si>
    <t>绘图更新支持新增数字博物馆数据，增加Summary-totalrate表单</t>
    <phoneticPr fontId="2" type="noConversion"/>
  </si>
  <si>
    <t>6月中间会议</t>
    <phoneticPr fontId="2" type="noConversion"/>
  </si>
  <si>
    <t>mismatch</t>
  </si>
  <si>
    <t>pcrm-dev-3.2-attr-ccp</t>
  </si>
  <si>
    <t>pcrm-dev-3.3-attr-cache-impr</t>
  </si>
  <si>
    <t>v1.8</t>
    <phoneticPr fontId="2" type="noConversion"/>
  </si>
  <si>
    <t>v2.0</t>
    <phoneticPr fontId="2" type="noConversion"/>
  </si>
  <si>
    <t>使用PCEM v0.5结果作为 CFP reference</t>
    <phoneticPr fontId="2" type="noConversion"/>
  </si>
  <si>
    <t>针对anchor逆序导致结果错误的问题，逆序下采用正序部分计算。使用PCRM v1.0结果作为reference</t>
    <phoneticPr fontId="2" type="noConversion"/>
  </si>
  <si>
    <t>9月中间会议</t>
    <phoneticPr fontId="2" type="noConversion"/>
  </si>
  <si>
    <t>AVSCat1A average</t>
    <phoneticPr fontId="2" type="noConversion"/>
  </si>
  <si>
    <t>AVSC1_ra_limit-lossy geometry, lossy attributes</t>
    <phoneticPr fontId="2" type="noConversion"/>
  </si>
  <si>
    <t>AVSC2_ra_lossless geometry, lossy attributes</t>
    <phoneticPr fontId="2" type="noConversion"/>
  </si>
  <si>
    <t xml:space="preserve">AVSC3_ra_lossless geometry, limit-lossy attributes </t>
    <phoneticPr fontId="2" type="noConversion"/>
  </si>
  <si>
    <t>AVSC4_ra_lossless geometry, lossless attributes</t>
    <phoneticPr fontId="2" type="noConversion"/>
  </si>
  <si>
    <t>AVSC1_ai_limit-lossy geometry, lossy attributes [all intra]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</si>
</sst>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%"/>
    <numFmt numFmtId="177" formatCode="0.000"/>
    <numFmt numFmtId="178" formatCode="[&gt;1000]0;[&gt;100]0.0;0.00"/>
    <numFmt numFmtId="179" formatCode="[&gt;1000000]???.00,,\ &quot;G&quot;;[&gt;1000]???.00,\ &quot;M&quot;;???_._0_0\ &quot;k&quot;"/>
  </numFmts>
  <fonts count="13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theme="1"/>
      <name val="宋体"/>
      <family val="2"/>
      <charset val="129"/>
      <scheme val="minor"/>
    </font>
    <font>
      <b/>
      <sz val="9"/>
      <color indexed="8"/>
      <name val="Arial"/>
      <family val="2"/>
    </font>
    <font>
      <sz val="12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</font>
    <font>
      <sz val="11"/>
      <color theme="1"/>
      <name val="宋体"/>
      <family val="2"/>
      <scheme val="minor"/>
    </font>
  </fonts>
  <fills count="20">
    <fill>
      <patternFill patternType="none"/>
    </fill>
    <fill>
      <patternFill patternType="gray125"/>
    </fill>
    <fill>
      <patternFill patternType="lightUp">
        <fgColor rgb="FF404040"/>
        <bgColor auto="1"/>
      </patternFill>
    </fill>
    <fill>
      <patternFill patternType="solid">
        <fgColor rgb="FFFFFF00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Up">
        <fgColor rgb="FF404040"/>
        <bgColor theme="0"/>
      </patternFill>
    </fill>
    <fill>
      <patternFill patternType="solid">
        <fgColor theme="0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lightUp"/>
    </fill>
    <fill>
      <patternFill patternType="solid">
        <fgColor rgb="FFF2F2F2"/>
        <bgColor auto="1"/>
      </patternFill>
    </fill>
    <fill>
      <patternFill patternType="solid">
        <fgColor theme="6" tint="0.59996337778862885"/>
        <bgColor rgb="FFFFFFFF"/>
      </patternFill>
    </fill>
    <fill>
      <patternFill patternType="solid">
        <fgColor indexed="65"/>
        <bgColor rgb="FFFFFFFF"/>
      </patternFill>
    </fill>
    <fill>
      <patternFill patternType="solid">
        <fgColor rgb="FFFFFF00"/>
        <bgColor indexed="64"/>
      </patternFill>
    </fill>
  </fills>
  <borders count="9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5" fillId="0" borderId="0"/>
    <xf numFmtId="9" fontId="7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767">
    <xf numFmtId="0" fontId="0" fillId="0" borderId="0" xfId="0"/>
    <xf numFmtId="0" fontId="0" fillId="0" borderId="0" xfId="0"/>
    <xf numFmtId="176" fontId="0" fillId="0" borderId="0" xfId="0" applyNumberFormat="1" applyAlignment="1">
      <alignment horizontal="center"/>
    </xf>
    <xf numFmtId="0" fontId="0" fillId="3" borderId="0" xfId="0" applyFill="1"/>
    <xf numFmtId="2" fontId="0" fillId="4" borderId="0" xfId="0" applyNumberFormat="1" applyFill="1" applyAlignment="1">
      <alignment horizontal="center"/>
    </xf>
    <xf numFmtId="176" fontId="0" fillId="4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quotePrefix="1" applyNumberFormat="1" applyAlignment="1"/>
    <xf numFmtId="9" fontId="0" fillId="0" borderId="0" xfId="0" applyNumberFormat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/>
    <xf numFmtId="0" fontId="0" fillId="0" borderId="11" xfId="0" applyFill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Fill="1" applyBorder="1"/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/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177" fontId="0" fillId="0" borderId="7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179" fontId="0" fillId="0" borderId="8" xfId="0" applyNumberFormat="1" applyFill="1" applyBorder="1" applyAlignment="1">
      <alignment horizontal="center"/>
    </xf>
    <xf numFmtId="0" fontId="0" fillId="0" borderId="9" xfId="0" applyFill="1" applyBorder="1"/>
    <xf numFmtId="177" fontId="0" fillId="0" borderId="10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79" fontId="0" fillId="0" borderId="11" xfId="0" applyNumberFormat="1" applyFill="1" applyBorder="1" applyAlignment="1">
      <alignment horizontal="center"/>
    </xf>
    <xf numFmtId="0" fontId="0" fillId="0" borderId="12" xfId="0" applyFill="1" applyBorder="1"/>
    <xf numFmtId="177" fontId="0" fillId="0" borderId="18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179" fontId="0" fillId="0" borderId="14" xfId="0" applyNumberFormat="1" applyFill="1" applyBorder="1" applyAlignment="1">
      <alignment horizontal="center"/>
    </xf>
    <xf numFmtId="0" fontId="0" fillId="0" borderId="15" xfId="0" applyFill="1" applyBorder="1"/>
    <xf numFmtId="177" fontId="0" fillId="0" borderId="19" xfId="0" applyNumberFormat="1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179" fontId="0" fillId="0" borderId="16" xfId="0" applyNumberFormat="1" applyFill="1" applyBorder="1" applyAlignment="1">
      <alignment horizontal="center"/>
    </xf>
    <xf numFmtId="0" fontId="0" fillId="0" borderId="17" xfId="0" applyFill="1" applyBorder="1"/>
    <xf numFmtId="177" fontId="0" fillId="0" borderId="4" xfId="0" applyNumberFormat="1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179" fontId="0" fillId="0" borderId="5" xfId="0" applyNumberFormat="1" applyFill="1" applyBorder="1" applyAlignment="1">
      <alignment horizontal="center"/>
    </xf>
    <xf numFmtId="0" fontId="0" fillId="0" borderId="6" xfId="0" applyFill="1" applyBorder="1"/>
    <xf numFmtId="2" fontId="0" fillId="4" borderId="5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11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2" fontId="0" fillId="4" borderId="14" xfId="0" applyNumberFormat="1" applyFill="1" applyBorder="1" applyAlignment="1">
      <alignment horizontal="center"/>
    </xf>
    <xf numFmtId="2" fontId="0" fillId="4" borderId="16" xfId="0" applyNumberFormat="1" applyFill="1" applyBorder="1" applyAlignment="1">
      <alignment horizontal="center"/>
    </xf>
    <xf numFmtId="9" fontId="0" fillId="0" borderId="7" xfId="0" applyNumberFormat="1" applyFill="1" applyBorder="1" applyAlignment="1">
      <alignment horizontal="center"/>
    </xf>
    <xf numFmtId="9" fontId="0" fillId="0" borderId="8" xfId="0" applyNumberFormat="1" applyFill="1" applyBorder="1" applyAlignment="1">
      <alignment horizontal="center"/>
    </xf>
    <xf numFmtId="9" fontId="0" fillId="0" borderId="9" xfId="0" applyNumberFormat="1" applyFill="1" applyBorder="1" applyAlignment="1">
      <alignment horizontal="center"/>
    </xf>
    <xf numFmtId="9" fontId="0" fillId="0" borderId="10" xfId="0" applyNumberFormat="1" applyFill="1" applyBorder="1" applyAlignment="1">
      <alignment horizontal="center"/>
    </xf>
    <xf numFmtId="9" fontId="0" fillId="0" borderId="11" xfId="0" applyNumberFormat="1" applyFill="1" applyBorder="1" applyAlignment="1">
      <alignment horizontal="center"/>
    </xf>
    <xf numFmtId="9" fontId="0" fillId="0" borderId="12" xfId="0" applyNumberFormat="1" applyFill="1" applyBorder="1" applyAlignment="1">
      <alignment horizontal="center"/>
    </xf>
    <xf numFmtId="9" fontId="0" fillId="0" borderId="18" xfId="0" applyNumberFormat="1" applyFill="1" applyBorder="1" applyAlignment="1">
      <alignment horizontal="center"/>
    </xf>
    <xf numFmtId="9" fontId="0" fillId="0" borderId="14" xfId="0" applyNumberFormat="1" applyFill="1" applyBorder="1" applyAlignment="1">
      <alignment horizontal="center"/>
    </xf>
    <xf numFmtId="9" fontId="0" fillId="0" borderId="15" xfId="0" applyNumberFormat="1" applyFill="1" applyBorder="1" applyAlignment="1">
      <alignment horizontal="center"/>
    </xf>
    <xf numFmtId="9" fontId="0" fillId="0" borderId="19" xfId="0" applyNumberFormat="1" applyFill="1" applyBorder="1" applyAlignment="1">
      <alignment horizontal="center"/>
    </xf>
    <xf numFmtId="9" fontId="0" fillId="0" borderId="16" xfId="0" applyNumberFormat="1" applyFill="1" applyBorder="1" applyAlignment="1">
      <alignment horizontal="center"/>
    </xf>
    <xf numFmtId="9" fontId="0" fillId="0" borderId="17" xfId="0" applyNumberFormat="1" applyFill="1" applyBorder="1" applyAlignment="1">
      <alignment horizontal="center"/>
    </xf>
    <xf numFmtId="9" fontId="0" fillId="0" borderId="4" xfId="0" applyNumberFormat="1" applyFill="1" applyBorder="1" applyAlignment="1">
      <alignment horizontal="center"/>
    </xf>
    <xf numFmtId="9" fontId="0" fillId="0" borderId="5" xfId="0" applyNumberFormat="1" applyFill="1" applyBorder="1" applyAlignment="1">
      <alignment horizontal="center"/>
    </xf>
    <xf numFmtId="9" fontId="0" fillId="0" borderId="6" xfId="0" applyNumberFormat="1" applyFill="1" applyBorder="1" applyAlignment="1">
      <alignment horizontal="center"/>
    </xf>
    <xf numFmtId="0" fontId="1" fillId="6" borderId="10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wrapText="1"/>
    </xf>
    <xf numFmtId="0" fontId="1" fillId="6" borderId="12" xfId="0" applyFont="1" applyFill="1" applyBorder="1" applyAlignment="1">
      <alignment horizontal="center" wrapText="1"/>
    </xf>
    <xf numFmtId="176" fontId="0" fillId="0" borderId="7" xfId="0" applyNumberFormat="1" applyFill="1" applyBorder="1" applyAlignment="1">
      <alignment horizontal="center"/>
    </xf>
    <xf numFmtId="176" fontId="0" fillId="0" borderId="8" xfId="0" applyNumberFormat="1" applyFill="1" applyBorder="1" applyAlignment="1">
      <alignment horizontal="center"/>
    </xf>
    <xf numFmtId="176" fontId="0" fillId="0" borderId="9" xfId="0" applyNumberFormat="1" applyFill="1" applyBorder="1" applyAlignment="1">
      <alignment horizontal="center"/>
    </xf>
    <xf numFmtId="176" fontId="0" fillId="0" borderId="10" xfId="0" applyNumberFormat="1" applyFill="1" applyBorder="1" applyAlignment="1">
      <alignment horizontal="center"/>
    </xf>
    <xf numFmtId="176" fontId="0" fillId="0" borderId="11" xfId="0" applyNumberFormat="1" applyFill="1" applyBorder="1" applyAlignment="1">
      <alignment horizontal="center"/>
    </xf>
    <xf numFmtId="176" fontId="0" fillId="0" borderId="12" xfId="0" applyNumberFormat="1" applyFill="1" applyBorder="1" applyAlignment="1">
      <alignment horizontal="center"/>
    </xf>
    <xf numFmtId="176" fontId="0" fillId="0" borderId="18" xfId="0" applyNumberFormat="1" applyFill="1" applyBorder="1" applyAlignment="1">
      <alignment horizontal="center"/>
    </xf>
    <xf numFmtId="176" fontId="0" fillId="0" borderId="14" xfId="0" applyNumberFormat="1" applyFill="1" applyBorder="1" applyAlignment="1">
      <alignment horizontal="center"/>
    </xf>
    <xf numFmtId="176" fontId="0" fillId="0" borderId="15" xfId="0" applyNumberFormat="1" applyFill="1" applyBorder="1" applyAlignment="1">
      <alignment horizontal="center"/>
    </xf>
    <xf numFmtId="176" fontId="0" fillId="0" borderId="19" xfId="0" applyNumberFormat="1" applyFill="1" applyBorder="1" applyAlignment="1">
      <alignment horizontal="center"/>
    </xf>
    <xf numFmtId="176" fontId="0" fillId="0" borderId="16" xfId="0" applyNumberFormat="1" applyFill="1" applyBorder="1" applyAlignment="1">
      <alignment horizontal="center"/>
    </xf>
    <xf numFmtId="176" fontId="0" fillId="0" borderId="17" xfId="0" applyNumberFormat="1" applyFill="1" applyBorder="1" applyAlignment="1">
      <alignment horizontal="center"/>
    </xf>
    <xf numFmtId="176" fontId="0" fillId="0" borderId="6" xfId="0" applyNumberFormat="1" applyFill="1" applyBorder="1" applyAlignment="1">
      <alignment horizontal="center"/>
    </xf>
    <xf numFmtId="176" fontId="0" fillId="4" borderId="8" xfId="0" applyNumberFormat="1" applyFill="1" applyBorder="1" applyAlignment="1">
      <alignment horizontal="center"/>
    </xf>
    <xf numFmtId="176" fontId="0" fillId="4" borderId="11" xfId="0" applyNumberFormat="1" applyFill="1" applyBorder="1" applyAlignment="1">
      <alignment horizontal="center"/>
    </xf>
    <xf numFmtId="176" fontId="0" fillId="4" borderId="14" xfId="0" applyNumberFormat="1" applyFill="1" applyBorder="1" applyAlignment="1">
      <alignment horizontal="center"/>
    </xf>
    <xf numFmtId="176" fontId="0" fillId="4" borderId="5" xfId="0" applyNumberFormat="1" applyFill="1" applyBorder="1" applyAlignment="1">
      <alignment horizontal="center"/>
    </xf>
    <xf numFmtId="0" fontId="0" fillId="0" borderId="19" xfId="0" applyFill="1" applyBorder="1"/>
    <xf numFmtId="176" fontId="0" fillId="4" borderId="16" xfId="0" applyNumberFormat="1" applyFill="1" applyBorder="1" applyAlignment="1">
      <alignment horizontal="center"/>
    </xf>
    <xf numFmtId="0" fontId="1" fillId="0" borderId="23" xfId="0" applyFont="1" applyFill="1" applyBorder="1" applyAlignment="1">
      <alignment horizontal="center" textRotation="90" wrapText="1"/>
    </xf>
    <xf numFmtId="0" fontId="1" fillId="0" borderId="20" xfId="0" applyFont="1" applyFill="1" applyBorder="1" applyAlignment="1">
      <alignment horizontal="center" textRotation="90" wrapText="1"/>
    </xf>
    <xf numFmtId="0" fontId="1" fillId="0" borderId="13" xfId="0" applyFont="1" applyFill="1" applyBorder="1" applyAlignment="1">
      <alignment horizontal="center" textRotation="90" wrapText="1"/>
    </xf>
    <xf numFmtId="0" fontId="0" fillId="0" borderId="4" xfId="0" applyFill="1" applyBorder="1"/>
    <xf numFmtId="0" fontId="1" fillId="8" borderId="23" xfId="0" applyFont="1" applyFill="1" applyBorder="1" applyAlignment="1">
      <alignment horizontal="center" textRotation="90" wrapText="1"/>
    </xf>
    <xf numFmtId="0" fontId="1" fillId="8" borderId="20" xfId="0" applyFont="1" applyFill="1" applyBorder="1" applyAlignment="1">
      <alignment horizontal="center" textRotation="90" wrapText="1"/>
    </xf>
    <xf numFmtId="0" fontId="1" fillId="8" borderId="13" xfId="0" applyFont="1" applyFill="1" applyBorder="1" applyAlignment="1">
      <alignment horizontal="center" textRotation="90" wrapText="1"/>
    </xf>
    <xf numFmtId="0" fontId="1" fillId="0" borderId="27" xfId="0" applyFont="1" applyFill="1" applyBorder="1" applyAlignment="1">
      <alignment horizontal="center" textRotation="90" wrapText="1"/>
    </xf>
    <xf numFmtId="0" fontId="1" fillId="0" borderId="28" xfId="0" applyFont="1" applyFill="1" applyBorder="1" applyAlignment="1">
      <alignment horizontal="center" textRotation="90" wrapText="1"/>
    </xf>
    <xf numFmtId="0" fontId="1" fillId="0" borderId="29" xfId="0" applyFont="1" applyFill="1" applyBorder="1" applyAlignment="1">
      <alignment horizontal="center" textRotation="90" wrapText="1"/>
    </xf>
    <xf numFmtId="176" fontId="0" fillId="10" borderId="4" xfId="0" applyNumberFormat="1" applyFill="1" applyBorder="1" applyAlignment="1">
      <alignment horizontal="center"/>
    </xf>
    <xf numFmtId="176" fontId="0" fillId="10" borderId="5" xfId="0" applyNumberFormat="1" applyFill="1" applyBorder="1" applyAlignment="1">
      <alignment horizontal="center"/>
    </xf>
    <xf numFmtId="176" fontId="0" fillId="10" borderId="7" xfId="0" applyNumberFormat="1" applyFill="1" applyBorder="1" applyAlignment="1">
      <alignment horizontal="center"/>
    </xf>
    <xf numFmtId="176" fontId="0" fillId="10" borderId="8" xfId="0" applyNumberFormat="1" applyFill="1" applyBorder="1" applyAlignment="1">
      <alignment horizontal="center"/>
    </xf>
    <xf numFmtId="176" fontId="0" fillId="11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0" borderId="11" xfId="0" applyNumberFormat="1" applyFill="1" applyBorder="1" applyAlignment="1">
      <alignment horizontal="center"/>
    </xf>
    <xf numFmtId="176" fontId="0" fillId="11" borderId="12" xfId="0" applyNumberFormat="1" applyFill="1" applyBorder="1" applyAlignment="1">
      <alignment horizontal="center"/>
    </xf>
    <xf numFmtId="0" fontId="1" fillId="12" borderId="18" xfId="0" applyFont="1" applyFill="1" applyBorder="1" applyAlignment="1">
      <alignment horizontal="center" wrapText="1"/>
    </xf>
    <xf numFmtId="0" fontId="1" fillId="12" borderId="14" xfId="0" applyFont="1" applyFill="1" applyBorder="1" applyAlignment="1">
      <alignment horizontal="center" wrapText="1"/>
    </xf>
    <xf numFmtId="0" fontId="1" fillId="12" borderId="15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0" xfId="0" applyFill="1" applyBorder="1"/>
    <xf numFmtId="0" fontId="1" fillId="0" borderId="31" xfId="0" applyFont="1" applyFill="1" applyBorder="1" applyAlignment="1">
      <alignment horizontal="center" textRotation="90" wrapText="1"/>
    </xf>
    <xf numFmtId="0" fontId="1" fillId="0" borderId="32" xfId="0" applyFont="1" applyFill="1" applyBorder="1" applyAlignment="1">
      <alignment horizontal="center" textRotation="90" wrapText="1"/>
    </xf>
    <xf numFmtId="0" fontId="1" fillId="0" borderId="33" xfId="0" applyFont="1" applyFill="1" applyBorder="1" applyAlignment="1">
      <alignment horizontal="center" textRotation="90" wrapText="1"/>
    </xf>
    <xf numFmtId="9" fontId="0" fillId="8" borderId="4" xfId="0" applyNumberFormat="1" applyFill="1" applyBorder="1" applyAlignment="1">
      <alignment horizontal="center"/>
    </xf>
    <xf numFmtId="9" fontId="0" fillId="8" borderId="5" xfId="0" applyNumberFormat="1" applyFill="1" applyBorder="1" applyAlignment="1">
      <alignment horizontal="center"/>
    </xf>
    <xf numFmtId="9" fontId="0" fillId="8" borderId="6" xfId="0" applyNumberFormat="1" applyFill="1" applyBorder="1" applyAlignment="1">
      <alignment horizontal="center"/>
    </xf>
    <xf numFmtId="9" fontId="0" fillId="8" borderId="7" xfId="0" applyNumberFormat="1" applyFill="1" applyBorder="1" applyAlignment="1">
      <alignment horizontal="center"/>
    </xf>
    <xf numFmtId="9" fontId="0" fillId="8" borderId="8" xfId="0" applyNumberFormat="1" applyFill="1" applyBorder="1" applyAlignment="1">
      <alignment horizontal="center"/>
    </xf>
    <xf numFmtId="9" fontId="0" fillId="8" borderId="9" xfId="0" applyNumberFormat="1" applyFill="1" applyBorder="1" applyAlignment="1">
      <alignment horizontal="center"/>
    </xf>
    <xf numFmtId="9" fontId="0" fillId="8" borderId="10" xfId="0" applyNumberFormat="1" applyFill="1" applyBorder="1" applyAlignment="1">
      <alignment horizontal="center"/>
    </xf>
    <xf numFmtId="9" fontId="0" fillId="8" borderId="11" xfId="0" applyNumberFormat="1" applyFill="1" applyBorder="1" applyAlignment="1">
      <alignment horizontal="center"/>
    </xf>
    <xf numFmtId="9" fontId="0" fillId="8" borderId="12" xfId="0" applyNumberFormat="1" applyFill="1" applyBorder="1" applyAlignment="1">
      <alignment horizontal="center"/>
    </xf>
    <xf numFmtId="9" fontId="0" fillId="8" borderId="18" xfId="0" applyNumberFormat="1" applyFill="1" applyBorder="1" applyAlignment="1">
      <alignment horizontal="center"/>
    </xf>
    <xf numFmtId="9" fontId="0" fillId="8" borderId="14" xfId="0" applyNumberFormat="1" applyFill="1" applyBorder="1" applyAlignment="1">
      <alignment horizontal="center"/>
    </xf>
    <xf numFmtId="9" fontId="0" fillId="8" borderId="15" xfId="0" applyNumberFormat="1" applyFill="1" applyBorder="1" applyAlignment="1">
      <alignment horizontal="center"/>
    </xf>
    <xf numFmtId="9" fontId="0" fillId="8" borderId="19" xfId="0" applyNumberFormat="1" applyFill="1" applyBorder="1" applyAlignment="1">
      <alignment horizontal="center"/>
    </xf>
    <xf numFmtId="9" fontId="0" fillId="8" borderId="16" xfId="0" applyNumberFormat="1" applyFill="1" applyBorder="1" applyAlignment="1">
      <alignment horizontal="center"/>
    </xf>
    <xf numFmtId="9" fontId="0" fillId="8" borderId="17" xfId="0" applyNumberFormat="1" applyFill="1" applyBorder="1" applyAlignment="1">
      <alignment horizontal="center"/>
    </xf>
    <xf numFmtId="176" fontId="0" fillId="10" borderId="18" xfId="0" applyNumberFormat="1" applyFill="1" applyBorder="1" applyAlignment="1">
      <alignment horizontal="center"/>
    </xf>
    <xf numFmtId="176" fontId="0" fillId="10" borderId="14" xfId="0" applyNumberFormat="1" applyFill="1" applyBorder="1" applyAlignment="1">
      <alignment horizontal="center"/>
    </xf>
    <xf numFmtId="176" fontId="0" fillId="11" borderId="15" xfId="0" applyNumberFormat="1" applyFill="1" applyBorder="1" applyAlignment="1">
      <alignment horizontal="center"/>
    </xf>
    <xf numFmtId="176" fontId="0" fillId="10" borderId="19" xfId="0" applyNumberFormat="1" applyFill="1" applyBorder="1" applyAlignment="1">
      <alignment horizontal="center"/>
    </xf>
    <xf numFmtId="176" fontId="0" fillId="10" borderId="16" xfId="0" applyNumberFormat="1" applyFill="1" applyBorder="1" applyAlignment="1">
      <alignment horizontal="center"/>
    </xf>
    <xf numFmtId="176" fontId="0" fillId="11" borderId="17" xfId="0" applyNumberFormat="1" applyFill="1" applyBorder="1" applyAlignment="1">
      <alignment horizontal="center"/>
    </xf>
    <xf numFmtId="0" fontId="0" fillId="11" borderId="4" xfId="0" applyFill="1" applyBorder="1"/>
    <xf numFmtId="0" fontId="0" fillId="11" borderId="5" xfId="0" applyFill="1" applyBorder="1"/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8" borderId="0" xfId="0" applyFill="1"/>
    <xf numFmtId="0" fontId="0" fillId="11" borderId="7" xfId="0" applyFill="1" applyBorder="1"/>
    <xf numFmtId="0" fontId="0" fillId="11" borderId="8" xfId="0" applyFill="1" applyBorder="1"/>
    <xf numFmtId="0" fontId="0" fillId="11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/>
    <xf numFmtId="0" fontId="0" fillId="11" borderId="11" xfId="0" applyFill="1" applyBorder="1" applyAlignment="1">
      <alignment horizontal="center"/>
    </xf>
    <xf numFmtId="9" fontId="0" fillId="11" borderId="4" xfId="0" applyNumberFormat="1" applyFill="1" applyBorder="1" applyAlignment="1">
      <alignment horizontal="center"/>
    </xf>
    <xf numFmtId="177" fontId="0" fillId="11" borderId="5" xfId="0" applyNumberFormat="1" applyFill="1" applyBorder="1" applyAlignment="1">
      <alignment horizontal="center"/>
    </xf>
    <xf numFmtId="2" fontId="0" fillId="11" borderId="5" xfId="0" applyNumberFormat="1" applyFill="1" applyBorder="1" applyAlignment="1">
      <alignment horizontal="center"/>
    </xf>
    <xf numFmtId="2" fontId="0" fillId="10" borderId="5" xfId="0" applyNumberFormat="1" applyFill="1" applyBorder="1" applyAlignment="1">
      <alignment horizontal="center"/>
    </xf>
    <xf numFmtId="178" fontId="0" fillId="11" borderId="5" xfId="0" applyNumberFormat="1" applyFill="1" applyBorder="1" applyAlignment="1">
      <alignment horizontal="center"/>
    </xf>
    <xf numFmtId="179" fontId="0" fillId="11" borderId="5" xfId="0" applyNumberFormat="1" applyFill="1" applyBorder="1" applyAlignment="1">
      <alignment horizontal="center"/>
    </xf>
    <xf numFmtId="0" fontId="0" fillId="11" borderId="6" xfId="0" applyFill="1" applyBorder="1"/>
    <xf numFmtId="9" fontId="0" fillId="11" borderId="7" xfId="0" applyNumberFormat="1" applyFill="1" applyBorder="1" applyAlignment="1">
      <alignment horizontal="center"/>
    </xf>
    <xf numFmtId="177" fontId="0" fillId="11" borderId="8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2" fontId="0" fillId="10" borderId="8" xfId="0" applyNumberFormat="1" applyFill="1" applyBorder="1" applyAlignment="1">
      <alignment horizontal="center"/>
    </xf>
    <xf numFmtId="178" fontId="0" fillId="11" borderId="8" xfId="0" applyNumberFormat="1" applyFill="1" applyBorder="1" applyAlignment="1">
      <alignment horizontal="center"/>
    </xf>
    <xf numFmtId="179" fontId="0" fillId="11" borderId="8" xfId="0" applyNumberFormat="1" applyFill="1" applyBorder="1" applyAlignment="1">
      <alignment horizontal="center"/>
    </xf>
    <xf numFmtId="0" fontId="0" fillId="11" borderId="9" xfId="0" applyFill="1" applyBorder="1"/>
    <xf numFmtId="9" fontId="0" fillId="11" borderId="10" xfId="0" applyNumberFormat="1" applyFill="1" applyBorder="1" applyAlignment="1">
      <alignment horizontal="center"/>
    </xf>
    <xf numFmtId="177" fontId="0" fillId="11" borderId="11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0" borderId="11" xfId="0" applyNumberFormat="1" applyFill="1" applyBorder="1" applyAlignment="1">
      <alignment horizontal="center"/>
    </xf>
    <xf numFmtId="178" fontId="0" fillId="11" borderId="11" xfId="0" applyNumberFormat="1" applyFill="1" applyBorder="1" applyAlignment="1">
      <alignment horizontal="center"/>
    </xf>
    <xf numFmtId="179" fontId="0" fillId="11" borderId="11" xfId="0" applyNumberFormat="1" applyFill="1" applyBorder="1" applyAlignment="1">
      <alignment horizontal="center"/>
    </xf>
    <xf numFmtId="0" fontId="0" fillId="11" borderId="12" xfId="0" applyFill="1" applyBorder="1"/>
    <xf numFmtId="176" fontId="0" fillId="11" borderId="4" xfId="0" applyNumberFormat="1" applyFill="1" applyBorder="1" applyAlignment="1">
      <alignment horizontal="center"/>
    </xf>
    <xf numFmtId="176" fontId="0" fillId="11" borderId="5" xfId="0" applyNumberFormat="1" applyFill="1" applyBorder="1" applyAlignment="1">
      <alignment horizontal="center"/>
    </xf>
    <xf numFmtId="9" fontId="0" fillId="11" borderId="5" xfId="0" applyNumberFormat="1" applyFill="1" applyBorder="1" applyAlignment="1">
      <alignment horizontal="center"/>
    </xf>
    <xf numFmtId="9" fontId="0" fillId="11" borderId="6" xfId="0" applyNumberFormat="1" applyFill="1" applyBorder="1" applyAlignment="1">
      <alignment horizontal="center"/>
    </xf>
    <xf numFmtId="176" fontId="0" fillId="11" borderId="7" xfId="0" applyNumberFormat="1" applyFill="1" applyBorder="1" applyAlignment="1">
      <alignment horizontal="center"/>
    </xf>
    <xf numFmtId="176" fontId="0" fillId="11" borderId="8" xfId="0" applyNumberFormat="1" applyFill="1" applyBorder="1" applyAlignment="1">
      <alignment horizontal="center"/>
    </xf>
    <xf numFmtId="9" fontId="0" fillId="11" borderId="8" xfId="0" applyNumberFormat="1" applyFill="1" applyBorder="1" applyAlignment="1">
      <alignment horizontal="center"/>
    </xf>
    <xf numFmtId="9" fontId="0" fillId="11" borderId="9" xfId="0" applyNumberFormat="1" applyFill="1" applyBorder="1" applyAlignment="1">
      <alignment horizontal="center"/>
    </xf>
    <xf numFmtId="176" fontId="0" fillId="11" borderId="10" xfId="0" applyNumberFormat="1" applyFill="1" applyBorder="1" applyAlignment="1">
      <alignment horizontal="center"/>
    </xf>
    <xf numFmtId="176" fontId="0" fillId="11" borderId="11" xfId="0" applyNumberFormat="1" applyFill="1" applyBorder="1" applyAlignment="1">
      <alignment horizontal="center"/>
    </xf>
    <xf numFmtId="9" fontId="0" fillId="11" borderId="11" xfId="0" applyNumberFormat="1" applyFill="1" applyBorder="1" applyAlignment="1">
      <alignment horizontal="center"/>
    </xf>
    <xf numFmtId="9" fontId="0" fillId="11" borderId="12" xfId="0" applyNumberFormat="1" applyFill="1" applyBorder="1" applyAlignment="1">
      <alignment horizontal="center"/>
    </xf>
    <xf numFmtId="176" fontId="0" fillId="8" borderId="17" xfId="0" applyNumberFormat="1" applyFill="1" applyBorder="1" applyAlignment="1">
      <alignment horizontal="center"/>
    </xf>
    <xf numFmtId="0" fontId="0" fillId="0" borderId="25" xfId="0" applyFill="1" applyBorder="1"/>
    <xf numFmtId="0" fontId="0" fillId="0" borderId="0" xfId="0" quotePrefix="1"/>
    <xf numFmtId="0" fontId="6" fillId="0" borderId="0" xfId="1" applyFont="1" applyBorder="1"/>
    <xf numFmtId="0" fontId="0" fillId="0" borderId="34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4" xfId="0" applyBorder="1"/>
    <xf numFmtId="0" fontId="0" fillId="0" borderId="10" xfId="0" applyBorder="1"/>
    <xf numFmtId="0" fontId="1" fillId="8" borderId="1" xfId="0" applyFont="1" applyFill="1" applyBorder="1"/>
    <xf numFmtId="0" fontId="1" fillId="8" borderId="37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176" fontId="0" fillId="2" borderId="5" xfId="0" applyNumberFormat="1" applyFill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176" fontId="0" fillId="0" borderId="12" xfId="0" applyNumberFormat="1" applyBorder="1" applyAlignment="1">
      <alignment horizontal="center"/>
    </xf>
    <xf numFmtId="176" fontId="0" fillId="2" borderId="35" xfId="0" applyNumberFormat="1" applyFill="1" applyBorder="1" applyAlignment="1">
      <alignment horizontal="center"/>
    </xf>
    <xf numFmtId="0" fontId="1" fillId="8" borderId="11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0" fillId="0" borderId="45" xfId="0" applyBorder="1"/>
    <xf numFmtId="0" fontId="1" fillId="0" borderId="0" xfId="0" applyFont="1" applyFill="1"/>
    <xf numFmtId="0" fontId="1" fillId="0" borderId="1" xfId="0" applyFont="1" applyFill="1" applyBorder="1"/>
    <xf numFmtId="0" fontId="0" fillId="8" borderId="5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1" fillId="8" borderId="14" xfId="0" applyFont="1" applyFill="1" applyBorder="1" applyAlignment="1">
      <alignment horizontal="center" vertical="center" wrapText="1"/>
    </xf>
    <xf numFmtId="0" fontId="1" fillId="8" borderId="15" xfId="0" applyFont="1" applyFill="1" applyBorder="1" applyAlignment="1">
      <alignment horizontal="center" vertical="center" wrapText="1"/>
    </xf>
    <xf numFmtId="0" fontId="1" fillId="6" borderId="10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wrapText="1"/>
    </xf>
    <xf numFmtId="0" fontId="1" fillId="6" borderId="12" xfId="0" applyFont="1" applyFill="1" applyBorder="1" applyAlignment="1">
      <alignment horizontal="center" wrapText="1"/>
    </xf>
    <xf numFmtId="0" fontId="0" fillId="0" borderId="18" xfId="0" applyFill="1" applyBorder="1"/>
    <xf numFmtId="0" fontId="0" fillId="0" borderId="57" xfId="0" applyFill="1" applyBorder="1" applyAlignment="1">
      <alignment horizontal="center"/>
    </xf>
    <xf numFmtId="0" fontId="0" fillId="0" borderId="34" xfId="0" applyFill="1" applyBorder="1"/>
    <xf numFmtId="0" fontId="0" fillId="0" borderId="26" xfId="0" applyFill="1" applyBorder="1" applyAlignment="1">
      <alignment horizontal="center"/>
    </xf>
    <xf numFmtId="0" fontId="0" fillId="8" borderId="0" xfId="0" applyFill="1" applyBorder="1"/>
    <xf numFmtId="0" fontId="0" fillId="11" borderId="18" xfId="0" applyFill="1" applyBorder="1"/>
    <xf numFmtId="0" fontId="0" fillId="8" borderId="45" xfId="0" applyFill="1" applyBorder="1"/>
    <xf numFmtId="0" fontId="0" fillId="11" borderId="14" xfId="0" applyFill="1" applyBorder="1" applyAlignment="1">
      <alignment horizontal="center"/>
    </xf>
    <xf numFmtId="0" fontId="1" fillId="9" borderId="11" xfId="0" applyFont="1" applyFill="1" applyBorder="1" applyAlignment="1">
      <alignment horizontal="center" wrapText="1"/>
    </xf>
    <xf numFmtId="176" fontId="0" fillId="0" borderId="4" xfId="0" applyNumberFormat="1" applyFill="1" applyBorder="1" applyAlignment="1">
      <alignment horizontal="center"/>
    </xf>
    <xf numFmtId="176" fontId="0" fillId="0" borderId="5" xfId="0" applyNumberFormat="1" applyFill="1" applyBorder="1" applyAlignment="1">
      <alignment horizontal="center"/>
    </xf>
    <xf numFmtId="176" fontId="0" fillId="8" borderId="6" xfId="0" applyNumberFormat="1" applyFill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" fillId="14" borderId="11" xfId="0" applyFont="1" applyFill="1" applyBorder="1" applyAlignment="1">
      <alignment horizontal="center" wrapText="1"/>
    </xf>
    <xf numFmtId="0" fontId="1" fillId="13" borderId="11" xfId="0" applyFont="1" applyFill="1" applyBorder="1" applyAlignment="1">
      <alignment horizontal="center" wrapText="1"/>
    </xf>
    <xf numFmtId="2" fontId="0" fillId="11" borderId="14" xfId="0" applyNumberFormat="1" applyFill="1" applyBorder="1" applyAlignment="1">
      <alignment horizontal="center"/>
    </xf>
    <xf numFmtId="2" fontId="0" fillId="10" borderId="14" xfId="0" applyNumberFormat="1" applyFill="1" applyBorder="1" applyAlignment="1">
      <alignment horizontal="center"/>
    </xf>
    <xf numFmtId="178" fontId="0" fillId="11" borderId="14" xfId="0" applyNumberFormat="1" applyFill="1" applyBorder="1" applyAlignment="1">
      <alignment horizontal="center"/>
    </xf>
    <xf numFmtId="179" fontId="0" fillId="11" borderId="14" xfId="0" applyNumberFormat="1" applyFill="1" applyBorder="1" applyAlignment="1">
      <alignment horizontal="center"/>
    </xf>
    <xf numFmtId="0" fontId="0" fillId="11" borderId="15" xfId="0" applyFill="1" applyBorder="1"/>
    <xf numFmtId="176" fontId="0" fillId="11" borderId="18" xfId="0" applyNumberFormat="1" applyFill="1" applyBorder="1" applyAlignment="1">
      <alignment horizontal="center"/>
    </xf>
    <xf numFmtId="176" fontId="0" fillId="11" borderId="14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9" fontId="0" fillId="11" borderId="57" xfId="0" applyNumberFormat="1" applyFill="1" applyBorder="1" applyAlignment="1">
      <alignment horizontal="center"/>
    </xf>
    <xf numFmtId="176" fontId="0" fillId="11" borderId="19" xfId="0" applyNumberFormat="1" applyFill="1" applyBorder="1" applyAlignment="1">
      <alignment horizontal="center"/>
    </xf>
    <xf numFmtId="176" fontId="0" fillId="11" borderId="16" xfId="0" applyNumberFormat="1" applyFill="1" applyBorder="1" applyAlignment="1">
      <alignment horizontal="center"/>
    </xf>
    <xf numFmtId="9" fontId="0" fillId="11" borderId="16" xfId="0" applyNumberFormat="1" applyFill="1" applyBorder="1" applyAlignment="1">
      <alignment horizontal="center"/>
    </xf>
    <xf numFmtId="9" fontId="0" fillId="11" borderId="17" xfId="0" applyNumberFormat="1" applyFill="1" applyBorder="1" applyAlignment="1">
      <alignment horizontal="center"/>
    </xf>
    <xf numFmtId="0" fontId="10" fillId="0" borderId="0" xfId="0" quotePrefix="1" applyFont="1" applyAlignment="1">
      <alignment horizontal="left"/>
    </xf>
    <xf numFmtId="0" fontId="1" fillId="8" borderId="11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2" fontId="0" fillId="4" borderId="58" xfId="0" applyNumberFormat="1" applyFill="1" applyBorder="1" applyAlignment="1">
      <alignment horizontal="center"/>
    </xf>
    <xf numFmtId="2" fontId="0" fillId="4" borderId="59" xfId="0" applyNumberFormat="1" applyFill="1" applyBorder="1" applyAlignment="1">
      <alignment horizontal="center"/>
    </xf>
    <xf numFmtId="176" fontId="0" fillId="10" borderId="0" xfId="0" applyNumberFormat="1" applyFill="1" applyBorder="1" applyAlignment="1">
      <alignment horizontal="center"/>
    </xf>
    <xf numFmtId="176" fontId="0" fillId="0" borderId="43" xfId="0" applyNumberFormat="1" applyFill="1" applyBorder="1" applyAlignment="1">
      <alignment horizontal="center"/>
    </xf>
    <xf numFmtId="0" fontId="0" fillId="0" borderId="0" xfId="0" applyBorder="1"/>
    <xf numFmtId="176" fontId="0" fillId="0" borderId="41" xfId="0" applyNumberFormat="1" applyFill="1" applyBorder="1" applyAlignment="1">
      <alignment horizontal="center"/>
    </xf>
    <xf numFmtId="176" fontId="0" fillId="0" borderId="44" xfId="0" applyNumberFormat="1" applyFill="1" applyBorder="1" applyAlignment="1">
      <alignment horizontal="center"/>
    </xf>
    <xf numFmtId="176" fontId="0" fillId="0" borderId="60" xfId="0" applyNumberFormat="1" applyFill="1" applyBorder="1" applyAlignment="1">
      <alignment horizontal="center"/>
    </xf>
    <xf numFmtId="176" fontId="0" fillId="0" borderId="47" xfId="0" applyNumberFormat="1" applyFill="1" applyBorder="1" applyAlignment="1">
      <alignment horizontal="center"/>
    </xf>
    <xf numFmtId="176" fontId="0" fillId="0" borderId="48" xfId="0" applyNumberFormat="1" applyFill="1" applyBorder="1" applyAlignment="1">
      <alignment horizontal="center"/>
    </xf>
    <xf numFmtId="176" fontId="0" fillId="10" borderId="6" xfId="0" applyNumberFormat="1" applyFill="1" applyBorder="1" applyAlignment="1">
      <alignment horizontal="center"/>
    </xf>
    <xf numFmtId="176" fontId="0" fillId="10" borderId="9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176" fontId="0" fillId="0" borderId="61" xfId="0" applyNumberFormat="1" applyFill="1" applyBorder="1" applyAlignment="1">
      <alignment horizontal="center"/>
    </xf>
    <xf numFmtId="176" fontId="0" fillId="0" borderId="54" xfId="0" applyNumberFormat="1" applyFill="1" applyBorder="1" applyAlignment="1">
      <alignment horizontal="center"/>
    </xf>
    <xf numFmtId="176" fontId="0" fillId="0" borderId="3" xfId="0" applyNumberFormat="1" applyFill="1" applyBorder="1" applyAlignment="1">
      <alignment horizontal="center"/>
    </xf>
    <xf numFmtId="176" fontId="0" fillId="0" borderId="55" xfId="0" applyNumberFormat="1" applyFill="1" applyBorder="1" applyAlignment="1">
      <alignment horizontal="center"/>
    </xf>
    <xf numFmtId="176" fontId="0" fillId="0" borderId="62" xfId="0" applyNumberFormat="1" applyFill="1" applyBorder="1" applyAlignment="1">
      <alignment horizontal="center"/>
    </xf>
    <xf numFmtId="176" fontId="0" fillId="0" borderId="56" xfId="0" applyNumberFormat="1" applyFill="1" applyBorder="1" applyAlignment="1">
      <alignment horizontal="center"/>
    </xf>
    <xf numFmtId="176" fontId="0" fillId="10" borderId="35" xfId="0" applyNumberFormat="1" applyFill="1" applyBorder="1" applyAlignment="1">
      <alignment horizontal="center"/>
    </xf>
    <xf numFmtId="176" fontId="0" fillId="10" borderId="36" xfId="0" applyNumberFormat="1" applyFill="1" applyBorder="1" applyAlignment="1">
      <alignment horizontal="center"/>
    </xf>
    <xf numFmtId="176" fontId="0" fillId="10" borderId="37" xfId="0" applyNumberFormat="1" applyFill="1" applyBorder="1" applyAlignment="1">
      <alignment horizontal="center"/>
    </xf>
    <xf numFmtId="2" fontId="0" fillId="0" borderId="46" xfId="0" applyNumberFormat="1" applyFill="1" applyBorder="1" applyAlignment="1">
      <alignment horizontal="center"/>
    </xf>
    <xf numFmtId="2" fontId="0" fillId="0" borderId="47" xfId="0" applyNumberFormat="1" applyFill="1" applyBorder="1" applyAlignment="1">
      <alignment horizontal="center"/>
    </xf>
    <xf numFmtId="2" fontId="0" fillId="0" borderId="48" xfId="0" applyNumberFormat="1" applyFill="1" applyBorder="1" applyAlignment="1">
      <alignment horizontal="center"/>
    </xf>
    <xf numFmtId="176" fontId="0" fillId="0" borderId="0" xfId="0" applyNumberFormat="1" applyFill="1" applyAlignment="1">
      <alignment horizontal="center"/>
    </xf>
    <xf numFmtId="2" fontId="0" fillId="0" borderId="63" xfId="0" applyNumberFormat="1" applyFill="1" applyBorder="1" applyAlignment="1">
      <alignment horizontal="center"/>
    </xf>
    <xf numFmtId="2" fontId="0" fillId="0" borderId="4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176" fontId="0" fillId="10" borderId="15" xfId="0" applyNumberFormat="1" applyFill="1" applyBorder="1" applyAlignment="1">
      <alignment horizontal="center"/>
    </xf>
    <xf numFmtId="176" fontId="0" fillId="10" borderId="17" xfId="0" applyNumberFormat="1" applyFill="1" applyBorder="1" applyAlignment="1">
      <alignment horizontal="center"/>
    </xf>
    <xf numFmtId="176" fontId="0" fillId="11" borderId="6" xfId="0" applyNumberFormat="1" applyFill="1" applyBorder="1" applyAlignment="1">
      <alignment horizontal="center"/>
    </xf>
    <xf numFmtId="9" fontId="0" fillId="0" borderId="38" xfId="0" applyNumberFormat="1" applyFill="1" applyBorder="1" applyAlignment="1">
      <alignment horizontal="center"/>
    </xf>
    <xf numFmtId="0" fontId="0" fillId="0" borderId="64" xfId="0" applyBorder="1"/>
    <xf numFmtId="0" fontId="1" fillId="8" borderId="63" xfId="0" applyFont="1" applyFill="1" applyBorder="1" applyAlignment="1">
      <alignment horizontal="center" vertical="center" wrapText="1"/>
    </xf>
    <xf numFmtId="0" fontId="1" fillId="8" borderId="18" xfId="0" applyFont="1" applyFill="1" applyBorder="1" applyAlignment="1">
      <alignment horizontal="center" vertical="center" wrapText="1"/>
    </xf>
    <xf numFmtId="0" fontId="1" fillId="14" borderId="11" xfId="0" applyFont="1" applyFill="1" applyBorder="1" applyAlignment="1">
      <alignment horizontal="center" wrapText="1"/>
    </xf>
    <xf numFmtId="0" fontId="1" fillId="6" borderId="10" xfId="0" applyFont="1" applyFill="1" applyBorder="1" applyAlignment="1">
      <alignment horizontal="center" wrapText="1"/>
    </xf>
    <xf numFmtId="0" fontId="1" fillId="13" borderId="11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wrapText="1"/>
    </xf>
    <xf numFmtId="0" fontId="1" fillId="6" borderId="12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176" fontId="0" fillId="10" borderId="65" xfId="0" applyNumberFormat="1" applyFill="1" applyBorder="1" applyAlignment="1">
      <alignment horizontal="center"/>
    </xf>
    <xf numFmtId="176" fontId="0" fillId="10" borderId="66" xfId="0" applyNumberForma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right" vertical="center"/>
    </xf>
    <xf numFmtId="0" fontId="11" fillId="0" borderId="14" xfId="0" applyFont="1" applyFill="1" applyBorder="1" applyAlignment="1">
      <alignment horizontal="right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right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right" vertical="center"/>
    </xf>
    <xf numFmtId="0" fontId="11" fillId="0" borderId="11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right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wrapText="1"/>
    </xf>
    <xf numFmtId="0" fontId="1" fillId="0" borderId="20" xfId="0" applyFont="1" applyFill="1" applyBorder="1" applyAlignment="1">
      <alignment horizontal="center" wrapText="1"/>
    </xf>
    <xf numFmtId="0" fontId="1" fillId="0" borderId="13" xfId="0" applyFont="1" applyFill="1" applyBorder="1" applyAlignment="1">
      <alignment horizontal="center" wrapText="1"/>
    </xf>
    <xf numFmtId="0" fontId="0" fillId="0" borderId="0" xfId="0" applyAlignment="1"/>
    <xf numFmtId="0" fontId="1" fillId="9" borderId="11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wrapText="1"/>
    </xf>
    <xf numFmtId="0" fontId="1" fillId="6" borderId="12" xfId="0" applyFont="1" applyFill="1" applyBorder="1" applyAlignment="1">
      <alignment horizontal="center" wrapText="1"/>
    </xf>
    <xf numFmtId="0" fontId="1" fillId="6" borderId="10" xfId="0" applyFont="1" applyFill="1" applyBorder="1" applyAlignment="1">
      <alignment horizontal="center" wrapText="1"/>
    </xf>
    <xf numFmtId="0" fontId="1" fillId="13" borderId="11" xfId="0" applyFont="1" applyFill="1" applyBorder="1" applyAlignment="1">
      <alignment horizontal="center" wrapText="1"/>
    </xf>
    <xf numFmtId="176" fontId="0" fillId="2" borderId="8" xfId="0" applyNumberFormat="1" applyFill="1" applyBorder="1" applyAlignment="1">
      <alignment horizontal="center"/>
    </xf>
    <xf numFmtId="176" fontId="0" fillId="0" borderId="9" xfId="0" applyNumberFormat="1" applyBorder="1" applyAlignment="1">
      <alignment horizontal="center"/>
    </xf>
    <xf numFmtId="176" fontId="0" fillId="0" borderId="11" xfId="0" applyNumberFormat="1" applyBorder="1" applyAlignment="1">
      <alignment horizontal="center"/>
    </xf>
    <xf numFmtId="176" fontId="0" fillId="2" borderId="4" xfId="0" applyNumberFormat="1" applyFill="1" applyBorder="1" applyAlignment="1">
      <alignment horizontal="center"/>
    </xf>
    <xf numFmtId="176" fontId="0" fillId="2" borderId="7" xfId="0" applyNumberFormat="1" applyFill="1" applyBorder="1" applyAlignment="1">
      <alignment horizontal="center"/>
    </xf>
    <xf numFmtId="0" fontId="0" fillId="0" borderId="61" xfId="0" applyBorder="1"/>
    <xf numFmtId="176" fontId="0" fillId="2" borderId="36" xfId="0" applyNumberFormat="1" applyFill="1" applyBorder="1" applyAlignment="1">
      <alignment horizontal="center"/>
    </xf>
    <xf numFmtId="176" fontId="0" fillId="2" borderId="16" xfId="0" applyNumberFormat="1" applyFill="1" applyBorder="1" applyAlignment="1">
      <alignment horizontal="center"/>
    </xf>
    <xf numFmtId="176" fontId="0" fillId="0" borderId="10" xfId="0" applyNumberFormat="1" applyBorder="1" applyAlignment="1">
      <alignment horizontal="center"/>
    </xf>
    <xf numFmtId="176" fontId="0" fillId="0" borderId="14" xfId="0" applyNumberFormat="1" applyBorder="1" applyAlignment="1">
      <alignment horizontal="center"/>
    </xf>
    <xf numFmtId="0" fontId="1" fillId="0" borderId="44" xfId="0" applyFont="1" applyBorder="1"/>
    <xf numFmtId="176" fontId="0" fillId="0" borderId="57" xfId="0" applyNumberFormat="1" applyBorder="1" applyAlignment="1">
      <alignment horizontal="center"/>
    </xf>
    <xf numFmtId="0" fontId="0" fillId="0" borderId="67" xfId="0" applyBorder="1"/>
    <xf numFmtId="176" fontId="0" fillId="0" borderId="37" xfId="0" applyNumberFormat="1" applyBorder="1" applyAlignment="1">
      <alignment horizontal="center"/>
    </xf>
    <xf numFmtId="176" fontId="0" fillId="2" borderId="15" xfId="0" applyNumberFormat="1" applyFill="1" applyBorder="1" applyAlignment="1">
      <alignment horizontal="center"/>
    </xf>
    <xf numFmtId="0" fontId="1" fillId="0" borderId="44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top" wrapText="1"/>
    </xf>
    <xf numFmtId="0" fontId="1" fillId="0" borderId="40" xfId="0" applyFont="1" applyBorder="1"/>
    <xf numFmtId="176" fontId="0" fillId="0" borderId="40" xfId="0" applyNumberFormat="1" applyFill="1" applyBorder="1" applyAlignment="1">
      <alignment horizontal="center"/>
    </xf>
    <xf numFmtId="0" fontId="8" fillId="0" borderId="10" xfId="0" applyFont="1" applyBorder="1"/>
    <xf numFmtId="0" fontId="8" fillId="0" borderId="12" xfId="0" applyFont="1" applyBorder="1"/>
    <xf numFmtId="0" fontId="1" fillId="0" borderId="10" xfId="0" applyFont="1" applyFill="1" applyBorder="1" applyAlignment="1">
      <alignment horizontal="center" vertical="center" wrapText="1"/>
    </xf>
    <xf numFmtId="176" fontId="0" fillId="2" borderId="19" xfId="0" applyNumberFormat="1" applyFill="1" applyBorder="1" applyAlignment="1">
      <alignment horizontal="center"/>
    </xf>
    <xf numFmtId="176" fontId="0" fillId="0" borderId="24" xfId="0" applyNumberFormat="1" applyBorder="1" applyAlignment="1">
      <alignment horizontal="center"/>
    </xf>
    <xf numFmtId="176" fontId="0" fillId="0" borderId="25" xfId="0" applyNumberFormat="1" applyBorder="1" applyAlignment="1">
      <alignment horizontal="center"/>
    </xf>
    <xf numFmtId="176" fontId="0" fillId="0" borderId="26" xfId="0" applyNumberFormat="1" applyBorder="1" applyAlignment="1">
      <alignment horizontal="center"/>
    </xf>
    <xf numFmtId="176" fontId="0" fillId="0" borderId="18" xfId="0" applyNumberFormat="1" applyBorder="1" applyAlignment="1">
      <alignment horizontal="center"/>
    </xf>
    <xf numFmtId="176" fontId="0" fillId="2" borderId="71" xfId="0" applyNumberFormat="1" applyFill="1" applyBorder="1" applyAlignment="1">
      <alignment horizontal="center"/>
    </xf>
    <xf numFmtId="176" fontId="0" fillId="2" borderId="31" xfId="0" applyNumberFormat="1" applyFill="1" applyBorder="1" applyAlignment="1">
      <alignment horizontal="center"/>
    </xf>
    <xf numFmtId="176" fontId="0" fillId="2" borderId="32" xfId="0" applyNumberForma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178" fontId="0" fillId="0" borderId="5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178" fontId="0" fillId="0" borderId="8" xfId="0" applyNumberFormat="1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178" fontId="0" fillId="0" borderId="11" xfId="0" applyNumberFormat="1" applyBorder="1" applyAlignment="1">
      <alignment horizontal="center"/>
    </xf>
    <xf numFmtId="0" fontId="0" fillId="0" borderId="16" xfId="0" applyBorder="1"/>
    <xf numFmtId="0" fontId="0" fillId="0" borderId="16" xfId="0" applyBorder="1" applyAlignment="1">
      <alignment horizontal="center"/>
    </xf>
    <xf numFmtId="2" fontId="0" fillId="0" borderId="16" xfId="0" applyNumberFormat="1" applyBorder="1" applyAlignment="1">
      <alignment horizontal="center"/>
    </xf>
    <xf numFmtId="178" fontId="0" fillId="0" borderId="16" xfId="0" applyNumberFormat="1" applyBorder="1" applyAlignment="1">
      <alignment horizontal="center"/>
    </xf>
    <xf numFmtId="0" fontId="0" fillId="0" borderId="1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60" xfId="0" applyBorder="1" applyAlignment="1">
      <alignment horizontal="center"/>
    </xf>
    <xf numFmtId="0" fontId="6" fillId="0" borderId="0" xfId="1" applyFont="1"/>
    <xf numFmtId="0" fontId="0" fillId="0" borderId="72" xfId="0" applyBorder="1"/>
    <xf numFmtId="0" fontId="0" fillId="11" borderId="40" xfId="0" applyFill="1" applyBorder="1" applyAlignment="1">
      <alignment horizontal="right"/>
    </xf>
    <xf numFmtId="0" fontId="0" fillId="0" borderId="51" xfId="0" applyBorder="1" applyAlignment="1">
      <alignment horizontal="left" vertical="center"/>
    </xf>
    <xf numFmtId="176" fontId="0" fillId="0" borderId="69" xfId="0" applyNumberFormat="1" applyBorder="1" applyAlignment="1">
      <alignment horizontal="center"/>
    </xf>
    <xf numFmtId="176" fontId="0" fillId="0" borderId="70" xfId="0" applyNumberFormat="1" applyBorder="1" applyAlignment="1">
      <alignment horizontal="center"/>
    </xf>
    <xf numFmtId="176" fontId="0" fillId="0" borderId="72" xfId="0" applyNumberFormat="1" applyBorder="1" applyAlignment="1">
      <alignment horizontal="center"/>
    </xf>
    <xf numFmtId="0" fontId="0" fillId="11" borderId="41" xfId="0" applyFill="1" applyBorder="1" applyAlignment="1">
      <alignment horizontal="right"/>
    </xf>
    <xf numFmtId="0" fontId="0" fillId="0" borderId="61" xfId="0" applyBorder="1" applyAlignment="1">
      <alignment horizontal="left" vertical="center"/>
    </xf>
    <xf numFmtId="176" fontId="0" fillId="0" borderId="64" xfId="0" applyNumberFormat="1" applyBorder="1" applyAlignment="1">
      <alignment horizontal="center"/>
    </xf>
    <xf numFmtId="176" fontId="0" fillId="0" borderId="73" xfId="0" applyNumberFormat="1" applyBorder="1" applyAlignment="1">
      <alignment horizontal="center"/>
    </xf>
    <xf numFmtId="176" fontId="0" fillId="0" borderId="45" xfId="0" applyNumberFormat="1" applyBorder="1" applyAlignment="1">
      <alignment horizontal="center"/>
    </xf>
    <xf numFmtId="0" fontId="0" fillId="11" borderId="44" xfId="0" applyFill="1" applyBorder="1" applyAlignment="1">
      <alignment horizontal="right"/>
    </xf>
    <xf numFmtId="0" fontId="0" fillId="0" borderId="54" xfId="0" applyBorder="1" applyAlignment="1">
      <alignment horizontal="left" vertical="center"/>
    </xf>
    <xf numFmtId="176" fontId="0" fillId="0" borderId="74" xfId="0" applyNumberFormat="1" applyBorder="1" applyAlignment="1">
      <alignment horizontal="center"/>
    </xf>
    <xf numFmtId="176" fontId="0" fillId="0" borderId="75" xfId="0" applyNumberFormat="1" applyBorder="1" applyAlignment="1">
      <alignment horizontal="center"/>
    </xf>
    <xf numFmtId="176" fontId="0" fillId="0" borderId="76" xfId="0" applyNumberFormat="1" applyBorder="1" applyAlignment="1">
      <alignment horizontal="center"/>
    </xf>
    <xf numFmtId="0" fontId="0" fillId="11" borderId="51" xfId="0" applyFill="1" applyBorder="1"/>
    <xf numFmtId="0" fontId="0" fillId="11" borderId="61" xfId="0" applyFill="1" applyBorder="1"/>
    <xf numFmtId="0" fontId="0" fillId="11" borderId="42" xfId="0" applyFill="1" applyBorder="1" applyAlignment="1">
      <alignment horizontal="right"/>
    </xf>
    <xf numFmtId="0" fontId="0" fillId="0" borderId="77" xfId="0" applyBorder="1"/>
    <xf numFmtId="0" fontId="0" fillId="0" borderId="54" xfId="0" applyBorder="1"/>
    <xf numFmtId="0" fontId="0" fillId="0" borderId="43" xfId="0" applyBorder="1" applyAlignment="1">
      <alignment horizontal="right"/>
    </xf>
    <xf numFmtId="0" fontId="0" fillId="0" borderId="78" xfId="0" applyBorder="1"/>
    <xf numFmtId="176" fontId="0" fillId="0" borderId="1" xfId="0" applyNumberFormat="1" applyBorder="1" applyAlignment="1">
      <alignment horizontal="center"/>
    </xf>
    <xf numFmtId="176" fontId="0" fillId="0" borderId="2" xfId="0" applyNumberFormat="1" applyBorder="1" applyAlignment="1">
      <alignment horizontal="center"/>
    </xf>
    <xf numFmtId="0" fontId="1" fillId="11" borderId="51" xfId="0" applyFont="1" applyFill="1" applyBorder="1"/>
    <xf numFmtId="176" fontId="0" fillId="15" borderId="53" xfId="3" applyNumberFormat="1" applyFont="1" applyFill="1" applyBorder="1" applyAlignment="1">
      <alignment horizontal="center" vertical="center"/>
    </xf>
    <xf numFmtId="176" fontId="0" fillId="15" borderId="30" xfId="3" applyNumberFormat="1" applyFont="1" applyFill="1" applyBorder="1" applyAlignment="1">
      <alignment horizontal="center" vertical="center"/>
    </xf>
    <xf numFmtId="176" fontId="0" fillId="15" borderId="79" xfId="3" applyNumberFormat="1" applyFont="1" applyFill="1" applyBorder="1" applyAlignment="1">
      <alignment horizontal="center" vertical="center"/>
    </xf>
    <xf numFmtId="0" fontId="1" fillId="0" borderId="80" xfId="0" applyFont="1" applyBorder="1"/>
    <xf numFmtId="176" fontId="0" fillId="15" borderId="81" xfId="3" applyNumberFormat="1" applyFont="1" applyFill="1" applyBorder="1" applyAlignment="1">
      <alignment horizontal="center" vertical="center"/>
    </xf>
    <xf numFmtId="176" fontId="0" fillId="15" borderId="82" xfId="3" applyNumberFormat="1" applyFont="1" applyFill="1" applyBorder="1" applyAlignment="1">
      <alignment horizontal="center" vertical="center"/>
    </xf>
    <xf numFmtId="176" fontId="0" fillId="15" borderId="83" xfId="3" applyNumberFormat="1" applyFont="1" applyFill="1" applyBorder="1" applyAlignment="1">
      <alignment horizontal="center" vertical="center"/>
    </xf>
    <xf numFmtId="176" fontId="0" fillId="0" borderId="80" xfId="0" applyNumberFormat="1" applyBorder="1" applyAlignment="1">
      <alignment horizontal="center"/>
    </xf>
    <xf numFmtId="176" fontId="0" fillId="0" borderId="84" xfId="0" applyNumberFormat="1" applyBorder="1" applyAlignment="1">
      <alignment horizontal="center"/>
    </xf>
    <xf numFmtId="176" fontId="0" fillId="0" borderId="85" xfId="0" applyNumberFormat="1" applyBorder="1" applyAlignment="1">
      <alignment horizontal="center"/>
    </xf>
    <xf numFmtId="176" fontId="0" fillId="15" borderId="85" xfId="3" applyNumberFormat="1" applyFont="1" applyFill="1" applyBorder="1" applyAlignment="1">
      <alignment horizontal="center" vertical="center"/>
    </xf>
    <xf numFmtId="176" fontId="0" fillId="0" borderId="56" xfId="0" applyNumberFormat="1" applyBorder="1" applyAlignment="1">
      <alignment horizontal="center"/>
    </xf>
    <xf numFmtId="0" fontId="0" fillId="0" borderId="76" xfId="0" applyBorder="1"/>
    <xf numFmtId="176" fontId="0" fillId="15" borderId="75" xfId="3" applyNumberFormat="1" applyFont="1" applyFill="1" applyBorder="1" applyAlignment="1">
      <alignment horizontal="center" vertical="center"/>
    </xf>
    <xf numFmtId="176" fontId="0" fillId="15" borderId="87" xfId="3" applyNumberFormat="1" applyFont="1" applyFill="1" applyBorder="1" applyAlignment="1">
      <alignment horizontal="center" vertical="center"/>
    </xf>
    <xf numFmtId="176" fontId="0" fillId="15" borderId="88" xfId="3" applyNumberFormat="1" applyFont="1" applyFill="1" applyBorder="1" applyAlignment="1">
      <alignment horizontal="center" vertical="center"/>
    </xf>
    <xf numFmtId="176" fontId="0" fillId="15" borderId="89" xfId="3" applyNumberFormat="1" applyFont="1" applyFill="1" applyBorder="1" applyAlignment="1">
      <alignment horizontal="center" vertical="center"/>
    </xf>
    <xf numFmtId="0" fontId="1" fillId="0" borderId="72" xfId="0" applyFont="1" applyBorder="1" applyAlignment="1">
      <alignment horizontal="right"/>
    </xf>
    <xf numFmtId="0" fontId="1" fillId="0" borderId="3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76" fontId="0" fillId="15" borderId="69" xfId="3" applyNumberFormat="1" applyFont="1" applyFill="1" applyBorder="1" applyAlignment="1">
      <alignment horizontal="center" vertical="center"/>
    </xf>
    <xf numFmtId="176" fontId="0" fillId="15" borderId="1" xfId="0" applyNumberFormat="1" applyFill="1" applyBorder="1" applyAlignment="1">
      <alignment horizontal="center" vertical="center"/>
    </xf>
    <xf numFmtId="176" fontId="0" fillId="15" borderId="70" xfId="0" applyNumberFormat="1" applyFill="1" applyBorder="1" applyAlignment="1">
      <alignment horizontal="center" vertical="center"/>
    </xf>
    <xf numFmtId="176" fontId="0" fillId="15" borderId="64" xfId="3" applyNumberFormat="1" applyFont="1" applyFill="1" applyBorder="1" applyAlignment="1">
      <alignment horizontal="center" vertical="center"/>
    </xf>
    <xf numFmtId="176" fontId="0" fillId="15" borderId="0" xfId="0" applyNumberFormat="1" applyFill="1" applyAlignment="1">
      <alignment horizontal="center" vertical="center"/>
    </xf>
    <xf numFmtId="176" fontId="0" fillId="15" borderId="73" xfId="0" applyNumberFormat="1" applyFill="1" applyBorder="1" applyAlignment="1">
      <alignment horizontal="center" vertical="center"/>
    </xf>
    <xf numFmtId="176" fontId="0" fillId="15" borderId="74" xfId="3" applyNumberFormat="1" applyFont="1" applyFill="1" applyBorder="1" applyAlignment="1">
      <alignment horizontal="center" vertical="center"/>
    </xf>
    <xf numFmtId="176" fontId="0" fillId="15" borderId="2" xfId="0" applyNumberFormat="1" applyFill="1" applyBorder="1" applyAlignment="1">
      <alignment horizontal="center" vertical="center"/>
    </xf>
    <xf numFmtId="176" fontId="0" fillId="15" borderId="75" xfId="0" applyNumberFormat="1" applyFill="1" applyBorder="1" applyAlignment="1">
      <alignment horizontal="center" vertical="center"/>
    </xf>
    <xf numFmtId="176" fontId="0" fillId="15" borderId="70" xfId="3" applyNumberFormat="1" applyFont="1" applyFill="1" applyBorder="1" applyAlignment="1">
      <alignment horizontal="center" vertical="center"/>
    </xf>
    <xf numFmtId="176" fontId="0" fillId="15" borderId="73" xfId="3" applyNumberFormat="1" applyFont="1" applyFill="1" applyBorder="1" applyAlignment="1">
      <alignment horizontal="center" vertical="center"/>
    </xf>
    <xf numFmtId="176" fontId="0" fillId="15" borderId="1" xfId="3" applyNumberFormat="1" applyFont="1" applyFill="1" applyBorder="1" applyAlignment="1">
      <alignment horizontal="center" vertical="center"/>
    </xf>
    <xf numFmtId="176" fontId="0" fillId="15" borderId="2" xfId="3" applyNumberFormat="1" applyFont="1" applyFill="1" applyBorder="1" applyAlignment="1">
      <alignment horizontal="center" vertical="center"/>
    </xf>
    <xf numFmtId="176" fontId="0" fillId="0" borderId="86" xfId="0" applyNumberFormat="1" applyBorder="1" applyAlignment="1">
      <alignment horizontal="center"/>
    </xf>
    <xf numFmtId="176" fontId="0" fillId="15" borderId="80" xfId="3" applyNumberFormat="1" applyFont="1" applyFill="1" applyBorder="1" applyAlignment="1">
      <alignment horizontal="center" vertical="center"/>
    </xf>
    <xf numFmtId="176" fontId="0" fillId="15" borderId="84" xfId="3" applyNumberFormat="1" applyFont="1" applyFill="1" applyBorder="1" applyAlignment="1">
      <alignment horizontal="center" vertical="center"/>
    </xf>
    <xf numFmtId="9" fontId="0" fillId="0" borderId="80" xfId="0" applyNumberFormat="1" applyBorder="1" applyAlignment="1">
      <alignment horizontal="center" vertical="center"/>
    </xf>
    <xf numFmtId="9" fontId="0" fillId="0" borderId="86" xfId="0" applyNumberFormat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176" fontId="0" fillId="11" borderId="72" xfId="0" applyNumberFormat="1" applyFill="1" applyBorder="1" applyAlignment="1">
      <alignment horizontal="center"/>
    </xf>
    <xf numFmtId="176" fontId="0" fillId="10" borderId="72" xfId="0" applyNumberFormat="1" applyFill="1" applyBorder="1" applyAlignment="1">
      <alignment horizontal="center"/>
    </xf>
    <xf numFmtId="176" fontId="0" fillId="11" borderId="70" xfId="0" applyNumberFormat="1" applyFill="1" applyBorder="1" applyAlignment="1">
      <alignment horizontal="center"/>
    </xf>
    <xf numFmtId="176" fontId="0" fillId="11" borderId="45" xfId="0" applyNumberFormat="1" applyFill="1" applyBorder="1" applyAlignment="1">
      <alignment horizontal="center"/>
    </xf>
    <xf numFmtId="176" fontId="0" fillId="10" borderId="45" xfId="0" applyNumberFormat="1" applyFill="1" applyBorder="1" applyAlignment="1">
      <alignment horizontal="center"/>
    </xf>
    <xf numFmtId="176" fontId="0" fillId="11" borderId="73" xfId="0" applyNumberFormat="1" applyFill="1" applyBorder="1" applyAlignment="1">
      <alignment horizontal="center"/>
    </xf>
    <xf numFmtId="176" fontId="0" fillId="11" borderId="76" xfId="0" applyNumberFormat="1" applyFill="1" applyBorder="1" applyAlignment="1">
      <alignment horizontal="center"/>
    </xf>
    <xf numFmtId="176" fontId="0" fillId="10" borderId="76" xfId="0" applyNumberFormat="1" applyFill="1" applyBorder="1" applyAlignment="1">
      <alignment horizontal="center"/>
    </xf>
    <xf numFmtId="176" fontId="0" fillId="11" borderId="75" xfId="0" applyNumberFormat="1" applyFill="1" applyBorder="1" applyAlignment="1">
      <alignment horizontal="center"/>
    </xf>
    <xf numFmtId="176" fontId="0" fillId="10" borderId="70" xfId="0" applyNumberFormat="1" applyFill="1" applyBorder="1" applyAlignment="1">
      <alignment horizontal="center"/>
    </xf>
    <xf numFmtId="176" fontId="0" fillId="10" borderId="73" xfId="0" applyNumberFormat="1" applyFill="1" applyBorder="1" applyAlignment="1">
      <alignment horizontal="center"/>
    </xf>
    <xf numFmtId="176" fontId="0" fillId="10" borderId="75" xfId="0" applyNumberFormat="1" applyFill="1" applyBorder="1" applyAlignment="1">
      <alignment horizontal="center"/>
    </xf>
    <xf numFmtId="176" fontId="0" fillId="4" borderId="86" xfId="0" applyNumberFormat="1" applyFill="1" applyBorder="1" applyAlignment="1">
      <alignment horizontal="center"/>
    </xf>
    <xf numFmtId="176" fontId="0" fillId="4" borderId="85" xfId="0" applyNumberFormat="1" applyFill="1" applyBorder="1" applyAlignment="1">
      <alignment horizontal="center"/>
    </xf>
    <xf numFmtId="0" fontId="1" fillId="18" borderId="20" xfId="0" applyFont="1" applyFill="1" applyBorder="1" applyAlignment="1">
      <alignment horizontal="center" wrapText="1"/>
    </xf>
    <xf numFmtId="0" fontId="11" fillId="18" borderId="8" xfId="0" applyFont="1" applyFill="1" applyBorder="1" applyAlignment="1">
      <alignment horizontal="right" vertical="center"/>
    </xf>
    <xf numFmtId="0" fontId="11" fillId="18" borderId="14" xfId="0" applyFont="1" applyFill="1" applyBorder="1" applyAlignment="1">
      <alignment horizontal="right" vertical="center"/>
    </xf>
    <xf numFmtId="0" fontId="11" fillId="18" borderId="5" xfId="0" applyFont="1" applyFill="1" applyBorder="1" applyAlignment="1">
      <alignment horizontal="right" vertical="center"/>
    </xf>
    <xf numFmtId="0" fontId="11" fillId="18" borderId="11" xfId="0" applyFont="1" applyFill="1" applyBorder="1" applyAlignment="1">
      <alignment horizontal="right" vertical="center"/>
    </xf>
    <xf numFmtId="0" fontId="11" fillId="18" borderId="16" xfId="0" applyFont="1" applyFill="1" applyBorder="1" applyAlignment="1">
      <alignment horizontal="right" vertical="center"/>
    </xf>
    <xf numFmtId="0" fontId="0" fillId="18" borderId="16" xfId="0" applyFill="1" applyBorder="1"/>
    <xf numFmtId="0" fontId="0" fillId="18" borderId="8" xfId="0" applyFill="1" applyBorder="1"/>
    <xf numFmtId="0" fontId="0" fillId="18" borderId="5" xfId="0" applyFill="1" applyBorder="1"/>
    <xf numFmtId="0" fontId="0" fillId="18" borderId="11" xfId="0" applyFill="1" applyBorder="1"/>
    <xf numFmtId="0" fontId="0" fillId="18" borderId="14" xfId="0" applyFill="1" applyBorder="1"/>
    <xf numFmtId="0" fontId="0" fillId="18" borderId="34" xfId="0" applyFill="1" applyBorder="1"/>
    <xf numFmtId="0" fontId="0" fillId="18" borderId="25" xfId="0" applyFill="1" applyBorder="1"/>
    <xf numFmtId="0" fontId="0" fillId="18" borderId="0" xfId="0" applyFill="1"/>
    <xf numFmtId="3" fontId="0" fillId="0" borderId="35" xfId="0" applyNumberFormat="1" applyFill="1" applyBorder="1"/>
    <xf numFmtId="3" fontId="0" fillId="0" borderId="36" xfId="0" applyNumberFormat="1" applyFill="1" applyBorder="1"/>
    <xf numFmtId="3" fontId="0" fillId="0" borderId="39" xfId="0" applyNumberFormat="1" applyFill="1" applyBorder="1"/>
    <xf numFmtId="3" fontId="0" fillId="0" borderId="46" xfId="0" applyNumberFormat="1" applyFill="1" applyBorder="1"/>
    <xf numFmtId="3" fontId="0" fillId="0" borderId="47" xfId="0" applyNumberFormat="1" applyFill="1" applyBorder="1"/>
    <xf numFmtId="3" fontId="0" fillId="0" borderId="48" xfId="0" applyNumberFormat="1" applyFill="1" applyBorder="1"/>
    <xf numFmtId="3" fontId="0" fillId="0" borderId="49" xfId="0" applyNumberFormat="1" applyFill="1" applyBorder="1"/>
    <xf numFmtId="3" fontId="0" fillId="0" borderId="3" xfId="0" applyNumberFormat="1" applyFill="1" applyBorder="1"/>
    <xf numFmtId="3" fontId="0" fillId="0" borderId="55" xfId="0" applyNumberFormat="1" applyFill="1" applyBorder="1"/>
    <xf numFmtId="9" fontId="0" fillId="0" borderId="4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176" fontId="0" fillId="10" borderId="34" xfId="0" applyNumberFormat="1" applyFill="1" applyBorder="1" applyAlignment="1">
      <alignment horizontal="center"/>
    </xf>
    <xf numFmtId="3" fontId="0" fillId="0" borderId="21" xfId="0" applyNumberFormat="1" applyFill="1" applyBorder="1"/>
    <xf numFmtId="3" fontId="0" fillId="16" borderId="49" xfId="0" applyNumberFormat="1" applyFill="1" applyBorder="1"/>
    <xf numFmtId="3" fontId="0" fillId="16" borderId="3" xfId="0" applyNumberFormat="1" applyFill="1" applyBorder="1"/>
    <xf numFmtId="3" fontId="0" fillId="16" borderId="55" xfId="0" applyNumberFormat="1" applyFill="1" applyBorder="1"/>
    <xf numFmtId="0" fontId="0" fillId="0" borderId="0" xfId="0" applyFill="1" applyBorder="1"/>
    <xf numFmtId="2" fontId="0" fillId="0" borderId="0" xfId="0" applyNumberFormat="1" applyBorder="1" applyAlignment="1">
      <alignment horizontal="center"/>
    </xf>
    <xf numFmtId="9" fontId="0" fillId="11" borderId="15" xfId="0" applyNumberFormat="1" applyFill="1" applyBorder="1" applyAlignment="1">
      <alignment horizontal="center"/>
    </xf>
    <xf numFmtId="0" fontId="0" fillId="11" borderId="19" xfId="0" applyFill="1" applyBorder="1"/>
    <xf numFmtId="0" fontId="0" fillId="0" borderId="46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9" xfId="0" applyBorder="1" applyAlignment="1">
      <alignment horizontal="center"/>
    </xf>
    <xf numFmtId="178" fontId="0" fillId="0" borderId="35" xfId="0" applyNumberFormat="1" applyBorder="1" applyAlignment="1">
      <alignment horizontal="center"/>
    </xf>
    <xf numFmtId="178" fontId="0" fillId="0" borderId="36" xfId="0" applyNumberFormat="1" applyBorder="1" applyAlignment="1">
      <alignment horizontal="center"/>
    </xf>
    <xf numFmtId="178" fontId="0" fillId="0" borderId="37" xfId="0" applyNumberFormat="1" applyBorder="1" applyAlignment="1">
      <alignment horizontal="center"/>
    </xf>
    <xf numFmtId="178" fontId="0" fillId="0" borderId="39" xfId="0" applyNumberFormat="1" applyBorder="1" applyAlignment="1">
      <alignment horizontal="center"/>
    </xf>
    <xf numFmtId="178" fontId="0" fillId="0" borderId="38" xfId="0" applyNumberForma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6" xfId="0" applyBorder="1"/>
    <xf numFmtId="0" fontId="0" fillId="0" borderId="9" xfId="0" applyBorder="1"/>
    <xf numFmtId="0" fontId="0" fillId="0" borderId="15" xfId="0" applyBorder="1"/>
    <xf numFmtId="0" fontId="0" fillId="0" borderId="17" xfId="0" applyBorder="1"/>
    <xf numFmtId="0" fontId="0" fillId="0" borderId="26" xfId="0" applyBorder="1"/>
    <xf numFmtId="0" fontId="0" fillId="0" borderId="12" xfId="0" applyBorder="1"/>
    <xf numFmtId="9" fontId="0" fillId="11" borderId="19" xfId="0" applyNumberFormat="1" applyFill="1" applyBorder="1" applyAlignment="1">
      <alignment horizontal="center"/>
    </xf>
    <xf numFmtId="177" fontId="0" fillId="11" borderId="16" xfId="0" applyNumberFormat="1" applyFill="1" applyBorder="1" applyAlignment="1">
      <alignment horizontal="center"/>
    </xf>
    <xf numFmtId="2" fontId="0" fillId="11" borderId="16" xfId="0" applyNumberFormat="1" applyFill="1" applyBorder="1" applyAlignment="1">
      <alignment horizontal="center"/>
    </xf>
    <xf numFmtId="2" fontId="0" fillId="10" borderId="16" xfId="0" applyNumberFormat="1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178" fontId="0" fillId="11" borderId="16" xfId="0" applyNumberFormat="1" applyFill="1" applyBorder="1" applyAlignment="1">
      <alignment horizontal="center"/>
    </xf>
    <xf numFmtId="179" fontId="0" fillId="11" borderId="16" xfId="0" applyNumberFormat="1" applyFill="1" applyBorder="1" applyAlignment="1">
      <alignment horizontal="center"/>
    </xf>
    <xf numFmtId="0" fontId="0" fillId="11" borderId="17" xfId="0" applyFill="1" applyBorder="1"/>
    <xf numFmtId="9" fontId="0" fillId="11" borderId="68" xfId="0" applyNumberFormat="1" applyFill="1" applyBorder="1" applyAlignment="1">
      <alignment horizontal="center"/>
    </xf>
    <xf numFmtId="177" fontId="0" fillId="11" borderId="34" xfId="0" applyNumberFormat="1" applyFill="1" applyBorder="1" applyAlignment="1">
      <alignment horizontal="center"/>
    </xf>
    <xf numFmtId="2" fontId="0" fillId="11" borderId="34" xfId="0" applyNumberFormat="1" applyFill="1" applyBorder="1" applyAlignment="1">
      <alignment horizontal="center"/>
    </xf>
    <xf numFmtId="0" fontId="0" fillId="0" borderId="34" xfId="0" applyBorder="1"/>
    <xf numFmtId="0" fontId="0" fillId="11" borderId="34" xfId="0" applyFill="1" applyBorder="1" applyAlignment="1">
      <alignment horizontal="center"/>
    </xf>
    <xf numFmtId="178" fontId="0" fillId="11" borderId="34" xfId="0" applyNumberFormat="1" applyFill="1" applyBorder="1" applyAlignment="1">
      <alignment horizontal="center"/>
    </xf>
    <xf numFmtId="179" fontId="0" fillId="11" borderId="34" xfId="0" applyNumberFormat="1" applyFill="1" applyBorder="1" applyAlignment="1">
      <alignment horizontal="center"/>
    </xf>
    <xf numFmtId="0" fontId="0" fillId="11" borderId="91" xfId="0" applyFill="1" applyBorder="1"/>
    <xf numFmtId="2" fontId="0" fillId="10" borderId="34" xfId="0" applyNumberFormat="1" applyFill="1" applyBorder="1" applyAlignment="1">
      <alignment horizontal="center"/>
    </xf>
    <xf numFmtId="0" fontId="0" fillId="11" borderId="57" xfId="0" applyFill="1" applyBorder="1"/>
    <xf numFmtId="0" fontId="0" fillId="0" borderId="57" xfId="0" applyBorder="1" applyAlignment="1">
      <alignment vertical="center"/>
    </xf>
    <xf numFmtId="176" fontId="0" fillId="10" borderId="39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176" fontId="0" fillId="4" borderId="17" xfId="0" applyNumberFormat="1" applyFill="1" applyBorder="1" applyAlignment="1">
      <alignment horizontal="center"/>
    </xf>
    <xf numFmtId="176" fontId="0" fillId="4" borderId="9" xfId="0" applyNumberFormat="1" applyFill="1" applyBorder="1" applyAlignment="1">
      <alignment horizontal="center"/>
    </xf>
    <xf numFmtId="176" fontId="0" fillId="4" borderId="12" xfId="0" applyNumberFormat="1" applyFill="1" applyBorder="1" applyAlignment="1">
      <alignment horizontal="center"/>
    </xf>
    <xf numFmtId="176" fontId="0" fillId="4" borderId="15" xfId="0" applyNumberFormat="1" applyFill="1" applyBorder="1" applyAlignment="1">
      <alignment horizontal="center"/>
    </xf>
    <xf numFmtId="176" fontId="0" fillId="4" borderId="6" xfId="0" applyNumberFormat="1" applyFill="1" applyBorder="1" applyAlignment="1">
      <alignment horizontal="center"/>
    </xf>
    <xf numFmtId="0" fontId="0" fillId="0" borderId="33" xfId="0" applyBorder="1" applyAlignment="1">
      <alignment vertical="center"/>
    </xf>
    <xf numFmtId="0" fontId="0" fillId="0" borderId="26" xfId="0" applyBorder="1" applyAlignment="1">
      <alignment vertical="center"/>
    </xf>
    <xf numFmtId="176" fontId="0" fillId="0" borderId="7" xfId="0" applyNumberFormat="1" applyBorder="1" applyAlignment="1">
      <alignment horizontal="center"/>
    </xf>
    <xf numFmtId="176" fontId="0" fillId="0" borderId="8" xfId="0" applyNumberFormat="1" applyBorder="1" applyAlignment="1">
      <alignment horizont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11" borderId="78" xfId="0" applyFill="1" applyBorder="1"/>
    <xf numFmtId="0" fontId="1" fillId="0" borderId="45" xfId="0" applyFont="1" applyBorder="1" applyAlignment="1">
      <alignment horizontal="right"/>
    </xf>
    <xf numFmtId="0" fontId="1" fillId="11" borderId="69" xfId="0" applyFont="1" applyFill="1" applyBorder="1"/>
    <xf numFmtId="176" fontId="0" fillId="15" borderId="0" xfId="0" applyNumberFormat="1" applyFill="1" applyBorder="1" applyAlignment="1">
      <alignment horizontal="center" vertical="center"/>
    </xf>
    <xf numFmtId="176" fontId="0" fillId="15" borderId="72" xfId="3" applyNumberFormat="1" applyFont="1" applyFill="1" applyBorder="1" applyAlignment="1">
      <alignment horizontal="center" vertical="center"/>
    </xf>
    <xf numFmtId="176" fontId="0" fillId="15" borderId="45" xfId="3" applyNumberFormat="1" applyFont="1" applyFill="1" applyBorder="1" applyAlignment="1">
      <alignment horizontal="center" vertical="center"/>
    </xf>
    <xf numFmtId="176" fontId="0" fillId="15" borderId="76" xfId="3" applyNumberFormat="1" applyFont="1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/>
    </xf>
    <xf numFmtId="176" fontId="0" fillId="15" borderId="69" xfId="0" applyNumberFormat="1" applyFill="1" applyBorder="1" applyAlignment="1">
      <alignment horizontal="center" vertical="center"/>
    </xf>
    <xf numFmtId="176" fontId="0" fillId="15" borderId="64" xfId="0" applyNumberFormat="1" applyFill="1" applyBorder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0" fillId="0" borderId="5" xfId="0" applyNumberFormat="1" applyBorder="1" applyAlignment="1">
      <alignment horizontal="center"/>
    </xf>
    <xf numFmtId="179" fontId="0" fillId="0" borderId="8" xfId="0" applyNumberFormat="1" applyBorder="1" applyAlignment="1">
      <alignment horizontal="center"/>
    </xf>
    <xf numFmtId="179" fontId="0" fillId="0" borderId="14" xfId="0" applyNumberFormat="1" applyBorder="1" applyAlignment="1">
      <alignment horizontal="center"/>
    </xf>
    <xf numFmtId="179" fontId="0" fillId="0" borderId="11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0" fontId="1" fillId="0" borderId="44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/>
    </xf>
    <xf numFmtId="176" fontId="0" fillId="2" borderId="9" xfId="0" applyNumberFormat="1" applyFill="1" applyBorder="1" applyAlignment="1">
      <alignment horizontal="center"/>
    </xf>
    <xf numFmtId="9" fontId="0" fillId="0" borderId="18" xfId="0" applyNumberForma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176" fontId="0" fillId="0" borderId="61" xfId="0" applyNumberFormat="1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33" xfId="0" applyNumberFormat="1" applyBorder="1" applyAlignment="1">
      <alignment horizontal="center"/>
    </xf>
    <xf numFmtId="176" fontId="0" fillId="2" borderId="12" xfId="0" applyNumberFormat="1" applyFill="1" applyBorder="1" applyAlignment="1">
      <alignment horizontal="center"/>
    </xf>
    <xf numFmtId="176" fontId="0" fillId="0" borderId="46" xfId="0" applyNumberFormat="1" applyFill="1" applyBorder="1" applyAlignment="1">
      <alignment horizontal="center"/>
    </xf>
    <xf numFmtId="176" fontId="0" fillId="2" borderId="47" xfId="0" applyNumberFormat="1" applyFill="1" applyBorder="1" applyAlignment="1">
      <alignment horizontal="center"/>
    </xf>
    <xf numFmtId="176" fontId="0" fillId="2" borderId="63" xfId="0" applyNumberFormat="1" applyFill="1" applyBorder="1" applyAlignment="1">
      <alignment horizontal="center"/>
    </xf>
    <xf numFmtId="176" fontId="0" fillId="0" borderId="17" xfId="0" applyNumberFormat="1" applyBorder="1" applyAlignment="1">
      <alignment horizontal="center"/>
    </xf>
    <xf numFmtId="176" fontId="0" fillId="0" borderId="0" xfId="0" applyNumberFormat="1"/>
    <xf numFmtId="176" fontId="0" fillId="4" borderId="58" xfId="0" applyNumberFormat="1" applyFill="1" applyBorder="1" applyAlignment="1">
      <alignment horizontal="center"/>
    </xf>
    <xf numFmtId="176" fontId="0" fillId="4" borderId="59" xfId="0" applyNumberFormat="1" applyFill="1" applyBorder="1" applyAlignment="1">
      <alignment horizontal="center"/>
    </xf>
    <xf numFmtId="0" fontId="1" fillId="0" borderId="40" xfId="0" applyFont="1" applyBorder="1" applyAlignment="1">
      <alignment horizontal="fill"/>
    </xf>
    <xf numFmtId="176" fontId="0" fillId="0" borderId="63" xfId="0" applyNumberFormat="1" applyFill="1" applyBorder="1" applyAlignment="1">
      <alignment horizontal="center"/>
    </xf>
    <xf numFmtId="0" fontId="1" fillId="0" borderId="0" xfId="0" applyFont="1" applyAlignment="1">
      <alignment horizontal="fill"/>
    </xf>
    <xf numFmtId="0" fontId="1" fillId="0" borderId="51" xfId="0" applyFont="1" applyBorder="1" applyAlignment="1">
      <alignment horizontal="fill"/>
    </xf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67" xfId="0" applyBorder="1" applyAlignment="1">
      <alignment horizontal="left"/>
    </xf>
    <xf numFmtId="0" fontId="1" fillId="0" borderId="40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0" fillId="0" borderId="64" xfId="0" applyBorder="1" applyAlignment="1">
      <alignment horizontal="left"/>
    </xf>
    <xf numFmtId="0" fontId="1" fillId="0" borderId="51" xfId="0" applyFont="1" applyBorder="1" applyAlignment="1">
      <alignment horizontal="left"/>
    </xf>
    <xf numFmtId="0" fontId="1" fillId="0" borderId="54" xfId="0" applyFont="1" applyBorder="1" applyAlignment="1">
      <alignment horizontal="left"/>
    </xf>
    <xf numFmtId="0" fontId="1" fillId="9" borderId="11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wrapText="1"/>
    </xf>
    <xf numFmtId="0" fontId="1" fillId="6" borderId="12" xfId="0" applyFont="1" applyFill="1" applyBorder="1" applyAlignment="1">
      <alignment horizontal="center" wrapText="1"/>
    </xf>
    <xf numFmtId="0" fontId="1" fillId="6" borderId="10" xfId="0" applyFont="1" applyFill="1" applyBorder="1" applyAlignment="1">
      <alignment horizontal="center" wrapText="1"/>
    </xf>
    <xf numFmtId="0" fontId="1" fillId="13" borderId="11" xfId="0" applyFont="1" applyFill="1" applyBorder="1" applyAlignment="1">
      <alignment horizontal="center" wrapText="1"/>
    </xf>
    <xf numFmtId="0" fontId="1" fillId="14" borderId="11" xfId="0" applyFont="1" applyFill="1" applyBorder="1" applyAlignment="1">
      <alignment horizontal="center" wrapText="1"/>
    </xf>
    <xf numFmtId="2" fontId="0" fillId="19" borderId="16" xfId="0" applyNumberFormat="1" applyFill="1" applyBorder="1" applyAlignment="1">
      <alignment horizontal="center"/>
    </xf>
    <xf numFmtId="2" fontId="0" fillId="19" borderId="8" xfId="0" applyNumberFormat="1" applyFill="1" applyBorder="1" applyAlignment="1">
      <alignment horizontal="center"/>
    </xf>
    <xf numFmtId="2" fontId="0" fillId="19" borderId="11" xfId="0" applyNumberFormat="1" applyFill="1" applyBorder="1" applyAlignment="1">
      <alignment horizontal="center"/>
    </xf>
    <xf numFmtId="0" fontId="1" fillId="13" borderId="5" xfId="0" applyFont="1" applyFill="1" applyBorder="1" applyAlignment="1">
      <alignment horizontal="center" wrapText="1"/>
    </xf>
    <xf numFmtId="0" fontId="1" fillId="13" borderId="6" xfId="0" applyFont="1" applyFill="1" applyBorder="1" applyAlignment="1">
      <alignment horizontal="center" wrapText="1"/>
    </xf>
    <xf numFmtId="0" fontId="1" fillId="9" borderId="11" xfId="0" applyFont="1" applyFill="1" applyBorder="1" applyAlignment="1">
      <alignment horizontal="center" wrapText="1"/>
    </xf>
    <xf numFmtId="0" fontId="1" fillId="9" borderId="12" xfId="0" applyFont="1" applyFill="1" applyBorder="1" applyAlignment="1">
      <alignment horizontal="center" wrapText="1"/>
    </xf>
    <xf numFmtId="0" fontId="1" fillId="0" borderId="72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76" xfId="0" applyBorder="1" applyAlignment="1">
      <alignment horizontal="left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8" borderId="72" xfId="0" applyFont="1" applyFill="1" applyBorder="1" applyAlignment="1">
      <alignment horizontal="left" vertical="center"/>
    </xf>
    <xf numFmtId="0" fontId="1" fillId="8" borderId="6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47" xfId="0" applyFont="1" applyFill="1" applyBorder="1" applyAlignment="1">
      <alignment horizontal="center" vertical="center" wrapText="1"/>
    </xf>
    <xf numFmtId="0" fontId="1" fillId="8" borderId="69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0" borderId="1" xfId="0" applyBorder="1" applyAlignment="1"/>
    <xf numFmtId="0" fontId="0" fillId="0" borderId="70" xfId="0" applyBorder="1" applyAlignment="1"/>
    <xf numFmtId="0" fontId="8" fillId="0" borderId="67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1" fillId="8" borderId="36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0" fillId="0" borderId="49" xfId="0" applyBorder="1" applyAlignment="1"/>
    <xf numFmtId="0" fontId="0" fillId="0" borderId="50" xfId="0" applyBorder="1" applyAlignment="1"/>
    <xf numFmtId="0" fontId="8" fillId="0" borderId="61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1" fillId="8" borderId="51" xfId="0" applyFont="1" applyFill="1" applyBorder="1" applyAlignment="1">
      <alignment horizontal="center" vertical="center" wrapText="1"/>
    </xf>
    <xf numFmtId="0" fontId="1" fillId="8" borderId="49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left" vertical="center"/>
    </xf>
    <xf numFmtId="0" fontId="1" fillId="8" borderId="41" xfId="0" applyFont="1" applyFill="1" applyBorder="1" applyAlignment="1">
      <alignment horizontal="left" vertical="center"/>
    </xf>
    <xf numFmtId="0" fontId="1" fillId="8" borderId="42" xfId="0" applyFont="1" applyFill="1" applyBorder="1" applyAlignment="1">
      <alignment horizontal="left" vertical="center"/>
    </xf>
    <xf numFmtId="0" fontId="1" fillId="0" borderId="40" xfId="0" applyFont="1" applyFill="1" applyBorder="1" applyAlignment="1">
      <alignment horizontal="left" vertical="center"/>
    </xf>
    <xf numFmtId="0" fontId="1" fillId="0" borderId="41" xfId="0" applyFont="1" applyFill="1" applyBorder="1" applyAlignment="1">
      <alignment horizontal="left" vertical="center"/>
    </xf>
    <xf numFmtId="0" fontId="1" fillId="0" borderId="44" xfId="0" applyFont="1" applyFill="1" applyBorder="1" applyAlignment="1">
      <alignment horizontal="left" vertical="center"/>
    </xf>
    <xf numFmtId="0" fontId="1" fillId="8" borderId="44" xfId="0" applyFont="1" applyFill="1" applyBorder="1" applyAlignment="1">
      <alignment horizontal="left" vertical="center"/>
    </xf>
    <xf numFmtId="0" fontId="1" fillId="8" borderId="72" xfId="0" applyFont="1" applyFill="1" applyBorder="1" applyAlignment="1">
      <alignment horizontal="center" vertical="center" wrapText="1"/>
    </xf>
    <xf numFmtId="0" fontId="1" fillId="8" borderId="45" xfId="0" applyFont="1" applyFill="1" applyBorder="1" applyAlignment="1">
      <alignment horizontal="center" vertical="center" wrapText="1"/>
    </xf>
    <xf numFmtId="0" fontId="1" fillId="8" borderId="76" xfId="0" applyFont="1" applyFill="1" applyBorder="1" applyAlignment="1">
      <alignment horizontal="center" vertical="center" wrapText="1"/>
    </xf>
    <xf numFmtId="0" fontId="1" fillId="8" borderId="78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8" borderId="90" xfId="0" applyFont="1" applyFill="1" applyBorder="1" applyAlignment="1">
      <alignment horizontal="center" vertical="center" wrapText="1"/>
    </xf>
    <xf numFmtId="0" fontId="8" fillId="0" borderId="64" xfId="0" applyFont="1" applyBorder="1" applyAlignment="1">
      <alignment horizontal="center"/>
    </xf>
    <xf numFmtId="0" fontId="0" fillId="0" borderId="73" xfId="0" applyBorder="1" applyAlignment="1">
      <alignment horizontal="center"/>
    </xf>
    <xf numFmtId="0" fontId="1" fillId="8" borderId="80" xfId="0" applyFont="1" applyFill="1" applyBorder="1" applyAlignment="1">
      <alignment horizontal="center" vertical="center" wrapText="1"/>
    </xf>
    <xf numFmtId="0" fontId="1" fillId="8" borderId="84" xfId="0" applyFont="1" applyFill="1" applyBorder="1" applyAlignment="1">
      <alignment horizontal="center" vertical="center" wrapText="1"/>
    </xf>
    <xf numFmtId="0" fontId="1" fillId="8" borderId="85" xfId="0" applyFont="1" applyFill="1" applyBorder="1" applyAlignment="1">
      <alignment horizontal="center" vertical="center" wrapText="1"/>
    </xf>
    <xf numFmtId="0" fontId="1" fillId="0" borderId="72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76" xfId="0" applyFont="1" applyBorder="1" applyAlignment="1">
      <alignment horizontal="center" vertical="center" wrapText="1"/>
    </xf>
    <xf numFmtId="0" fontId="1" fillId="0" borderId="78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90" xfId="0" applyFont="1" applyBorder="1" applyAlignment="1">
      <alignment horizontal="center" vertical="center" wrapText="1"/>
    </xf>
    <xf numFmtId="0" fontId="1" fillId="0" borderId="80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13" borderId="46" xfId="0" applyFont="1" applyFill="1" applyBorder="1" applyAlignment="1">
      <alignment horizontal="center" wrapText="1"/>
    </xf>
    <xf numFmtId="0" fontId="1" fillId="13" borderId="49" xfId="0" applyFont="1" applyFill="1" applyBorder="1" applyAlignment="1">
      <alignment horizontal="center" wrapText="1"/>
    </xf>
    <xf numFmtId="0" fontId="1" fillId="13" borderId="50" xfId="0" applyFont="1" applyFill="1" applyBorder="1" applyAlignment="1">
      <alignment horizontal="center" wrapText="1"/>
    </xf>
    <xf numFmtId="0" fontId="1" fillId="9" borderId="48" xfId="0" applyFont="1" applyFill="1" applyBorder="1" applyAlignment="1">
      <alignment horizontal="center" wrapText="1"/>
    </xf>
    <xf numFmtId="0" fontId="1" fillId="9" borderId="55" xfId="0" applyFont="1" applyFill="1" applyBorder="1" applyAlignment="1">
      <alignment horizontal="center" wrapText="1"/>
    </xf>
    <xf numFmtId="0" fontId="1" fillId="9" borderId="56" xfId="0" applyFont="1" applyFill="1" applyBorder="1" applyAlignment="1">
      <alignment horizontal="center" wrapText="1"/>
    </xf>
    <xf numFmtId="0" fontId="0" fillId="8" borderId="30" xfId="0" applyFill="1" applyBorder="1" applyAlignment="1"/>
    <xf numFmtId="0" fontId="1" fillId="6" borderId="16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wrapText="1"/>
    </xf>
    <xf numFmtId="0" fontId="1" fillId="6" borderId="17" xfId="0" applyFont="1" applyFill="1" applyBorder="1" applyAlignment="1">
      <alignment horizontal="center" wrapText="1"/>
    </xf>
    <xf numFmtId="0" fontId="1" fillId="6" borderId="12" xfId="0" applyFont="1" applyFill="1" applyBorder="1" applyAlignment="1">
      <alignment horizontal="center" wrapText="1"/>
    </xf>
    <xf numFmtId="0" fontId="8" fillId="12" borderId="52" xfId="0" applyFont="1" applyFill="1" applyBorder="1" applyAlignment="1">
      <alignment horizontal="center"/>
    </xf>
    <xf numFmtId="0" fontId="8" fillId="12" borderId="2" xfId="0" applyFont="1" applyFill="1" applyBorder="1" applyAlignment="1">
      <alignment horizontal="center"/>
    </xf>
    <xf numFmtId="0" fontId="8" fillId="12" borderId="53" xfId="0" applyFont="1" applyFill="1" applyBorder="1" applyAlignment="1">
      <alignment horizontal="center"/>
    </xf>
    <xf numFmtId="0" fontId="1" fillId="6" borderId="51" xfId="0" applyFont="1" applyFill="1" applyBorder="1" applyAlignment="1">
      <alignment horizontal="center" wrapText="1"/>
    </xf>
    <xf numFmtId="0" fontId="1" fillId="6" borderId="35" xfId="0" applyFont="1" applyFill="1" applyBorder="1" applyAlignment="1">
      <alignment horizontal="center" wrapText="1"/>
    </xf>
    <xf numFmtId="0" fontId="1" fillId="6" borderId="46" xfId="0" applyFont="1" applyFill="1" applyBorder="1" applyAlignment="1">
      <alignment horizontal="center" wrapText="1"/>
    </xf>
    <xf numFmtId="0" fontId="1" fillId="6" borderId="49" xfId="0" applyFont="1" applyFill="1" applyBorder="1" applyAlignment="1">
      <alignment horizontal="center" wrapText="1"/>
    </xf>
    <xf numFmtId="0" fontId="1" fillId="6" borderId="50" xfId="0" applyFont="1" applyFill="1" applyBorder="1" applyAlignment="1">
      <alignment horizontal="center" wrapText="1"/>
    </xf>
    <xf numFmtId="0" fontId="1" fillId="5" borderId="4" xfId="0" applyFont="1" applyFill="1" applyBorder="1" applyAlignment="1">
      <alignment horizontal="left" vertical="top"/>
    </xf>
    <xf numFmtId="0" fontId="1" fillId="5" borderId="5" xfId="0" applyFont="1" applyFill="1" applyBorder="1" applyAlignment="1">
      <alignment horizontal="left" vertical="top"/>
    </xf>
    <xf numFmtId="0" fontId="1" fillId="5" borderId="6" xfId="0" applyFont="1" applyFill="1" applyBorder="1" applyAlignment="1">
      <alignment horizontal="left" vertical="top"/>
    </xf>
    <xf numFmtId="0" fontId="1" fillId="14" borderId="4" xfId="0" applyFont="1" applyFill="1" applyBorder="1" applyAlignment="1">
      <alignment horizontal="center" wrapText="1"/>
    </xf>
    <xf numFmtId="0" fontId="1" fillId="14" borderId="5" xfId="0" applyFont="1" applyFill="1" applyBorder="1" applyAlignment="1">
      <alignment horizontal="center" wrapText="1"/>
    </xf>
    <xf numFmtId="0" fontId="1" fillId="14" borderId="6" xfId="0" applyFont="1" applyFill="1" applyBorder="1" applyAlignment="1">
      <alignment horizontal="center" wrapText="1"/>
    </xf>
    <xf numFmtId="0" fontId="1" fillId="13" borderId="4" xfId="0" applyFont="1" applyFill="1" applyBorder="1" applyAlignment="1">
      <alignment horizontal="center" wrapText="1"/>
    </xf>
    <xf numFmtId="0" fontId="1" fillId="13" borderId="9" xfId="0" applyFont="1" applyFill="1" applyBorder="1" applyAlignment="1">
      <alignment horizontal="center" wrapText="1"/>
    </xf>
    <xf numFmtId="0" fontId="1" fillId="13" borderId="12" xfId="0" applyFont="1" applyFill="1" applyBorder="1" applyAlignment="1">
      <alignment horizontal="center" wrapText="1"/>
    </xf>
    <xf numFmtId="0" fontId="1" fillId="6" borderId="19" xfId="0" applyFont="1" applyFill="1" applyBorder="1" applyAlignment="1">
      <alignment horizontal="center" wrapText="1"/>
    </xf>
    <xf numFmtId="0" fontId="1" fillId="6" borderId="10" xfId="0" applyFont="1" applyFill="1" applyBorder="1" applyAlignment="1">
      <alignment horizontal="center" wrapText="1"/>
    </xf>
    <xf numFmtId="0" fontId="1" fillId="13" borderId="8" xfId="0" applyFont="1" applyFill="1" applyBorder="1" applyAlignment="1">
      <alignment horizontal="center" wrapText="1"/>
    </xf>
    <xf numFmtId="0" fontId="1" fillId="13" borderId="11" xfId="0" applyFont="1" applyFill="1" applyBorder="1" applyAlignment="1">
      <alignment horizontal="center" wrapText="1"/>
    </xf>
    <xf numFmtId="0" fontId="1" fillId="14" borderId="8" xfId="0" applyFont="1" applyFill="1" applyBorder="1" applyAlignment="1">
      <alignment horizontal="center" wrapText="1"/>
    </xf>
    <xf numFmtId="0" fontId="1" fillId="14" borderId="11" xfId="0" applyFont="1" applyFill="1" applyBorder="1" applyAlignment="1">
      <alignment horizontal="center" wrapText="1"/>
    </xf>
    <xf numFmtId="0" fontId="1" fillId="14" borderId="9" xfId="0" applyFont="1" applyFill="1" applyBorder="1" applyAlignment="1">
      <alignment horizontal="center" wrapText="1"/>
    </xf>
    <xf numFmtId="0" fontId="1" fillId="14" borderId="12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1" fillId="5" borderId="8" xfId="0" applyFont="1" applyFill="1" applyBorder="1" applyAlignment="1">
      <alignment horizontal="center" wrapText="1"/>
    </xf>
    <xf numFmtId="0" fontId="1" fillId="5" borderId="14" xfId="0" applyFont="1" applyFill="1" applyBorder="1" applyAlignment="1">
      <alignment horizontal="center" wrapText="1"/>
    </xf>
    <xf numFmtId="0" fontId="1" fillId="5" borderId="9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14" borderId="7" xfId="0" applyFont="1" applyFill="1" applyBorder="1" applyAlignment="1">
      <alignment horizontal="center" wrapText="1"/>
    </xf>
    <xf numFmtId="0" fontId="1" fillId="14" borderId="10" xfId="0" applyFont="1" applyFill="1" applyBorder="1" applyAlignment="1">
      <alignment horizontal="center" wrapText="1"/>
    </xf>
    <xf numFmtId="0" fontId="1" fillId="5" borderId="7" xfId="0" applyFont="1" applyFill="1" applyBorder="1" applyAlignment="1">
      <alignment horizontal="center" wrapText="1"/>
    </xf>
    <xf numFmtId="0" fontId="1" fillId="5" borderId="18" xfId="0" applyFont="1" applyFill="1" applyBorder="1" applyAlignment="1">
      <alignment horizontal="center" wrapText="1"/>
    </xf>
    <xf numFmtId="0" fontId="1" fillId="17" borderId="8" xfId="0" applyFont="1" applyFill="1" applyBorder="1" applyAlignment="1">
      <alignment horizontal="center" wrapText="1"/>
    </xf>
    <xf numFmtId="0" fontId="1" fillId="17" borderId="14" xfId="0" applyFont="1" applyFill="1" applyBorder="1" applyAlignment="1">
      <alignment horizontal="center" wrapText="1"/>
    </xf>
    <xf numFmtId="0" fontId="8" fillId="12" borderId="30" xfId="0" applyFont="1" applyFill="1" applyBorder="1" applyAlignment="1">
      <alignment horizontal="center"/>
    </xf>
    <xf numFmtId="0" fontId="0" fillId="6" borderId="16" xfId="0" applyFill="1" applyBorder="1" applyAlignment="1">
      <alignment horizontal="center" wrapText="1"/>
    </xf>
    <xf numFmtId="0" fontId="0" fillId="6" borderId="17" xfId="0" applyFill="1" applyBorder="1" applyAlignment="1">
      <alignment horizontal="center" wrapText="1"/>
    </xf>
    <xf numFmtId="0" fontId="1" fillId="7" borderId="4" xfId="0" applyFont="1" applyFill="1" applyBorder="1" applyAlignment="1">
      <alignment horizontal="left" vertical="top"/>
    </xf>
    <xf numFmtId="0" fontId="1" fillId="7" borderId="5" xfId="0" applyFont="1" applyFill="1" applyBorder="1" applyAlignment="1">
      <alignment horizontal="left" vertical="top"/>
    </xf>
    <xf numFmtId="0" fontId="1" fillId="7" borderId="6" xfId="0" applyFont="1" applyFill="1" applyBorder="1" applyAlignment="1">
      <alignment horizontal="left" vertical="top"/>
    </xf>
    <xf numFmtId="0" fontId="1" fillId="6" borderId="20" xfId="0" applyFont="1" applyFill="1" applyBorder="1" applyAlignment="1">
      <alignment horizontal="center" wrapText="1"/>
    </xf>
    <xf numFmtId="0" fontId="1" fillId="6" borderId="25" xfId="0" applyFont="1" applyFill="1" applyBorder="1" applyAlignment="1">
      <alignment horizontal="center" wrapText="1"/>
    </xf>
    <xf numFmtId="0" fontId="1" fillId="6" borderId="13" xfId="0" applyFont="1" applyFill="1" applyBorder="1" applyAlignment="1">
      <alignment horizontal="center" wrapText="1"/>
    </xf>
    <xf numFmtId="0" fontId="1" fillId="6" borderId="26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wrapText="1"/>
    </xf>
    <xf numFmtId="0" fontId="1" fillId="6" borderId="5" xfId="0" applyFont="1" applyFill="1" applyBorder="1" applyAlignment="1">
      <alignment horizontal="center" wrapText="1"/>
    </xf>
    <xf numFmtId="0" fontId="1" fillId="6" borderId="6" xfId="0" applyFont="1" applyFill="1" applyBorder="1" applyAlignment="1">
      <alignment horizontal="center" wrapText="1"/>
    </xf>
    <xf numFmtId="0" fontId="1" fillId="12" borderId="4" xfId="0" applyFont="1" applyFill="1" applyBorder="1" applyAlignment="1">
      <alignment horizontal="center" wrapText="1"/>
    </xf>
    <xf numFmtId="0" fontId="1" fillId="12" borderId="5" xfId="0" applyFont="1" applyFill="1" applyBorder="1" applyAlignment="1">
      <alignment horizontal="center" wrapText="1"/>
    </xf>
    <xf numFmtId="0" fontId="1" fillId="12" borderId="6" xfId="0" applyFont="1" applyFill="1" applyBorder="1" applyAlignment="1">
      <alignment horizontal="center" wrapText="1"/>
    </xf>
    <xf numFmtId="0" fontId="1" fillId="6" borderId="23" xfId="0" applyFont="1" applyFill="1" applyBorder="1" applyAlignment="1">
      <alignment horizontal="center" wrapText="1"/>
    </xf>
    <xf numFmtId="0" fontId="1" fillId="6" borderId="24" xfId="0" applyFont="1" applyFill="1" applyBorder="1" applyAlignment="1">
      <alignment horizontal="center" wrapText="1"/>
    </xf>
    <xf numFmtId="0" fontId="1" fillId="7" borderId="8" xfId="0" applyFont="1" applyFill="1" applyBorder="1" applyAlignment="1">
      <alignment horizontal="center" wrapText="1"/>
    </xf>
    <xf numFmtId="0" fontId="1" fillId="7" borderId="11" xfId="0" applyFont="1" applyFill="1" applyBorder="1" applyAlignment="1">
      <alignment horizontal="center" wrapText="1"/>
    </xf>
    <xf numFmtId="0" fontId="1" fillId="7" borderId="9" xfId="0" applyFont="1" applyFill="1" applyBorder="1" applyAlignment="1">
      <alignment horizontal="center" wrapText="1"/>
    </xf>
    <xf numFmtId="0" fontId="1" fillId="7" borderId="12" xfId="0" applyFont="1" applyFill="1" applyBorder="1" applyAlignment="1">
      <alignment horizontal="center" wrapText="1"/>
    </xf>
    <xf numFmtId="0" fontId="1" fillId="7" borderId="7" xfId="0" applyFont="1" applyFill="1" applyBorder="1" applyAlignment="1">
      <alignment horizontal="center" wrapText="1"/>
    </xf>
    <xf numFmtId="0" fontId="1" fillId="7" borderId="10" xfId="0" applyFont="1" applyFill="1" applyBorder="1" applyAlignment="1">
      <alignment horizontal="center" wrapText="1"/>
    </xf>
    <xf numFmtId="0" fontId="8" fillId="6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9" borderId="4" xfId="0" applyFont="1" applyFill="1" applyBorder="1" applyAlignment="1">
      <alignment horizontal="center" wrapText="1"/>
    </xf>
    <xf numFmtId="0" fontId="1" fillId="9" borderId="5" xfId="0" applyFont="1" applyFill="1" applyBorder="1" applyAlignment="1">
      <alignment horizontal="center" wrapText="1"/>
    </xf>
    <xf numFmtId="0" fontId="1" fillId="9" borderId="6" xfId="0" applyFont="1" applyFill="1" applyBorder="1" applyAlignment="1">
      <alignment horizontal="center" wrapText="1"/>
    </xf>
    <xf numFmtId="0" fontId="1" fillId="9" borderId="8" xfId="0" applyFont="1" applyFill="1" applyBorder="1" applyAlignment="1">
      <alignment horizontal="center" wrapText="1"/>
    </xf>
    <xf numFmtId="0" fontId="1" fillId="9" borderId="9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 wrapText="1"/>
    </xf>
    <xf numFmtId="0" fontId="1" fillId="5" borderId="12" xfId="0" applyFont="1" applyFill="1" applyBorder="1" applyAlignment="1">
      <alignment horizontal="center" wrapText="1"/>
    </xf>
    <xf numFmtId="0" fontId="1" fillId="9" borderId="7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wrapText="1"/>
    </xf>
  </cellXfs>
  <cellStyles count="4">
    <cellStyle name="百分比" xfId="3" builtinId="5"/>
    <cellStyle name="百分比 2" xfId="2"/>
    <cellStyle name="常规" xfId="0" builtinId="0"/>
    <cellStyle name="常规 2" xfId="1"/>
  </cellStyles>
  <dxfs count="5627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FF0000"/>
          <bgColor rgb="FFFFFFFF"/>
        </patternFill>
      </fill>
    </dxf>
    <dxf>
      <fill>
        <patternFill patternType="mediumGray">
          <fgColor rgb="FF00FF00"/>
          <bgColor rgb="FFFFFFFF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FF0000"/>
          <bgColor rgb="FFFFFFFF"/>
        </patternFill>
      </fill>
    </dxf>
    <dxf>
      <fill>
        <patternFill patternType="mediumGray">
          <fgColor rgb="FF00FF00"/>
          <bgColor rgb="FFFFFFFF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  <bgColor theme="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  <bgColor theme="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colors>
    <mruColors>
      <color rgb="FFFF0000"/>
      <color rgb="FF00FF00"/>
      <color rgb="FFFFFFFF"/>
      <color rgb="FFD8E4BC"/>
      <color rgb="FFB4FFB4"/>
      <color rgb="FFAAFFAA"/>
      <color rgb="FFAAF0AA"/>
      <color rgb="FFA0FAA0"/>
      <color rgb="FFA0FFA0"/>
      <color rgb="FF96F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Plot!graph_b_title</c:f>
          <c:strCache>
            <c:ptCount val="1"/>
            <c:pt idx="0">
              <c:v>Luma End-to-End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Plot!graph_b_A_title</c:f>
              <c:strCache>
                <c:ptCount val="1"/>
                <c:pt idx="0">
                  <c:v>pcrm-dev-3.2-attr-ccp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Plot!graph_b_x_range_A</c:f>
              <c:numCache>
                <c:formatCode>General</c:formatCode>
                <c:ptCount val="6"/>
                <c:pt idx="0">
                  <c:v>21418224</c:v>
                </c:pt>
                <c:pt idx="1">
                  <c:v>42068336</c:v>
                </c:pt>
                <c:pt idx="2">
                  <c:v>95393200</c:v>
                </c:pt>
                <c:pt idx="3">
                  <c:v>243665880</c:v>
                </c:pt>
                <c:pt idx="4">
                  <c:v>546760680</c:v>
                </c:pt>
                <c:pt idx="5">
                  <c:v>1023338688</c:v>
                </c:pt>
              </c:numCache>
            </c:numRef>
          </c:xVal>
          <c:yVal>
            <c:numRef>
              <c:f>Plot!graph_b_y_range_A</c:f>
              <c:numCache>
                <c:formatCode>General</c:formatCode>
                <c:ptCount val="6"/>
                <c:pt idx="0">
                  <c:v>25.566825999999999</c:v>
                </c:pt>
                <c:pt idx="1">
                  <c:v>31.374098</c:v>
                </c:pt>
                <c:pt idx="2">
                  <c:v>36.732990000000001</c:v>
                </c:pt>
                <c:pt idx="3">
                  <c:v>41.82</c:v>
                </c:pt>
                <c:pt idx="4">
                  <c:v>46.804825000000001</c:v>
                </c:pt>
                <c:pt idx="5">
                  <c:v>51.255791000000002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8A-43A5-83D7-8265FC1BBDCB}"/>
            </c:ext>
          </c:extLst>
        </c:ser>
        <c:ser>
          <c:idx val="1"/>
          <c:order val="1"/>
          <c:tx>
            <c:strRef>
              <c:f>Plot!graph_b_B_title</c:f>
              <c:strCache>
                <c:ptCount val="1"/>
                <c:pt idx="0">
                  <c:v>pcrm-dev-3.3-attr-cache-impr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Plot!graph_b_x_range_B</c:f>
              <c:numCache>
                <c:formatCode>General</c:formatCode>
                <c:ptCount val="6"/>
                <c:pt idx="0">
                  <c:v>16020464</c:v>
                </c:pt>
                <c:pt idx="1">
                  <c:v>33453784</c:v>
                </c:pt>
                <c:pt idx="2">
                  <c:v>70585128</c:v>
                </c:pt>
                <c:pt idx="3">
                  <c:v>193471496</c:v>
                </c:pt>
                <c:pt idx="4">
                  <c:v>480430472</c:v>
                </c:pt>
                <c:pt idx="5">
                  <c:v>966519528</c:v>
                </c:pt>
              </c:numCache>
            </c:numRef>
          </c:xVal>
          <c:yVal>
            <c:numRef>
              <c:f>Plot!graph_b_y_range_B</c:f>
              <c:numCache>
                <c:formatCode>General</c:formatCode>
                <c:ptCount val="6"/>
                <c:pt idx="0">
                  <c:v>25.109112</c:v>
                </c:pt>
                <c:pt idx="1">
                  <c:v>31.332761999999999</c:v>
                </c:pt>
                <c:pt idx="2">
                  <c:v>37.251967999999998</c:v>
                </c:pt>
                <c:pt idx="3">
                  <c:v>42.262810000000002</c:v>
                </c:pt>
                <c:pt idx="4">
                  <c:v>46.935696</c:v>
                </c:pt>
                <c:pt idx="5">
                  <c:v>51.265839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8A-43A5-83D7-8265FC1BB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580864"/>
        <c:axId val="348577728"/>
      </c:scatterChart>
      <c:valAx>
        <c:axId val="348580864"/>
        <c:scaling>
          <c:orientation val="minMax"/>
        </c:scaling>
        <c:delete val="0"/>
        <c:axPos val="b"/>
        <c:title>
          <c:tx>
            <c:strRef>
              <c:f>Plot!graph_b_x_title</c:f>
              <c:strCache>
                <c:ptCount val="1"/>
                <c:pt idx="0">
                  <c:v>Colour Bitstream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348577728"/>
        <c:crosses val="autoZero"/>
        <c:crossBetween val="midCat"/>
      </c:valAx>
      <c:valAx>
        <c:axId val="348577728"/>
        <c:scaling>
          <c:orientation val="minMax"/>
        </c:scaling>
        <c:delete val="0"/>
        <c:axPos val="l"/>
        <c:majorGridlines/>
        <c:title>
          <c:tx>
            <c:strRef>
              <c:f>Plot!graph_b_y_title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3485808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Plot!graph_c_title</c:f>
          <c:strCache>
            <c:ptCount val="1"/>
            <c:pt idx="0">
              <c:v>Reflectance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Plot!graph_c_A_title</c:f>
              <c:strCache>
                <c:ptCount val="1"/>
                <c:pt idx="0">
                  <c:v>pcrm-dev-3.2-attr-ccp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Plot!graph_c_x_range_A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Plot!graph_c_y_range_A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1DD-4B67-8CBE-F3BEB0FC3F5F}"/>
            </c:ext>
          </c:extLst>
        </c:ser>
        <c:ser>
          <c:idx val="1"/>
          <c:order val="1"/>
          <c:tx>
            <c:strRef>
              <c:f>Plot!graph_c_B_title</c:f>
              <c:strCache>
                <c:ptCount val="1"/>
                <c:pt idx="0">
                  <c:v>pcrm-dev-3.3-attr-cache-impr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Plot!graph_c_x_range_B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Plot!graph_c_y_range_B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1DD-4B67-8CBE-F3BEB0FC3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6832"/>
        <c:axId val="242627616"/>
      </c:scatterChart>
      <c:valAx>
        <c:axId val="242626832"/>
        <c:scaling>
          <c:orientation val="minMax"/>
        </c:scaling>
        <c:delete val="0"/>
        <c:axPos val="b"/>
        <c:title>
          <c:tx>
            <c:strRef>
              <c:f>Plot!graph_c_x_title</c:f>
              <c:strCache>
                <c:ptCount val="1"/>
                <c:pt idx="0">
                  <c:v>Geometry Bitstream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242627616"/>
        <c:crosses val="autoZero"/>
        <c:crossBetween val="midCat"/>
      </c:valAx>
      <c:valAx>
        <c:axId val="242627616"/>
        <c:scaling>
          <c:orientation val="minMax"/>
        </c:scaling>
        <c:delete val="0"/>
        <c:axPos val="l"/>
        <c:majorGridlines/>
        <c:title>
          <c:tx>
            <c:strRef>
              <c:f>Plot!graph_c_y_title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%" sourceLinked="1"/>
        <c:majorTickMark val="out"/>
        <c:minorTickMark val="none"/>
        <c:tickLblPos val="nextTo"/>
        <c:crossAx val="2426268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Plot!graph_d_title</c:f>
          <c:strCache>
            <c:ptCount val="1"/>
            <c:pt idx="0">
              <c:v>Reflectance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Plot!graph_d_A_title</c:f>
              <c:strCache>
                <c:ptCount val="1"/>
                <c:pt idx="0">
                  <c:v>pcrm-dev-3.2-attr-ccp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Plot!graph_d_x_range_A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Plot!graph_d_y_range_A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D3A-4C23-9663-C01905D525D4}"/>
            </c:ext>
          </c:extLst>
        </c:ser>
        <c:ser>
          <c:idx val="1"/>
          <c:order val="1"/>
          <c:tx>
            <c:strRef>
              <c:f>Plot!graph_d_B_title</c:f>
              <c:strCache>
                <c:ptCount val="1"/>
                <c:pt idx="0">
                  <c:v>pcrm-dev-3.3-attr-cache-impr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Plot!graph_d_x_range_B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Plot!graph_d_y_range_B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D3A-4C23-9663-C01905D52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34680"/>
        <c:axId val="460935072"/>
      </c:scatterChart>
      <c:valAx>
        <c:axId val="460934680"/>
        <c:scaling>
          <c:orientation val="minMax"/>
        </c:scaling>
        <c:delete val="0"/>
        <c:axPos val="b"/>
        <c:title>
          <c:tx>
            <c:strRef>
              <c:f>Plot!graph_d_x_title</c:f>
              <c:strCache>
                <c:ptCount val="1"/>
                <c:pt idx="0">
                  <c:v>Geometry Bitstream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460935072"/>
        <c:crosses val="autoZero"/>
        <c:crossBetween val="midCat"/>
      </c:valAx>
      <c:valAx>
        <c:axId val="460935072"/>
        <c:scaling>
          <c:orientation val="minMax"/>
        </c:scaling>
        <c:delete val="0"/>
        <c:axPos val="l"/>
        <c:majorGridlines/>
        <c:title>
          <c:tx>
            <c:strRef>
              <c:f>Plot!graph_d_y_title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%" sourceLinked="1"/>
        <c:majorTickMark val="out"/>
        <c:minorTickMark val="none"/>
        <c:tickLblPos val="nextTo"/>
        <c:crossAx val="4609346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Plot!graph_e_title</c:f>
          <c:strCache>
            <c:ptCount val="1"/>
            <c:pt idx="0">
              <c:v>Reflectance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Plot!graph_e_A_title</c:f>
              <c:strCache>
                <c:ptCount val="1"/>
                <c:pt idx="0">
                  <c:v>pcrm-dev-3.2-attr-ccp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Plot!graph_e_x_range_A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Plot!graph_e_y_range_A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B3-423F-BD41-BAC2F3C8055F}"/>
            </c:ext>
          </c:extLst>
        </c:ser>
        <c:ser>
          <c:idx val="1"/>
          <c:order val="1"/>
          <c:tx>
            <c:strRef>
              <c:f>Plot!graph_e_B_title</c:f>
              <c:strCache>
                <c:ptCount val="1"/>
                <c:pt idx="0">
                  <c:v>pcrm-dev-3.3-attr-cache-impr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Plot!graph_e_x_range_B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Plot!graph_e_y_range_B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B3-423F-BD41-BAC2F3C80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35856"/>
        <c:axId val="460936248"/>
      </c:scatterChart>
      <c:valAx>
        <c:axId val="460935856"/>
        <c:scaling>
          <c:orientation val="minMax"/>
        </c:scaling>
        <c:delete val="0"/>
        <c:axPos val="b"/>
        <c:title>
          <c:tx>
            <c:strRef>
              <c:f>Plot!graph_e_x_title</c:f>
              <c:strCache>
                <c:ptCount val="1"/>
                <c:pt idx="0">
                  <c:v>Geometry Bitstream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460936248"/>
        <c:crosses val="autoZero"/>
        <c:crossBetween val="midCat"/>
      </c:valAx>
      <c:valAx>
        <c:axId val="460936248"/>
        <c:scaling>
          <c:orientation val="minMax"/>
        </c:scaling>
        <c:delete val="0"/>
        <c:axPos val="l"/>
        <c:majorGridlines/>
        <c:title>
          <c:tx>
            <c:strRef>
              <c:f>Plot!graph_e_y_title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%" sourceLinked="1"/>
        <c:majorTickMark val="out"/>
        <c:minorTickMark val="none"/>
        <c:tickLblPos val="nextTo"/>
        <c:crossAx val="4609358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Plot!graph_f_title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Plot!graph_f_A_title</c:f>
              <c:strCache>
                <c:ptCount val="1"/>
                <c:pt idx="0">
                  <c:v>pcrm-dev-3.2-attr-ccp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Plot!graph_f_x_range_A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Plot!graph_f_y_range_A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61-4374-AACE-6307067FA63B}"/>
            </c:ext>
          </c:extLst>
        </c:ser>
        <c:ser>
          <c:idx val="1"/>
          <c:order val="1"/>
          <c:tx>
            <c:strRef>
              <c:f>Plot!graph_f_B_title</c:f>
              <c:strCache>
                <c:ptCount val="1"/>
                <c:pt idx="0">
                  <c:v>pcrm-dev-3.3-attr-cache-impr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Plot!graph_f_x_range_B</c:f>
              <c:numCache>
                <c:formatCode>General</c:formatCode>
                <c:ptCount val="6"/>
                <c:pt idx="0">
                  <c:v>188623896</c:v>
                </c:pt>
                <c:pt idx="1">
                  <c:v>188623896</c:v>
                </c:pt>
                <c:pt idx="2">
                  <c:v>188623896</c:v>
                </c:pt>
                <c:pt idx="3">
                  <c:v>188623896</c:v>
                </c:pt>
                <c:pt idx="4">
                  <c:v>188623896</c:v>
                </c:pt>
                <c:pt idx="5">
                  <c:v>188623896</c:v>
                </c:pt>
              </c:numCache>
            </c:numRef>
          </c:xVal>
          <c:yVal>
            <c:numRef>
              <c:f>Plot!graph_f_y_range_B</c:f>
              <c:numCache>
                <c:formatCode>0.0%</c:formatCode>
                <c:ptCount val="6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61-4374-AACE-6307067FA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06224"/>
        <c:axId val="553806616"/>
      </c:scatterChart>
      <c:valAx>
        <c:axId val="553806224"/>
        <c:scaling>
          <c:orientation val="minMax"/>
        </c:scaling>
        <c:delete val="0"/>
        <c:axPos val="b"/>
        <c:title>
          <c:tx>
            <c:strRef>
              <c:f>Plot!graph_f_x_title</c:f>
              <c:strCache>
                <c:ptCount val="1"/>
                <c:pt idx="0">
                  <c:v>Geometry Bitstream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53806616"/>
        <c:crosses val="autoZero"/>
        <c:crossBetween val="midCat"/>
      </c:valAx>
      <c:valAx>
        <c:axId val="553806616"/>
        <c:scaling>
          <c:orientation val="minMax"/>
        </c:scaling>
        <c:delete val="0"/>
        <c:axPos val="l"/>
        <c:majorGridlines/>
        <c:title>
          <c:tx>
            <c:strRef>
              <c:f>Plot!graph_f_y_title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%" sourceLinked="1"/>
        <c:majorTickMark val="out"/>
        <c:minorTickMark val="none"/>
        <c:tickLblPos val="nextTo"/>
        <c:crossAx val="5538062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Plot!graph_a_title</c:f>
          <c:strCache>
            <c:ptCount val="1"/>
            <c:pt idx="0">
              <c:v>Luma End-to-End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Plot!graph_a_A_title</c:f>
              <c:strCache>
                <c:ptCount val="1"/>
                <c:pt idx="0">
                  <c:v>pcrm-dev-3.2-attr-ccp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Plot!graph_a_x_range_A</c:f>
              <c:numCache>
                <c:formatCode>General</c:formatCode>
                <c:ptCount val="6"/>
                <c:pt idx="0">
                  <c:v>210079064</c:v>
                </c:pt>
                <c:pt idx="1">
                  <c:v>230729176</c:v>
                </c:pt>
                <c:pt idx="2">
                  <c:v>284054040</c:v>
                </c:pt>
                <c:pt idx="3">
                  <c:v>432326592</c:v>
                </c:pt>
                <c:pt idx="4">
                  <c:v>735421392</c:v>
                </c:pt>
                <c:pt idx="5">
                  <c:v>1211999360</c:v>
                </c:pt>
              </c:numCache>
            </c:numRef>
          </c:xVal>
          <c:yVal>
            <c:numRef>
              <c:f>Plot!graph_a_y_range_A</c:f>
              <c:numCache>
                <c:formatCode>General</c:formatCode>
                <c:ptCount val="6"/>
                <c:pt idx="0">
                  <c:v>25.566825999999999</c:v>
                </c:pt>
                <c:pt idx="1">
                  <c:v>31.374098</c:v>
                </c:pt>
                <c:pt idx="2">
                  <c:v>36.732990000000001</c:v>
                </c:pt>
                <c:pt idx="3">
                  <c:v>41.82</c:v>
                </c:pt>
                <c:pt idx="4">
                  <c:v>46.804825000000001</c:v>
                </c:pt>
                <c:pt idx="5">
                  <c:v>51.255791000000002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8B-4D9C-AB39-7BFD010E32EB}"/>
            </c:ext>
          </c:extLst>
        </c:ser>
        <c:ser>
          <c:idx val="1"/>
          <c:order val="1"/>
          <c:tx>
            <c:strRef>
              <c:f>Plot!graph_a_B_title</c:f>
              <c:strCache>
                <c:ptCount val="1"/>
                <c:pt idx="0">
                  <c:v>pcrm-dev-3.3-attr-cache-impr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Plot!graph_a_x_range_B</c:f>
              <c:numCache>
                <c:formatCode>General</c:formatCode>
                <c:ptCount val="6"/>
                <c:pt idx="0">
                  <c:v>204681304</c:v>
                </c:pt>
                <c:pt idx="1">
                  <c:v>222114624</c:v>
                </c:pt>
                <c:pt idx="2">
                  <c:v>259245968</c:v>
                </c:pt>
                <c:pt idx="3">
                  <c:v>382132208</c:v>
                </c:pt>
                <c:pt idx="4">
                  <c:v>669091184</c:v>
                </c:pt>
                <c:pt idx="5">
                  <c:v>1155180200</c:v>
                </c:pt>
              </c:numCache>
            </c:numRef>
          </c:xVal>
          <c:yVal>
            <c:numRef>
              <c:f>Plot!graph_a_y_range_B</c:f>
              <c:numCache>
                <c:formatCode>General</c:formatCode>
                <c:ptCount val="6"/>
                <c:pt idx="0">
                  <c:v>25.109112</c:v>
                </c:pt>
                <c:pt idx="1">
                  <c:v>31.332761999999999</c:v>
                </c:pt>
                <c:pt idx="2">
                  <c:v>37.251967999999998</c:v>
                </c:pt>
                <c:pt idx="3">
                  <c:v>42.262810000000002</c:v>
                </c:pt>
                <c:pt idx="4">
                  <c:v>46.935696</c:v>
                </c:pt>
                <c:pt idx="5">
                  <c:v>51.265839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8B-4D9C-AB39-7BFD010E3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07400"/>
        <c:axId val="553807792"/>
      </c:scatterChart>
      <c:valAx>
        <c:axId val="553807400"/>
        <c:scaling>
          <c:orientation val="minMax"/>
        </c:scaling>
        <c:delete val="0"/>
        <c:axPos val="b"/>
        <c:title>
          <c:tx>
            <c:strRef>
              <c:f>Plot!graph_a_x_title</c:f>
              <c:strCache>
                <c:ptCount val="1"/>
                <c:pt idx="0">
                  <c:v>Total Bitstream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53807792"/>
        <c:crosses val="autoZero"/>
        <c:crossBetween val="midCat"/>
      </c:valAx>
      <c:valAx>
        <c:axId val="553807792"/>
        <c:scaling>
          <c:orientation val="minMax"/>
        </c:scaling>
        <c:delete val="0"/>
        <c:axPos val="l"/>
        <c:majorGridlines/>
        <c:title>
          <c:tx>
            <c:strRef>
              <c:f>Plot!graph_a_y_title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538074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46566</xdr:colOff>
      <xdr:row>9</xdr:row>
      <xdr:rowOff>8465</xdr:rowOff>
    </xdr:from>
    <xdr:to>
      <xdr:col>18</xdr:col>
      <xdr:colOff>347486</xdr:colOff>
      <xdr:row>30</xdr:row>
      <xdr:rowOff>121354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1149350</xdr:colOff>
      <xdr:row>30</xdr:row>
      <xdr:rowOff>165100</xdr:rowOff>
    </xdr:from>
    <xdr:to>
      <xdr:col>20</xdr:col>
      <xdr:colOff>47625</xdr:colOff>
      <xdr:row>52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381000</xdr:colOff>
      <xdr:row>9</xdr:row>
      <xdr:rowOff>14111</xdr:rowOff>
    </xdr:from>
    <xdr:to>
      <xdr:col>29</xdr:col>
      <xdr:colOff>533400</xdr:colOff>
      <xdr:row>30</xdr:row>
      <xdr:rowOff>128411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</xdr:colOff>
      <xdr:row>9</xdr:row>
      <xdr:rowOff>0</xdr:rowOff>
    </xdr:from>
    <xdr:to>
      <xdr:col>7</xdr:col>
      <xdr:colOff>82550</xdr:colOff>
      <xdr:row>30</xdr:row>
      <xdr:rowOff>114300</xdr:rowOff>
    </xdr:to>
    <xdr:graphicFrame macro="">
      <xdr:nvGraphicFramePr>
        <xdr:cNvPr id="9" name="Chart 1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"/>
  <sheetViews>
    <sheetView workbookViewId="0">
      <selection activeCell="C1" sqref="C1"/>
    </sheetView>
  </sheetViews>
  <sheetFormatPr defaultColWidth="8.875" defaultRowHeight="13.5"/>
  <cols>
    <col min="1" max="1" width="9.125" bestFit="1" customWidth="1"/>
    <col min="3" max="3" width="89.375" customWidth="1"/>
  </cols>
  <sheetData>
    <row r="1" spans="1:4" s="1" customFormat="1">
      <c r="A1" s="1">
        <v>20200930</v>
      </c>
      <c r="B1" s="1" t="s">
        <v>1374</v>
      </c>
      <c r="C1" s="1" t="s">
        <v>1376</v>
      </c>
      <c r="D1" s="1" t="s">
        <v>1377</v>
      </c>
    </row>
    <row r="2" spans="1:4" s="1" customFormat="1">
      <c r="A2" s="1">
        <v>20200710</v>
      </c>
      <c r="B2" s="1" t="s">
        <v>1373</v>
      </c>
      <c r="C2" s="1" t="s">
        <v>1375</v>
      </c>
    </row>
    <row r="3" spans="1:4" s="1" customFormat="1">
      <c r="A3" s="1">
        <v>20200701</v>
      </c>
      <c r="B3" s="1" t="s">
        <v>1367</v>
      </c>
      <c r="C3" s="1" t="s">
        <v>1368</v>
      </c>
      <c r="D3" s="1" t="s">
        <v>1369</v>
      </c>
    </row>
    <row r="4" spans="1:4" s="1" customFormat="1">
      <c r="A4" s="1">
        <v>20200616</v>
      </c>
      <c r="B4" s="1" t="s">
        <v>1113</v>
      </c>
      <c r="C4" s="1" t="s">
        <v>1153</v>
      </c>
      <c r="D4" s="1" t="s">
        <v>1114</v>
      </c>
    </row>
    <row r="5" spans="1:4" s="1" customFormat="1">
      <c r="A5" s="1">
        <v>20200515</v>
      </c>
      <c r="B5" s="1" t="s">
        <v>1111</v>
      </c>
      <c r="C5" s="1" t="s">
        <v>1112</v>
      </c>
    </row>
    <row r="6" spans="1:4" s="1" customFormat="1">
      <c r="A6" s="1">
        <v>20200430</v>
      </c>
      <c r="B6" s="1" t="s">
        <v>1106</v>
      </c>
      <c r="C6" s="1" t="s">
        <v>1110</v>
      </c>
      <c r="D6" s="1" t="s">
        <v>1108</v>
      </c>
    </row>
    <row r="7" spans="1:4" s="1" customFormat="1">
      <c r="A7" s="1">
        <v>20200427</v>
      </c>
      <c r="B7" s="1" t="s">
        <v>1094</v>
      </c>
      <c r="C7" s="1" t="s">
        <v>1095</v>
      </c>
      <c r="D7" s="1" t="s">
        <v>1096</v>
      </c>
    </row>
    <row r="8" spans="1:4" s="1" customFormat="1">
      <c r="A8" s="1">
        <v>20200304</v>
      </c>
      <c r="B8" s="1" t="s">
        <v>1003</v>
      </c>
      <c r="C8" s="1" t="s">
        <v>1005</v>
      </c>
    </row>
    <row r="9" spans="1:4">
      <c r="A9">
        <v>20200103</v>
      </c>
      <c r="B9" t="s">
        <v>998</v>
      </c>
      <c r="C9" t="s">
        <v>1004</v>
      </c>
      <c r="D9" t="s">
        <v>999</v>
      </c>
    </row>
    <row r="10" spans="1:4" s="1" customFormat="1">
      <c r="A10" s="1">
        <v>20191231</v>
      </c>
      <c r="B10" s="1" t="s">
        <v>980</v>
      </c>
      <c r="C10" s="1" t="s">
        <v>981</v>
      </c>
      <c r="D10" s="1" t="s">
        <v>972</v>
      </c>
    </row>
    <row r="11" spans="1:4" s="1" customFormat="1">
      <c r="A11" s="1">
        <v>20191202</v>
      </c>
      <c r="B11" s="1" t="s">
        <v>978</v>
      </c>
      <c r="C11" s="1" t="s">
        <v>979</v>
      </c>
      <c r="D11" s="1" t="s">
        <v>972</v>
      </c>
    </row>
    <row r="12" spans="1:4" s="1" customFormat="1">
      <c r="A12" s="1">
        <v>20191202</v>
      </c>
      <c r="B12" s="1" t="s">
        <v>976</v>
      </c>
      <c r="C12" s="1" t="s">
        <v>977</v>
      </c>
      <c r="D12" s="1" t="s">
        <v>972</v>
      </c>
    </row>
    <row r="13" spans="1:4" s="1" customFormat="1">
      <c r="A13" s="1">
        <v>20191107</v>
      </c>
      <c r="B13" s="1" t="s">
        <v>974</v>
      </c>
      <c r="C13" s="1" t="s">
        <v>975</v>
      </c>
      <c r="D13" s="1" t="s">
        <v>972</v>
      </c>
    </row>
    <row r="14" spans="1:4" s="1" customFormat="1">
      <c r="A14" s="1">
        <v>20191107</v>
      </c>
      <c r="B14" s="1" t="s">
        <v>970</v>
      </c>
      <c r="C14" s="1" t="s">
        <v>971</v>
      </c>
      <c r="D14" s="1" t="s">
        <v>972</v>
      </c>
    </row>
    <row r="15" spans="1:4" s="1" customFormat="1">
      <c r="A15" s="1">
        <v>20190911</v>
      </c>
      <c r="B15" s="1" t="s">
        <v>901</v>
      </c>
      <c r="C15" s="1" t="s">
        <v>902</v>
      </c>
    </row>
    <row r="16" spans="1:4" s="1" customFormat="1">
      <c r="A16" s="1">
        <v>20190830</v>
      </c>
      <c r="B16" s="1" t="s">
        <v>864</v>
      </c>
      <c r="C16" s="1" t="s">
        <v>900</v>
      </c>
      <c r="D16" s="1" t="s">
        <v>865</v>
      </c>
    </row>
    <row r="17" spans="1:4" s="1" customFormat="1">
      <c r="A17" s="1">
        <v>20190826</v>
      </c>
      <c r="B17" s="1" t="s">
        <v>861</v>
      </c>
      <c r="C17" s="1" t="s">
        <v>862</v>
      </c>
      <c r="D17" s="1" t="s">
        <v>863</v>
      </c>
    </row>
    <row r="18" spans="1:4" s="1" customFormat="1">
      <c r="A18" s="1">
        <v>20190816</v>
      </c>
      <c r="B18" s="1" t="s">
        <v>859</v>
      </c>
      <c r="C18" s="1" t="s">
        <v>860</v>
      </c>
    </row>
    <row r="19" spans="1:4">
      <c r="A19">
        <v>20190726</v>
      </c>
      <c r="B19" t="s">
        <v>854</v>
      </c>
      <c r="C19" t="s">
        <v>855</v>
      </c>
      <c r="D19" t="s">
        <v>856</v>
      </c>
    </row>
    <row r="20" spans="1:4">
      <c r="A20">
        <v>20190701</v>
      </c>
      <c r="B20" t="s">
        <v>852</v>
      </c>
      <c r="C20" t="s">
        <v>858</v>
      </c>
      <c r="D20" t="s">
        <v>853</v>
      </c>
    </row>
    <row r="21" spans="1:4">
      <c r="A21">
        <v>201906</v>
      </c>
      <c r="B21" t="s">
        <v>850</v>
      </c>
      <c r="C21" t="s">
        <v>857</v>
      </c>
      <c r="D21" t="s">
        <v>851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6"/>
  <sheetViews>
    <sheetView tabSelected="1" topLeftCell="A7" zoomScaleNormal="100" workbookViewId="0">
      <selection activeCell="J25" sqref="J25"/>
    </sheetView>
  </sheetViews>
  <sheetFormatPr defaultColWidth="8.875" defaultRowHeight="13.5"/>
  <cols>
    <col min="2" max="2" width="21.375" style="9" customWidth="1"/>
    <col min="3" max="8" width="14.625" customWidth="1"/>
    <col min="9" max="9" width="15.375" customWidth="1"/>
    <col min="10" max="10" width="15.125" customWidth="1"/>
  </cols>
  <sheetData>
    <row r="1" spans="2:10" ht="14.1" customHeight="1">
      <c r="B1" s="597" t="s">
        <v>0</v>
      </c>
      <c r="C1" s="623" t="s">
        <v>1371</v>
      </c>
      <c r="D1" s="623"/>
      <c r="E1" s="624"/>
    </row>
    <row r="2" spans="2:10" ht="15" customHeight="1" thickBot="1">
      <c r="B2" s="598" t="s">
        <v>1</v>
      </c>
      <c r="C2" s="625" t="s">
        <v>1372</v>
      </c>
      <c r="D2" s="625"/>
      <c r="E2" s="626"/>
      <c r="F2" s="187" t="s">
        <v>973</v>
      </c>
    </row>
    <row r="3" spans="2:10" ht="14.25" thickBot="1"/>
    <row r="4" spans="2:10" s="193" customFormat="1">
      <c r="B4" s="599" t="s">
        <v>139</v>
      </c>
    </row>
    <row r="5" spans="2:10" ht="14.25" thickBot="1"/>
    <row r="6" spans="2:10" s="144" customFormat="1">
      <c r="B6" s="633" t="s">
        <v>1366</v>
      </c>
      <c r="C6" s="639" t="s">
        <v>1353</v>
      </c>
      <c r="D6" s="640"/>
      <c r="E6" s="640"/>
      <c r="F6" s="640"/>
      <c r="G6" s="640"/>
      <c r="H6" s="640"/>
      <c r="I6" s="641"/>
      <c r="J6" s="642"/>
    </row>
    <row r="7" spans="2:10" s="144" customFormat="1" ht="14.1" customHeight="1">
      <c r="B7" s="628"/>
      <c r="C7" s="637" t="s">
        <v>483</v>
      </c>
      <c r="D7" s="638"/>
      <c r="E7" s="634" t="s">
        <v>482</v>
      </c>
      <c r="F7" s="635"/>
      <c r="G7" s="635"/>
      <c r="H7" s="636"/>
      <c r="I7" s="643" t="s">
        <v>1098</v>
      </c>
      <c r="J7" s="644"/>
    </row>
    <row r="8" spans="2:10" s="144" customFormat="1" ht="14.25" thickBot="1">
      <c r="B8" s="629"/>
      <c r="C8" s="210" t="s">
        <v>186</v>
      </c>
      <c r="D8" s="282" t="s">
        <v>968</v>
      </c>
      <c r="E8" s="283" t="s">
        <v>81</v>
      </c>
      <c r="F8" s="210" t="s">
        <v>83</v>
      </c>
      <c r="G8" s="210" t="s">
        <v>85</v>
      </c>
      <c r="H8" s="211" t="s">
        <v>71</v>
      </c>
      <c r="I8" s="341" t="s">
        <v>1099</v>
      </c>
      <c r="J8" s="342" t="s">
        <v>1100</v>
      </c>
    </row>
    <row r="9" spans="2:10" s="1" customFormat="1">
      <c r="B9" s="600" t="s">
        <v>1125</v>
      </c>
      <c r="C9" s="224">
        <f>'AVSC1 limit-lossyG,lossyA,intra'!$BH$137:$BH$137</f>
        <v>0</v>
      </c>
      <c r="D9" s="86">
        <f>'AVSC1 limit-lossyG,lossyA,intra'!$BI$137:$BI$137</f>
        <v>0</v>
      </c>
      <c r="E9" s="200"/>
      <c r="F9" s="197"/>
      <c r="G9" s="197"/>
      <c r="H9" s="198">
        <f>'AVSC1 limit-lossyG,lossyA,intra'!$BM$137:$BM$137</f>
        <v>0</v>
      </c>
      <c r="I9" s="481" t="e">
        <f>'AVSC1 limit-lossyG,lossyA,intra'!AW$143</f>
        <v>#DIV/0!</v>
      </c>
      <c r="J9" s="482" t="e">
        <f>'AVSC1 limit-lossyG,lossyA,intra'!AX$143</f>
        <v>#DIV/0!</v>
      </c>
    </row>
    <row r="10" spans="2:10" s="1" customFormat="1">
      <c r="B10" s="601" t="s">
        <v>1136</v>
      </c>
      <c r="C10" s="83">
        <f>'AVSC1 limit-lossyG,lossyA,intra'!$BH138:$BH138</f>
        <v>0</v>
      </c>
      <c r="D10" s="85">
        <f>'AVSC1 limit-lossyG,lossyA,intra'!$BI138:$BI138</f>
        <v>0</v>
      </c>
      <c r="E10" s="335">
        <f>'AVSC1 limit-lossyG,lossyA,intra'!$BJ138:$BJ138</f>
        <v>-0.31450122151754994</v>
      </c>
      <c r="F10" s="331">
        <f>'AVSC1 limit-lossyG,lossyA,intra'!$BK138:$BK138</f>
        <v>-0.62950367493967907</v>
      </c>
      <c r="G10" s="331">
        <f>'AVSC1 limit-lossyG,lossyA,intra'!$BL138:$BL138</f>
        <v>-0.56400026436141915</v>
      </c>
      <c r="H10" s="336"/>
      <c r="I10" s="483">
        <f>'AVSC1 limit-lossyG,lossyA,intra'!AW144</f>
        <v>1.5578496223301519</v>
      </c>
      <c r="J10" s="484">
        <f>'AVSC1 limit-lossyG,lossyA,intra'!AX144</f>
        <v>1.8908296346483189</v>
      </c>
    </row>
    <row r="11" spans="2:10">
      <c r="B11" s="602" t="s">
        <v>171</v>
      </c>
      <c r="C11" s="74">
        <f>'AVSC1 limit-lossyG,lossyA,intra'!$BH139:$BH139</f>
        <v>0</v>
      </c>
      <c r="D11" s="76">
        <f>'AVSC1 limit-lossyG,lossyA,intra'!$BI139:$BI139</f>
        <v>0</v>
      </c>
      <c r="E11" s="328"/>
      <c r="F11" s="322"/>
      <c r="G11" s="322"/>
      <c r="H11" s="323">
        <f>'AVSC1 limit-lossyG,lossyA,intra'!$BM139:$BM139</f>
        <v>0</v>
      </c>
      <c r="I11" s="483" t="e">
        <f>'AVSC1 limit-lossyG,lossyA,intra'!AW145</f>
        <v>#DIV/0!</v>
      </c>
      <c r="J11" s="484" t="e">
        <f>'AVSC1 limit-lossyG,lossyA,intra'!AX145</f>
        <v>#DIV/0!</v>
      </c>
    </row>
    <row r="12" spans="2:10" s="1" customFormat="1" ht="14.25" thickBot="1">
      <c r="B12" s="603" t="s">
        <v>903</v>
      </c>
      <c r="C12" s="80">
        <f>'AVSC1 limit-lossyG,lossyA,intra'!$BH140:$BH140</f>
        <v>0</v>
      </c>
      <c r="D12" s="82">
        <f>'AVSC1 limit-lossyG,lossyA,intra'!$BI140:$BI140</f>
        <v>0</v>
      </c>
      <c r="E12" s="335">
        <f>'AVSC1 limit-lossyG,lossyA,intra'!$BJ140:$BJ140</f>
        <v>-0.28739012765695449</v>
      </c>
      <c r="F12" s="331">
        <f>'AVSC1 limit-lossyG,lossyA,intra'!$BK140:$BK140</f>
        <v>-0.3136799837345336</v>
      </c>
      <c r="G12" s="331">
        <f>'AVSC1 limit-lossyG,lossyA,intra'!$BL140:$BL140</f>
        <v>-0.21929525588189924</v>
      </c>
      <c r="H12" s="336"/>
      <c r="I12" s="485">
        <f>'AVSC1 limit-lossyG,lossyA,intra'!AW146</f>
        <v>1.1222620537754349</v>
      </c>
      <c r="J12" s="486">
        <f>'AVSC1 limit-lossyG,lossyA,intra'!AX146</f>
        <v>1.3273811336880887</v>
      </c>
    </row>
    <row r="13" spans="2:10" s="1" customFormat="1">
      <c r="B13" s="604" t="s">
        <v>1158</v>
      </c>
      <c r="C13" s="224">
        <f>'AVSC1 limit-lossyG,lossyA,intra'!$BH141:$BH141</f>
        <v>0</v>
      </c>
      <c r="D13" s="86">
        <f>'AVSC1 limit-lossyG,lossyA,intra'!$BI141:$BI141</f>
        <v>0</v>
      </c>
      <c r="E13" s="325"/>
      <c r="F13" s="197"/>
      <c r="G13" s="197"/>
      <c r="H13" s="198">
        <f>'AVSC1 limit-lossyG,lossyA,intra'!$BM141:$BM141</f>
        <v>0</v>
      </c>
      <c r="I13" s="481" t="e">
        <f>'AVSC1 limit-lossyG,lossyA,intra'!AW147</f>
        <v>#DIV/0!</v>
      </c>
      <c r="J13" s="482" t="e">
        <f>'AVSC1 limit-lossyG,lossyA,intra'!AX147</f>
        <v>#DIV/0!</v>
      </c>
    </row>
    <row r="14" spans="2:10" ht="14.25" thickBot="1">
      <c r="B14" s="605" t="s">
        <v>137</v>
      </c>
      <c r="C14" s="77">
        <f>'AVSC1 limit-lossyG,lossyA,intra'!$BH142:$BH142</f>
        <v>0</v>
      </c>
      <c r="D14" s="79">
        <f>'AVSC1 limit-lossyG,lossyA,intra'!$BI142:$BI142</f>
        <v>0</v>
      </c>
      <c r="E14" s="345">
        <f>'AVSC1 limit-lossyG,lossyA,intra'!$BJ142:$BJ142</f>
        <v>-0.30464264193187884</v>
      </c>
      <c r="F14" s="346">
        <f>'AVSC1 limit-lossyG,lossyA,intra'!$BK142:$BK142</f>
        <v>-0.51465869631962624</v>
      </c>
      <c r="G14" s="346">
        <f>'AVSC1 limit-lossyG,lossyA,intra'!$BL142:$BL142</f>
        <v>-0.43865298855068474</v>
      </c>
      <c r="H14" s="347">
        <f>'AVSC1 limit-lossyG,lossyA,intra'!$BM142:$BM142</f>
        <v>0</v>
      </c>
      <c r="I14" s="485">
        <f>'AVSC1 limit-lossyG,lossyA,intra'!AW148</f>
        <v>1.2514439027025006</v>
      </c>
      <c r="J14" s="486">
        <f>'AVSC1 limit-lossyG,lossyA,intra'!AX148</f>
        <v>1.1881465540053837</v>
      </c>
    </row>
    <row r="15" spans="2:10" ht="14.25" thickBot="1"/>
    <row r="16" spans="2:10">
      <c r="B16" s="627" t="s">
        <v>170</v>
      </c>
      <c r="C16" s="648" t="s">
        <v>1356</v>
      </c>
      <c r="D16" s="649"/>
      <c r="E16" s="649"/>
      <c r="F16" s="649"/>
      <c r="G16" s="650"/>
      <c r="H16" s="651"/>
    </row>
    <row r="17" spans="2:8">
      <c r="B17" s="628"/>
      <c r="C17" s="630" t="s">
        <v>121</v>
      </c>
      <c r="D17" s="631"/>
      <c r="E17" s="631"/>
      <c r="F17" s="632"/>
      <c r="G17" s="643" t="s">
        <v>1098</v>
      </c>
      <c r="H17" s="644"/>
    </row>
    <row r="18" spans="2:8" ht="14.25" thickBot="1">
      <c r="B18" s="629"/>
      <c r="C18" s="343" t="s">
        <v>81</v>
      </c>
      <c r="D18" s="195" t="s">
        <v>83</v>
      </c>
      <c r="E18" s="195" t="s">
        <v>85</v>
      </c>
      <c r="F18" s="196" t="s">
        <v>71</v>
      </c>
      <c r="G18" s="341" t="s">
        <v>1099</v>
      </c>
      <c r="H18" s="342" t="s">
        <v>1100</v>
      </c>
    </row>
    <row r="19" spans="2:8" s="1" customFormat="1">
      <c r="B19" s="600" t="s">
        <v>1125</v>
      </c>
      <c r="C19" s="325"/>
      <c r="D19" s="197"/>
      <c r="E19" s="197"/>
      <c r="F19" s="198">
        <f>'AVSC2 losslG,lossyA,intra'!$BG$137:$BG$137</f>
        <v>0</v>
      </c>
      <c r="G19" s="481" t="e">
        <f>'AVSC2 losslG,lossyA,intra'!AS$143</f>
        <v>#DIV/0!</v>
      </c>
      <c r="H19" s="482" t="e">
        <f>'AVSC2 losslG,lossyA,intra'!AT143</f>
        <v>#DIV/0!</v>
      </c>
    </row>
    <row r="20" spans="2:8" s="1" customFormat="1">
      <c r="B20" s="601" t="s">
        <v>1136</v>
      </c>
      <c r="C20" s="582">
        <f>'AVSC2 losslG,lossyA,intra'!BD$138:BD$138</f>
        <v>-0.44162479974636387</v>
      </c>
      <c r="D20" s="557">
        <f>'AVSC2 losslG,lossyA,intra'!BE$138:BE$138</f>
        <v>-0.49905112684221659</v>
      </c>
      <c r="E20" s="583">
        <f>'AVSC2 losslG,lossyA,intra'!BF$138:BF$138</f>
        <v>-0.48205475010109833</v>
      </c>
      <c r="F20" s="329"/>
      <c r="G20" s="483">
        <f>'AVSC2 losslG,lossyA,intra'!AS144</f>
        <v>1.6820110296927386</v>
      </c>
      <c r="H20" s="484">
        <f>'AVSC2 losslG,lossyA,intra'!AT144</f>
        <v>1.8434154796730848</v>
      </c>
    </row>
    <row r="21" spans="2:8">
      <c r="B21" s="606" t="s">
        <v>172</v>
      </c>
      <c r="C21" s="344"/>
      <c r="D21" s="329"/>
      <c r="E21" s="329"/>
      <c r="F21" s="333">
        <f>'AVSC2 losslG,lossyA,intra'!$BG139:$BG139</f>
        <v>0</v>
      </c>
      <c r="G21" s="483" t="e">
        <f>'AVSC2 losslG,lossyA,intra'!AS145</f>
        <v>#DIV/0!</v>
      </c>
      <c r="H21" s="484" t="e">
        <f>'AVSC2 losslG,lossyA,intra'!AT145</f>
        <v>#DIV/0!</v>
      </c>
    </row>
    <row r="22" spans="2:8" s="1" customFormat="1" ht="14.25" thickBot="1">
      <c r="B22" s="607" t="s">
        <v>969</v>
      </c>
      <c r="C22" s="348">
        <f>'AVSC2 losslG,lossyA,intra'!BD$140:BD$140</f>
        <v>-0.22006865908102721</v>
      </c>
      <c r="D22" s="331">
        <f>'AVSC2 losslG,lossyA,intra'!BE$140:BE$140</f>
        <v>-0.34043495176293309</v>
      </c>
      <c r="E22" s="331">
        <f>'AVSC2 losslG,lossyA,intra'!BF$140:BF$140</f>
        <v>-0.35519352161427376</v>
      </c>
      <c r="F22" s="336"/>
      <c r="G22" s="485">
        <f>'AVSC2 losslG,lossyA,intra'!AS146</f>
        <v>1.247802357520907</v>
      </c>
      <c r="H22" s="486">
        <f>'AVSC2 losslG,lossyA,intra'!AT146</f>
        <v>1.4206359133562763</v>
      </c>
    </row>
    <row r="23" spans="2:8" s="1" customFormat="1">
      <c r="B23" s="604" t="s">
        <v>1126</v>
      </c>
      <c r="C23" s="325" t="s">
        <v>1101</v>
      </c>
      <c r="D23" s="197"/>
      <c r="E23" s="197"/>
      <c r="F23" s="198">
        <f>'AVSC2 losslG,lossyA,intra'!BG$141:BG$141</f>
        <v>0</v>
      </c>
      <c r="G23" s="481" t="e">
        <f>'AVSC2 losslG,lossyA,intra'!AS147</f>
        <v>#DIV/0!</v>
      </c>
      <c r="H23" s="482" t="e">
        <f>'AVSC2 losslG,lossyA,intra'!AT147</f>
        <v>#DIV/0!</v>
      </c>
    </row>
    <row r="24" spans="2:8" ht="14.25" thickBot="1">
      <c r="B24" s="605" t="s">
        <v>137</v>
      </c>
      <c r="C24" s="330">
        <f>'AVSC2 losslG,lossyA,intra'!BD$142:BD$142</f>
        <v>-0.36105893041351417</v>
      </c>
      <c r="D24" s="324">
        <f>'AVSC2 losslG,lossyA,intra'!BE$142:BE$142</f>
        <v>-0.44137251772247715</v>
      </c>
      <c r="E24" s="324">
        <f>'AVSC2 losslG,lossyA,intra'!BF$142:BF$142</f>
        <v>-0.43592339428770754</v>
      </c>
      <c r="F24" s="199">
        <f>'AVSC2 losslG,lossyA,intra'!BG$142:BG$142</f>
        <v>0</v>
      </c>
      <c r="G24" s="485">
        <f>'AVSC2 losslG,lossyA,intra'!AS148</f>
        <v>1.1032939968700877</v>
      </c>
      <c r="H24" s="486">
        <f>'AVSC2 losslG,lossyA,intra'!AT148</f>
        <v>1.0463690547717102</v>
      </c>
    </row>
    <row r="25" spans="2:8" ht="14.25" thickBot="1"/>
    <row r="26" spans="2:8">
      <c r="B26" s="633" t="s">
        <v>173</v>
      </c>
      <c r="C26" s="654" t="s">
        <v>1358</v>
      </c>
      <c r="D26" s="655"/>
      <c r="E26" s="655"/>
      <c r="F26" s="655"/>
      <c r="G26" s="650"/>
      <c r="H26" s="651"/>
    </row>
    <row r="27" spans="2:8">
      <c r="B27" s="628"/>
      <c r="C27" s="645" t="s">
        <v>160</v>
      </c>
      <c r="D27" s="637"/>
      <c r="E27" s="637"/>
      <c r="F27" s="646"/>
      <c r="G27" s="652" t="s">
        <v>1098</v>
      </c>
      <c r="H27" s="653"/>
    </row>
    <row r="28" spans="2:8" ht="14.25" thickBot="1">
      <c r="B28" s="629"/>
      <c r="C28" s="203" t="s">
        <v>81</v>
      </c>
      <c r="D28" s="201" t="s">
        <v>83</v>
      </c>
      <c r="E28" s="201" t="s">
        <v>85</v>
      </c>
      <c r="F28" s="202" t="s">
        <v>71</v>
      </c>
      <c r="G28" s="341" t="s">
        <v>1099</v>
      </c>
      <c r="H28" s="342" t="s">
        <v>1100</v>
      </c>
    </row>
    <row r="29" spans="2:8" s="1" customFormat="1">
      <c r="B29" s="608" t="s">
        <v>1144</v>
      </c>
      <c r="C29" s="325"/>
      <c r="D29" s="197"/>
      <c r="E29" s="197"/>
      <c r="F29" s="86">
        <f>'AVSC3 losslG,limit-lossyA,intra'!$BT$115:$BT$115</f>
        <v>0</v>
      </c>
      <c r="G29" s="481" t="e">
        <f>'AVSC3 losslG,limit-lossyA,intra'!BA$121</f>
        <v>#DIV/0!</v>
      </c>
      <c r="H29" s="482" t="e">
        <f>'AVSC3 losslG,limit-lossyA,intra'!BB121</f>
        <v>#DIV/0!</v>
      </c>
    </row>
    <row r="30" spans="2:8" s="1" customFormat="1">
      <c r="B30" s="609" t="s">
        <v>1143</v>
      </c>
      <c r="C30" s="74">
        <f>'AVSC3 losslG,limit-lossyA,intra'!BQ116:BQ116</f>
        <v>-0.25508412250632539</v>
      </c>
      <c r="D30" s="75">
        <f>'AVSC3 losslG,limit-lossyA,intra'!BR116:BR116</f>
        <v>-0.25508412250632539</v>
      </c>
      <c r="E30" s="75">
        <f>'AVSC3 losslG,limit-lossyA,intra'!BS116:BS116</f>
        <v>-0.25508412250632539</v>
      </c>
      <c r="F30" s="349"/>
      <c r="G30" s="483">
        <f>'AVSC3 losslG,limit-lossyA,intra'!BA122</f>
        <v>1.6638960051735416</v>
      </c>
      <c r="H30" s="484">
        <f>'AVSC3 losslG,limit-lossyA,intra'!BB122</f>
        <v>1.8250348193653052</v>
      </c>
    </row>
    <row r="31" spans="2:8">
      <c r="B31" s="609" t="s">
        <v>175</v>
      </c>
      <c r="C31" s="326"/>
      <c r="D31" s="322"/>
      <c r="E31" s="322"/>
      <c r="F31" s="76">
        <f>'AVSC3 losslG,limit-lossyA,intra'!$BT117:$BT117</f>
        <v>0</v>
      </c>
      <c r="G31" s="483" t="e">
        <f>'AVSC3 losslG,limit-lossyA,intra'!BA123</f>
        <v>#DIV/0!</v>
      </c>
      <c r="H31" s="484" t="e">
        <f>'AVSC3 losslG,limit-lossyA,intra'!BB123</f>
        <v>#DIV/0!</v>
      </c>
    </row>
    <row r="32" spans="2:8" s="1" customFormat="1" ht="14.25" thickBot="1">
      <c r="B32" s="609" t="s">
        <v>906</v>
      </c>
      <c r="C32" s="74">
        <f>'AVSC3 losslG,limit-lossyA,intra'!BQ118:BQ118</f>
        <v>-0.15924492005377114</v>
      </c>
      <c r="D32" s="75">
        <f>'AVSC3 losslG,limit-lossyA,intra'!BR118:BR118</f>
        <v>-0.15924492005377114</v>
      </c>
      <c r="E32" s="75">
        <f>'AVSC3 losslG,limit-lossyA,intra'!BS118:BS118</f>
        <v>-0.15924492005377114</v>
      </c>
      <c r="F32" s="349"/>
      <c r="G32" s="485">
        <f>'AVSC3 losslG,limit-lossyA,intra'!BA124</f>
        <v>1.2511725672392744</v>
      </c>
      <c r="H32" s="486">
        <f>'AVSC3 losslG,limit-lossyA,intra'!BB124</f>
        <v>1.4380171312074255</v>
      </c>
    </row>
    <row r="33" spans="1:10" s="1" customFormat="1">
      <c r="B33" s="604" t="s">
        <v>1126</v>
      </c>
      <c r="C33" s="325" t="s">
        <v>1101</v>
      </c>
      <c r="D33" s="197"/>
      <c r="E33" s="197"/>
      <c r="F33" s="86">
        <f>'AVSC3 losslG,limit-lossyA,intra'!BT119:BT119</f>
        <v>0</v>
      </c>
      <c r="G33" s="481" t="e">
        <f>'AVSC3 losslG,limit-lossyA,intra'!BA125</f>
        <v>#DIV/0!</v>
      </c>
      <c r="H33" s="482" t="e">
        <f>'AVSC3 losslG,limit-lossyA,intra'!BB125</f>
        <v>#DIV/0!</v>
      </c>
    </row>
    <row r="34" spans="1:10" ht="14.25" thickBot="1">
      <c r="B34" s="605" t="s">
        <v>1002</v>
      </c>
      <c r="C34" s="77">
        <f>'AVSC3 losslG,limit-lossyA,intra'!BQ120:BQ120</f>
        <v>-0.22023350343266931</v>
      </c>
      <c r="D34" s="78">
        <f>'AVSC3 losslG,limit-lossyA,intra'!BR120:BR120</f>
        <v>-0.22023350343266931</v>
      </c>
      <c r="E34" s="78">
        <f>'AVSC3 losslG,limit-lossyA,intra'!BS120:BS120</f>
        <v>-0.22023350343266931</v>
      </c>
      <c r="F34" s="79">
        <f>'AVSC3 losslG,limit-lossyA,intra'!BT120:BT120</f>
        <v>0</v>
      </c>
      <c r="G34" s="485">
        <f>'AVSC3 losslG,limit-lossyA,intra'!BA126</f>
        <v>1.1081233658585927</v>
      </c>
      <c r="H34" s="486">
        <f>'AVSC3 losslG,limit-lossyA,intra'!BB126</f>
        <v>1.0408763193587587</v>
      </c>
    </row>
    <row r="35" spans="1:10" ht="14.25" thickBot="1"/>
    <row r="36" spans="1:10">
      <c r="B36" s="627" t="s">
        <v>176</v>
      </c>
      <c r="C36" s="648" t="s">
        <v>1357</v>
      </c>
      <c r="D36" s="649"/>
      <c r="E36" s="649"/>
      <c r="F36" s="649"/>
      <c r="G36" s="650"/>
      <c r="H36" s="651"/>
    </row>
    <row r="37" spans="1:10">
      <c r="B37" s="628"/>
      <c r="C37" s="647" t="s">
        <v>146</v>
      </c>
      <c r="D37" s="631"/>
      <c r="E37" s="631"/>
      <c r="F37" s="632"/>
      <c r="G37" s="652" t="s">
        <v>1098</v>
      </c>
      <c r="H37" s="653"/>
    </row>
    <row r="38" spans="1:10" ht="14.25" thickBot="1">
      <c r="B38" s="629"/>
      <c r="C38" s="337" t="s">
        <v>65</v>
      </c>
      <c r="D38" s="337" t="s">
        <v>67</v>
      </c>
      <c r="E38" s="343" t="s">
        <v>78</v>
      </c>
      <c r="F38" s="196" t="s">
        <v>71</v>
      </c>
      <c r="G38" s="341" t="s">
        <v>1099</v>
      </c>
      <c r="H38" s="342" t="s">
        <v>1100</v>
      </c>
    </row>
    <row r="39" spans="1:10" s="1" customFormat="1">
      <c r="B39" s="608" t="s">
        <v>1152</v>
      </c>
      <c r="C39" s="340">
        <f>'AVSC4 losslG,losslA,intra'!$AR27</f>
        <v>1</v>
      </c>
      <c r="D39" s="340">
        <f>'AVSC4 losslG,losslA,intra'!$AS27</f>
        <v>1</v>
      </c>
      <c r="E39" s="325"/>
      <c r="F39" s="86">
        <f>'AVSC4 losslG,losslA,intra'!$AU27</f>
        <v>1</v>
      </c>
      <c r="G39" s="481" t="e">
        <f>'AVSC4 losslG,losslA,intra'!AL$33</f>
        <v>#DIV/0!</v>
      </c>
      <c r="H39" s="482" t="e">
        <f>'AVSC4 losslG,losslA,intra'!AM33</f>
        <v>#DIV/0!</v>
      </c>
    </row>
    <row r="40" spans="1:10" s="1" customFormat="1">
      <c r="B40" s="609" t="s">
        <v>1151</v>
      </c>
      <c r="C40" s="252">
        <f>'AVSC4 losslG,losslA,intra'!$AR28</f>
        <v>0.97695392039621765</v>
      </c>
      <c r="D40" s="252">
        <f>'AVSC4 losslG,losslA,intra'!$AS28</f>
        <v>1</v>
      </c>
      <c r="E40" s="74">
        <f>'AVSC4 losslG,losslA,intra'!$AT28</f>
        <v>0.95162889989460564</v>
      </c>
      <c r="F40" s="336"/>
      <c r="G40" s="483">
        <f>'AVSC4 losslG,losslA,intra'!AL34</f>
        <v>1.6991646166346941</v>
      </c>
      <c r="H40" s="484">
        <f>'AVSC4 losslG,losslA,intra'!AM34</f>
        <v>1.9293107953984956</v>
      </c>
    </row>
    <row r="41" spans="1:10">
      <c r="B41" s="609" t="s">
        <v>177</v>
      </c>
      <c r="C41" s="252">
        <f>'AVSC4 losslG,losslA,intra'!$AR29</f>
        <v>1</v>
      </c>
      <c r="D41" s="252">
        <f>'AVSC4 losslG,losslA,intra'!$AS29</f>
        <v>1</v>
      </c>
      <c r="E41" s="326"/>
      <c r="F41" s="76">
        <f>'AVSC4 losslG,losslA,intra'!$AU29</f>
        <v>1</v>
      </c>
      <c r="G41" s="483" t="e">
        <f>'AVSC4 losslG,losslA,intra'!AL35</f>
        <v>#DIV/0!</v>
      </c>
      <c r="H41" s="484" t="e">
        <f>'AVSC4 losslG,losslA,intra'!AM35</f>
        <v>#DIV/0!</v>
      </c>
    </row>
    <row r="42" spans="1:10" s="1" customFormat="1" ht="14.25" thickBot="1">
      <c r="B42" s="609" t="s">
        <v>903</v>
      </c>
      <c r="C42" s="252">
        <f>'AVSC4 losslG,losslA,intra'!$AR30</f>
        <v>0.97702240055343947</v>
      </c>
      <c r="D42" s="252">
        <f>'AVSC4 losslG,losslA,intra'!$AS30</f>
        <v>1</v>
      </c>
      <c r="E42" s="74">
        <f>'AVSC4 losslG,losslA,intra'!$AT30</f>
        <v>0.97423165841594039</v>
      </c>
      <c r="F42" s="336"/>
      <c r="G42" s="485">
        <f>'AVSC4 losslG,losslA,intra'!AL36</f>
        <v>1.3057292968388334</v>
      </c>
      <c r="H42" s="486">
        <f>'AVSC4 losslG,losslA,intra'!AM36</f>
        <v>1.4943267595605025</v>
      </c>
    </row>
    <row r="43" spans="1:10" s="1" customFormat="1">
      <c r="B43" s="604" t="s">
        <v>1126</v>
      </c>
      <c r="C43" s="340">
        <f>'AVSC4 losslG,losslA,intra'!$AR31</f>
        <v>1</v>
      </c>
      <c r="D43" s="340">
        <f>'AVSC4 losslG,losslA,intra'!$AS31</f>
        <v>1</v>
      </c>
      <c r="E43" s="325"/>
      <c r="F43" s="86">
        <f>'AVSC4 losslG,losslA,intra'!$AU31</f>
        <v>1</v>
      </c>
      <c r="G43" s="481" t="e">
        <f>'AVSC4 losslG,losslA,intra'!AL37</f>
        <v>#DIV/0!</v>
      </c>
      <c r="H43" s="482" t="e">
        <f>'AVSC4 losslG,losslA,intra'!AM37</f>
        <v>#DIV/0!</v>
      </c>
    </row>
    <row r="44" spans="1:10" ht="14.25" thickBot="1">
      <c r="B44" s="605" t="s">
        <v>137</v>
      </c>
      <c r="C44" s="253">
        <f>'AVSC4 losslG,losslA,intra'!$AR32</f>
        <v>0.98956715176449173</v>
      </c>
      <c r="D44" s="253">
        <f>'AVSC4 losslG,losslA,intra'!$AS32</f>
        <v>1</v>
      </c>
      <c r="E44" s="77">
        <f>'AVSC4 losslG,losslA,intra'!$AT32</f>
        <v>0.95773004412476737</v>
      </c>
      <c r="F44" s="79">
        <f>'AVSC4 losslG,losslA,intra'!$AU32</f>
        <v>1</v>
      </c>
      <c r="G44" s="485">
        <f>'AVSC4 losslG,losslA,intra'!AL38</f>
        <v>1.119333591841567</v>
      </c>
      <c r="H44" s="486">
        <f>'AVSC4 losslG,losslA,intra'!AM38</f>
        <v>1.061637098014917</v>
      </c>
    </row>
    <row r="45" spans="1:10" ht="14.25" thickBot="1"/>
    <row r="46" spans="1:10" s="205" customFormat="1">
      <c r="A46" s="206"/>
      <c r="B46" s="610" t="s">
        <v>1361</v>
      </c>
      <c r="C46" s="206"/>
      <c r="D46" s="206"/>
      <c r="E46" s="206"/>
      <c r="F46" s="206"/>
      <c r="G46" s="206"/>
      <c r="H46" s="206"/>
    </row>
    <row r="47" spans="1:10" s="1" customFormat="1" ht="14.25" thickBot="1">
      <c r="B47" s="9"/>
    </row>
    <row r="48" spans="1:10" s="144" customFormat="1">
      <c r="B48" s="633" t="s">
        <v>1349</v>
      </c>
      <c r="C48" s="639" t="s">
        <v>1353</v>
      </c>
      <c r="D48" s="640"/>
      <c r="E48" s="640"/>
      <c r="F48" s="640"/>
      <c r="G48" s="640"/>
      <c r="H48" s="640"/>
      <c r="I48" s="641"/>
      <c r="J48" s="642"/>
    </row>
    <row r="49" spans="2:10" s="144" customFormat="1" ht="14.1" customHeight="1">
      <c r="B49" s="628"/>
      <c r="C49" s="637" t="s">
        <v>483</v>
      </c>
      <c r="D49" s="638"/>
      <c r="E49" s="634" t="s">
        <v>482</v>
      </c>
      <c r="F49" s="635"/>
      <c r="G49" s="635"/>
      <c r="H49" s="636"/>
      <c r="I49" s="643" t="s">
        <v>1098</v>
      </c>
      <c r="J49" s="644"/>
    </row>
    <row r="50" spans="2:10" s="144" customFormat="1" ht="14.25" thickBot="1">
      <c r="B50" s="629"/>
      <c r="C50" s="210" t="s">
        <v>186</v>
      </c>
      <c r="D50" s="282" t="s">
        <v>964</v>
      </c>
      <c r="E50" s="283" t="s">
        <v>81</v>
      </c>
      <c r="F50" s="210" t="s">
        <v>83</v>
      </c>
      <c r="G50" s="210" t="s">
        <v>85</v>
      </c>
      <c r="H50" s="211" t="s">
        <v>71</v>
      </c>
      <c r="I50" s="341" t="s">
        <v>1099</v>
      </c>
      <c r="J50" s="342" t="s">
        <v>1100</v>
      </c>
    </row>
    <row r="51" spans="2:10" s="1" customFormat="1">
      <c r="B51" s="600" t="s">
        <v>1125</v>
      </c>
      <c r="C51" s="224" t="e">
        <f>'AVSC1 limit-lossyG,lossyA,ra'!BH137:BH137</f>
        <v>#DIV/0!</v>
      </c>
      <c r="D51" s="86" t="e">
        <f>'AVSC1 limit-lossyG,lossyA,ra'!BI137:BI137</f>
        <v>#DIV/0!</v>
      </c>
      <c r="E51" s="325"/>
      <c r="F51" s="197"/>
      <c r="G51" s="197"/>
      <c r="H51" s="198" t="e">
        <f>'AVSC1 limit-lossyG,lossyA,ra'!BM137:BM137</f>
        <v>#DIV/0!</v>
      </c>
      <c r="I51" s="481" t="e">
        <f>'AVSC1 limit-lossyG,lossyA,ra'!AW143</f>
        <v>#DIV/0!</v>
      </c>
      <c r="J51" s="482" t="e">
        <f>'AVSC1 limit-lossyG,lossyA,ra'!AX143</f>
        <v>#DIV/0!</v>
      </c>
    </row>
    <row r="52" spans="2:10" s="1" customFormat="1">
      <c r="B52" s="601" t="s">
        <v>1124</v>
      </c>
      <c r="C52" s="74" t="e">
        <f>'AVSC1 limit-lossyG,lossyA,ra'!BH138:BH138</f>
        <v>#DIV/0!</v>
      </c>
      <c r="D52" s="76" t="e">
        <f>'AVSC1 limit-lossyG,lossyA,ra'!BI138:BI138</f>
        <v>#DIV/0!</v>
      </c>
      <c r="E52" s="74" t="e">
        <f>'AVSC1 limit-lossyG,lossyA,ra'!BJ138:BJ138</f>
        <v>#DIV/0!</v>
      </c>
      <c r="F52" s="75" t="e">
        <f>'AVSC1 limit-lossyG,lossyA,ra'!BK138:BK138</f>
        <v>#DIV/0!</v>
      </c>
      <c r="G52" s="75" t="e">
        <f>'AVSC1 limit-lossyG,lossyA,ra'!BL138:BL138</f>
        <v>#DIV/0!</v>
      </c>
      <c r="H52" s="579"/>
      <c r="I52" s="483" t="e">
        <f>'AVSC1 limit-lossyG,lossyA,ra'!AW144</f>
        <v>#DIV/0!</v>
      </c>
      <c r="J52" s="484" t="e">
        <f>'AVSC1 limit-lossyG,lossyA,ra'!AX144</f>
        <v>#DIV/0!</v>
      </c>
    </row>
    <row r="53" spans="2:10" s="1" customFormat="1">
      <c r="B53" s="602" t="s">
        <v>171</v>
      </c>
      <c r="C53" s="74" t="e">
        <f>'AVSC1 limit-lossyG,lossyA,ra'!BH139:BH139</f>
        <v>#DIV/0!</v>
      </c>
      <c r="D53" s="76" t="e">
        <f>'AVSC1 limit-lossyG,lossyA,ra'!BI139:BI139</f>
        <v>#DIV/0!</v>
      </c>
      <c r="E53" s="326"/>
      <c r="F53" s="322"/>
      <c r="G53" s="322"/>
      <c r="H53" s="323" t="e">
        <f>'AVSC1 limit-lossyG,lossyA,ra'!BM139:BM139</f>
        <v>#DIV/0!</v>
      </c>
      <c r="I53" s="483" t="e">
        <f>'AVSC1 limit-lossyG,lossyA,ra'!AW145</f>
        <v>#DIV/0!</v>
      </c>
      <c r="J53" s="484" t="e">
        <f>'AVSC1 limit-lossyG,lossyA,ra'!AX145</f>
        <v>#DIV/0!</v>
      </c>
    </row>
    <row r="54" spans="2:10" s="1" customFormat="1" ht="14.25" thickBot="1">
      <c r="B54" s="603" t="s">
        <v>903</v>
      </c>
      <c r="C54" s="80" t="e">
        <f>'AVSC1 limit-lossyG,lossyA,ra'!BH140:BH140</f>
        <v>#DIV/0!</v>
      </c>
      <c r="D54" s="82" t="e">
        <f>'AVSC1 limit-lossyG,lossyA,ra'!BI140:BI140</f>
        <v>#DIV/0!</v>
      </c>
      <c r="E54" s="80" t="e">
        <f>'AVSC1 limit-lossyG,lossyA,ra'!BJ140:BJ140</f>
        <v>#DIV/0!</v>
      </c>
      <c r="F54" s="81" t="e">
        <f>'AVSC1 limit-lossyG,lossyA,ra'!BK140:BK140</f>
        <v>#DIV/0!</v>
      </c>
      <c r="G54" s="81" t="e">
        <f>'AVSC1 limit-lossyG,lossyA,ra'!BL140:BL140</f>
        <v>#DIV/0!</v>
      </c>
      <c r="H54" s="585"/>
      <c r="I54" s="580" t="e">
        <f>'AVSC1 limit-lossyG,lossyA,ra'!AW146</f>
        <v>#DIV/0!</v>
      </c>
      <c r="J54" s="581" t="e">
        <f>'AVSC1 limit-lossyG,lossyA,ra'!AX146</f>
        <v>#DIV/0!</v>
      </c>
    </row>
    <row r="55" spans="2:10" s="1" customFormat="1">
      <c r="B55" s="604" t="s">
        <v>1158</v>
      </c>
      <c r="C55" s="224" t="e">
        <f>'AVSC1 limit-lossyG,lossyA,ra'!BH141:BH141</f>
        <v>#DIV/0!</v>
      </c>
      <c r="D55" s="86" t="e">
        <f>'AVSC1 limit-lossyG,lossyA,ra'!BI141:BI141</f>
        <v>#DIV/0!</v>
      </c>
      <c r="E55" s="325"/>
      <c r="F55" s="197"/>
      <c r="G55" s="197"/>
      <c r="H55" s="198" t="e">
        <f>'AVSC1 limit-lossyG,lossyA,ra'!BM141:BM141</f>
        <v>#DIV/0!</v>
      </c>
      <c r="I55" s="481" t="e">
        <f>'AVSC1 limit-lossyG,lossyA,ra'!AW147</f>
        <v>#DIV/0!</v>
      </c>
      <c r="J55" s="482" t="e">
        <f>'AVSC1 limit-lossyG,lossyA,ra'!AX147</f>
        <v>#DIV/0!</v>
      </c>
    </row>
    <row r="56" spans="2:10" s="1" customFormat="1" ht="14.25" thickBot="1">
      <c r="B56" s="605" t="s">
        <v>137</v>
      </c>
      <c r="C56" s="77" t="e">
        <f>'AVSC1 limit-lossyG,lossyA,ra'!BH142:BH142</f>
        <v>#DIV/0!</v>
      </c>
      <c r="D56" s="79" t="e">
        <f>'AVSC1 limit-lossyG,lossyA,ra'!BI142:BI142</f>
        <v>#DIV/0!</v>
      </c>
      <c r="E56" s="77" t="e">
        <f>'AVSC1 limit-lossyG,lossyA,ra'!BJ142:BJ142</f>
        <v>#DIV/0!</v>
      </c>
      <c r="F56" s="78" t="e">
        <f>'AVSC1 limit-lossyG,lossyA,ra'!BK142:BK142</f>
        <v>#DIV/0!</v>
      </c>
      <c r="G56" s="78" t="e">
        <f>'AVSC1 limit-lossyG,lossyA,ra'!BL142:BL142</f>
        <v>#DIV/0!</v>
      </c>
      <c r="H56" s="589" t="e">
        <f>'AVSC1 limit-lossyG,lossyA,ra'!BM142:BM142</f>
        <v>#DIV/0!</v>
      </c>
      <c r="I56" s="485" t="e">
        <f>'AVSC1 limit-lossyG,lossyA,ra'!AW148</f>
        <v>#DIV/0!</v>
      </c>
      <c r="J56" s="486" t="e">
        <f>'AVSC1 limit-lossyG,lossyA,ra'!AX148</f>
        <v>#DIV/0!</v>
      </c>
    </row>
    <row r="57" spans="2:10" s="1" customFormat="1" ht="14.25" thickBot="1">
      <c r="B57" s="9"/>
    </row>
    <row r="58" spans="2:10" s="1" customFormat="1">
      <c r="B58" s="627" t="s">
        <v>1350</v>
      </c>
      <c r="C58" s="648" t="s">
        <v>1356</v>
      </c>
      <c r="D58" s="649"/>
      <c r="E58" s="649"/>
      <c r="F58" s="649"/>
      <c r="G58" s="650"/>
      <c r="H58" s="651"/>
    </row>
    <row r="59" spans="2:10" s="1" customFormat="1">
      <c r="B59" s="628"/>
      <c r="C59" s="630" t="s">
        <v>121</v>
      </c>
      <c r="D59" s="631"/>
      <c r="E59" s="631"/>
      <c r="F59" s="632"/>
      <c r="G59" s="643" t="s">
        <v>1098</v>
      </c>
      <c r="H59" s="644"/>
    </row>
    <row r="60" spans="2:10" s="1" customFormat="1" ht="14.25" thickBot="1">
      <c r="B60" s="629"/>
      <c r="C60" s="343" t="s">
        <v>81</v>
      </c>
      <c r="D60" s="195" t="s">
        <v>83</v>
      </c>
      <c r="E60" s="195" t="s">
        <v>85</v>
      </c>
      <c r="F60" s="196" t="s">
        <v>71</v>
      </c>
      <c r="G60" s="341" t="s">
        <v>1099</v>
      </c>
      <c r="H60" s="342" t="s">
        <v>1100</v>
      </c>
    </row>
    <row r="61" spans="2:10" s="1" customFormat="1">
      <c r="B61" s="600" t="s">
        <v>1125</v>
      </c>
      <c r="C61" s="350"/>
      <c r="D61" s="351"/>
      <c r="E61" s="351"/>
      <c r="F61" s="584" t="e">
        <f>'AVSC2 losslG,lossyA,ra'!BG137:BG137</f>
        <v>#DIV/0!</v>
      </c>
      <c r="G61" s="481" t="e">
        <f>'AVSC2 losslG,lossyA,ra'!AS143</f>
        <v>#DIV/0!</v>
      </c>
      <c r="H61" s="482" t="e">
        <f>'AVSC2 losslG,lossyA,ra'!AT143</f>
        <v>#DIV/0!</v>
      </c>
    </row>
    <row r="62" spans="2:10" s="1" customFormat="1">
      <c r="B62" s="601" t="s">
        <v>1124</v>
      </c>
      <c r="C62" s="556" t="e">
        <f>'AVSC2 losslG,lossyA,ra'!BD138:BD138</f>
        <v>#DIV/0!</v>
      </c>
      <c r="D62" s="557" t="e">
        <f>'AVSC2 losslG,lossyA,ra'!BE138:BE138</f>
        <v>#DIV/0!</v>
      </c>
      <c r="E62" s="557" t="e">
        <f>'AVSC2 losslG,lossyA,ra'!BF138:BF138</f>
        <v>#DIV/0!</v>
      </c>
      <c r="F62" s="579"/>
      <c r="G62" s="483" t="e">
        <f>'AVSC2 losslG,lossyA,ra'!AS144</f>
        <v>#DIV/0!</v>
      </c>
      <c r="H62" s="484" t="e">
        <f>'AVSC2 losslG,lossyA,ra'!AT144</f>
        <v>#DIV/0!</v>
      </c>
    </row>
    <row r="63" spans="2:10" s="1" customFormat="1">
      <c r="B63" s="611" t="s">
        <v>171</v>
      </c>
      <c r="C63" s="326"/>
      <c r="D63" s="322"/>
      <c r="E63" s="322"/>
      <c r="F63" s="323" t="e">
        <f>'AVSC2 losslG,lossyA,ra'!BG139:BG139</f>
        <v>#DIV/0!</v>
      </c>
      <c r="G63" s="483" t="e">
        <f>'AVSC2 losslG,lossyA,ra'!AS145</f>
        <v>#DIV/0!</v>
      </c>
      <c r="H63" s="484" t="e">
        <f>'AVSC2 losslG,lossyA,ra'!AT145</f>
        <v>#DIV/0!</v>
      </c>
    </row>
    <row r="64" spans="2:10" s="1" customFormat="1" ht="14.25" thickBot="1">
      <c r="B64" s="603" t="s">
        <v>903</v>
      </c>
      <c r="C64" s="330" t="e">
        <f>'AVSC2 losslG,lossyA,ra'!BD140:BD140</f>
        <v>#DIV/0!</v>
      </c>
      <c r="D64" s="324" t="e">
        <f>'AVSC2 losslG,lossyA,ra'!BE140:BE140</f>
        <v>#DIV/0!</v>
      </c>
      <c r="E64" s="324" t="e">
        <f>'AVSC2 losslG,lossyA,ra'!BF140:BF140</f>
        <v>#DIV/0!</v>
      </c>
      <c r="F64" s="585"/>
      <c r="G64" s="485" t="e">
        <f>'AVSC2 losslG,lossyA,ra'!AS146</f>
        <v>#DIV/0!</v>
      </c>
      <c r="H64" s="486" t="e">
        <f>'AVSC2 losslG,lossyA,ra'!AT146</f>
        <v>#DIV/0!</v>
      </c>
    </row>
    <row r="65" spans="2:8" s="1" customFormat="1">
      <c r="B65" s="593" t="s">
        <v>1126</v>
      </c>
      <c r="C65" s="197"/>
      <c r="D65" s="197"/>
      <c r="E65" s="197"/>
      <c r="F65" s="198" t="e">
        <f>'AVSC2 losslG,lossyA,ra'!BG141:BG141</f>
        <v>#DIV/0!</v>
      </c>
      <c r="G65" s="481" t="e">
        <f>'AVSC2 losslG,lossyA,ra'!AS147</f>
        <v>#DIV/0!</v>
      </c>
      <c r="H65" s="482" t="e">
        <f>'AVSC2 losslG,lossyA,ra'!AT147</f>
        <v>#DIV/0!</v>
      </c>
    </row>
    <row r="66" spans="2:8" s="1" customFormat="1" ht="14.25" thickBot="1">
      <c r="B66" s="605" t="s">
        <v>137</v>
      </c>
      <c r="C66" s="330" t="e">
        <f>'AVSC2 losslG,lossyA,ra'!BD142:BD142</f>
        <v>#DIV/0!</v>
      </c>
      <c r="D66" s="324" t="e">
        <f>'AVSC2 losslG,lossyA,ra'!BE142:BE142</f>
        <v>#DIV/0!</v>
      </c>
      <c r="E66" s="324" t="e">
        <f>'AVSC2 losslG,lossyA,ra'!BF142:BF142</f>
        <v>#DIV/0!</v>
      </c>
      <c r="F66" s="199" t="e">
        <f>'AVSC2 losslG,lossyA,ra'!BG142:BG142</f>
        <v>#DIV/0!</v>
      </c>
      <c r="G66" s="485" t="e">
        <f>'AVSC2 losslG,lossyA,ra'!AS148</f>
        <v>#DIV/0!</v>
      </c>
      <c r="H66" s="486" t="e">
        <f>'AVSC2 losslG,lossyA,ra'!AT148</f>
        <v>#DIV/0!</v>
      </c>
    </row>
    <row r="67" spans="2:8" s="1" customFormat="1" ht="14.25" thickBot="1">
      <c r="B67" s="9"/>
    </row>
    <row r="68" spans="2:8" s="1" customFormat="1">
      <c r="B68" s="633" t="s">
        <v>1351</v>
      </c>
      <c r="C68" s="654" t="s">
        <v>1354</v>
      </c>
      <c r="D68" s="655"/>
      <c r="E68" s="655"/>
      <c r="F68" s="655"/>
      <c r="G68" s="650"/>
      <c r="H68" s="651"/>
    </row>
    <row r="69" spans="2:8" s="1" customFormat="1">
      <c r="B69" s="628"/>
      <c r="C69" s="645" t="s">
        <v>160</v>
      </c>
      <c r="D69" s="637"/>
      <c r="E69" s="637"/>
      <c r="F69" s="646"/>
      <c r="G69" s="652" t="s">
        <v>1098</v>
      </c>
      <c r="H69" s="653"/>
    </row>
    <row r="70" spans="2:8" s="1" customFormat="1" ht="14.25" thickBot="1">
      <c r="B70" s="629"/>
      <c r="C70" s="203" t="s">
        <v>81</v>
      </c>
      <c r="D70" s="245" t="s">
        <v>83</v>
      </c>
      <c r="E70" s="245" t="s">
        <v>85</v>
      </c>
      <c r="F70" s="246" t="s">
        <v>71</v>
      </c>
      <c r="G70" s="341" t="s">
        <v>1099</v>
      </c>
      <c r="H70" s="342" t="s">
        <v>1100</v>
      </c>
    </row>
    <row r="71" spans="2:8" s="1" customFormat="1">
      <c r="B71" s="608" t="s">
        <v>1125</v>
      </c>
      <c r="C71" s="325"/>
      <c r="D71" s="197"/>
      <c r="E71" s="197"/>
      <c r="F71" s="586" t="e">
        <f>'AVSC3 losslG,limit-lossyA,ra'!BT115:BT115</f>
        <v>#DIV/0!</v>
      </c>
      <c r="G71" s="481" t="e">
        <f>'AVSC3 losslG,limit-lossyA,ra'!BA121</f>
        <v>#DIV/0!</v>
      </c>
      <c r="H71" s="482" t="e">
        <f>'AVSC3 losslG,limit-lossyA,ra'!BB121</f>
        <v>#DIV/0!</v>
      </c>
    </row>
    <row r="72" spans="2:8" s="1" customFormat="1">
      <c r="B72" s="609" t="s">
        <v>1124</v>
      </c>
      <c r="C72" s="74" t="e">
        <f>'AVSC3 losslG,limit-lossyA,ra'!BQ116:BQ116</f>
        <v>#DIV/0!</v>
      </c>
      <c r="D72" s="75" t="e">
        <f>'AVSC3 losslG,limit-lossyA,ra'!BR116:BR116</f>
        <v>#DIV/0!</v>
      </c>
      <c r="E72" s="75" t="e">
        <f>'AVSC3 losslG,limit-lossyA,ra'!BS116:BS116</f>
        <v>#DIV/0!</v>
      </c>
      <c r="F72" s="587"/>
      <c r="G72" s="483" t="e">
        <f>'AVSC3 losslG,limit-lossyA,ra'!BA122</f>
        <v>#DIV/0!</v>
      </c>
      <c r="H72" s="484" t="e">
        <f>'AVSC3 losslG,limit-lossyA,ra'!BB122</f>
        <v>#DIV/0!</v>
      </c>
    </row>
    <row r="73" spans="2:8" s="1" customFormat="1">
      <c r="B73" s="609" t="s">
        <v>175</v>
      </c>
      <c r="C73" s="326"/>
      <c r="D73" s="322"/>
      <c r="E73" s="322"/>
      <c r="F73" s="255" t="e">
        <f>'AVSC3 losslG,limit-lossyA,ra'!BT117:BT117</f>
        <v>#DIV/0!</v>
      </c>
      <c r="G73" s="483" t="e">
        <f>'AVSC3 losslG,limit-lossyA,ra'!BA123</f>
        <v>#DIV/0!</v>
      </c>
      <c r="H73" s="484" t="e">
        <f>'AVSC3 losslG,limit-lossyA,ra'!BB123</f>
        <v>#DIV/0!</v>
      </c>
    </row>
    <row r="74" spans="2:8" s="1" customFormat="1" ht="14.25" thickBot="1">
      <c r="B74" s="609" t="s">
        <v>903</v>
      </c>
      <c r="C74" s="80" t="e">
        <f>'AVSC3 losslG,limit-lossyA,ra'!BQ118:BQ118</f>
        <v>#DIV/0!</v>
      </c>
      <c r="D74" s="81" t="e">
        <f>'AVSC3 losslG,limit-lossyA,ra'!BR118:BR118</f>
        <v>#DIV/0!</v>
      </c>
      <c r="E74" s="81" t="e">
        <f>'AVSC3 losslG,limit-lossyA,ra'!BS118:BS118</f>
        <v>#DIV/0!</v>
      </c>
      <c r="F74" s="588"/>
      <c r="G74" s="485" t="e">
        <f>'AVSC3 losslG,limit-lossyA,ra'!BA124</f>
        <v>#DIV/0!</v>
      </c>
      <c r="H74" s="486" t="e">
        <f>'AVSC3 losslG,limit-lossyA,ra'!BB124</f>
        <v>#DIV/0!</v>
      </c>
    </row>
    <row r="75" spans="2:8" s="1" customFormat="1">
      <c r="B75" s="593" t="s">
        <v>1126</v>
      </c>
      <c r="C75" s="325"/>
      <c r="D75" s="197"/>
      <c r="E75" s="197"/>
      <c r="F75" s="586" t="e">
        <f>'AVSC3 losslG,limit-lossyA,ra'!BT119:BT119</f>
        <v>#DIV/0!</v>
      </c>
      <c r="G75" s="481" t="e">
        <f>'AVSC3 losslG,limit-lossyA,ra'!BA125</f>
        <v>#DIV/0!</v>
      </c>
      <c r="H75" s="482" t="e">
        <f>'AVSC3 losslG,limit-lossyA,ra'!BB125</f>
        <v>#DIV/0!</v>
      </c>
    </row>
    <row r="76" spans="2:8" s="1" customFormat="1" ht="14.25" thickBot="1">
      <c r="B76" s="605" t="s">
        <v>1002</v>
      </c>
      <c r="C76" s="77" t="e">
        <f>'AVSC3 losslG,limit-lossyA,ra'!BQ120:BQ120</f>
        <v>#DIV/0!</v>
      </c>
      <c r="D76" s="78" t="e">
        <f>'AVSC3 losslG,limit-lossyA,ra'!BR120:BR120</f>
        <v>#DIV/0!</v>
      </c>
      <c r="E76" s="78" t="e">
        <f>'AVSC3 losslG,limit-lossyA,ra'!BS120:BS120</f>
        <v>#DIV/0!</v>
      </c>
      <c r="F76" s="256" t="e">
        <f>'AVSC3 losslG,limit-lossyA,ra'!BT120:BT120</f>
        <v>#DIV/0!</v>
      </c>
      <c r="G76" s="485" t="e">
        <f>'AVSC3 losslG,limit-lossyA,ra'!BA126</f>
        <v>#DIV/0!</v>
      </c>
      <c r="H76" s="486" t="e">
        <f>'AVSC3 losslG,limit-lossyA,ra'!BB126</f>
        <v>#DIV/0!</v>
      </c>
    </row>
    <row r="77" spans="2:8" s="1" customFormat="1" ht="14.25" thickBot="1">
      <c r="B77" s="9"/>
    </row>
    <row r="78" spans="2:8" s="1" customFormat="1">
      <c r="B78" s="627" t="s">
        <v>187</v>
      </c>
      <c r="C78" s="648" t="s">
        <v>1355</v>
      </c>
      <c r="D78" s="649"/>
      <c r="E78" s="649"/>
      <c r="F78" s="649"/>
      <c r="G78" s="650"/>
      <c r="H78" s="651"/>
    </row>
    <row r="79" spans="2:8" s="1" customFormat="1">
      <c r="B79" s="628"/>
      <c r="C79" s="647" t="s">
        <v>146</v>
      </c>
      <c r="D79" s="631"/>
      <c r="E79" s="631"/>
      <c r="F79" s="632"/>
      <c r="G79" s="652" t="s">
        <v>1098</v>
      </c>
      <c r="H79" s="653"/>
    </row>
    <row r="80" spans="2:8" s="1" customFormat="1" ht="14.25" thickBot="1">
      <c r="B80" s="629"/>
      <c r="C80" s="577" t="s">
        <v>65</v>
      </c>
      <c r="D80" s="577" t="s">
        <v>67</v>
      </c>
      <c r="E80" s="343" t="s">
        <v>78</v>
      </c>
      <c r="F80" s="196" t="s">
        <v>71</v>
      </c>
      <c r="G80" s="341" t="s">
        <v>1099</v>
      </c>
      <c r="H80" s="342" t="s">
        <v>1100</v>
      </c>
    </row>
    <row r="81" spans="2:8" s="1" customFormat="1">
      <c r="B81" s="608" t="s">
        <v>1125</v>
      </c>
      <c r="C81" s="224" t="e">
        <f>'AVSC4 losslG,losslA,ra'!AR27</f>
        <v>#DIV/0!</v>
      </c>
      <c r="D81" s="225" t="e">
        <f>'AVSC4 losslG,losslA,ra'!AS27</f>
        <v>#DIV/0!</v>
      </c>
      <c r="E81" s="197"/>
      <c r="F81" s="586" t="e">
        <f>'AVSC4 losslG,losslA,ra'!AU27</f>
        <v>#DIV/0!</v>
      </c>
      <c r="G81" s="481" t="e">
        <f>'AVSC4 losslG,losslA,ra'!AL33</f>
        <v>#DIV/0!</v>
      </c>
      <c r="H81" s="482" t="e">
        <f>'AVSC4 losslG,losslA,ra'!AM33</f>
        <v>#DIV/0!</v>
      </c>
    </row>
    <row r="82" spans="2:8" s="1" customFormat="1">
      <c r="B82" s="609" t="s">
        <v>1124</v>
      </c>
      <c r="C82" s="74" t="e">
        <f>'AVSC4 losslG,losslA,ra'!AR28</f>
        <v>#DIV/0!</v>
      </c>
      <c r="D82" s="75" t="e">
        <f>'AVSC4 losslG,losslA,ra'!AS28</f>
        <v>#DIV/0!</v>
      </c>
      <c r="E82" s="75" t="e">
        <f>'AVSC4 losslG,losslA,ra'!AT28</f>
        <v>#DIV/0!</v>
      </c>
      <c r="F82" s="587"/>
      <c r="G82" s="483" t="e">
        <f>'AVSC4 losslG,losslA,ra'!AL34</f>
        <v>#DIV/0!</v>
      </c>
      <c r="H82" s="484" t="e">
        <f>'AVSC4 losslG,losslA,ra'!AM34</f>
        <v>#DIV/0!</v>
      </c>
    </row>
    <row r="83" spans="2:8" s="1" customFormat="1">
      <c r="B83" s="609" t="s">
        <v>171</v>
      </c>
      <c r="C83" s="74" t="e">
        <f>'AVSC4 losslG,losslA,ra'!AR29</f>
        <v>#DIV/0!</v>
      </c>
      <c r="D83" s="75" t="e">
        <f>'AVSC4 losslG,losslA,ra'!AS29</f>
        <v>#DIV/0!</v>
      </c>
      <c r="E83" s="322"/>
      <c r="F83" s="255" t="e">
        <f>'AVSC4 losslG,losslA,ra'!AU29</f>
        <v>#DIV/0!</v>
      </c>
      <c r="G83" s="483" t="e">
        <f>'AVSC4 losslG,losslA,ra'!AL35</f>
        <v>#DIV/0!</v>
      </c>
      <c r="H83" s="484" t="e">
        <f>'AVSC4 losslG,losslA,ra'!AM35</f>
        <v>#DIV/0!</v>
      </c>
    </row>
    <row r="84" spans="2:8" s="1" customFormat="1" ht="14.25" thickBot="1">
      <c r="B84" s="609" t="s">
        <v>903</v>
      </c>
      <c r="C84" s="80" t="e">
        <f>'AVSC4 losslG,losslA,ra'!AR30</f>
        <v>#DIV/0!</v>
      </c>
      <c r="D84" s="81" t="e">
        <f>'AVSC4 losslG,losslA,ra'!AS30</f>
        <v>#DIV/0!</v>
      </c>
      <c r="E84" s="81" t="e">
        <f>'AVSC4 losslG,losslA,ra'!AT30</f>
        <v>#DIV/0!</v>
      </c>
      <c r="F84" s="588"/>
      <c r="G84" s="580" t="e">
        <f>'AVSC4 losslG,losslA,ra'!AL36</f>
        <v>#DIV/0!</v>
      </c>
      <c r="H84" s="581" t="e">
        <f>'AVSC4 losslG,losslA,ra'!AM36</f>
        <v>#DIV/0!</v>
      </c>
    </row>
    <row r="85" spans="2:8" s="1" customFormat="1">
      <c r="B85" s="604" t="s">
        <v>1126</v>
      </c>
      <c r="C85" s="224" t="e">
        <f>'AVSC4 losslG,losslA,ra'!AR31</f>
        <v>#DIV/0!</v>
      </c>
      <c r="D85" s="225" t="e">
        <f>'AVSC4 losslG,losslA,ra'!AS31</f>
        <v>#DIV/0!</v>
      </c>
      <c r="E85" s="197"/>
      <c r="F85" s="586" t="e">
        <f>'AVSC4 losslG,losslA,ra'!AU31</f>
        <v>#DIV/0!</v>
      </c>
      <c r="G85" s="481" t="e">
        <f>'AVSC4 losslG,losslA,ra'!AL37</f>
        <v>#DIV/0!</v>
      </c>
      <c r="H85" s="482" t="e">
        <f>'AVSC4 losslG,losslA,ra'!AM37</f>
        <v>#DIV/0!</v>
      </c>
    </row>
    <row r="86" spans="2:8" s="1" customFormat="1" ht="14.25" thickBot="1">
      <c r="B86" s="605" t="s">
        <v>137</v>
      </c>
      <c r="C86" s="77" t="e">
        <f>'AVSC4 losslG,losslA,ra'!AR32</f>
        <v>#DIV/0!</v>
      </c>
      <c r="D86" s="78" t="e">
        <f>'AVSC4 losslG,losslA,ra'!AS32</f>
        <v>#DIV/0!</v>
      </c>
      <c r="E86" s="78" t="e">
        <f>'AVSC4 losslG,losslA,ra'!AT32</f>
        <v>#DIV/0!</v>
      </c>
      <c r="F86" s="256" t="e">
        <f>'AVSC4 losslG,losslA,ra'!AU32</f>
        <v>#DIV/0!</v>
      </c>
      <c r="G86" s="485" t="e">
        <f>'AVSC4 losslG,losslA,ra'!AL38</f>
        <v>#DIV/0!</v>
      </c>
      <c r="H86" s="486" t="e">
        <f>'AVSC4 losslG,losslA,ra'!AM38</f>
        <v>#DIV/0!</v>
      </c>
    </row>
  </sheetData>
  <mergeCells count="36">
    <mergeCell ref="G69:H69"/>
    <mergeCell ref="C68:H68"/>
    <mergeCell ref="G79:H79"/>
    <mergeCell ref="G37:H37"/>
    <mergeCell ref="C36:H36"/>
    <mergeCell ref="E49:H49"/>
    <mergeCell ref="C78:H78"/>
    <mergeCell ref="I49:J49"/>
    <mergeCell ref="C48:J48"/>
    <mergeCell ref="G59:H59"/>
    <mergeCell ref="C58:H58"/>
    <mergeCell ref="C16:H16"/>
    <mergeCell ref="G27:H27"/>
    <mergeCell ref="C26:H26"/>
    <mergeCell ref="B26:B28"/>
    <mergeCell ref="C27:F27"/>
    <mergeCell ref="B78:B80"/>
    <mergeCell ref="C79:F79"/>
    <mergeCell ref="B68:B70"/>
    <mergeCell ref="C69:F69"/>
    <mergeCell ref="B36:B38"/>
    <mergeCell ref="C37:F37"/>
    <mergeCell ref="B58:B60"/>
    <mergeCell ref="C59:F59"/>
    <mergeCell ref="B48:B50"/>
    <mergeCell ref="C49:D49"/>
    <mergeCell ref="C1:E1"/>
    <mergeCell ref="C2:E2"/>
    <mergeCell ref="B16:B18"/>
    <mergeCell ref="C17:F17"/>
    <mergeCell ref="B6:B8"/>
    <mergeCell ref="E7:H7"/>
    <mergeCell ref="C7:D7"/>
    <mergeCell ref="C6:J6"/>
    <mergeCell ref="I7:J7"/>
    <mergeCell ref="G17:H17"/>
  </mergeCells>
  <phoneticPr fontId="2" type="noConversion"/>
  <conditionalFormatting sqref="F11 C24:F24 C22:E22 C32:E32 H11 E14:H14 E12:G12 F19 F29 C34:F34 F21 F31">
    <cfRule type="cellIs" dxfId="5626" priority="225" operator="greaterThanOrEqual">
      <formula>0.03</formula>
    </cfRule>
    <cfRule type="cellIs" dxfId="5625" priority="226" operator="lessThanOrEqual">
      <formula>-0.03</formula>
    </cfRule>
  </conditionalFormatting>
  <conditionalFormatting sqref="F44 F39 F41">
    <cfRule type="cellIs" dxfId="5624" priority="173" operator="greaterThanOrEqual">
      <formula>1.03</formula>
    </cfRule>
    <cfRule type="cellIs" dxfId="5623" priority="174" operator="lessThanOrEqual">
      <formula>0.97</formula>
    </cfRule>
  </conditionalFormatting>
  <conditionalFormatting sqref="E42 E44">
    <cfRule type="cellIs" dxfId="5622" priority="171" operator="greaterThanOrEqual">
      <formula>1.03</formula>
    </cfRule>
    <cfRule type="cellIs" dxfId="5621" priority="172" operator="lessThanOrEqual">
      <formula>0.97</formula>
    </cfRule>
  </conditionalFormatting>
  <conditionalFormatting sqref="D39 D44 D41:D42">
    <cfRule type="cellIs" dxfId="5620" priority="169" operator="greaterThanOrEqual">
      <formula>1.03</formula>
    </cfRule>
    <cfRule type="cellIs" dxfId="5619" priority="170" operator="lessThanOrEqual">
      <formula>0.97</formula>
    </cfRule>
  </conditionalFormatting>
  <conditionalFormatting sqref="C39 C44 C41:C42">
    <cfRule type="cellIs" dxfId="5618" priority="167" operator="greaterThanOrEqual">
      <formula>1.03</formula>
    </cfRule>
    <cfRule type="cellIs" dxfId="5617" priority="168" operator="lessThanOrEqual">
      <formula>0.97</formula>
    </cfRule>
  </conditionalFormatting>
  <conditionalFormatting sqref="F9 H9">
    <cfRule type="cellIs" dxfId="5616" priority="165" operator="greaterThanOrEqual">
      <formula>0.03</formula>
    </cfRule>
    <cfRule type="cellIs" dxfId="5615" priority="166" operator="lessThanOrEqual">
      <formula>-0.03</formula>
    </cfRule>
  </conditionalFormatting>
  <conditionalFormatting sqref="H13">
    <cfRule type="cellIs" dxfId="5614" priority="145" operator="greaterThanOrEqual">
      <formula>0.03</formula>
    </cfRule>
    <cfRule type="cellIs" dxfId="5613" priority="146" operator="lessThanOrEqual">
      <formula>-0.03</formula>
    </cfRule>
  </conditionalFormatting>
  <conditionalFormatting sqref="F23">
    <cfRule type="cellIs" dxfId="5612" priority="143" operator="greaterThanOrEqual">
      <formula>0.03</formula>
    </cfRule>
    <cfRule type="cellIs" dxfId="5611" priority="144" operator="lessThanOrEqual">
      <formula>-0.03</formula>
    </cfRule>
  </conditionalFormatting>
  <conditionalFormatting sqref="F33">
    <cfRule type="cellIs" dxfId="5610" priority="139" operator="greaterThanOrEqual">
      <formula>0.03</formula>
    </cfRule>
    <cfRule type="cellIs" dxfId="5609" priority="140" operator="lessThanOrEqual">
      <formula>-0.03</formula>
    </cfRule>
  </conditionalFormatting>
  <conditionalFormatting sqref="F13">
    <cfRule type="cellIs" dxfId="5608" priority="141" operator="greaterThanOrEqual">
      <formula>0.03</formula>
    </cfRule>
    <cfRule type="cellIs" dxfId="5607" priority="142" operator="lessThanOrEqual">
      <formula>-0.03</formula>
    </cfRule>
  </conditionalFormatting>
  <conditionalFormatting sqref="F43">
    <cfRule type="cellIs" dxfId="5606" priority="137" operator="greaterThanOrEqual">
      <formula>1.03</formula>
    </cfRule>
    <cfRule type="cellIs" dxfId="5605" priority="138" operator="lessThanOrEqual">
      <formula>0.97</formula>
    </cfRule>
  </conditionalFormatting>
  <conditionalFormatting sqref="I9:J14">
    <cfRule type="cellIs" dxfId="5604" priority="115" operator="greaterThanOrEqual">
      <formula>1.1</formula>
    </cfRule>
    <cfRule type="cellIs" dxfId="5603" priority="116" operator="lessThanOrEqual">
      <formula>0.9</formula>
    </cfRule>
  </conditionalFormatting>
  <conditionalFormatting sqref="G19:H24">
    <cfRule type="cellIs" dxfId="5602" priority="113" operator="greaterThanOrEqual">
      <formula>1.1</formula>
    </cfRule>
    <cfRule type="cellIs" dxfId="5601" priority="114" operator="lessThanOrEqual">
      <formula>0.9</formula>
    </cfRule>
  </conditionalFormatting>
  <conditionalFormatting sqref="D43">
    <cfRule type="cellIs" dxfId="5600" priority="107" operator="greaterThanOrEqual">
      <formula>1.03</formula>
    </cfRule>
    <cfRule type="cellIs" dxfId="5599" priority="108" operator="lessThanOrEqual">
      <formula>0.97</formula>
    </cfRule>
  </conditionalFormatting>
  <conditionalFormatting sqref="C43">
    <cfRule type="cellIs" dxfId="5598" priority="105" operator="greaterThanOrEqual">
      <formula>1.03</formula>
    </cfRule>
    <cfRule type="cellIs" dxfId="5597" priority="106" operator="lessThanOrEqual">
      <formula>0.97</formula>
    </cfRule>
  </conditionalFormatting>
  <conditionalFormatting sqref="E10:G10">
    <cfRule type="cellIs" dxfId="5596" priority="101" operator="greaterThanOrEqual">
      <formula>0.03</formula>
    </cfRule>
    <cfRule type="cellIs" dxfId="5595" priority="102" operator="lessThanOrEqual">
      <formula>-0.03</formula>
    </cfRule>
  </conditionalFormatting>
  <conditionalFormatting sqref="C20:E20">
    <cfRule type="cellIs" dxfId="5594" priority="97" operator="greaterThanOrEqual">
      <formula>0.03</formula>
    </cfRule>
    <cfRule type="cellIs" dxfId="5593" priority="98" operator="lessThanOrEqual">
      <formula>-0.03</formula>
    </cfRule>
  </conditionalFormatting>
  <conditionalFormatting sqref="C30:E30">
    <cfRule type="cellIs" dxfId="5592" priority="95" operator="greaterThanOrEqual">
      <formula>0.03</formula>
    </cfRule>
    <cfRule type="cellIs" dxfId="5591" priority="96" operator="lessThanOrEqual">
      <formula>-0.03</formula>
    </cfRule>
  </conditionalFormatting>
  <conditionalFormatting sqref="E40">
    <cfRule type="cellIs" dxfId="5590" priority="93" operator="greaterThanOrEqual">
      <formula>1.03</formula>
    </cfRule>
    <cfRule type="cellIs" dxfId="5589" priority="94" operator="lessThanOrEqual">
      <formula>0.97</formula>
    </cfRule>
  </conditionalFormatting>
  <conditionalFormatting sqref="D40">
    <cfRule type="cellIs" dxfId="5588" priority="91" operator="greaterThanOrEqual">
      <formula>1.03</formula>
    </cfRule>
    <cfRule type="cellIs" dxfId="5587" priority="92" operator="lessThanOrEqual">
      <formula>0.97</formula>
    </cfRule>
  </conditionalFormatting>
  <conditionalFormatting sqref="C40">
    <cfRule type="cellIs" dxfId="5586" priority="89" operator="greaterThanOrEqual">
      <formula>1.03</formula>
    </cfRule>
    <cfRule type="cellIs" dxfId="5585" priority="90" operator="lessThanOrEqual">
      <formula>0.97</formula>
    </cfRule>
  </conditionalFormatting>
  <conditionalFormatting sqref="G29:H34">
    <cfRule type="cellIs" dxfId="5584" priority="87" operator="greaterThanOrEqual">
      <formula>1.1</formula>
    </cfRule>
    <cfRule type="cellIs" dxfId="5583" priority="88" operator="lessThanOrEqual">
      <formula>0.9</formula>
    </cfRule>
  </conditionalFormatting>
  <conditionalFormatting sqref="G39:H44">
    <cfRule type="cellIs" dxfId="5582" priority="85" operator="greaterThanOrEqual">
      <formula>1.1</formula>
    </cfRule>
    <cfRule type="cellIs" dxfId="5581" priority="86" operator="lessThanOrEqual">
      <formula>0.9</formula>
    </cfRule>
  </conditionalFormatting>
  <conditionalFormatting sqref="I51:J56">
    <cfRule type="cellIs" dxfId="5580" priority="75" operator="greaterThanOrEqual">
      <formula>1.1</formula>
    </cfRule>
    <cfRule type="cellIs" dxfId="5579" priority="76" operator="lessThanOrEqual">
      <formula>0.9</formula>
    </cfRule>
  </conditionalFormatting>
  <conditionalFormatting sqref="G61:H66">
    <cfRule type="cellIs" dxfId="5578" priority="67" operator="greaterThanOrEqual">
      <formula>1.1</formula>
    </cfRule>
    <cfRule type="cellIs" dxfId="5577" priority="68" operator="lessThanOrEqual">
      <formula>0.9</formula>
    </cfRule>
  </conditionalFormatting>
  <conditionalFormatting sqref="G71:H76">
    <cfRule type="cellIs" dxfId="5576" priority="49" operator="greaterThanOrEqual">
      <formula>1.1</formula>
    </cfRule>
    <cfRule type="cellIs" dxfId="5575" priority="50" operator="lessThanOrEqual">
      <formula>0.9</formula>
    </cfRule>
  </conditionalFormatting>
  <conditionalFormatting sqref="G81:H86">
    <cfRule type="cellIs" dxfId="5574" priority="23" operator="greaterThanOrEqual">
      <formula>1.1</formula>
    </cfRule>
    <cfRule type="cellIs" dxfId="5573" priority="24" operator="lessThanOrEqual">
      <formula>0.9</formula>
    </cfRule>
  </conditionalFormatting>
  <conditionalFormatting sqref="C51:H56">
    <cfRule type="cellIs" dxfId="5572" priority="7" operator="greaterThanOrEqual">
      <formula>0.03</formula>
    </cfRule>
    <cfRule type="cellIs" dxfId="5571" priority="8" operator="lessThanOrEqual">
      <formula>-0.03</formula>
    </cfRule>
  </conditionalFormatting>
  <conditionalFormatting sqref="C61:F66">
    <cfRule type="cellIs" dxfId="5570" priority="5" operator="greaterThanOrEqual">
      <formula>0.03</formula>
    </cfRule>
    <cfRule type="cellIs" dxfId="5569" priority="6" operator="lessThanOrEqual">
      <formula>-0.03</formula>
    </cfRule>
  </conditionalFormatting>
  <conditionalFormatting sqref="C71:F76">
    <cfRule type="cellIs" dxfId="5568" priority="3" operator="greaterThanOrEqual">
      <formula>0.03</formula>
    </cfRule>
    <cfRule type="cellIs" dxfId="5567" priority="4" operator="lessThanOrEqual">
      <formula>-0.03</formula>
    </cfRule>
  </conditionalFormatting>
  <conditionalFormatting sqref="C81:F86">
    <cfRule type="cellIs" dxfId="5566" priority="1" operator="greaterThanOrEqual">
      <formula>1.03</formula>
    </cfRule>
    <cfRule type="cellIs" dxfId="5565" priority="2" operator="lessThanOrEqual">
      <formula>0.97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86"/>
  <sheetViews>
    <sheetView topLeftCell="A8" workbookViewId="0">
      <selection activeCell="E10" sqref="E10"/>
    </sheetView>
  </sheetViews>
  <sheetFormatPr defaultColWidth="8.625" defaultRowHeight="13.5"/>
  <cols>
    <col min="1" max="1" width="8.625" style="1"/>
    <col min="2" max="2" width="21.375" style="9" customWidth="1"/>
    <col min="3" max="8" width="14.625" style="1" customWidth="1"/>
    <col min="9" max="9" width="15.375" style="1" customWidth="1"/>
    <col min="10" max="10" width="15.125" style="1" customWidth="1"/>
    <col min="11" max="16384" width="8.625" style="1"/>
  </cols>
  <sheetData>
    <row r="1" spans="2:10" ht="14.1" customHeight="1">
      <c r="B1" s="597" t="s">
        <v>0</v>
      </c>
      <c r="C1" s="623" t="s">
        <v>1159</v>
      </c>
      <c r="D1" s="623"/>
      <c r="E1" s="624"/>
    </row>
    <row r="2" spans="2:10" ht="15" customHeight="1" thickBot="1">
      <c r="B2" s="598" t="s">
        <v>1</v>
      </c>
      <c r="C2" s="625" t="s">
        <v>1160</v>
      </c>
      <c r="D2" s="625"/>
      <c r="E2" s="626"/>
      <c r="F2" s="187" t="s">
        <v>973</v>
      </c>
    </row>
    <row r="3" spans="2:10" ht="14.25" thickBot="1"/>
    <row r="4" spans="2:10" s="193" customFormat="1">
      <c r="B4" s="599" t="s">
        <v>139</v>
      </c>
    </row>
    <row r="5" spans="2:10" ht="14.25" thickBot="1"/>
    <row r="6" spans="2:10" s="144" customFormat="1">
      <c r="B6" s="656" t="s">
        <v>169</v>
      </c>
      <c r="C6" s="639" t="s">
        <v>1353</v>
      </c>
      <c r="D6" s="640"/>
      <c r="E6" s="640"/>
      <c r="F6" s="640"/>
      <c r="G6" s="640"/>
      <c r="H6" s="640"/>
      <c r="I6" s="641"/>
      <c r="J6" s="642"/>
    </row>
    <row r="7" spans="2:10" s="144" customFormat="1" ht="14.1" customHeight="1">
      <c r="B7" s="657"/>
      <c r="C7" s="637" t="s">
        <v>1360</v>
      </c>
      <c r="D7" s="638"/>
      <c r="E7" s="634" t="s">
        <v>1362</v>
      </c>
      <c r="F7" s="635"/>
      <c r="G7" s="635"/>
      <c r="H7" s="636"/>
      <c r="I7" s="643" t="s">
        <v>1098</v>
      </c>
      <c r="J7" s="644"/>
    </row>
    <row r="8" spans="2:10" s="144" customFormat="1" ht="14.25" thickBot="1">
      <c r="B8" s="658"/>
      <c r="C8" s="210" t="s">
        <v>186</v>
      </c>
      <c r="D8" s="282" t="s">
        <v>964</v>
      </c>
      <c r="E8" s="283" t="s">
        <v>81</v>
      </c>
      <c r="F8" s="210" t="s">
        <v>83</v>
      </c>
      <c r="G8" s="210" t="s">
        <v>85</v>
      </c>
      <c r="H8" s="211" t="s">
        <v>71</v>
      </c>
      <c r="I8" s="341" t="s">
        <v>1099</v>
      </c>
      <c r="J8" s="342" t="s">
        <v>1100</v>
      </c>
    </row>
    <row r="9" spans="2:10">
      <c r="B9" s="600" t="s">
        <v>1125</v>
      </c>
      <c r="C9" s="224">
        <f>'AVSC1 limit-lossyG,lossyA,intra'!BO$137:BO$137</f>
        <v>0</v>
      </c>
      <c r="D9" s="586">
        <f>'AVSC1 limit-lossyG,lossyA,intra'!BP$137:BP$137</f>
        <v>0</v>
      </c>
      <c r="E9" s="325"/>
      <c r="F9" s="197"/>
      <c r="G9" s="197"/>
      <c r="H9" s="86">
        <f>'AVSC1 limit-lossyG,lossyA,intra'!BT$137:BT$137</f>
        <v>0</v>
      </c>
      <c r="I9" s="481" t="e">
        <f>'AVSC1 limit-lossyG,lossyA,intra'!AW$143</f>
        <v>#DIV/0!</v>
      </c>
      <c r="J9" s="482" t="e">
        <f>'AVSC1 limit-lossyG,lossyA,intra'!AX$143</f>
        <v>#DIV/0!</v>
      </c>
    </row>
    <row r="10" spans="2:10">
      <c r="B10" s="601" t="s">
        <v>1124</v>
      </c>
      <c r="C10" s="74">
        <f>'AVSC1 limit-lossyG,lossyA,intra'!BO$138:BO$138</f>
        <v>-0.16848614155927333</v>
      </c>
      <c r="D10" s="255">
        <f>'AVSC1 limit-lossyG,lossyA,intra'!BP$138:BP$138</f>
        <v>-0.16930282559650062</v>
      </c>
      <c r="E10" s="74">
        <f>'AVSC1 limit-lossyG,lossyA,intra'!BQ$138:BQ$138</f>
        <v>-0.18193492470675951</v>
      </c>
      <c r="F10" s="75">
        <f>'AVSC1 limit-lossyG,lossyA,intra'!BR138:BR138</f>
        <v>-0.55152885015928732</v>
      </c>
      <c r="G10" s="75">
        <f>'AVSC1 limit-lossyG,lossyA,intra'!BS138:BS138</f>
        <v>-0.45324141171346272</v>
      </c>
      <c r="H10" s="579"/>
      <c r="I10" s="483">
        <f>'AVSC1 limit-lossyG,lossyA,intra'!AW144</f>
        <v>1.5578496223301519</v>
      </c>
      <c r="J10" s="484">
        <f>'AVSC1 limit-lossyG,lossyA,intra'!AX144</f>
        <v>1.8908296346483189</v>
      </c>
    </row>
    <row r="11" spans="2:10">
      <c r="B11" s="602" t="s">
        <v>171</v>
      </c>
      <c r="C11" s="74">
        <f>'AVSC1 limit-lossyG,lossyA,intra'!BO$139:BO$139</f>
        <v>0</v>
      </c>
      <c r="D11" s="255">
        <f>'AVSC1 limit-lossyG,lossyA,intra'!BP$139:BP$139</f>
        <v>0</v>
      </c>
      <c r="E11" s="326"/>
      <c r="F11" s="322"/>
      <c r="G11" s="322"/>
      <c r="H11" s="76">
        <f>'AVSC1 limit-lossyG,lossyA,intra'!BT139:BT139</f>
        <v>0</v>
      </c>
      <c r="I11" s="483" t="e">
        <f>'AVSC1 limit-lossyG,lossyA,intra'!AW145</f>
        <v>#DIV/0!</v>
      </c>
      <c r="J11" s="484" t="e">
        <f>'AVSC1 limit-lossyG,lossyA,intra'!AX145</f>
        <v>#DIV/0!</v>
      </c>
    </row>
    <row r="12" spans="2:10" ht="14.25" thickBot="1">
      <c r="B12" s="603" t="s">
        <v>903</v>
      </c>
      <c r="C12" s="80">
        <f>'AVSC1 limit-lossyG,lossyA,intra'!BO$140:BO$140</f>
        <v>-0.14143969929505343</v>
      </c>
      <c r="D12" s="594">
        <f>'AVSC1 limit-lossyG,lossyA,intra'!BP$140:BP$140</f>
        <v>-0.14198524635262866</v>
      </c>
      <c r="E12" s="80">
        <f>'AVSC1 limit-lossyG,lossyA,intra'!BQ$140:BQ$140</f>
        <v>-0.1663163364321483</v>
      </c>
      <c r="F12" s="81">
        <f>'AVSC1 limit-lossyG,lossyA,intra'!BR140:BR140</f>
        <v>-0.20890492668969809</v>
      </c>
      <c r="G12" s="81">
        <f>'AVSC1 limit-lossyG,lossyA,intra'!BS140:BS140</f>
        <v>-0.10087120999271412</v>
      </c>
      <c r="H12" s="336"/>
      <c r="I12" s="485">
        <f>'AVSC1 limit-lossyG,lossyA,intra'!AW146</f>
        <v>1.1222620537754349</v>
      </c>
      <c r="J12" s="486">
        <f>'AVSC1 limit-lossyG,lossyA,intra'!AX146</f>
        <v>1.3273811336880887</v>
      </c>
    </row>
    <row r="13" spans="2:10">
      <c r="B13" s="604" t="s">
        <v>1158</v>
      </c>
      <c r="C13" s="224">
        <f>'AVSC1 limit-lossyG,lossyA,intra'!BO$141:BO$141</f>
        <v>0</v>
      </c>
      <c r="D13" s="586">
        <f>'AVSC1 limit-lossyG,lossyA,intra'!BP$141:BP$141</f>
        <v>0</v>
      </c>
      <c r="E13" s="325"/>
      <c r="F13" s="197"/>
      <c r="G13" s="197"/>
      <c r="H13" s="86">
        <f>'AVSC1 limit-lossyG,lossyA,intra'!BT141:BT141</f>
        <v>0</v>
      </c>
      <c r="I13" s="481" t="e">
        <f>'AVSC1 limit-lossyG,lossyA,intra'!AW147</f>
        <v>#DIV/0!</v>
      </c>
      <c r="J13" s="482" t="e">
        <f>'AVSC1 limit-lossyG,lossyA,intra'!AX147</f>
        <v>#DIV/0!</v>
      </c>
    </row>
    <row r="14" spans="2:10" ht="14.25" thickBot="1">
      <c r="B14" s="605" t="s">
        <v>137</v>
      </c>
      <c r="C14" s="77">
        <f>'AVSC1 limit-lossyG,lossyA,intra'!BO$142:BO$142</f>
        <v>-7.9325535822505774E-2</v>
      </c>
      <c r="D14" s="256">
        <f>'AVSC1 limit-lossyG,lossyA,intra'!BP$142:BP$142</f>
        <v>-7.9684580208455411E-2</v>
      </c>
      <c r="E14" s="77">
        <f>'AVSC1 limit-lossyG,lossyA,intra'!BQ$142:BQ$142</f>
        <v>-0.17625543806144633</v>
      </c>
      <c r="F14" s="78">
        <f>'AVSC1 limit-lossyG,lossyA,intra'!BR142:BR142</f>
        <v>-0.42693833253398217</v>
      </c>
      <c r="G14" s="78">
        <f>'AVSC1 limit-lossyG,lossyA,intra'!BS142:BS142</f>
        <v>-0.32510679290591782</v>
      </c>
      <c r="H14" s="79">
        <f>'AVSC1 limit-lossyG,lossyA,intra'!BT142:BT142</f>
        <v>0</v>
      </c>
      <c r="I14" s="485">
        <f>'AVSC1 limit-lossyG,lossyA,intra'!AW148</f>
        <v>1.2514439027025006</v>
      </c>
      <c r="J14" s="486">
        <f>'AVSC1 limit-lossyG,lossyA,intra'!AX148</f>
        <v>1.1881465540053837</v>
      </c>
    </row>
    <row r="15" spans="2:10" ht="14.25" thickBot="1"/>
    <row r="16" spans="2:10">
      <c r="B16" s="659" t="s">
        <v>170</v>
      </c>
      <c r="C16" s="648" t="s">
        <v>1356</v>
      </c>
      <c r="D16" s="649"/>
      <c r="E16" s="649"/>
      <c r="F16" s="649"/>
      <c r="G16" s="650"/>
      <c r="H16" s="651"/>
    </row>
    <row r="17" spans="2:8">
      <c r="B17" s="660"/>
      <c r="C17" s="630" t="s">
        <v>1363</v>
      </c>
      <c r="D17" s="631"/>
      <c r="E17" s="631"/>
      <c r="F17" s="632"/>
      <c r="G17" s="643" t="s">
        <v>1098</v>
      </c>
      <c r="H17" s="644"/>
    </row>
    <row r="18" spans="2:8" ht="14.25" thickBot="1">
      <c r="B18" s="661"/>
      <c r="C18" s="343" t="s">
        <v>81</v>
      </c>
      <c r="D18" s="195" t="s">
        <v>83</v>
      </c>
      <c r="E18" s="195" t="s">
        <v>85</v>
      </c>
      <c r="F18" s="196" t="s">
        <v>71</v>
      </c>
      <c r="G18" s="341" t="s">
        <v>1099</v>
      </c>
      <c r="H18" s="342" t="s">
        <v>1100</v>
      </c>
    </row>
    <row r="19" spans="2:8">
      <c r="B19" s="600" t="s">
        <v>1125</v>
      </c>
      <c r="C19" s="325"/>
      <c r="D19" s="197"/>
      <c r="E19" s="197"/>
      <c r="F19" s="198">
        <f>'AVSC2 losslG,lossyA,intra'!BL137:BL137</f>
        <v>0</v>
      </c>
      <c r="G19" s="481" t="e">
        <f>'AVSC2 losslG,lossyA,intra'!AS$143</f>
        <v>#DIV/0!</v>
      </c>
      <c r="H19" s="482" t="e">
        <f>'AVSC2 losslG,lossyA,intra'!AT143</f>
        <v>#DIV/0!</v>
      </c>
    </row>
    <row r="20" spans="2:8">
      <c r="B20" s="601" t="s">
        <v>1124</v>
      </c>
      <c r="C20" s="556">
        <f>'AVSC2 losslG,lossyA,intra'!BI138:BI138</f>
        <v>-7.3140662416635457E-2</v>
      </c>
      <c r="D20" s="557">
        <f>'AVSC2 losslG,lossyA,intra'!BJ138:BJ138</f>
        <v>-9.3707929497319625E-2</v>
      </c>
      <c r="E20" s="557">
        <f>'AVSC2 losslG,lossyA,intra'!BK138:BK138</f>
        <v>-9.5764664041768019E-2</v>
      </c>
      <c r="F20" s="579"/>
      <c r="G20" s="483">
        <f>'AVSC2 losslG,lossyA,intra'!AS144</f>
        <v>1.6820110296927386</v>
      </c>
      <c r="H20" s="484">
        <f>'AVSC2 losslG,lossyA,intra'!AT144</f>
        <v>1.8434154796730848</v>
      </c>
    </row>
    <row r="21" spans="2:8">
      <c r="B21" s="611" t="s">
        <v>171</v>
      </c>
      <c r="C21" s="326"/>
      <c r="D21" s="322"/>
      <c r="E21" s="322"/>
      <c r="F21" s="323">
        <f>'AVSC2 losslG,lossyA,intra'!BL139:BL139</f>
        <v>0</v>
      </c>
      <c r="G21" s="483" t="e">
        <f>'AVSC2 losslG,lossyA,intra'!AS145</f>
        <v>#DIV/0!</v>
      </c>
      <c r="H21" s="484" t="e">
        <f>'AVSC2 losslG,lossyA,intra'!AT145</f>
        <v>#DIV/0!</v>
      </c>
    </row>
    <row r="22" spans="2:8" ht="14.25" thickBot="1">
      <c r="B22" s="603" t="s">
        <v>903</v>
      </c>
      <c r="C22" s="348">
        <f>'AVSC2 losslG,lossyA,intra'!BI140:BI140</f>
        <v>-8.7295483093482562E-2</v>
      </c>
      <c r="D22" s="331">
        <f>'AVSC2 losslG,lossyA,intra'!BJ140:BJ140</f>
        <v>-0.15854013215862198</v>
      </c>
      <c r="E22" s="331">
        <f>'AVSC2 losslG,lossyA,intra'!BK140:BK140</f>
        <v>-0.18626173573035373</v>
      </c>
      <c r="F22" s="336"/>
      <c r="G22" s="485">
        <f>'AVSC2 losslG,lossyA,intra'!AS146</f>
        <v>1.247802357520907</v>
      </c>
      <c r="H22" s="486">
        <f>'AVSC2 losslG,lossyA,intra'!AT146</f>
        <v>1.4206359133562763</v>
      </c>
    </row>
    <row r="23" spans="2:8">
      <c r="B23" s="596" t="s">
        <v>1126</v>
      </c>
      <c r="C23" s="325"/>
      <c r="D23" s="197"/>
      <c r="E23" s="197"/>
      <c r="F23" s="198">
        <f>'AVSC2 losslG,lossyA,intra'!BL141:BL141</f>
        <v>0</v>
      </c>
      <c r="G23" s="481" t="e">
        <f>'AVSC2 losslG,lossyA,intra'!AS147</f>
        <v>#DIV/0!</v>
      </c>
      <c r="H23" s="482" t="e">
        <f>'AVSC2 losslG,lossyA,intra'!AT147</f>
        <v>#DIV/0!</v>
      </c>
    </row>
    <row r="24" spans="2:8" ht="14.25" thickBot="1">
      <c r="B24" s="613" t="s">
        <v>137</v>
      </c>
      <c r="C24" s="330">
        <f>'AVSC2 losslG,lossyA,intra'!BI142:BI142</f>
        <v>-7.828786993548896E-2</v>
      </c>
      <c r="D24" s="324">
        <f>'AVSC2 losslG,lossyA,intra'!BJ142:BJ142</f>
        <v>-0.11728327591961139</v>
      </c>
      <c r="E24" s="324">
        <f>'AVSC2 losslG,lossyA,intra'!BK142:BK142</f>
        <v>-0.12867269011034466</v>
      </c>
      <c r="F24" s="199">
        <f>'AVSC2 losslG,lossyA,intra'!BL142:BL142</f>
        <v>0</v>
      </c>
      <c r="G24" s="485">
        <f>'AVSC2 losslG,lossyA,intra'!AS148</f>
        <v>1.1032939968700877</v>
      </c>
      <c r="H24" s="486">
        <f>'AVSC2 losslG,lossyA,intra'!AT148</f>
        <v>1.0463690547717102</v>
      </c>
    </row>
    <row r="25" spans="2:8" ht="14.25" thickBot="1"/>
    <row r="26" spans="2:8">
      <c r="B26" s="656" t="s">
        <v>173</v>
      </c>
      <c r="C26" s="654" t="s">
        <v>1358</v>
      </c>
      <c r="D26" s="655"/>
      <c r="E26" s="655"/>
      <c r="F26" s="655"/>
      <c r="G26" s="650"/>
      <c r="H26" s="651"/>
    </row>
    <row r="27" spans="2:8">
      <c r="B27" s="657"/>
      <c r="C27" s="645" t="s">
        <v>1365</v>
      </c>
      <c r="D27" s="637"/>
      <c r="E27" s="637"/>
      <c r="F27" s="646"/>
      <c r="G27" s="652" t="s">
        <v>1098</v>
      </c>
      <c r="H27" s="653"/>
    </row>
    <row r="28" spans="2:8" ht="14.25" thickBot="1">
      <c r="B28" s="662"/>
      <c r="C28" s="203" t="s">
        <v>81</v>
      </c>
      <c r="D28" s="245" t="s">
        <v>83</v>
      </c>
      <c r="E28" s="245" t="s">
        <v>85</v>
      </c>
      <c r="F28" s="246" t="s">
        <v>71</v>
      </c>
      <c r="G28" s="341" t="s">
        <v>1099</v>
      </c>
      <c r="H28" s="342" t="s">
        <v>1100</v>
      </c>
    </row>
    <row r="29" spans="2:8">
      <c r="B29" s="608" t="s">
        <v>1125</v>
      </c>
      <c r="C29" s="325"/>
      <c r="D29" s="197"/>
      <c r="E29" s="197"/>
      <c r="F29" s="86">
        <f>'AVSC3 losslG,limit-lossyA,intra'!CD115:CD115</f>
        <v>0</v>
      </c>
      <c r="G29" s="481" t="e">
        <f>'AVSC3 losslG,limit-lossyA,intra'!BA$121</f>
        <v>#DIV/0!</v>
      </c>
      <c r="H29" s="482" t="e">
        <f>'AVSC3 losslG,limit-lossyA,intra'!BB121</f>
        <v>#DIV/0!</v>
      </c>
    </row>
    <row r="30" spans="2:8">
      <c r="B30" s="609" t="s">
        <v>1124</v>
      </c>
      <c r="C30" s="74">
        <f>'AVSC3 losslG,limit-lossyA,intra'!CA116:CA116</f>
        <v>-6.4449571319100674E-2</v>
      </c>
      <c r="D30" s="75">
        <f>'AVSC3 losslG,limit-lossyA,intra'!CB116:CB116</f>
        <v>-6.4449571319100674E-2</v>
      </c>
      <c r="E30" s="75">
        <f>'AVSC3 losslG,limit-lossyA,intra'!CC116:CC116</f>
        <v>-6.4449571319100674E-2</v>
      </c>
      <c r="F30" s="579"/>
      <c r="G30" s="483">
        <f>'AVSC3 losslG,limit-lossyA,intra'!BA122</f>
        <v>1.6638960051735416</v>
      </c>
      <c r="H30" s="484">
        <f>'AVSC3 losslG,limit-lossyA,intra'!BB122</f>
        <v>1.8250348193653052</v>
      </c>
    </row>
    <row r="31" spans="2:8">
      <c r="B31" s="609" t="s">
        <v>175</v>
      </c>
      <c r="C31" s="326"/>
      <c r="D31" s="322"/>
      <c r="E31" s="322"/>
      <c r="F31" s="76">
        <f>'AVSC3 losslG,limit-lossyA,intra'!CD117:CD117</f>
        <v>0</v>
      </c>
      <c r="G31" s="483" t="e">
        <f>'AVSC3 losslG,limit-lossyA,intra'!BA123</f>
        <v>#DIV/0!</v>
      </c>
      <c r="H31" s="484" t="e">
        <f>'AVSC3 losslG,limit-lossyA,intra'!BB123</f>
        <v>#DIV/0!</v>
      </c>
    </row>
    <row r="32" spans="2:8" ht="14.25" thickBot="1">
      <c r="B32" s="609" t="s">
        <v>903</v>
      </c>
      <c r="C32" s="80">
        <f>'AVSC3 losslG,limit-lossyA,intra'!CA118:CA118</f>
        <v>-9.9811081382607497E-2</v>
      </c>
      <c r="D32" s="81">
        <f>'AVSC3 losslG,limit-lossyA,intra'!CB118:CB118</f>
        <v>-9.9811081382607497E-2</v>
      </c>
      <c r="E32" s="81">
        <f>'AVSC3 losslG,limit-lossyA,intra'!CC118:CC118</f>
        <v>-9.9811081382607497E-2</v>
      </c>
      <c r="F32" s="336"/>
      <c r="G32" s="485">
        <f>'AVSC3 losslG,limit-lossyA,intra'!BA124</f>
        <v>1.2511725672392744</v>
      </c>
      <c r="H32" s="486">
        <f>'AVSC3 losslG,limit-lossyA,intra'!BB124</f>
        <v>1.4380171312074255</v>
      </c>
    </row>
    <row r="33" spans="1:10">
      <c r="B33" s="593" t="s">
        <v>1126</v>
      </c>
      <c r="C33" s="325"/>
      <c r="D33" s="197"/>
      <c r="E33" s="197"/>
      <c r="F33" s="86">
        <f>'AVSC3 losslG,limit-lossyA,intra'!CD119:CD119</f>
        <v>0</v>
      </c>
      <c r="G33" s="481" t="e">
        <f>'AVSC3 losslG,limit-lossyA,intra'!BA125</f>
        <v>#DIV/0!</v>
      </c>
      <c r="H33" s="482" t="e">
        <f>'AVSC3 losslG,limit-lossyA,intra'!BB125</f>
        <v>#DIV/0!</v>
      </c>
    </row>
    <row r="34" spans="1:10" ht="14.25" thickBot="1">
      <c r="B34" s="605" t="s">
        <v>1002</v>
      </c>
      <c r="C34" s="77">
        <f>'AVSC3 losslG,limit-lossyA,intra'!CA120:CA120</f>
        <v>-7.7308302251284974E-2</v>
      </c>
      <c r="D34" s="78">
        <f>'AVSC3 losslG,limit-lossyA,intra'!CB120:CB120</f>
        <v>-7.7308302251284974E-2</v>
      </c>
      <c r="E34" s="78">
        <f>'AVSC3 losslG,limit-lossyA,intra'!CC120:CC120</f>
        <v>-7.7308302251284974E-2</v>
      </c>
      <c r="F34" s="79">
        <f>'AVSC3 losslG,limit-lossyA,intra'!CD120:CD120</f>
        <v>0</v>
      </c>
      <c r="G34" s="485">
        <f>'AVSC3 losslG,limit-lossyA,intra'!BA126</f>
        <v>1.1081233658585927</v>
      </c>
      <c r="H34" s="486">
        <f>'AVSC3 losslG,limit-lossyA,intra'!BB126</f>
        <v>1.0408763193587587</v>
      </c>
    </row>
    <row r="35" spans="1:10" ht="14.25" thickBot="1"/>
    <row r="36" spans="1:10">
      <c r="B36" s="659" t="s">
        <v>176</v>
      </c>
      <c r="C36" s="648" t="s">
        <v>1357</v>
      </c>
      <c r="D36" s="649"/>
      <c r="E36" s="649"/>
      <c r="F36" s="649"/>
      <c r="G36" s="650"/>
      <c r="H36" s="651"/>
    </row>
    <row r="37" spans="1:10">
      <c r="B37" s="660"/>
      <c r="C37" s="647" t="s">
        <v>146</v>
      </c>
      <c r="D37" s="631"/>
      <c r="E37" s="631"/>
      <c r="F37" s="632"/>
      <c r="G37" s="652" t="s">
        <v>1098</v>
      </c>
      <c r="H37" s="653"/>
    </row>
    <row r="38" spans="1:10" ht="14.25" thickBot="1">
      <c r="B38" s="661"/>
      <c r="C38" s="577" t="s">
        <v>65</v>
      </c>
      <c r="D38" s="577" t="s">
        <v>67</v>
      </c>
      <c r="E38" s="343" t="s">
        <v>78</v>
      </c>
      <c r="F38" s="196" t="s">
        <v>71</v>
      </c>
      <c r="G38" s="341" t="s">
        <v>1099</v>
      </c>
      <c r="H38" s="342" t="s">
        <v>1100</v>
      </c>
    </row>
    <row r="39" spans="1:10">
      <c r="B39" s="608" t="s">
        <v>1125</v>
      </c>
      <c r="C39" s="340">
        <f>'AVSC4 losslG,losslA,intra'!$AR27</f>
        <v>1</v>
      </c>
      <c r="D39" s="340">
        <f>'AVSC4 losslG,losslA,intra'!$AS27</f>
        <v>1</v>
      </c>
      <c r="E39" s="325"/>
      <c r="F39" s="86">
        <f>'AVSC4 losslG,losslA,intra'!$AU27</f>
        <v>1</v>
      </c>
      <c r="G39" s="481" t="e">
        <f>'AVSC4 losslG,losslA,intra'!AL$33</f>
        <v>#DIV/0!</v>
      </c>
      <c r="H39" s="482" t="e">
        <f>'AVSC4 losslG,losslA,intra'!AM33</f>
        <v>#DIV/0!</v>
      </c>
    </row>
    <row r="40" spans="1:10">
      <c r="B40" s="609" t="s">
        <v>1124</v>
      </c>
      <c r="C40" s="252">
        <f>'AVSC4 losslG,losslA,intra'!$AR28</f>
        <v>0.97695392039621765</v>
      </c>
      <c r="D40" s="252">
        <f>'AVSC4 losslG,losslA,intra'!$AS28</f>
        <v>1</v>
      </c>
      <c r="E40" s="74">
        <f>'AVSC4 losslG,losslA,intra'!$AT28</f>
        <v>0.95162889989460564</v>
      </c>
      <c r="F40" s="336"/>
      <c r="G40" s="483">
        <f>'AVSC4 losslG,losslA,intra'!AL34</f>
        <v>1.6991646166346941</v>
      </c>
      <c r="H40" s="484">
        <f>'AVSC4 losslG,losslA,intra'!AM34</f>
        <v>1.9293107953984956</v>
      </c>
    </row>
    <row r="41" spans="1:10">
      <c r="B41" s="609" t="s">
        <v>171</v>
      </c>
      <c r="C41" s="252">
        <f>'AVSC4 losslG,losslA,intra'!$AR29</f>
        <v>1</v>
      </c>
      <c r="D41" s="252">
        <f>'AVSC4 losslG,losslA,intra'!$AS29</f>
        <v>1</v>
      </c>
      <c r="E41" s="326"/>
      <c r="F41" s="76">
        <f>'AVSC4 losslG,losslA,intra'!$AU29</f>
        <v>1</v>
      </c>
      <c r="G41" s="483" t="e">
        <f>'AVSC4 losslG,losslA,intra'!AL35</f>
        <v>#DIV/0!</v>
      </c>
      <c r="H41" s="484" t="e">
        <f>'AVSC4 losslG,losslA,intra'!AM35</f>
        <v>#DIV/0!</v>
      </c>
    </row>
    <row r="42" spans="1:10" ht="14.25" thickBot="1">
      <c r="B42" s="609" t="s">
        <v>903</v>
      </c>
      <c r="C42" s="252">
        <f>'AVSC4 losslG,losslA,intra'!$AR30</f>
        <v>0.97702240055343947</v>
      </c>
      <c r="D42" s="252">
        <f>'AVSC4 losslG,losslA,intra'!$AS30</f>
        <v>1</v>
      </c>
      <c r="E42" s="74">
        <f>'AVSC4 losslG,losslA,intra'!$AT30</f>
        <v>0.97423165841594039</v>
      </c>
      <c r="F42" s="336"/>
      <c r="G42" s="485">
        <f>'AVSC4 losslG,losslA,intra'!AL36</f>
        <v>1.3057292968388334</v>
      </c>
      <c r="H42" s="486">
        <f>'AVSC4 losslG,losslA,intra'!AM36</f>
        <v>1.4943267595605025</v>
      </c>
    </row>
    <row r="43" spans="1:10">
      <c r="B43" s="604" t="s">
        <v>1126</v>
      </c>
      <c r="C43" s="340">
        <f>'AVSC4 losslG,losslA,intra'!$AR31</f>
        <v>1</v>
      </c>
      <c r="D43" s="340">
        <f>'AVSC4 losslG,losslA,intra'!$AS31</f>
        <v>1</v>
      </c>
      <c r="E43" s="325"/>
      <c r="F43" s="86">
        <f>'AVSC4 losslG,losslA,intra'!$AU31</f>
        <v>1</v>
      </c>
      <c r="G43" s="481" t="e">
        <f>'AVSC4 losslG,losslA,intra'!AL37</f>
        <v>#DIV/0!</v>
      </c>
      <c r="H43" s="482" t="e">
        <f>'AVSC4 losslG,losslA,intra'!AM37</f>
        <v>#DIV/0!</v>
      </c>
    </row>
    <row r="44" spans="1:10" ht="14.25" thickBot="1">
      <c r="B44" s="605" t="s">
        <v>137</v>
      </c>
      <c r="C44" s="253">
        <f>'AVSC4 losslG,losslA,intra'!$AR32</f>
        <v>0.98956715176449173</v>
      </c>
      <c r="D44" s="253">
        <f>'AVSC4 losslG,losslA,intra'!$AS32</f>
        <v>1</v>
      </c>
      <c r="E44" s="77">
        <f>'AVSC4 losslG,losslA,intra'!$AT32</f>
        <v>0.95773004412476737</v>
      </c>
      <c r="F44" s="79">
        <f>'AVSC4 losslG,losslA,intra'!$AU32</f>
        <v>1</v>
      </c>
      <c r="G44" s="485">
        <f>'AVSC4 losslG,losslA,intra'!AL38</f>
        <v>1.119333591841567</v>
      </c>
      <c r="H44" s="486">
        <f>'AVSC4 losslG,losslA,intra'!AM38</f>
        <v>1.061637098014917</v>
      </c>
    </row>
    <row r="45" spans="1:10" ht="14.25" thickBot="1"/>
    <row r="46" spans="1:10" s="205" customFormat="1">
      <c r="A46" s="206"/>
      <c r="B46" s="610" t="s">
        <v>1361</v>
      </c>
      <c r="C46" s="206"/>
      <c r="D46" s="206"/>
      <c r="E46" s="206"/>
      <c r="F46" s="206"/>
      <c r="G46" s="206"/>
      <c r="H46" s="206"/>
    </row>
    <row r="47" spans="1:10" ht="14.25" thickBot="1"/>
    <row r="48" spans="1:10" s="144" customFormat="1">
      <c r="B48" s="656" t="s">
        <v>1349</v>
      </c>
      <c r="C48" s="639" t="s">
        <v>1353</v>
      </c>
      <c r="D48" s="640"/>
      <c r="E48" s="640"/>
      <c r="F48" s="640"/>
      <c r="G48" s="640"/>
      <c r="H48" s="640"/>
      <c r="I48" s="641"/>
      <c r="J48" s="642"/>
    </row>
    <row r="49" spans="2:10" s="144" customFormat="1" ht="14.1" customHeight="1">
      <c r="B49" s="657"/>
      <c r="C49" s="637" t="s">
        <v>1362</v>
      </c>
      <c r="D49" s="638"/>
      <c r="E49" s="634" t="s">
        <v>1352</v>
      </c>
      <c r="F49" s="635"/>
      <c r="G49" s="635"/>
      <c r="H49" s="636"/>
      <c r="I49" s="643" t="s">
        <v>1098</v>
      </c>
      <c r="J49" s="644"/>
    </row>
    <row r="50" spans="2:10" s="144" customFormat="1" ht="14.25" thickBot="1">
      <c r="B50" s="658"/>
      <c r="C50" s="210" t="s">
        <v>186</v>
      </c>
      <c r="D50" s="282" t="s">
        <v>964</v>
      </c>
      <c r="E50" s="283" t="s">
        <v>81</v>
      </c>
      <c r="F50" s="210" t="s">
        <v>83</v>
      </c>
      <c r="G50" s="210" t="s">
        <v>85</v>
      </c>
      <c r="H50" s="211" t="s">
        <v>71</v>
      </c>
      <c r="I50" s="341" t="s">
        <v>1099</v>
      </c>
      <c r="J50" s="342" t="s">
        <v>1100</v>
      </c>
    </row>
    <row r="51" spans="2:10">
      <c r="B51" s="600" t="s">
        <v>1125</v>
      </c>
      <c r="C51" s="224" t="e">
        <f>'AVSC1 limit-lossyG,lossyA,ra'!BO137:BO137</f>
        <v>#DIV/0!</v>
      </c>
      <c r="D51" s="586" t="e">
        <f>'AVSC1 limit-lossyG,lossyA,ra'!BP137:BP137</f>
        <v>#DIV/0!</v>
      </c>
      <c r="E51" s="325"/>
      <c r="F51" s="197"/>
      <c r="G51" s="197"/>
      <c r="H51" s="86" t="e">
        <f>'AVSC1 limit-lossyG,lossyA,ra'!BT137:BT137</f>
        <v>#DIV/0!</v>
      </c>
      <c r="I51" s="481" t="e">
        <f>'AVSC1 limit-lossyG,lossyA,ra'!AW143</f>
        <v>#DIV/0!</v>
      </c>
      <c r="J51" s="482" t="e">
        <f>'AVSC1 limit-lossyG,lossyA,ra'!AX143</f>
        <v>#DIV/0!</v>
      </c>
    </row>
    <row r="52" spans="2:10">
      <c r="B52" s="601" t="s">
        <v>1124</v>
      </c>
      <c r="C52" s="74" t="e">
        <f>'AVSC1 limit-lossyG,lossyA,ra'!BO$138:BO$138</f>
        <v>#DIV/0!</v>
      </c>
      <c r="D52" s="255" t="e">
        <f>'AVSC1 limit-lossyG,lossyA,ra'!BP$138:BP$138</f>
        <v>#DIV/0!</v>
      </c>
      <c r="E52" s="74" t="e">
        <f>'AVSC1 limit-lossyG,lossyA,ra'!BQ138:BQ138</f>
        <v>#DIV/0!</v>
      </c>
      <c r="F52" s="75" t="e">
        <f>'AVSC1 limit-lossyG,lossyA,ra'!BR138:BR138</f>
        <v>#DIV/0!</v>
      </c>
      <c r="G52" s="75" t="e">
        <f>'AVSC1 limit-lossyG,lossyA,ra'!BS138:BS138</f>
        <v>#DIV/0!</v>
      </c>
      <c r="H52" s="579"/>
      <c r="I52" s="483" t="e">
        <f>'AVSC1 limit-lossyG,lossyA,ra'!AW144</f>
        <v>#DIV/0!</v>
      </c>
      <c r="J52" s="484" t="e">
        <f>'AVSC1 limit-lossyG,lossyA,ra'!AX144</f>
        <v>#DIV/0!</v>
      </c>
    </row>
    <row r="53" spans="2:10">
      <c r="B53" s="602" t="s">
        <v>171</v>
      </c>
      <c r="C53" s="74" t="e">
        <f>'AVSC1 limit-lossyG,lossyA,ra'!BO$139:BO$139</f>
        <v>#DIV/0!</v>
      </c>
      <c r="D53" s="255" t="e">
        <f>'AVSC1 limit-lossyG,lossyA,ra'!BP$139:BP$139</f>
        <v>#DIV/0!</v>
      </c>
      <c r="E53" s="326"/>
      <c r="F53" s="322"/>
      <c r="G53" s="322"/>
      <c r="H53" s="76" t="e">
        <f>'AVSC1 limit-lossyG,lossyA,ra'!BT139:BT139</f>
        <v>#DIV/0!</v>
      </c>
      <c r="I53" s="483" t="e">
        <f>'AVSC1 limit-lossyG,lossyA,ra'!AW145</f>
        <v>#DIV/0!</v>
      </c>
      <c r="J53" s="484" t="e">
        <f>'AVSC1 limit-lossyG,lossyA,ra'!AX145</f>
        <v>#DIV/0!</v>
      </c>
    </row>
    <row r="54" spans="2:10" ht="14.25" thickBot="1">
      <c r="B54" s="603" t="s">
        <v>903</v>
      </c>
      <c r="C54" s="80" t="e">
        <f>'AVSC1 limit-lossyG,lossyA,ra'!BO$140:BO$140</f>
        <v>#DIV/0!</v>
      </c>
      <c r="D54" s="594" t="e">
        <f>'AVSC1 limit-lossyG,lossyA,ra'!BP$140:BP$140</f>
        <v>#DIV/0!</v>
      </c>
      <c r="E54" s="80" t="e">
        <f>'AVSC1 limit-lossyG,lossyA,ra'!BQ140:BQ140</f>
        <v>#DIV/0!</v>
      </c>
      <c r="F54" s="81" t="e">
        <f>'AVSC1 limit-lossyG,lossyA,ra'!BR140:BR140</f>
        <v>#DIV/0!</v>
      </c>
      <c r="G54" s="81" t="e">
        <f>'AVSC1 limit-lossyG,lossyA,ra'!BS140:BS140</f>
        <v>#DIV/0!</v>
      </c>
      <c r="H54" s="336"/>
      <c r="I54" s="580" t="e">
        <f>'AVSC1 limit-lossyG,lossyA,ra'!AW146</f>
        <v>#DIV/0!</v>
      </c>
      <c r="J54" s="581" t="e">
        <f>'AVSC1 limit-lossyG,lossyA,ra'!AX146</f>
        <v>#DIV/0!</v>
      </c>
    </row>
    <row r="55" spans="2:10">
      <c r="B55" s="604" t="s">
        <v>1158</v>
      </c>
      <c r="C55" s="224" t="e">
        <f>'AVSC1 limit-lossyG,lossyA,ra'!BO$141:BO$141</f>
        <v>#DIV/0!</v>
      </c>
      <c r="D55" s="586" t="e">
        <f>'AVSC1 limit-lossyG,lossyA,ra'!BP$141:BP$141</f>
        <v>#DIV/0!</v>
      </c>
      <c r="E55" s="325"/>
      <c r="F55" s="197"/>
      <c r="G55" s="197"/>
      <c r="H55" s="86" t="e">
        <f>'AVSC1 limit-lossyG,lossyA,ra'!BT141:BT141</f>
        <v>#DIV/0!</v>
      </c>
      <c r="I55" s="481" t="e">
        <f>'AVSC1 limit-lossyG,lossyA,ra'!AW147</f>
        <v>#DIV/0!</v>
      </c>
      <c r="J55" s="482" t="e">
        <f>'AVSC1 limit-lossyG,lossyA,ra'!AX147</f>
        <v>#DIV/0!</v>
      </c>
    </row>
    <row r="56" spans="2:10" ht="14.25" thickBot="1">
      <c r="B56" s="605" t="s">
        <v>137</v>
      </c>
      <c r="C56" s="77" t="e">
        <f>'AVSC1 limit-lossyG,lossyA,ra'!BO$142:BO$142</f>
        <v>#DIV/0!</v>
      </c>
      <c r="D56" s="256" t="e">
        <f>'AVSC1 limit-lossyG,lossyA,ra'!BP$142:BP$142</f>
        <v>#DIV/0!</v>
      </c>
      <c r="E56" s="77" t="e">
        <f>'AVSC1 limit-lossyG,lossyA,ra'!BQ142:BQ142</f>
        <v>#DIV/0!</v>
      </c>
      <c r="F56" s="78" t="e">
        <f>'AVSC1 limit-lossyG,lossyA,ra'!BR142:BR142</f>
        <v>#DIV/0!</v>
      </c>
      <c r="G56" s="78" t="e">
        <f>'AVSC1 limit-lossyG,lossyA,ra'!BS142:BS142</f>
        <v>#DIV/0!</v>
      </c>
      <c r="H56" s="79" t="e">
        <f>'AVSC1 limit-lossyG,lossyA,ra'!BT142:BT142</f>
        <v>#DIV/0!</v>
      </c>
      <c r="I56" s="485" t="e">
        <f>'AVSC1 limit-lossyG,lossyA,ra'!AW148</f>
        <v>#DIV/0!</v>
      </c>
      <c r="J56" s="486" t="e">
        <f>'AVSC1 limit-lossyG,lossyA,ra'!AX148</f>
        <v>#DIV/0!</v>
      </c>
    </row>
    <row r="57" spans="2:10" ht="14.25" thickBot="1"/>
    <row r="58" spans="2:10">
      <c r="B58" s="659" t="s">
        <v>1350</v>
      </c>
      <c r="C58" s="648" t="s">
        <v>1356</v>
      </c>
      <c r="D58" s="649"/>
      <c r="E58" s="649"/>
      <c r="F58" s="649"/>
      <c r="G58" s="650"/>
      <c r="H58" s="651"/>
    </row>
    <row r="59" spans="2:10">
      <c r="B59" s="660"/>
      <c r="C59" s="630" t="s">
        <v>121</v>
      </c>
      <c r="D59" s="631"/>
      <c r="E59" s="631"/>
      <c r="F59" s="632"/>
      <c r="G59" s="643" t="s">
        <v>1098</v>
      </c>
      <c r="H59" s="644"/>
    </row>
    <row r="60" spans="2:10" ht="14.25" thickBot="1">
      <c r="B60" s="661"/>
      <c r="C60" s="343" t="s">
        <v>81</v>
      </c>
      <c r="D60" s="195" t="s">
        <v>83</v>
      </c>
      <c r="E60" s="195" t="s">
        <v>85</v>
      </c>
      <c r="F60" s="196" t="s">
        <v>71</v>
      </c>
      <c r="G60" s="341" t="s">
        <v>1099</v>
      </c>
      <c r="H60" s="342" t="s">
        <v>1100</v>
      </c>
    </row>
    <row r="61" spans="2:10">
      <c r="B61" s="600" t="s">
        <v>1125</v>
      </c>
      <c r="C61" s="325"/>
      <c r="D61" s="197"/>
      <c r="E61" s="197"/>
      <c r="F61" s="198" t="e">
        <f>'AVSC2 losslG,lossyA,ra'!BL137:BL137</f>
        <v>#DIV/0!</v>
      </c>
      <c r="G61" s="481" t="e">
        <f>'AVSC2 losslG,lossyA,ra'!AS143</f>
        <v>#DIV/0!</v>
      </c>
      <c r="H61" s="482" t="e">
        <f>'AVSC2 losslG,lossyA,ra'!AT143</f>
        <v>#DIV/0!</v>
      </c>
    </row>
    <row r="62" spans="2:10">
      <c r="B62" s="601" t="s">
        <v>1124</v>
      </c>
      <c r="C62" s="556" t="e">
        <f>'AVSC2 losslG,lossyA,ra'!BI138:BI138</f>
        <v>#DIV/0!</v>
      </c>
      <c r="D62" s="557" t="e">
        <f>'AVSC2 losslG,lossyA,ra'!BJ138:BJ138</f>
        <v>#DIV/0!</v>
      </c>
      <c r="E62" s="557" t="e">
        <f>'AVSC2 losslG,lossyA,ra'!BK138:BK138</f>
        <v>#DIV/0!</v>
      </c>
      <c r="F62" s="579"/>
      <c r="G62" s="483" t="e">
        <f>'AVSC2 losslG,lossyA,ra'!AS144</f>
        <v>#DIV/0!</v>
      </c>
      <c r="H62" s="484" t="e">
        <f>'AVSC2 losslG,lossyA,ra'!AT144</f>
        <v>#DIV/0!</v>
      </c>
    </row>
    <row r="63" spans="2:10">
      <c r="B63" s="611" t="s">
        <v>171</v>
      </c>
      <c r="C63" s="326"/>
      <c r="D63" s="322"/>
      <c r="E63" s="322"/>
      <c r="F63" s="323" t="e">
        <f>'AVSC2 losslG,lossyA,ra'!BL139:BL139</f>
        <v>#DIV/0!</v>
      </c>
      <c r="G63" s="483" t="e">
        <f>'AVSC2 losslG,lossyA,ra'!AS145</f>
        <v>#DIV/0!</v>
      </c>
      <c r="H63" s="484" t="e">
        <f>'AVSC2 losslG,lossyA,ra'!AT145</f>
        <v>#DIV/0!</v>
      </c>
    </row>
    <row r="64" spans="2:10" ht="14.25" thickBot="1">
      <c r="B64" s="603" t="s">
        <v>903</v>
      </c>
      <c r="C64" s="348" t="e">
        <f>'AVSC2 losslG,lossyA,ra'!BI140:BI140</f>
        <v>#DIV/0!</v>
      </c>
      <c r="D64" s="331" t="e">
        <f>'AVSC2 losslG,lossyA,ra'!BJ140:BJ140</f>
        <v>#DIV/0!</v>
      </c>
      <c r="E64" s="331" t="e">
        <f>'AVSC2 losslG,lossyA,ra'!BK140:BK140</f>
        <v>#DIV/0!</v>
      </c>
      <c r="F64" s="336"/>
      <c r="G64" s="485" t="e">
        <f>'AVSC2 losslG,lossyA,ra'!AS146</f>
        <v>#DIV/0!</v>
      </c>
      <c r="H64" s="486" t="e">
        <f>'AVSC2 losslG,lossyA,ra'!AT146</f>
        <v>#DIV/0!</v>
      </c>
    </row>
    <row r="65" spans="2:8">
      <c r="B65" s="612" t="s">
        <v>1126</v>
      </c>
      <c r="C65" s="325" t="s">
        <v>1101</v>
      </c>
      <c r="D65" s="197"/>
      <c r="E65" s="197"/>
      <c r="F65" s="198" t="e">
        <f>'AVSC2 losslG,lossyA,ra'!BL141:BL141</f>
        <v>#DIV/0!</v>
      </c>
      <c r="G65" s="481" t="e">
        <f>'AVSC2 losslG,lossyA,ra'!AS147</f>
        <v>#DIV/0!</v>
      </c>
      <c r="H65" s="482" t="e">
        <f>'AVSC2 losslG,lossyA,ra'!AT147</f>
        <v>#DIV/0!</v>
      </c>
    </row>
    <row r="66" spans="2:8" ht="14.25" thickBot="1">
      <c r="B66" s="613" t="s">
        <v>137</v>
      </c>
      <c r="C66" s="330" t="e">
        <f>'AVSC2 losslG,lossyA,ra'!BI142:BI142</f>
        <v>#DIV/0!</v>
      </c>
      <c r="D66" s="324" t="e">
        <f>'AVSC2 losslG,lossyA,ra'!BJ142:BJ142</f>
        <v>#DIV/0!</v>
      </c>
      <c r="E66" s="324" t="e">
        <f>'AVSC2 losslG,lossyA,ra'!BK142:BK142</f>
        <v>#DIV/0!</v>
      </c>
      <c r="F66" s="199" t="e">
        <f>'AVSC2 losslG,lossyA,ra'!BL142:BL142</f>
        <v>#DIV/0!</v>
      </c>
      <c r="G66" s="485" t="e">
        <f>'AVSC2 losslG,lossyA,ra'!AS148</f>
        <v>#DIV/0!</v>
      </c>
      <c r="H66" s="486" t="e">
        <f>'AVSC2 losslG,lossyA,ra'!AT148</f>
        <v>#DIV/0!</v>
      </c>
    </row>
    <row r="67" spans="2:8" ht="14.25" thickBot="1"/>
    <row r="68" spans="2:8">
      <c r="B68" s="656" t="s">
        <v>1351</v>
      </c>
      <c r="C68" s="654" t="s">
        <v>1354</v>
      </c>
      <c r="D68" s="655"/>
      <c r="E68" s="655"/>
      <c r="F68" s="655"/>
      <c r="G68" s="650"/>
      <c r="H68" s="651"/>
    </row>
    <row r="69" spans="2:8">
      <c r="B69" s="657"/>
      <c r="C69" s="645" t="s">
        <v>160</v>
      </c>
      <c r="D69" s="637"/>
      <c r="E69" s="637"/>
      <c r="F69" s="646"/>
      <c r="G69" s="652" t="s">
        <v>1098</v>
      </c>
      <c r="H69" s="653"/>
    </row>
    <row r="70" spans="2:8" ht="14.25" thickBot="1">
      <c r="B70" s="662"/>
      <c r="C70" s="203" t="s">
        <v>81</v>
      </c>
      <c r="D70" s="245" t="s">
        <v>83</v>
      </c>
      <c r="E70" s="245" t="s">
        <v>85</v>
      </c>
      <c r="F70" s="246" t="s">
        <v>71</v>
      </c>
      <c r="G70" s="341" t="s">
        <v>1099</v>
      </c>
      <c r="H70" s="342" t="s">
        <v>1100</v>
      </c>
    </row>
    <row r="71" spans="2:8">
      <c r="B71" s="608" t="s">
        <v>1125</v>
      </c>
      <c r="C71" s="325"/>
      <c r="D71" s="197"/>
      <c r="E71" s="197"/>
      <c r="F71" s="86" t="e">
        <f>'AVSC3 losslG,limit-lossyA,ra'!CD115:CD115</f>
        <v>#DIV/0!</v>
      </c>
      <c r="G71" s="481" t="e">
        <f>'AVSC3 losslG,limit-lossyA,ra'!BA121</f>
        <v>#DIV/0!</v>
      </c>
      <c r="H71" s="482" t="e">
        <f>'AVSC3 losslG,limit-lossyA,ra'!BB121</f>
        <v>#DIV/0!</v>
      </c>
    </row>
    <row r="72" spans="2:8">
      <c r="B72" s="609" t="s">
        <v>1124</v>
      </c>
      <c r="C72" s="74" t="e">
        <f>'AVSC3 losslG,limit-lossyA,ra'!CA116:CA116</f>
        <v>#DIV/0!</v>
      </c>
      <c r="D72" s="75" t="e">
        <f>'AVSC3 losslG,limit-lossyA,ra'!CB116:CB116</f>
        <v>#DIV/0!</v>
      </c>
      <c r="E72" s="75" t="e">
        <f>'AVSC3 losslG,limit-lossyA,ra'!CC116:CC116</f>
        <v>#DIV/0!</v>
      </c>
      <c r="F72" s="579"/>
      <c r="G72" s="483" t="e">
        <f>'AVSC3 losslG,limit-lossyA,ra'!BA122</f>
        <v>#DIV/0!</v>
      </c>
      <c r="H72" s="484" t="e">
        <f>'AVSC3 losslG,limit-lossyA,ra'!BB122</f>
        <v>#DIV/0!</v>
      </c>
    </row>
    <row r="73" spans="2:8">
      <c r="B73" s="609" t="s">
        <v>175</v>
      </c>
      <c r="C73" s="326"/>
      <c r="D73" s="322"/>
      <c r="E73" s="322"/>
      <c r="F73" s="76" t="e">
        <f>'AVSC3 losslG,limit-lossyA,ra'!CD117:CD117</f>
        <v>#DIV/0!</v>
      </c>
      <c r="G73" s="483" t="e">
        <f>'AVSC3 losslG,limit-lossyA,ra'!BA123</f>
        <v>#DIV/0!</v>
      </c>
      <c r="H73" s="484" t="e">
        <f>'AVSC3 losslG,limit-lossyA,ra'!BB123</f>
        <v>#DIV/0!</v>
      </c>
    </row>
    <row r="74" spans="2:8" ht="14.25" thickBot="1">
      <c r="B74" s="609" t="s">
        <v>903</v>
      </c>
      <c r="C74" s="80" t="e">
        <f>'AVSC3 losslG,limit-lossyA,ra'!CA118:CA118</f>
        <v>#DIV/0!</v>
      </c>
      <c r="D74" s="81" t="e">
        <f>'AVSC3 losslG,limit-lossyA,ra'!CB118:CB118</f>
        <v>#DIV/0!</v>
      </c>
      <c r="E74" s="81" t="e">
        <f>'AVSC3 losslG,limit-lossyA,ra'!CC118:CC118</f>
        <v>#DIV/0!</v>
      </c>
      <c r="F74" s="336"/>
      <c r="G74" s="485" t="e">
        <f>'AVSC3 losslG,limit-lossyA,ra'!BA124</f>
        <v>#DIV/0!</v>
      </c>
      <c r="H74" s="486" t="e">
        <f>'AVSC3 losslG,limit-lossyA,ra'!BB124</f>
        <v>#DIV/0!</v>
      </c>
    </row>
    <row r="75" spans="2:8">
      <c r="B75" s="604" t="s">
        <v>1126</v>
      </c>
      <c r="C75" s="325" t="s">
        <v>1101</v>
      </c>
      <c r="D75" s="197"/>
      <c r="E75" s="197"/>
      <c r="F75" s="86" t="e">
        <f>'AVSC3 losslG,limit-lossyA,ra'!CD119:CD119</f>
        <v>#DIV/0!</v>
      </c>
      <c r="G75" s="481" t="e">
        <f>'AVSC3 losslG,limit-lossyA,ra'!BA125</f>
        <v>#DIV/0!</v>
      </c>
      <c r="H75" s="482" t="e">
        <f>'AVSC3 losslG,limit-lossyA,ra'!BB125</f>
        <v>#DIV/0!</v>
      </c>
    </row>
    <row r="76" spans="2:8" ht="14.25" thickBot="1">
      <c r="B76" s="605" t="s">
        <v>1002</v>
      </c>
      <c r="C76" s="77" t="e">
        <f>'AVSC3 losslG,limit-lossyA,ra'!CA120:CA120</f>
        <v>#DIV/0!</v>
      </c>
      <c r="D76" s="78" t="e">
        <f>'AVSC3 losslG,limit-lossyA,ra'!CB120:CB120</f>
        <v>#DIV/0!</v>
      </c>
      <c r="E76" s="78" t="e">
        <f>'AVSC3 losslG,limit-lossyA,ra'!CC120:CC120</f>
        <v>#DIV/0!</v>
      </c>
      <c r="F76" s="79" t="e">
        <f>'AVSC3 losslG,limit-lossyA,ra'!CD120:CD120</f>
        <v>#DIV/0!</v>
      </c>
      <c r="G76" s="485" t="e">
        <f>'AVSC3 losslG,limit-lossyA,ra'!BA126</f>
        <v>#DIV/0!</v>
      </c>
      <c r="H76" s="486" t="e">
        <f>'AVSC3 losslG,limit-lossyA,ra'!BB126</f>
        <v>#DIV/0!</v>
      </c>
    </row>
    <row r="77" spans="2:8" ht="14.25" thickBot="1"/>
    <row r="78" spans="2:8">
      <c r="B78" s="659" t="s">
        <v>187</v>
      </c>
      <c r="C78" s="648" t="s">
        <v>1355</v>
      </c>
      <c r="D78" s="649"/>
      <c r="E78" s="649"/>
      <c r="F78" s="649"/>
      <c r="G78" s="650"/>
      <c r="H78" s="651"/>
    </row>
    <row r="79" spans="2:8">
      <c r="B79" s="660"/>
      <c r="C79" s="647" t="s">
        <v>146</v>
      </c>
      <c r="D79" s="631"/>
      <c r="E79" s="631"/>
      <c r="F79" s="632"/>
      <c r="G79" s="652" t="s">
        <v>1098</v>
      </c>
      <c r="H79" s="653"/>
    </row>
    <row r="80" spans="2:8" ht="14.25" thickBot="1">
      <c r="B80" s="661"/>
      <c r="C80" s="577" t="s">
        <v>65</v>
      </c>
      <c r="D80" s="577" t="s">
        <v>67</v>
      </c>
      <c r="E80" s="343" t="s">
        <v>78</v>
      </c>
      <c r="F80" s="196" t="s">
        <v>71</v>
      </c>
      <c r="G80" s="341" t="s">
        <v>1099</v>
      </c>
      <c r="H80" s="342" t="s">
        <v>1100</v>
      </c>
    </row>
    <row r="81" spans="2:8">
      <c r="B81" s="608" t="s">
        <v>1125</v>
      </c>
      <c r="C81" s="224" t="e">
        <f>'AVSC4 losslG,losslA,ra'!AR27</f>
        <v>#DIV/0!</v>
      </c>
      <c r="D81" s="225" t="e">
        <f>'AVSC4 losslG,losslA,ra'!AS27</f>
        <v>#DIV/0!</v>
      </c>
      <c r="E81" s="197"/>
      <c r="F81" s="586" t="e">
        <f>'AVSC4 losslG,losslA,ra'!AU27</f>
        <v>#DIV/0!</v>
      </c>
      <c r="G81" s="481" t="e">
        <f>'AVSC4 losslG,losslA,ra'!AL33</f>
        <v>#DIV/0!</v>
      </c>
      <c r="H81" s="482" t="e">
        <f>'AVSC4 losslG,losslA,ra'!AM33</f>
        <v>#DIV/0!</v>
      </c>
    </row>
    <row r="82" spans="2:8">
      <c r="B82" s="609" t="s">
        <v>1124</v>
      </c>
      <c r="C82" s="74" t="e">
        <f>'AVSC4 losslG,losslA,ra'!AR28</f>
        <v>#DIV/0!</v>
      </c>
      <c r="D82" s="75" t="e">
        <f>'AVSC4 losslG,losslA,ra'!AS28</f>
        <v>#DIV/0!</v>
      </c>
      <c r="E82" s="75" t="e">
        <f>'AVSC4 losslG,losslA,ra'!AT28</f>
        <v>#DIV/0!</v>
      </c>
      <c r="F82" s="587"/>
      <c r="G82" s="483" t="e">
        <f>'AVSC4 losslG,losslA,ra'!AL34</f>
        <v>#DIV/0!</v>
      </c>
      <c r="H82" s="484" t="e">
        <f>'AVSC4 losslG,losslA,ra'!AM34</f>
        <v>#DIV/0!</v>
      </c>
    </row>
    <row r="83" spans="2:8">
      <c r="B83" s="609" t="s">
        <v>171</v>
      </c>
      <c r="C83" s="74" t="e">
        <f>'AVSC4 losslG,losslA,ra'!AR29</f>
        <v>#DIV/0!</v>
      </c>
      <c r="D83" s="75" t="e">
        <f>'AVSC4 losslG,losslA,ra'!AS29</f>
        <v>#DIV/0!</v>
      </c>
      <c r="E83" s="322"/>
      <c r="F83" s="255" t="e">
        <f>'AVSC4 losslG,losslA,ra'!AU29</f>
        <v>#DIV/0!</v>
      </c>
      <c r="G83" s="483" t="e">
        <f>'AVSC4 losslG,losslA,ra'!AL35</f>
        <v>#DIV/0!</v>
      </c>
      <c r="H83" s="484" t="e">
        <f>'AVSC4 losslG,losslA,ra'!AM35</f>
        <v>#DIV/0!</v>
      </c>
    </row>
    <row r="84" spans="2:8" ht="14.25" thickBot="1">
      <c r="B84" s="609" t="s">
        <v>903</v>
      </c>
      <c r="C84" s="80" t="e">
        <f>'AVSC4 losslG,losslA,ra'!AR30</f>
        <v>#DIV/0!</v>
      </c>
      <c r="D84" s="81" t="e">
        <f>'AVSC4 losslG,losslA,ra'!AS30</f>
        <v>#DIV/0!</v>
      </c>
      <c r="E84" s="81" t="e">
        <f>'AVSC4 losslG,losslA,ra'!AT30</f>
        <v>#DIV/0!</v>
      </c>
      <c r="F84" s="588"/>
      <c r="G84" s="580" t="e">
        <f>'AVSC4 losslG,losslA,ra'!AL36</f>
        <v>#DIV/0!</v>
      </c>
      <c r="H84" s="581" t="e">
        <f>'AVSC4 losslG,losslA,ra'!AM36</f>
        <v>#DIV/0!</v>
      </c>
    </row>
    <row r="85" spans="2:8">
      <c r="B85" s="604" t="s">
        <v>1126</v>
      </c>
      <c r="C85" s="224" t="e">
        <f>'AVSC4 losslG,losslA,ra'!AR31</f>
        <v>#DIV/0!</v>
      </c>
      <c r="D85" s="225" t="e">
        <f>'AVSC4 losslG,losslA,ra'!AS31</f>
        <v>#DIV/0!</v>
      </c>
      <c r="E85" s="197"/>
      <c r="F85" s="586" t="e">
        <f>'AVSC4 losslG,losslA,ra'!AU31</f>
        <v>#DIV/0!</v>
      </c>
      <c r="G85" s="481" t="e">
        <f>'AVSC4 losslG,losslA,ra'!AL37</f>
        <v>#DIV/0!</v>
      </c>
      <c r="H85" s="482" t="e">
        <f>'AVSC4 losslG,losslA,ra'!AM37</f>
        <v>#DIV/0!</v>
      </c>
    </row>
    <row r="86" spans="2:8" ht="14.25" thickBot="1">
      <c r="B86" s="605" t="s">
        <v>137</v>
      </c>
      <c r="C86" s="77" t="e">
        <f>'AVSC4 losslG,losslA,ra'!AR32</f>
        <v>#DIV/0!</v>
      </c>
      <c r="D86" s="78" t="e">
        <f>'AVSC4 losslG,losslA,ra'!AS32</f>
        <v>#DIV/0!</v>
      </c>
      <c r="E86" s="78" t="e">
        <f>'AVSC4 losslG,losslA,ra'!AT32</f>
        <v>#DIV/0!</v>
      </c>
      <c r="F86" s="256" t="e">
        <f>'AVSC4 losslG,losslA,ra'!AU32</f>
        <v>#DIV/0!</v>
      </c>
      <c r="G86" s="485" t="e">
        <f>'AVSC4 losslG,losslA,ra'!AL38</f>
        <v>#DIV/0!</v>
      </c>
      <c r="H86" s="486" t="e">
        <f>'AVSC4 losslG,losslA,ra'!AM38</f>
        <v>#DIV/0!</v>
      </c>
    </row>
  </sheetData>
  <mergeCells count="36">
    <mergeCell ref="B78:B80"/>
    <mergeCell ref="C78:H78"/>
    <mergeCell ref="C79:F79"/>
    <mergeCell ref="G79:H79"/>
    <mergeCell ref="B58:B60"/>
    <mergeCell ref="C58:H58"/>
    <mergeCell ref="C59:F59"/>
    <mergeCell ref="G59:H59"/>
    <mergeCell ref="B68:B70"/>
    <mergeCell ref="C68:H68"/>
    <mergeCell ref="C69:F69"/>
    <mergeCell ref="G69:H69"/>
    <mergeCell ref="B36:B38"/>
    <mergeCell ref="C36:H36"/>
    <mergeCell ref="C37:F37"/>
    <mergeCell ref="G37:H37"/>
    <mergeCell ref="B48:B50"/>
    <mergeCell ref="C48:J48"/>
    <mergeCell ref="C49:D49"/>
    <mergeCell ref="E49:H49"/>
    <mergeCell ref="I49:J49"/>
    <mergeCell ref="B16:B18"/>
    <mergeCell ref="C16:H16"/>
    <mergeCell ref="C17:F17"/>
    <mergeCell ref="G17:H17"/>
    <mergeCell ref="B26:B28"/>
    <mergeCell ref="C26:H26"/>
    <mergeCell ref="C27:F27"/>
    <mergeCell ref="G27:H27"/>
    <mergeCell ref="C1:E1"/>
    <mergeCell ref="C2:E2"/>
    <mergeCell ref="B6:B8"/>
    <mergeCell ref="C6:J6"/>
    <mergeCell ref="C7:D7"/>
    <mergeCell ref="E7:H7"/>
    <mergeCell ref="I7:J7"/>
  </mergeCells>
  <phoneticPr fontId="2" type="noConversion"/>
  <conditionalFormatting sqref="I9:J14">
    <cfRule type="cellIs" dxfId="5564" priority="101" operator="greaterThanOrEqual">
      <formula>1.1</formula>
    </cfRule>
    <cfRule type="cellIs" dxfId="5563" priority="102" operator="lessThanOrEqual">
      <formula>0.9</formula>
    </cfRule>
  </conditionalFormatting>
  <conditionalFormatting sqref="G19:H24">
    <cfRule type="cellIs" dxfId="5562" priority="99" operator="greaterThanOrEqual">
      <formula>1.1</formula>
    </cfRule>
    <cfRule type="cellIs" dxfId="5561" priority="100" operator="lessThanOrEqual">
      <formula>0.9</formula>
    </cfRule>
  </conditionalFormatting>
  <conditionalFormatting sqref="G29:H34">
    <cfRule type="cellIs" dxfId="5560" priority="81" operator="greaterThanOrEqual">
      <formula>1.1</formula>
    </cfRule>
    <cfRule type="cellIs" dxfId="5559" priority="82" operator="lessThanOrEqual">
      <formula>0.9</formula>
    </cfRule>
  </conditionalFormatting>
  <conditionalFormatting sqref="G39:H44">
    <cfRule type="cellIs" dxfId="5558" priority="79" operator="greaterThanOrEqual">
      <formula>1.1</formula>
    </cfRule>
    <cfRule type="cellIs" dxfId="5557" priority="80" operator="lessThanOrEqual">
      <formula>0.9</formula>
    </cfRule>
  </conditionalFormatting>
  <conditionalFormatting sqref="I51:J56">
    <cfRule type="cellIs" dxfId="5556" priority="71" operator="greaterThanOrEqual">
      <formula>1.1</formula>
    </cfRule>
    <cfRule type="cellIs" dxfId="5555" priority="72" operator="lessThanOrEqual">
      <formula>0.9</formula>
    </cfRule>
  </conditionalFormatting>
  <conditionalFormatting sqref="F61 C64:E64 F63 C66:F66">
    <cfRule type="cellIs" dxfId="5554" priority="69" operator="greaterThanOrEqual">
      <formula>0.03</formula>
    </cfRule>
    <cfRule type="cellIs" dxfId="5553" priority="70" operator="lessThanOrEqual">
      <formula>-0.03</formula>
    </cfRule>
  </conditionalFormatting>
  <conditionalFormatting sqref="G61:H66">
    <cfRule type="cellIs" dxfId="5552" priority="67" operator="greaterThanOrEqual">
      <formula>1.1</formula>
    </cfRule>
    <cfRule type="cellIs" dxfId="5551" priority="68" operator="lessThanOrEqual">
      <formula>0.9</formula>
    </cfRule>
  </conditionalFormatting>
  <conditionalFormatting sqref="F71 F73 C74:E74 C76:F76">
    <cfRule type="cellIs" dxfId="5550" priority="57" operator="greaterThanOrEqual">
      <formula>0.03</formula>
    </cfRule>
    <cfRule type="cellIs" dxfId="5549" priority="58" operator="lessThanOrEqual">
      <formula>-0.03</formula>
    </cfRule>
  </conditionalFormatting>
  <conditionalFormatting sqref="G71:H76">
    <cfRule type="cellIs" dxfId="5548" priority="55" operator="greaterThanOrEqual">
      <formula>1.1</formula>
    </cfRule>
    <cfRule type="cellIs" dxfId="5547" priority="56" operator="lessThanOrEqual">
      <formula>0.9</formula>
    </cfRule>
  </conditionalFormatting>
  <conditionalFormatting sqref="C9:H14">
    <cfRule type="cellIs" dxfId="5546" priority="31" operator="greaterThanOrEqual">
      <formula>0.03</formula>
    </cfRule>
    <cfRule type="cellIs" dxfId="5545" priority="32" operator="lessThanOrEqual">
      <formula>-0.03</formula>
    </cfRule>
  </conditionalFormatting>
  <conditionalFormatting sqref="C19:F24">
    <cfRule type="cellIs" dxfId="5544" priority="29" operator="greaterThanOrEqual">
      <formula>0.03</formula>
    </cfRule>
    <cfRule type="cellIs" dxfId="5543" priority="30" operator="lessThanOrEqual">
      <formula>-0.03</formula>
    </cfRule>
  </conditionalFormatting>
  <conditionalFormatting sqref="C29:F34">
    <cfRule type="cellIs" dxfId="5542" priority="27" operator="greaterThanOrEqual">
      <formula>0.03</formula>
    </cfRule>
    <cfRule type="cellIs" dxfId="5541" priority="28" operator="lessThanOrEqual">
      <formula>-0.03</formula>
    </cfRule>
  </conditionalFormatting>
  <conditionalFormatting sqref="C39:F44">
    <cfRule type="cellIs" dxfId="5540" priority="25" operator="greaterThanOrEqual">
      <formula>1.03</formula>
    </cfRule>
    <cfRule type="cellIs" dxfId="5539" priority="26" operator="lessThanOrEqual">
      <formula>0.97</formula>
    </cfRule>
  </conditionalFormatting>
  <conditionalFormatting sqref="C51:H56">
    <cfRule type="cellIs" dxfId="5538" priority="21" operator="greaterThanOrEqual">
      <formula>0.03</formula>
    </cfRule>
    <cfRule type="cellIs" dxfId="5537" priority="22" operator="lessThanOrEqual">
      <formula>-0.03</formula>
    </cfRule>
  </conditionalFormatting>
  <conditionalFormatting sqref="E62">
    <cfRule type="cellIs" dxfId="5536" priority="19" operator="greaterThanOrEqual">
      <formula>0.03</formula>
    </cfRule>
    <cfRule type="cellIs" dxfId="5535" priority="20" operator="lessThanOrEqual">
      <formula>-0.03</formula>
    </cfRule>
  </conditionalFormatting>
  <conditionalFormatting sqref="D62">
    <cfRule type="cellIs" dxfId="5534" priority="17" operator="greaterThanOrEqual">
      <formula>0.03</formula>
    </cfRule>
    <cfRule type="cellIs" dxfId="5533" priority="18" operator="lessThanOrEqual">
      <formula>-0.03</formula>
    </cfRule>
  </conditionalFormatting>
  <conditionalFormatting sqref="C62">
    <cfRule type="cellIs" dxfId="5532" priority="15" operator="greaterThanOrEqual">
      <formula>0.03</formula>
    </cfRule>
    <cfRule type="cellIs" dxfId="5531" priority="16" operator="lessThanOrEqual">
      <formula>-0.03</formula>
    </cfRule>
  </conditionalFormatting>
  <conditionalFormatting sqref="F65">
    <cfRule type="cellIs" dxfId="5530" priority="13" operator="greaterThanOrEqual">
      <formula>0.03</formula>
    </cfRule>
    <cfRule type="cellIs" dxfId="5529" priority="14" operator="lessThanOrEqual">
      <formula>-0.03</formula>
    </cfRule>
  </conditionalFormatting>
  <conditionalFormatting sqref="E72">
    <cfRule type="cellIs" dxfId="5528" priority="11" operator="greaterThanOrEqual">
      <formula>0.03</formula>
    </cfRule>
    <cfRule type="cellIs" dxfId="5527" priority="12" operator="lessThanOrEqual">
      <formula>-0.03</formula>
    </cfRule>
  </conditionalFormatting>
  <conditionalFormatting sqref="D72">
    <cfRule type="cellIs" dxfId="5526" priority="9" operator="greaterThanOrEqual">
      <formula>0.03</formula>
    </cfRule>
    <cfRule type="cellIs" dxfId="5525" priority="10" operator="lessThanOrEqual">
      <formula>-0.03</formula>
    </cfRule>
  </conditionalFormatting>
  <conditionalFormatting sqref="C72">
    <cfRule type="cellIs" dxfId="5524" priority="7" operator="greaterThanOrEqual">
      <formula>0.03</formula>
    </cfRule>
    <cfRule type="cellIs" dxfId="5523" priority="8" operator="lessThanOrEqual">
      <formula>-0.03</formula>
    </cfRule>
  </conditionalFormatting>
  <conditionalFormatting sqref="F75">
    <cfRule type="cellIs" dxfId="5522" priority="5" operator="greaterThanOrEqual">
      <formula>0.03</formula>
    </cfRule>
    <cfRule type="cellIs" dxfId="5521" priority="6" operator="lessThanOrEqual">
      <formula>-0.03</formula>
    </cfRule>
  </conditionalFormatting>
  <conditionalFormatting sqref="G81:H86">
    <cfRule type="cellIs" dxfId="5520" priority="3" operator="greaterThanOrEqual">
      <formula>1.1</formula>
    </cfRule>
    <cfRule type="cellIs" dxfId="5519" priority="4" operator="lessThanOrEqual">
      <formula>0.9</formula>
    </cfRule>
  </conditionalFormatting>
  <conditionalFormatting sqref="C81:F86">
    <cfRule type="cellIs" dxfId="5518" priority="1" operator="greaterThanOrEqual">
      <formula>1.03</formula>
    </cfRule>
    <cfRule type="cellIs" dxfId="5517" priority="2" operator="lessThanOrEqual">
      <formula>0.97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33"/>
  <sheetViews>
    <sheetView topLeftCell="A8" workbookViewId="0">
      <selection activeCell="E60" sqref="E60"/>
    </sheetView>
  </sheetViews>
  <sheetFormatPr defaultColWidth="8.875" defaultRowHeight="13.5"/>
  <cols>
    <col min="2" max="2" width="26" bestFit="1" customWidth="1"/>
    <col min="3" max="8" width="15.875" customWidth="1"/>
    <col min="9" max="10" width="12.875" bestFit="1" customWidth="1"/>
  </cols>
  <sheetData>
    <row r="1" spans="1:10" ht="14.45" customHeight="1">
      <c r="A1" s="1"/>
      <c r="B1" s="191" t="s">
        <v>0</v>
      </c>
      <c r="C1" s="683" t="str">
        <f>Summary!C1</f>
        <v>pcrm-dev-3.2-attr-ccp</v>
      </c>
      <c r="D1" s="684"/>
      <c r="E1" s="685"/>
      <c r="F1" s="1"/>
      <c r="G1" s="1"/>
      <c r="H1" s="1"/>
    </row>
    <row r="2" spans="1:10" ht="15" customHeight="1" thickBot="1">
      <c r="A2" s="1"/>
      <c r="B2" s="192" t="s">
        <v>1</v>
      </c>
      <c r="C2" s="686" t="str">
        <f>Summary!C2</f>
        <v>pcrm-dev-3.3-attr-cache-impr</v>
      </c>
      <c r="D2" s="687"/>
      <c r="E2" s="688"/>
      <c r="F2" s="377" t="s">
        <v>973</v>
      </c>
      <c r="G2" s="1"/>
      <c r="H2" s="1"/>
    </row>
    <row r="3" spans="1:10" ht="14.25" thickBot="1">
      <c r="A3" s="1"/>
      <c r="B3" s="1"/>
      <c r="C3" s="1"/>
      <c r="D3" s="1"/>
      <c r="E3" s="1"/>
      <c r="F3" s="1"/>
      <c r="G3" s="1"/>
      <c r="H3" s="1"/>
    </row>
    <row r="4" spans="1:10" ht="14.45" customHeight="1" thickBot="1">
      <c r="A4" s="378"/>
      <c r="B4" s="663" t="s">
        <v>169</v>
      </c>
      <c r="C4" s="671" t="s">
        <v>913</v>
      </c>
      <c r="D4" s="672"/>
      <c r="E4" s="672"/>
      <c r="F4" s="672"/>
      <c r="G4" s="672"/>
      <c r="H4" s="672"/>
      <c r="I4" s="672"/>
      <c r="J4" s="673"/>
    </row>
    <row r="5" spans="1:10" ht="14.45" customHeight="1">
      <c r="A5" s="204"/>
      <c r="B5" s="664"/>
      <c r="C5" s="666" t="s">
        <v>483</v>
      </c>
      <c r="D5" s="668"/>
      <c r="E5" s="666" t="s">
        <v>482</v>
      </c>
      <c r="F5" s="667"/>
      <c r="G5" s="667"/>
      <c r="H5" s="668"/>
      <c r="I5" s="669" t="s">
        <v>1098</v>
      </c>
      <c r="J5" s="670"/>
    </row>
    <row r="6" spans="1:10" ht="14.25" thickBot="1">
      <c r="A6" s="204"/>
      <c r="B6" s="665"/>
      <c r="C6" s="210" t="s">
        <v>186</v>
      </c>
      <c r="D6" s="282" t="s">
        <v>964</v>
      </c>
      <c r="E6" s="283" t="s">
        <v>81</v>
      </c>
      <c r="F6" s="210" t="s">
        <v>83</v>
      </c>
      <c r="G6" s="210" t="s">
        <v>85</v>
      </c>
      <c r="H6" s="211" t="s">
        <v>71</v>
      </c>
      <c r="I6" s="341" t="s">
        <v>1099</v>
      </c>
      <c r="J6" s="342" t="s">
        <v>1100</v>
      </c>
    </row>
    <row r="7" spans="1:10">
      <c r="A7" s="379" t="s">
        <v>1154</v>
      </c>
      <c r="B7" s="380" t="s">
        <v>983</v>
      </c>
      <c r="C7" s="381">
        <f>'AVSC1 limit-lossyG,lossyA,intra'!BH5</f>
        <v>0</v>
      </c>
      <c r="D7" s="382">
        <f>'AVSC1 limit-lossyG,lossyA,intra'!BI5</f>
        <v>0</v>
      </c>
      <c r="E7" s="425"/>
      <c r="F7" s="426"/>
      <c r="G7" s="427"/>
      <c r="H7" s="383">
        <f>'AVSC1 limit-lossyG,lossyA,intra'!BM5</f>
        <v>0</v>
      </c>
      <c r="I7" s="569"/>
      <c r="J7" s="427"/>
    </row>
    <row r="8" spans="1:10">
      <c r="A8" s="384"/>
      <c r="B8" s="385" t="s">
        <v>984</v>
      </c>
      <c r="C8" s="386">
        <f>'AVSC1 limit-lossyG,lossyA,intra'!BH11</f>
        <v>0</v>
      </c>
      <c r="D8" s="387">
        <f>'AVSC1 limit-lossyG,lossyA,intra'!BI11</f>
        <v>0</v>
      </c>
      <c r="E8" s="428"/>
      <c r="F8" s="564"/>
      <c r="G8" s="430"/>
      <c r="H8" s="388">
        <f>'AVSC1 limit-lossyG,lossyA,intra'!BM11</f>
        <v>0</v>
      </c>
      <c r="I8" s="570"/>
      <c r="J8" s="430"/>
    </row>
    <row r="9" spans="1:10">
      <c r="A9" s="384"/>
      <c r="B9" s="385" t="s">
        <v>985</v>
      </c>
      <c r="C9" s="386">
        <f>'AVSC1 limit-lossyG,lossyA,intra'!BH17</f>
        <v>0</v>
      </c>
      <c r="D9" s="387">
        <f>'AVSC1 limit-lossyG,lossyA,intra'!BI17</f>
        <v>0</v>
      </c>
      <c r="E9" s="428"/>
      <c r="F9" s="564"/>
      <c r="G9" s="430"/>
      <c r="H9" s="388">
        <f>'AVSC1 limit-lossyG,lossyA,intra'!BM17</f>
        <v>0</v>
      </c>
      <c r="I9" s="570"/>
      <c r="J9" s="430"/>
    </row>
    <row r="10" spans="1:10">
      <c r="A10" s="384"/>
      <c r="B10" s="385" t="s">
        <v>986</v>
      </c>
      <c r="C10" s="386">
        <f>'AVSC1 limit-lossyG,lossyA,intra'!BH23</f>
        <v>0</v>
      </c>
      <c r="D10" s="387">
        <f>'AVSC1 limit-lossyG,lossyA,intra'!BI23</f>
        <v>0</v>
      </c>
      <c r="E10" s="428"/>
      <c r="F10" s="564"/>
      <c r="G10" s="430"/>
      <c r="H10" s="388">
        <f>'AVSC1 limit-lossyG,lossyA,intra'!BM23</f>
        <v>0</v>
      </c>
      <c r="I10" s="570"/>
      <c r="J10" s="430"/>
    </row>
    <row r="11" spans="1:10">
      <c r="A11" s="384"/>
      <c r="B11" s="385" t="s">
        <v>987</v>
      </c>
      <c r="C11" s="386">
        <f>'AVSC1 limit-lossyG,lossyA,intra'!BH29</f>
        <v>0</v>
      </c>
      <c r="D11" s="387">
        <f>'AVSC1 limit-lossyG,lossyA,intra'!BI29</f>
        <v>0</v>
      </c>
      <c r="E11" s="428"/>
      <c r="F11" s="564"/>
      <c r="G11" s="430"/>
      <c r="H11" s="388">
        <f>'AVSC1 limit-lossyG,lossyA,intra'!BM29</f>
        <v>0</v>
      </c>
      <c r="I11" s="570"/>
      <c r="J11" s="430"/>
    </row>
    <row r="12" spans="1:10" ht="14.25" thickBot="1">
      <c r="A12" s="389"/>
      <c r="B12" s="390" t="s">
        <v>988</v>
      </c>
      <c r="C12" s="391">
        <f>'AVSC1 limit-lossyG,lossyA,intra'!BH35</f>
        <v>0</v>
      </c>
      <c r="D12" s="392">
        <f>'AVSC1 limit-lossyG,lossyA,intra'!BI35</f>
        <v>0</v>
      </c>
      <c r="E12" s="431"/>
      <c r="F12" s="432"/>
      <c r="G12" s="433"/>
      <c r="H12" s="393">
        <f>'AVSC1 limit-lossyG,lossyA,intra'!BM35</f>
        <v>0</v>
      </c>
      <c r="I12" s="570"/>
      <c r="J12" s="430"/>
    </row>
    <row r="13" spans="1:10" s="1" customFormat="1">
      <c r="A13" s="379" t="s">
        <v>1155</v>
      </c>
      <c r="B13" s="558" t="s">
        <v>1145</v>
      </c>
      <c r="C13" s="381">
        <f>'AVSC1 limit-lossyG,lossyA,intra'!BH41</f>
        <v>0</v>
      </c>
      <c r="D13" s="382">
        <f>'AVSC1 limit-lossyG,lossyA,intra'!BI41</f>
        <v>0</v>
      </c>
      <c r="E13" s="401">
        <f>'AVSC1 limit-lossyG,lossyA,intra'!BJ41</f>
        <v>-0.37849557415961077</v>
      </c>
      <c r="F13" s="401">
        <f>'AVSC1 limit-lossyG,lossyA,intra'!BK41</f>
        <v>-0.60687663899791766</v>
      </c>
      <c r="G13" s="382">
        <f>'AVSC1 limit-lossyG,lossyA,intra'!BL41</f>
        <v>-0.47874132143263837</v>
      </c>
      <c r="H13" s="565"/>
      <c r="I13" s="570"/>
      <c r="J13" s="430"/>
    </row>
    <row r="14" spans="1:10" s="1" customFormat="1">
      <c r="A14" s="384"/>
      <c r="B14" s="559" t="s">
        <v>1146</v>
      </c>
      <c r="C14" s="386">
        <f>'AVSC1 limit-lossyG,lossyA,intra'!BH47</f>
        <v>0</v>
      </c>
      <c r="D14" s="387">
        <f>'AVSC1 limit-lossyG,lossyA,intra'!BI47</f>
        <v>0</v>
      </c>
      <c r="E14" s="2">
        <f>'AVSC1 limit-lossyG,lossyA,intra'!BJ47</f>
        <v>-0.3724681927315352</v>
      </c>
      <c r="F14" s="2">
        <f>'AVSC1 limit-lossyG,lossyA,intra'!BK47</f>
        <v>-0.56861994899813473</v>
      </c>
      <c r="G14" s="387">
        <f>'AVSC1 limit-lossyG,lossyA,intra'!BL47</f>
        <v>-0.40169889875761522</v>
      </c>
      <c r="H14" s="566"/>
      <c r="I14" s="570"/>
      <c r="J14" s="430"/>
    </row>
    <row r="15" spans="1:10" s="1" customFormat="1">
      <c r="A15" s="384"/>
      <c r="B15" s="559" t="s">
        <v>1147</v>
      </c>
      <c r="C15" s="386">
        <f>'AVSC1 limit-lossyG,lossyA,intra'!BH53</f>
        <v>0</v>
      </c>
      <c r="D15" s="387">
        <f>'AVSC1 limit-lossyG,lossyA,intra'!BI53</f>
        <v>0</v>
      </c>
      <c r="E15" s="2">
        <f>'AVSC1 limit-lossyG,lossyA,intra'!BJ53</f>
        <v>-0.22551188599786842</v>
      </c>
      <c r="F15" s="2">
        <f>'AVSC1 limit-lossyG,lossyA,intra'!BK53</f>
        <v>-0.58406835463035045</v>
      </c>
      <c r="G15" s="387">
        <f>'AVSC1 limit-lossyG,lossyA,intra'!BL53</f>
        <v>-0.44630569192838698</v>
      </c>
      <c r="H15" s="566"/>
      <c r="I15" s="570"/>
      <c r="J15" s="430"/>
    </row>
    <row r="16" spans="1:10" s="1" customFormat="1">
      <c r="A16" s="384"/>
      <c r="B16" s="559" t="s">
        <v>1148</v>
      </c>
      <c r="C16" s="386">
        <f>'AVSC1 limit-lossyG,lossyA,intra'!BH59</f>
        <v>0</v>
      </c>
      <c r="D16" s="387">
        <f>'AVSC1 limit-lossyG,lossyA,intra'!BI59</f>
        <v>0</v>
      </c>
      <c r="E16" s="2">
        <f>'AVSC1 limit-lossyG,lossyA,intra'!BJ59</f>
        <v>-0.25664462167566748</v>
      </c>
      <c r="F16" s="2">
        <f>'AVSC1 limit-lossyG,lossyA,intra'!BK59</f>
        <v>-0.64951934989102844</v>
      </c>
      <c r="G16" s="387">
        <f>'AVSC1 limit-lossyG,lossyA,intra'!BL59</f>
        <v>-0.68456967984323103</v>
      </c>
      <c r="H16" s="566"/>
      <c r="I16" s="570"/>
      <c r="J16" s="430"/>
    </row>
    <row r="17" spans="1:10" s="1" customFormat="1">
      <c r="A17" s="384"/>
      <c r="B17" s="559" t="s">
        <v>1156</v>
      </c>
      <c r="C17" s="386">
        <f>'AVSC1 limit-lossyG,lossyA,intra'!BH65</f>
        <v>0</v>
      </c>
      <c r="D17" s="387">
        <f>'AVSC1 limit-lossyG,lossyA,intra'!BI65</f>
        <v>0</v>
      </c>
      <c r="E17" s="2">
        <f>'AVSC1 limit-lossyG,lossyA,intra'!BJ65</f>
        <v>-0.27674187171731013</v>
      </c>
      <c r="F17" s="2">
        <f>'AVSC1 limit-lossyG,lossyA,intra'!BK65</f>
        <v>-0.61258706348271685</v>
      </c>
      <c r="G17" s="387">
        <f>'AVSC1 limit-lossyG,lossyA,intra'!BL65</f>
        <v>-0.63317717227557568</v>
      </c>
      <c r="H17" s="566"/>
      <c r="I17" s="570"/>
      <c r="J17" s="430"/>
    </row>
    <row r="18" spans="1:10" s="1" customFormat="1">
      <c r="A18" s="384"/>
      <c r="B18" s="559" t="s">
        <v>1157</v>
      </c>
      <c r="C18" s="386">
        <f>'AVSC1 limit-lossyG,lossyA,intra'!BH71</f>
        <v>0</v>
      </c>
      <c r="D18" s="387">
        <f>'AVSC1 limit-lossyG,lossyA,intra'!BI71</f>
        <v>0</v>
      </c>
      <c r="E18" s="2">
        <f>'AVSC1 limit-lossyG,lossyA,intra'!BJ71</f>
        <v>-0.46845866061540697</v>
      </c>
      <c r="F18" s="2">
        <f>'AVSC1 limit-lossyG,lossyA,intra'!BK71</f>
        <v>-0.79502868520136838</v>
      </c>
      <c r="G18" s="387">
        <f>'AVSC1 limit-lossyG,lossyA,intra'!BL71</f>
        <v>-0.78987804634473524</v>
      </c>
      <c r="H18" s="566"/>
      <c r="I18" s="570"/>
      <c r="J18" s="430"/>
    </row>
    <row r="19" spans="1:10" s="1" customFormat="1" ht="14.25" thickBot="1">
      <c r="A19" s="389"/>
      <c r="B19" s="560" t="s">
        <v>1149</v>
      </c>
      <c r="C19" s="391">
        <f>'AVSC1 limit-lossyG,lossyA,intra'!BH77</f>
        <v>0</v>
      </c>
      <c r="D19" s="392">
        <f>'AVSC1 limit-lossyG,lossyA,intra'!BI77</f>
        <v>0</v>
      </c>
      <c r="E19" s="402">
        <f>'AVSC1 limit-lossyG,lossyA,intra'!BJ77</f>
        <v>-0.2231877437254508</v>
      </c>
      <c r="F19" s="402">
        <f>'AVSC1 limit-lossyG,lossyA,intra'!BK77</f>
        <v>-0.5898256833762372</v>
      </c>
      <c r="G19" s="392">
        <f>'AVSC1 limit-lossyG,lossyA,intra'!BL77</f>
        <v>-0.51363103994775194</v>
      </c>
      <c r="H19" s="567"/>
      <c r="I19" s="570"/>
      <c r="J19" s="430"/>
    </row>
    <row r="20" spans="1:10">
      <c r="A20" s="379" t="s">
        <v>178</v>
      </c>
      <c r="B20" s="561" t="s">
        <v>466</v>
      </c>
      <c r="C20" s="386">
        <f>'AVSC1 limit-lossyG,lossyA,intra'!BH83</f>
        <v>0</v>
      </c>
      <c r="D20" s="387">
        <f>'AVSC1 limit-lossyG,lossyA,intra'!BI83</f>
        <v>0</v>
      </c>
      <c r="E20" s="425"/>
      <c r="F20" s="426"/>
      <c r="G20" s="427"/>
      <c r="H20" s="388">
        <f>'AVSC1 limit-lossyG,lossyA,intra'!BM83</f>
        <v>0</v>
      </c>
      <c r="I20" s="570"/>
      <c r="J20" s="430"/>
    </row>
    <row r="21" spans="1:10">
      <c r="A21" s="384"/>
      <c r="B21" s="395" t="s">
        <v>469</v>
      </c>
      <c r="C21" s="386">
        <f>'AVSC1 limit-lossyG,lossyA,intra'!BH89</f>
        <v>0</v>
      </c>
      <c r="D21" s="387">
        <f>'AVSC1 limit-lossyG,lossyA,intra'!BI89</f>
        <v>0</v>
      </c>
      <c r="E21" s="428"/>
      <c r="F21" s="564"/>
      <c r="G21" s="430"/>
      <c r="H21" s="388">
        <f>'AVSC1 limit-lossyG,lossyA,intra'!BM89</f>
        <v>0</v>
      </c>
      <c r="I21" s="570"/>
      <c r="J21" s="430"/>
    </row>
    <row r="22" spans="1:10">
      <c r="A22" s="396"/>
      <c r="B22" s="395" t="s">
        <v>470</v>
      </c>
      <c r="C22" s="386">
        <f>'AVSC1 limit-lossyG,lossyA,intra'!BH95</f>
        <v>0</v>
      </c>
      <c r="D22" s="387">
        <f>'AVSC1 limit-lossyG,lossyA,intra'!BI95</f>
        <v>0</v>
      </c>
      <c r="E22" s="428"/>
      <c r="F22" s="564"/>
      <c r="G22" s="430"/>
      <c r="H22" s="388">
        <f>'AVSC1 limit-lossyG,lossyA,intra'!BM95</f>
        <v>0</v>
      </c>
      <c r="I22" s="570"/>
      <c r="J22" s="430"/>
    </row>
    <row r="23" spans="1:10">
      <c r="A23" s="396"/>
      <c r="B23" s="397" t="s">
        <v>813</v>
      </c>
      <c r="C23" s="386">
        <f>'AVSC1 limit-lossyG,lossyA,intra'!BH101</f>
        <v>0</v>
      </c>
      <c r="D23" s="387">
        <f>'AVSC1 limit-lossyG,lossyA,intra'!BI101</f>
        <v>0</v>
      </c>
      <c r="E23" s="428"/>
      <c r="F23" s="564"/>
      <c r="G23" s="430"/>
      <c r="H23" s="388">
        <f>'AVSC1 limit-lossyG,lossyA,intra'!BM101</f>
        <v>0</v>
      </c>
      <c r="I23" s="570"/>
      <c r="J23" s="430"/>
    </row>
    <row r="24" spans="1:10" ht="14.25" thickBot="1">
      <c r="A24" s="389"/>
      <c r="B24" s="398" t="s">
        <v>815</v>
      </c>
      <c r="C24" s="391">
        <f>'AVSC1 limit-lossyG,lossyA,intra'!BH107</f>
        <v>0</v>
      </c>
      <c r="D24" s="392">
        <f>'AVSC1 limit-lossyG,lossyA,intra'!BI107</f>
        <v>0</v>
      </c>
      <c r="E24" s="431"/>
      <c r="F24" s="432"/>
      <c r="G24" s="433"/>
      <c r="H24" s="393">
        <f>'AVSC1 limit-lossyG,lossyA,intra'!BM107</f>
        <v>0</v>
      </c>
      <c r="I24" s="570"/>
      <c r="J24" s="430"/>
    </row>
    <row r="25" spans="1:10">
      <c r="A25" s="399" t="s">
        <v>877</v>
      </c>
      <c r="B25" s="400" t="s">
        <v>872</v>
      </c>
      <c r="C25" s="386">
        <f>'AVSC1 limit-lossyG,lossyA,intra'!BH113</f>
        <v>0</v>
      </c>
      <c r="D25" s="387">
        <f>'AVSC1 limit-lossyG,lossyA,intra'!BI113</f>
        <v>0</v>
      </c>
      <c r="E25" s="401">
        <f>'AVSC1 limit-lossyG,lossyA,intra'!BJ113</f>
        <v>-0.32314231056499287</v>
      </c>
      <c r="F25" s="401">
        <f>'AVSC1 limit-lossyG,lossyA,intra'!BK113</f>
        <v>-0.4952521524125697</v>
      </c>
      <c r="G25" s="382">
        <f>'AVSC1 limit-lossyG,lossyA,intra'!BL113</f>
        <v>-0.47477448800005539</v>
      </c>
      <c r="H25" s="565"/>
      <c r="I25" s="570"/>
      <c r="J25" s="430"/>
    </row>
    <row r="26" spans="1:10">
      <c r="A26" s="384"/>
      <c r="B26" s="327" t="s">
        <v>874</v>
      </c>
      <c r="C26" s="386">
        <f>'AVSC1 limit-lossyG,lossyA,intra'!BH119</f>
        <v>0</v>
      </c>
      <c r="D26" s="387">
        <f>'AVSC1 limit-lossyG,lossyA,intra'!BI119</f>
        <v>0</v>
      </c>
      <c r="E26" s="2">
        <f>'AVSC1 limit-lossyG,lossyA,intra'!BJ119</f>
        <v>-0.27121125678071822</v>
      </c>
      <c r="F26" s="2">
        <f>'AVSC1 limit-lossyG,lossyA,intra'!BK119</f>
        <v>-0.36728741911732465</v>
      </c>
      <c r="G26" s="387">
        <f>'AVSC1 limit-lossyG,lossyA,intra'!BL119</f>
        <v>-0.46008970416673955</v>
      </c>
      <c r="H26" s="566"/>
      <c r="I26" s="570"/>
      <c r="J26" s="430"/>
    </row>
    <row r="27" spans="1:10">
      <c r="A27" s="396"/>
      <c r="B27" s="334" t="s">
        <v>875</v>
      </c>
      <c r="C27" s="386">
        <f>'AVSC1 limit-lossyG,lossyA,intra'!BH125</f>
        <v>0</v>
      </c>
      <c r="D27" s="387">
        <f>'AVSC1 limit-lossyG,lossyA,intra'!BI125</f>
        <v>0</v>
      </c>
      <c r="E27" s="2">
        <f>'AVSC1 limit-lossyG,lossyA,intra'!BJ125</f>
        <v>-0.32722127142028257</v>
      </c>
      <c r="F27" s="2">
        <f>'AVSC1 limit-lossyG,lossyA,intra'!BK125</f>
        <v>-0.3651223844557302</v>
      </c>
      <c r="G27" s="387">
        <f>'AVSC1 limit-lossyG,lossyA,intra'!BL125</f>
        <v>-0.37625732366919684</v>
      </c>
      <c r="H27" s="566"/>
      <c r="I27" s="570"/>
      <c r="J27" s="430"/>
    </row>
    <row r="28" spans="1:10" ht="14.25" thickBot="1">
      <c r="A28" s="389"/>
      <c r="B28" s="398" t="s">
        <v>876</v>
      </c>
      <c r="C28" s="386">
        <f>'AVSC1 limit-lossyG,lossyA,intra'!BH131</f>
        <v>0</v>
      </c>
      <c r="D28" s="387">
        <f>'AVSC1 limit-lossyG,lossyA,intra'!BI131</f>
        <v>0</v>
      </c>
      <c r="E28" s="402">
        <f>'AVSC1 limit-lossyG,lossyA,intra'!BJ131</f>
        <v>-0.22798567186182439</v>
      </c>
      <c r="F28" s="402">
        <f>'AVSC1 limit-lossyG,lossyA,intra'!BK131</f>
        <v>-2.7057978952509831E-2</v>
      </c>
      <c r="G28" s="392">
        <f>'AVSC1 limit-lossyG,lossyA,intra'!BL131</f>
        <v>0.43394049230839471</v>
      </c>
      <c r="H28" s="567"/>
      <c r="I28" s="570"/>
      <c r="J28" s="430"/>
    </row>
    <row r="29" spans="1:10" ht="14.25" thickBot="1">
      <c r="A29" s="421" t="s">
        <v>1102</v>
      </c>
      <c r="B29" s="403" t="s">
        <v>1154</v>
      </c>
      <c r="C29" s="411">
        <f>'AVSC1 limit-lossyG,lossyA,intra'!BH137</f>
        <v>0</v>
      </c>
      <c r="D29" s="413">
        <f>'AVSC1 limit-lossyG,lossyA,intra'!BI137</f>
        <v>0</v>
      </c>
      <c r="E29" s="404"/>
      <c r="F29" s="405"/>
      <c r="G29" s="406"/>
      <c r="H29" s="199">
        <f>'AVSC1 limit-lossyG,lossyA,intra'!BM137</f>
        <v>0</v>
      </c>
      <c r="I29" s="441" t="e">
        <f>'AVSC1 limit-lossyG,lossyA,intra'!AW143</f>
        <v>#DIV/0!</v>
      </c>
      <c r="J29" s="442" t="e">
        <f>'AVSC1 limit-lossyG,lossyA,intra'!AX143</f>
        <v>#DIV/0!</v>
      </c>
    </row>
    <row r="30" spans="1:10" s="1" customFormat="1" ht="14.25" thickBot="1">
      <c r="A30" s="562"/>
      <c r="B30" s="563" t="s">
        <v>1155</v>
      </c>
      <c r="C30" s="411">
        <f>'AVSC1 limit-lossyG,lossyA,intra'!BH138</f>
        <v>0</v>
      </c>
      <c r="D30" s="413">
        <f>'AVSC1 limit-lossyG,lossyA,intra'!BI138</f>
        <v>0</v>
      </c>
      <c r="E30" s="411">
        <f>'AVSC1 limit-lossyG,lossyA,intra'!BJ138</f>
        <v>-0.31450122151754994</v>
      </c>
      <c r="F30" s="412">
        <f>'AVSC1 limit-lossyG,lossyA,intra'!BK138</f>
        <v>-0.62950367493967907</v>
      </c>
      <c r="G30" s="413">
        <f>'AVSC1 limit-lossyG,lossyA,intra'!BL138</f>
        <v>-0.56400026436141915</v>
      </c>
      <c r="H30" s="414"/>
      <c r="I30" s="441">
        <f>'AVSC1 limit-lossyG,lossyA,intra'!AW144</f>
        <v>1.5578496223301519</v>
      </c>
      <c r="J30" s="442">
        <f>'AVSC1 limit-lossyG,lossyA,intra'!AX144</f>
        <v>1.8908296346483189</v>
      </c>
    </row>
    <row r="31" spans="1:10" ht="14.25" thickBot="1">
      <c r="A31" s="204"/>
      <c r="B31" s="407" t="s">
        <v>1103</v>
      </c>
      <c r="C31" s="411">
        <f>'AVSC1 limit-lossyG,lossyA,intra'!BH139</f>
        <v>0</v>
      </c>
      <c r="D31" s="413">
        <f>'AVSC1 limit-lossyG,lossyA,intra'!BI139</f>
        <v>0</v>
      </c>
      <c r="E31" s="408"/>
      <c r="F31" s="409"/>
      <c r="G31" s="410"/>
      <c r="H31" s="199">
        <f>'AVSC1 limit-lossyG,lossyA,intra'!BM139</f>
        <v>0</v>
      </c>
      <c r="I31" s="441" t="e">
        <f>'AVSC1 limit-lossyG,lossyA,intra'!AW145</f>
        <v>#DIV/0!</v>
      </c>
      <c r="J31" s="442" t="e">
        <f>'AVSC1 limit-lossyG,lossyA,intra'!AX145</f>
        <v>#DIV/0!</v>
      </c>
    </row>
    <row r="32" spans="1:10" ht="14.25" thickBot="1">
      <c r="A32" s="204"/>
      <c r="B32" s="407" t="s">
        <v>1104</v>
      </c>
      <c r="C32" s="411">
        <f>'AVSC1 limit-lossyG,lossyA,intra'!BH140</f>
        <v>0</v>
      </c>
      <c r="D32" s="413">
        <f>'AVSC1 limit-lossyG,lossyA,intra'!BI140</f>
        <v>0</v>
      </c>
      <c r="E32" s="411">
        <f>'AVSC1 limit-lossyG,lossyA,intra'!BJ140</f>
        <v>-0.28739012765695449</v>
      </c>
      <c r="F32" s="412">
        <f>'AVSC1 limit-lossyG,lossyA,intra'!BK140</f>
        <v>-0.3136799837345336</v>
      </c>
      <c r="G32" s="413">
        <f>'AVSC1 limit-lossyG,lossyA,intra'!BL140</f>
        <v>-0.21929525588189924</v>
      </c>
      <c r="H32" s="414"/>
      <c r="I32" s="441">
        <f>'AVSC1 limit-lossyG,lossyA,intra'!AW146</f>
        <v>1.1222620537754349</v>
      </c>
      <c r="J32" s="442">
        <f>'AVSC1 limit-lossyG,lossyA,intra'!AX146</f>
        <v>1.3273811336880887</v>
      </c>
    </row>
    <row r="33" spans="1:10" s="1" customFormat="1" ht="14.25" thickBot="1">
      <c r="A33" s="204"/>
      <c r="B33" s="339" t="s">
        <v>1158</v>
      </c>
      <c r="C33" s="391">
        <f>'AVSC1 limit-lossyG,lossyA,intra'!BH141</f>
        <v>0</v>
      </c>
      <c r="D33" s="402">
        <f>'AVSC1 limit-lossyG,lossyA,intra'!BI141</f>
        <v>0</v>
      </c>
      <c r="E33" s="418"/>
      <c r="F33" s="419"/>
      <c r="G33" s="420"/>
      <c r="H33" s="415">
        <f>'AVSC1 limit-lossyG,lossyA,intra'!BM141</f>
        <v>0</v>
      </c>
      <c r="I33" s="441" t="e">
        <f>'AVSC1 limit-lossyG,lossyA,intra'!AW147</f>
        <v>#DIV/0!</v>
      </c>
      <c r="J33" s="442" t="e">
        <f>'AVSC1 limit-lossyG,lossyA,intra'!AX147</f>
        <v>#DIV/0!</v>
      </c>
    </row>
    <row r="34" spans="1:10" ht="14.25" thickBot="1">
      <c r="A34" s="416"/>
      <c r="B34" s="332" t="s">
        <v>137</v>
      </c>
      <c r="C34" s="411">
        <f>'AVSC1 limit-lossyG,lossyA,intra'!BH142</f>
        <v>0</v>
      </c>
      <c r="D34" s="413">
        <f>'AVSC1 limit-lossyG,lossyA,intra'!BI142</f>
        <v>0</v>
      </c>
      <c r="E34" s="391">
        <f>'AVSC1 limit-lossyG,lossyA,intra'!BJ142</f>
        <v>-0.30464264193187884</v>
      </c>
      <c r="F34" s="402">
        <f>'AVSC1 limit-lossyG,lossyA,intra'!BK142</f>
        <v>-0.51465869631962624</v>
      </c>
      <c r="G34" s="392">
        <f>'AVSC1 limit-lossyG,lossyA,intra'!BL142</f>
        <v>-0.43865298855068474</v>
      </c>
      <c r="H34" s="415">
        <f>'AVSC1 limit-lossyG,lossyA,intra'!BM142</f>
        <v>0</v>
      </c>
      <c r="I34" s="441">
        <f>'AVSC1 limit-lossyG,lossyA,intra'!AW148</f>
        <v>1.2514439027025006</v>
      </c>
      <c r="J34" s="442">
        <f>'AVSC1 limit-lossyG,lossyA,intra'!AX148</f>
        <v>1.1881465540053837</v>
      </c>
    </row>
    <row r="36" spans="1:10" ht="14.45" customHeight="1" thickBot="1"/>
    <row r="37" spans="1:10" ht="14.45" customHeight="1" thickBot="1">
      <c r="A37" s="378"/>
      <c r="B37" s="674" t="s">
        <v>170</v>
      </c>
      <c r="C37" s="680" t="s">
        <v>1105</v>
      </c>
      <c r="D37" s="681"/>
      <c r="E37" s="681"/>
      <c r="F37" s="681"/>
      <c r="G37" s="681"/>
      <c r="H37" s="682"/>
    </row>
    <row r="38" spans="1:10" ht="14.45" customHeight="1">
      <c r="A38" s="204"/>
      <c r="B38" s="675"/>
      <c r="C38" s="677" t="s">
        <v>121</v>
      </c>
      <c r="D38" s="678"/>
      <c r="E38" s="678"/>
      <c r="F38" s="679"/>
      <c r="G38" s="669" t="s">
        <v>1098</v>
      </c>
      <c r="H38" s="670"/>
    </row>
    <row r="39" spans="1:10" ht="14.25" thickBot="1">
      <c r="A39" s="416"/>
      <c r="B39" s="676"/>
      <c r="C39" s="422" t="s">
        <v>81</v>
      </c>
      <c r="D39" s="423" t="s">
        <v>83</v>
      </c>
      <c r="E39" s="423" t="s">
        <v>85</v>
      </c>
      <c r="F39" s="424" t="s">
        <v>71</v>
      </c>
      <c r="G39" s="341" t="s">
        <v>1099</v>
      </c>
      <c r="H39" s="342" t="s">
        <v>1100</v>
      </c>
    </row>
    <row r="40" spans="1:10">
      <c r="A40" s="379" t="s">
        <v>1154</v>
      </c>
      <c r="B40" s="380" t="s">
        <v>983</v>
      </c>
      <c r="C40" s="425"/>
      <c r="D40" s="426"/>
      <c r="E40" s="427"/>
      <c r="F40" s="382">
        <f>'AVSC2 losslG,lossyA,intra'!BG5</f>
        <v>0</v>
      </c>
      <c r="G40" s="569"/>
      <c r="H40" s="427"/>
    </row>
    <row r="41" spans="1:10">
      <c r="A41" s="384"/>
      <c r="B41" s="385" t="s">
        <v>984</v>
      </c>
      <c r="C41" s="428"/>
      <c r="D41" s="564"/>
      <c r="E41" s="430"/>
      <c r="F41" s="387">
        <f>'AVSC2 losslG,lossyA,intra'!BG11</f>
        <v>0</v>
      </c>
      <c r="G41" s="570"/>
      <c r="H41" s="430"/>
    </row>
    <row r="42" spans="1:10">
      <c r="A42" s="384"/>
      <c r="B42" s="385" t="s">
        <v>985</v>
      </c>
      <c r="C42" s="428"/>
      <c r="D42" s="564"/>
      <c r="E42" s="430"/>
      <c r="F42" s="387">
        <f>'AVSC2 losslG,lossyA,intra'!BG17</f>
        <v>0</v>
      </c>
      <c r="G42" s="570"/>
      <c r="H42" s="430"/>
    </row>
    <row r="43" spans="1:10">
      <c r="A43" s="384"/>
      <c r="B43" s="385" t="s">
        <v>986</v>
      </c>
      <c r="C43" s="428"/>
      <c r="D43" s="564"/>
      <c r="E43" s="430"/>
      <c r="F43" s="387">
        <f>'AVSC2 losslG,lossyA,intra'!BG23</f>
        <v>0</v>
      </c>
      <c r="G43" s="570"/>
      <c r="H43" s="430"/>
    </row>
    <row r="44" spans="1:10">
      <c r="A44" s="384"/>
      <c r="B44" s="385" t="s">
        <v>987</v>
      </c>
      <c r="C44" s="428"/>
      <c r="D44" s="564"/>
      <c r="E44" s="430"/>
      <c r="F44" s="387">
        <f>'AVSC2 losslG,lossyA,intra'!BG29</f>
        <v>0</v>
      </c>
      <c r="G44" s="570"/>
      <c r="H44" s="430"/>
    </row>
    <row r="45" spans="1:10" ht="14.25" thickBot="1">
      <c r="A45" s="389"/>
      <c r="B45" s="390" t="s">
        <v>988</v>
      </c>
      <c r="C45" s="431"/>
      <c r="D45" s="432"/>
      <c r="E45" s="433"/>
      <c r="F45" s="392">
        <f>'AVSC2 losslG,lossyA,intra'!BG35</f>
        <v>0</v>
      </c>
      <c r="G45" s="570"/>
      <c r="H45" s="430"/>
    </row>
    <row r="46" spans="1:10" s="1" customFormat="1">
      <c r="A46" s="379" t="s">
        <v>1155</v>
      </c>
      <c r="B46" s="558" t="s">
        <v>1145</v>
      </c>
      <c r="C46" s="381">
        <f>'AVSC2 losslG,lossyA,intra'!BD41</f>
        <v>-0.43555846198891646</v>
      </c>
      <c r="D46" s="401">
        <f>'AVSC2 losslG,lossyA,intra'!BE41</f>
        <v>-0.50638908570469876</v>
      </c>
      <c r="E46" s="382">
        <f>'AVSC2 losslG,lossyA,intra'!BF41</f>
        <v>-0.46012219971090929</v>
      </c>
      <c r="F46" s="565"/>
      <c r="G46" s="570"/>
      <c r="H46" s="430"/>
    </row>
    <row r="47" spans="1:10" s="1" customFormat="1">
      <c r="A47" s="384"/>
      <c r="B47" s="559" t="s">
        <v>1146</v>
      </c>
      <c r="C47" s="386">
        <f>'AVSC2 losslG,lossyA,intra'!BD47</f>
        <v>-0.42311727156208834</v>
      </c>
      <c r="D47" s="568">
        <f>'AVSC2 losslG,lossyA,intra'!BE47</f>
        <v>-0.4981042983379097</v>
      </c>
      <c r="E47" s="387">
        <f>'AVSC2 losslG,lossyA,intra'!BF47</f>
        <v>-0.41208836937282622</v>
      </c>
      <c r="F47" s="566"/>
      <c r="G47" s="570"/>
      <c r="H47" s="430"/>
    </row>
    <row r="48" spans="1:10" s="1" customFormat="1">
      <c r="A48" s="384"/>
      <c r="B48" s="559" t="s">
        <v>1147</v>
      </c>
      <c r="C48" s="386">
        <f>'AVSC2 losslG,lossyA,intra'!BD53</f>
        <v>-0.49575698504900589</v>
      </c>
      <c r="D48" s="568">
        <f>'AVSC2 losslG,lossyA,intra'!BE53</f>
        <v>-0.5136648762488667</v>
      </c>
      <c r="E48" s="387">
        <f>'AVSC2 losslG,lossyA,intra'!BF53</f>
        <v>-0.54723882799125922</v>
      </c>
      <c r="F48" s="566"/>
      <c r="G48" s="570"/>
      <c r="H48" s="430"/>
    </row>
    <row r="49" spans="1:8" s="1" customFormat="1">
      <c r="A49" s="384"/>
      <c r="B49" s="559" t="s">
        <v>1148</v>
      </c>
      <c r="C49" s="386">
        <f>'AVSC2 losslG,lossyA,intra'!BD59</f>
        <v>-0.55767549869748545</v>
      </c>
      <c r="D49" s="568">
        <f>'AVSC2 losslG,lossyA,intra'!BE59</f>
        <v>-0.64441617349528557</v>
      </c>
      <c r="E49" s="387">
        <f>'AVSC2 losslG,lossyA,intra'!BF59</f>
        <v>-0.62310854624619383</v>
      </c>
      <c r="F49" s="566"/>
      <c r="G49" s="570"/>
      <c r="H49" s="430"/>
    </row>
    <row r="50" spans="1:8" s="1" customFormat="1">
      <c r="A50" s="384"/>
      <c r="B50" s="559" t="s">
        <v>1156</v>
      </c>
      <c r="C50" s="386">
        <f>'AVSC2 losslG,lossyA,intra'!BD65</f>
        <v>-0.2072843643061606</v>
      </c>
      <c r="D50" s="568">
        <f>'AVSC2 losslG,lossyA,intra'!BE65</f>
        <v>-0.23927336094832452</v>
      </c>
      <c r="E50" s="387">
        <f>'AVSC2 losslG,lossyA,intra'!BF65</f>
        <v>-0.2072192753761376</v>
      </c>
      <c r="F50" s="566"/>
      <c r="G50" s="570"/>
      <c r="H50" s="430"/>
    </row>
    <row r="51" spans="1:8" s="1" customFormat="1">
      <c r="A51" s="384"/>
      <c r="B51" s="559" t="s">
        <v>1157</v>
      </c>
      <c r="C51" s="386">
        <f>'AVSC2 losslG,lossyA,intra'!BD71</f>
        <v>-0.67895742632640521</v>
      </c>
      <c r="D51" s="568">
        <f>'AVSC2 losslG,lossyA,intra'!BE71</f>
        <v>-0.74139345489658304</v>
      </c>
      <c r="E51" s="387">
        <f>'AVSC2 losslG,lossyA,intra'!BF71</f>
        <v>-0.75929352127422733</v>
      </c>
      <c r="F51" s="566"/>
      <c r="G51" s="570"/>
      <c r="H51" s="430"/>
    </row>
    <row r="52" spans="1:8" s="1" customFormat="1" ht="14.25" thickBot="1">
      <c r="A52" s="389"/>
      <c r="B52" s="560" t="s">
        <v>1149</v>
      </c>
      <c r="C52" s="391">
        <f>'AVSC2 losslG,lossyA,intra'!BD77</f>
        <v>-0.29302359029448521</v>
      </c>
      <c r="D52" s="402">
        <f>'AVSC2 losslG,lossyA,intra'!BE77</f>
        <v>-0.35011663826384842</v>
      </c>
      <c r="E52" s="392">
        <f>'AVSC2 losslG,lossyA,intra'!BF77</f>
        <v>-0.36531251073613469</v>
      </c>
      <c r="F52" s="567"/>
      <c r="G52" s="570"/>
      <c r="H52" s="430"/>
    </row>
    <row r="53" spans="1:8">
      <c r="A53" s="379" t="s">
        <v>178</v>
      </c>
      <c r="B53" s="394" t="s">
        <v>466</v>
      </c>
      <c r="C53" s="428"/>
      <c r="D53" s="429"/>
      <c r="E53" s="430"/>
      <c r="F53" s="382">
        <f>'AVSC2 losslG,lossyA,intra'!BG83</f>
        <v>0</v>
      </c>
      <c r="G53" s="570"/>
      <c r="H53" s="430"/>
    </row>
    <row r="54" spans="1:8">
      <c r="A54" s="384"/>
      <c r="B54" s="395" t="s">
        <v>469</v>
      </c>
      <c r="C54" s="428"/>
      <c r="D54" s="429"/>
      <c r="E54" s="430"/>
      <c r="F54" s="387">
        <f>'AVSC2 losslG,lossyA,intra'!BG89</f>
        <v>0</v>
      </c>
      <c r="G54" s="570"/>
      <c r="H54" s="430"/>
    </row>
    <row r="55" spans="1:8">
      <c r="A55" s="396"/>
      <c r="B55" s="395" t="s">
        <v>470</v>
      </c>
      <c r="C55" s="428"/>
      <c r="D55" s="429"/>
      <c r="E55" s="430"/>
      <c r="F55" s="387">
        <f>'AVSC2 losslG,lossyA,intra'!BG95</f>
        <v>0</v>
      </c>
      <c r="G55" s="570"/>
      <c r="H55" s="430"/>
    </row>
    <row r="56" spans="1:8">
      <c r="A56" s="396"/>
      <c r="B56" s="397" t="s">
        <v>813</v>
      </c>
      <c r="C56" s="428"/>
      <c r="D56" s="429"/>
      <c r="E56" s="430"/>
      <c r="F56" s="387">
        <f>'AVSC2 losslG,lossyA,intra'!BG101</f>
        <v>0</v>
      </c>
      <c r="G56" s="570"/>
      <c r="H56" s="430"/>
    </row>
    <row r="57" spans="1:8" ht="14.25" thickBot="1">
      <c r="A57" s="389"/>
      <c r="B57" s="398" t="s">
        <v>815</v>
      </c>
      <c r="C57" s="431"/>
      <c r="D57" s="432"/>
      <c r="E57" s="433"/>
      <c r="F57" s="392">
        <f>'AVSC2 losslG,lossyA,intra'!BG107</f>
        <v>0</v>
      </c>
      <c r="G57" s="570"/>
      <c r="H57" s="430"/>
    </row>
    <row r="58" spans="1:8">
      <c r="A58" s="399" t="s">
        <v>877</v>
      </c>
      <c r="B58" s="400" t="s">
        <v>872</v>
      </c>
      <c r="C58" s="388">
        <f>'AVSC2 losslG,lossyA,intra'!BD113</f>
        <v>-0.2206780785148349</v>
      </c>
      <c r="D58" s="388">
        <f>'AVSC2 losslG,lossyA,intra'!BE113</f>
        <v>-0.3647198854369581</v>
      </c>
      <c r="E58" s="388">
        <f>'AVSC2 losslG,lossyA,intra'!BF113</f>
        <v>-0.36055498658842844</v>
      </c>
      <c r="F58" s="434"/>
      <c r="G58" s="570"/>
      <c r="H58" s="430"/>
    </row>
    <row r="59" spans="1:8">
      <c r="A59" s="384"/>
      <c r="B59" s="327" t="s">
        <v>874</v>
      </c>
      <c r="C59" s="388">
        <f>'AVSC2 losslG,lossyA,intra'!BD119</f>
        <v>-0.22402325446123839</v>
      </c>
      <c r="D59" s="388">
        <f>'AVSC2 losslG,lossyA,intra'!BE119</f>
        <v>-0.2966040036606844</v>
      </c>
      <c r="E59" s="388">
        <f>'AVSC2 losslG,lossyA,intra'!BF119</f>
        <v>-0.39850987863995069</v>
      </c>
      <c r="F59" s="435"/>
      <c r="G59" s="570"/>
      <c r="H59" s="430"/>
    </row>
    <row r="60" spans="1:8">
      <c r="A60" s="396"/>
      <c r="B60" s="334" t="s">
        <v>875</v>
      </c>
      <c r="C60" s="388">
        <f>'AVSC2 losslG,lossyA,intra'!BD125</f>
        <v>-0.24242371924370076</v>
      </c>
      <c r="D60" s="388">
        <f>'AVSC2 losslG,lossyA,intra'!BE125</f>
        <v>-0.32274523434521019</v>
      </c>
      <c r="E60" s="388">
        <f>'AVSC2 losslG,lossyA,intra'!BF125</f>
        <v>-0.36982404453281592</v>
      </c>
      <c r="F60" s="435"/>
      <c r="G60" s="570"/>
      <c r="H60" s="430"/>
    </row>
    <row r="61" spans="1:8" ht="14.25" thickBot="1">
      <c r="A61" s="389"/>
      <c r="B61" s="398" t="s">
        <v>876</v>
      </c>
      <c r="C61" s="388">
        <f>'AVSC2 losslG,lossyA,intra'!BD131</f>
        <v>-0.1931495841043348</v>
      </c>
      <c r="D61" s="388">
        <f>'AVSC2 losslG,lossyA,intra'!BE131</f>
        <v>-0.37767068360887968</v>
      </c>
      <c r="E61" s="388">
        <f>'AVSC2 losslG,lossyA,intra'!BF131</f>
        <v>-0.29188517669589975</v>
      </c>
      <c r="F61" s="417"/>
      <c r="G61" s="570"/>
      <c r="H61" s="430"/>
    </row>
    <row r="62" spans="1:8" ht="14.25" thickBot="1">
      <c r="A62" s="421" t="s">
        <v>1102</v>
      </c>
      <c r="B62" s="403" t="s">
        <v>1154</v>
      </c>
      <c r="C62" s="425"/>
      <c r="D62" s="436"/>
      <c r="E62" s="434"/>
      <c r="F62" s="413">
        <f>'AVSC2 losslG,lossyA,intra'!BG137</f>
        <v>0</v>
      </c>
      <c r="G62" s="441" t="e">
        <f>'AVSC2 losslG,lossyA,intra'!AS143</f>
        <v>#DIV/0!</v>
      </c>
      <c r="H62" s="442" t="e">
        <f>'AVSC2 losslG,lossyA,intra'!AT143</f>
        <v>#DIV/0!</v>
      </c>
    </row>
    <row r="63" spans="1:8" s="1" customFormat="1" ht="14.25" thickBot="1">
      <c r="A63" s="562"/>
      <c r="B63" s="563" t="s">
        <v>1155</v>
      </c>
      <c r="C63" s="438">
        <f>'AVSC2 losslG,lossyA,intra'!$BD$138</f>
        <v>-0.44162479974636387</v>
      </c>
      <c r="D63" s="438">
        <f>'AVSC2 losslG,lossyA,intra'!$BE$138</f>
        <v>-0.49905112684221659</v>
      </c>
      <c r="E63" s="438">
        <f>'AVSC2 losslG,lossyA,intra'!$BF$138</f>
        <v>-0.48205475010109833</v>
      </c>
      <c r="F63" s="414"/>
      <c r="G63" s="441">
        <f>'AVSC2 losslG,lossyA,intra'!AS144</f>
        <v>1.6820110296927386</v>
      </c>
      <c r="H63" s="442">
        <f>'AVSC2 losslG,lossyA,intra'!AT144</f>
        <v>1.8434154796730848</v>
      </c>
    </row>
    <row r="64" spans="1:8" ht="14.25" thickBot="1">
      <c r="A64" s="204"/>
      <c r="B64" s="407" t="s">
        <v>1103</v>
      </c>
      <c r="C64" s="431"/>
      <c r="D64" s="437"/>
      <c r="E64" s="417"/>
      <c r="F64" s="413">
        <f>'AVSC2 losslG,lossyA,intra'!BG139</f>
        <v>0</v>
      </c>
      <c r="G64" s="441" t="e">
        <f>'AVSC2 losslG,lossyA,intra'!AS145</f>
        <v>#DIV/0!</v>
      </c>
      <c r="H64" s="442" t="e">
        <f>'AVSC2 losslG,lossyA,intra'!AT145</f>
        <v>#DIV/0!</v>
      </c>
    </row>
    <row r="65" spans="1:8" ht="14.25" thickBot="1">
      <c r="A65" s="204"/>
      <c r="B65" s="407" t="s">
        <v>1104</v>
      </c>
      <c r="C65" s="393">
        <f>'AVSC2 losslG,lossyA,intra'!BD140</f>
        <v>-0.22006865908102721</v>
      </c>
      <c r="D65" s="393">
        <f>'AVSC2 losslG,lossyA,intra'!BE140</f>
        <v>-0.34043495176293309</v>
      </c>
      <c r="E65" s="393">
        <f>'AVSC2 losslG,lossyA,intra'!BF140</f>
        <v>-0.35519352161427376</v>
      </c>
      <c r="F65" s="414"/>
      <c r="G65" s="441">
        <f>'AVSC2 losslG,lossyA,intra'!AS146</f>
        <v>1.247802357520907</v>
      </c>
      <c r="H65" s="442">
        <f>'AVSC2 losslG,lossyA,intra'!AT146</f>
        <v>1.4206359133562763</v>
      </c>
    </row>
    <row r="66" spans="1:8" ht="14.25" thickBot="1">
      <c r="A66" s="204"/>
      <c r="B66" s="339" t="s">
        <v>1158</v>
      </c>
      <c r="C66" s="439"/>
      <c r="D66" s="440"/>
      <c r="E66" s="414"/>
      <c r="F66" s="413">
        <f>'AVSC2 losslG,lossyA,intra'!BG141</f>
        <v>0</v>
      </c>
      <c r="G66" s="441" t="e">
        <f>'AVSC2 losslG,lossyA,intra'!AS147</f>
        <v>#DIV/0!</v>
      </c>
      <c r="H66" s="442" t="e">
        <f>'AVSC2 losslG,lossyA,intra'!AT147</f>
        <v>#DIV/0!</v>
      </c>
    </row>
    <row r="67" spans="1:8" ht="14.25" thickBot="1">
      <c r="A67" s="416"/>
      <c r="B67" s="407" t="s">
        <v>137</v>
      </c>
      <c r="C67" s="438">
        <f>'AVSC2 losslG,lossyA,intra'!BD142</f>
        <v>-0.36105893041351417</v>
      </c>
      <c r="D67" s="438">
        <f>'AVSC2 losslG,lossyA,intra'!BE142</f>
        <v>-0.44137251772247715</v>
      </c>
      <c r="E67" s="438">
        <f>'AVSC2 losslG,lossyA,intra'!BF142</f>
        <v>-0.43592339428770754</v>
      </c>
      <c r="F67" s="413">
        <f>'AVSC2 losslG,lossyA,intra'!BG142</f>
        <v>0</v>
      </c>
      <c r="G67" s="441">
        <f>'AVSC2 losslG,lossyA,intra'!AS148</f>
        <v>1.1032939968700877</v>
      </c>
      <c r="H67" s="442">
        <f>'AVSC2 losslG,lossyA,intra'!AT148</f>
        <v>1.0463690547717102</v>
      </c>
    </row>
    <row r="69" spans="1:8" ht="14.25" thickBot="1"/>
    <row r="70" spans="1:8" ht="14.45" customHeight="1" thickBot="1">
      <c r="A70" s="378"/>
      <c r="B70" s="663" t="s">
        <v>173</v>
      </c>
      <c r="C70" s="671" t="s">
        <v>174</v>
      </c>
      <c r="D70" s="672"/>
      <c r="E70" s="672"/>
      <c r="F70" s="672"/>
      <c r="G70" s="672"/>
      <c r="H70" s="673"/>
    </row>
    <row r="71" spans="1:8" ht="14.45" customHeight="1">
      <c r="A71" s="204"/>
      <c r="B71" s="664"/>
      <c r="C71" s="666" t="s">
        <v>160</v>
      </c>
      <c r="D71" s="667"/>
      <c r="E71" s="667"/>
      <c r="F71" s="668"/>
      <c r="G71" s="669" t="s">
        <v>1098</v>
      </c>
      <c r="H71" s="670"/>
    </row>
    <row r="72" spans="1:8" ht="14.25" thickBot="1">
      <c r="A72" s="416"/>
      <c r="B72" s="665"/>
      <c r="C72" s="194" t="s">
        <v>81</v>
      </c>
      <c r="D72" s="210" t="s">
        <v>83</v>
      </c>
      <c r="E72" s="210" t="s">
        <v>85</v>
      </c>
      <c r="F72" s="211" t="s">
        <v>71</v>
      </c>
      <c r="G72" s="341" t="s">
        <v>1099</v>
      </c>
      <c r="H72" s="342" t="s">
        <v>1100</v>
      </c>
    </row>
    <row r="73" spans="1:8">
      <c r="A73" s="379" t="s">
        <v>1154</v>
      </c>
      <c r="B73" s="380" t="s">
        <v>983</v>
      </c>
      <c r="C73" s="425"/>
      <c r="D73" s="426"/>
      <c r="E73" s="427"/>
      <c r="F73" s="382">
        <f>'AVSC3 losslG,limit-lossyA,intra'!BT5</f>
        <v>0</v>
      </c>
      <c r="G73" s="569"/>
      <c r="H73" s="427"/>
    </row>
    <row r="74" spans="1:8">
      <c r="A74" s="384"/>
      <c r="B74" s="385" t="s">
        <v>984</v>
      </c>
      <c r="C74" s="428"/>
      <c r="D74" s="429"/>
      <c r="E74" s="430"/>
      <c r="F74" s="387">
        <f>'AVSC3 losslG,limit-lossyA,intra'!BT10</f>
        <v>0</v>
      </c>
      <c r="G74" s="570"/>
      <c r="H74" s="430"/>
    </row>
    <row r="75" spans="1:8">
      <c r="A75" s="384"/>
      <c r="B75" s="385" t="s">
        <v>985</v>
      </c>
      <c r="C75" s="428"/>
      <c r="D75" s="429"/>
      <c r="E75" s="430"/>
      <c r="F75" s="387">
        <f>'AVSC3 losslG,limit-lossyA,intra'!BT15</f>
        <v>0</v>
      </c>
      <c r="G75" s="570"/>
      <c r="H75" s="430"/>
    </row>
    <row r="76" spans="1:8">
      <c r="A76" s="384"/>
      <c r="B76" s="385" t="s">
        <v>986</v>
      </c>
      <c r="C76" s="428"/>
      <c r="D76" s="429"/>
      <c r="E76" s="430"/>
      <c r="F76" s="387">
        <f>'AVSC3 losslG,limit-lossyA,intra'!BT20</f>
        <v>0</v>
      </c>
      <c r="G76" s="570"/>
      <c r="H76" s="430"/>
    </row>
    <row r="77" spans="1:8">
      <c r="A77" s="384"/>
      <c r="B77" s="385" t="s">
        <v>987</v>
      </c>
      <c r="C77" s="428"/>
      <c r="D77" s="429"/>
      <c r="E77" s="430"/>
      <c r="F77" s="387">
        <f>'AVSC3 losslG,limit-lossyA,intra'!BT25</f>
        <v>0</v>
      </c>
      <c r="G77" s="570"/>
      <c r="H77" s="430"/>
    </row>
    <row r="78" spans="1:8" ht="14.25" thickBot="1">
      <c r="A78" s="389"/>
      <c r="B78" s="390" t="s">
        <v>988</v>
      </c>
      <c r="C78" s="428"/>
      <c r="D78" s="429"/>
      <c r="E78" s="430"/>
      <c r="F78" s="392">
        <f>'AVSC3 losslG,limit-lossyA,intra'!BT30</f>
        <v>0</v>
      </c>
      <c r="G78" s="570"/>
      <c r="H78" s="430"/>
    </row>
    <row r="79" spans="1:8" s="1" customFormat="1">
      <c r="A79" s="379" t="s">
        <v>1155</v>
      </c>
      <c r="B79" s="558" t="s">
        <v>1212</v>
      </c>
      <c r="C79" s="381">
        <f>'AVSC3 losslG,limit-lossyA,intra'!BQ35</f>
        <v>-0.26703554788264539</v>
      </c>
      <c r="D79" s="401">
        <f>'AVSC3 losslG,limit-lossyA,intra'!BR35</f>
        <v>-0.26703554788264539</v>
      </c>
      <c r="E79" s="382">
        <f>'AVSC3 losslG,limit-lossyA,intra'!BS35</f>
        <v>-0.26703554788264539</v>
      </c>
      <c r="F79" s="565"/>
      <c r="G79" s="570"/>
      <c r="H79" s="430"/>
    </row>
    <row r="80" spans="1:8" s="1" customFormat="1">
      <c r="A80" s="384"/>
      <c r="B80" s="559" t="s">
        <v>1146</v>
      </c>
      <c r="C80" s="386">
        <f>'AVSC3 losslG,limit-lossyA,intra'!BQ40</f>
        <v>-0.25290666385613481</v>
      </c>
      <c r="D80" s="568">
        <f>'AVSC3 losslG,limit-lossyA,intra'!BR40</f>
        <v>-0.25290666385613481</v>
      </c>
      <c r="E80" s="387">
        <f>'AVSC3 losslG,limit-lossyA,intra'!BS40</f>
        <v>-0.25290666385613481</v>
      </c>
      <c r="F80" s="566"/>
      <c r="G80" s="570"/>
      <c r="H80" s="430"/>
    </row>
    <row r="81" spans="1:8" s="1" customFormat="1">
      <c r="A81" s="384"/>
      <c r="B81" s="559" t="s">
        <v>1162</v>
      </c>
      <c r="C81" s="386">
        <f>'AVSC3 losslG,limit-lossyA,intra'!BQ45</f>
        <v>-0.24033688053840985</v>
      </c>
      <c r="D81" s="568">
        <f>'AVSC3 losslG,limit-lossyA,intra'!BR45</f>
        <v>-0.24033688053840985</v>
      </c>
      <c r="E81" s="387">
        <f>'AVSC3 losslG,limit-lossyA,intra'!BS45</f>
        <v>-0.24033688053840985</v>
      </c>
      <c r="F81" s="566"/>
      <c r="G81" s="570"/>
      <c r="H81" s="430"/>
    </row>
    <row r="82" spans="1:8" s="1" customFormat="1">
      <c r="A82" s="384"/>
      <c r="B82" s="559" t="s">
        <v>1165</v>
      </c>
      <c r="C82" s="386">
        <f>'AVSC3 losslG,limit-lossyA,intra'!BQ50</f>
        <v>-0.28017695046336066</v>
      </c>
      <c r="D82" s="568">
        <f>'AVSC3 losslG,limit-lossyA,intra'!BR50</f>
        <v>-0.28017695046336066</v>
      </c>
      <c r="E82" s="387">
        <f>'AVSC3 losslG,limit-lossyA,intra'!BS50</f>
        <v>-0.28017695046336066</v>
      </c>
      <c r="F82" s="566"/>
      <c r="G82" s="570"/>
      <c r="H82" s="430"/>
    </row>
    <row r="83" spans="1:8" s="1" customFormat="1">
      <c r="A83" s="384"/>
      <c r="B83" s="559" t="s">
        <v>1167</v>
      </c>
      <c r="C83" s="386">
        <f>'AVSC3 losslG,limit-lossyA,intra'!BQ55</f>
        <v>-0.11625970356310655</v>
      </c>
      <c r="D83" s="568">
        <f>'AVSC3 losslG,limit-lossyA,intra'!BR55</f>
        <v>-0.11625970356310655</v>
      </c>
      <c r="E83" s="387">
        <f>'AVSC3 losslG,limit-lossyA,intra'!BS55</f>
        <v>-0.11625970356310655</v>
      </c>
      <c r="F83" s="566"/>
      <c r="G83" s="570"/>
      <c r="H83" s="430"/>
    </row>
    <row r="84" spans="1:8" s="1" customFormat="1">
      <c r="A84" s="384"/>
      <c r="B84" s="559" t="s">
        <v>1211</v>
      </c>
      <c r="C84" s="386">
        <f>'AVSC3 losslG,limit-lossyA,intra'!BQ60</f>
        <v>-0.47758982754688262</v>
      </c>
      <c r="D84" s="568">
        <f>'AVSC3 losslG,limit-lossyA,intra'!BR60</f>
        <v>-0.47758982754688262</v>
      </c>
      <c r="E84" s="387">
        <f>'AVSC3 losslG,limit-lossyA,intra'!BS60</f>
        <v>-0.47758982754688262</v>
      </c>
      <c r="F84" s="566"/>
      <c r="G84" s="570"/>
      <c r="H84" s="430"/>
    </row>
    <row r="85" spans="1:8" s="1" customFormat="1" ht="14.25" thickBot="1">
      <c r="A85" s="389"/>
      <c r="B85" s="560" t="s">
        <v>1219</v>
      </c>
      <c r="C85" s="391">
        <f>'AVSC3 losslG,limit-lossyA,intra'!BQ65</f>
        <v>-0.15128328369373789</v>
      </c>
      <c r="D85" s="402">
        <f>'AVSC3 losslG,limit-lossyA,intra'!BR65</f>
        <v>-0.15128328369373789</v>
      </c>
      <c r="E85" s="392">
        <f>'AVSC3 losslG,limit-lossyA,intra'!BS65</f>
        <v>-0.15128328369373789</v>
      </c>
      <c r="F85" s="567"/>
      <c r="G85" s="570"/>
      <c r="H85" s="430"/>
    </row>
    <row r="86" spans="1:8">
      <c r="A86" s="379" t="s">
        <v>178</v>
      </c>
      <c r="B86" s="394" t="s">
        <v>466</v>
      </c>
      <c r="C86" s="428"/>
      <c r="D86" s="429"/>
      <c r="E86" s="430"/>
      <c r="F86" s="382">
        <f>'AVSC3 losslG,limit-lossyA,intra'!BT70</f>
        <v>0</v>
      </c>
      <c r="G86" s="570"/>
      <c r="H86" s="430"/>
    </row>
    <row r="87" spans="1:8">
      <c r="A87" s="384"/>
      <c r="B87" s="395" t="s">
        <v>469</v>
      </c>
      <c r="C87" s="428"/>
      <c r="D87" s="429"/>
      <c r="E87" s="430"/>
      <c r="F87" s="387">
        <f>'AVSC3 losslG,limit-lossyA,intra'!BT75</f>
        <v>0</v>
      </c>
      <c r="G87" s="570"/>
      <c r="H87" s="430"/>
    </row>
    <row r="88" spans="1:8">
      <c r="A88" s="396"/>
      <c r="B88" s="395" t="s">
        <v>470</v>
      </c>
      <c r="C88" s="428"/>
      <c r="D88" s="429"/>
      <c r="E88" s="430"/>
      <c r="F88" s="387">
        <f>'AVSC3 losslG,limit-lossyA,intra'!BT80</f>
        <v>0</v>
      </c>
      <c r="G88" s="570"/>
      <c r="H88" s="430"/>
    </row>
    <row r="89" spans="1:8">
      <c r="A89" s="396"/>
      <c r="B89" s="397" t="s">
        <v>813</v>
      </c>
      <c r="C89" s="428"/>
      <c r="D89" s="429"/>
      <c r="E89" s="430"/>
      <c r="F89" s="387">
        <f>'AVSC3 losslG,limit-lossyA,intra'!BT85</f>
        <v>0</v>
      </c>
      <c r="G89" s="570"/>
      <c r="H89" s="430"/>
    </row>
    <row r="90" spans="1:8" ht="14.25" thickBot="1">
      <c r="A90" s="389"/>
      <c r="B90" s="398" t="s">
        <v>815</v>
      </c>
      <c r="C90" s="431"/>
      <c r="D90" s="432"/>
      <c r="E90" s="433"/>
      <c r="F90" s="392">
        <f>'AVSC3 losslG,limit-lossyA,intra'!BT90</f>
        <v>0</v>
      </c>
      <c r="G90" s="570"/>
      <c r="H90" s="430"/>
    </row>
    <row r="91" spans="1:8">
      <c r="A91" s="399" t="s">
        <v>877</v>
      </c>
      <c r="B91" s="400" t="s">
        <v>872</v>
      </c>
      <c r="C91" s="388">
        <f>'AVSC3 losslG,limit-lossyA,intra'!BQ95</f>
        <v>-0.1688590052701926</v>
      </c>
      <c r="D91" s="388">
        <f>'AVSC3 losslG,limit-lossyA,intra'!BR95</f>
        <v>-0.1688590052701926</v>
      </c>
      <c r="E91" s="388">
        <f>'AVSC3 losslG,limit-lossyA,intra'!BS95</f>
        <v>-0.1688590052701926</v>
      </c>
      <c r="F91" s="434"/>
      <c r="G91" s="570"/>
      <c r="H91" s="430"/>
    </row>
    <row r="92" spans="1:8">
      <c r="A92" s="384"/>
      <c r="B92" s="327" t="s">
        <v>874</v>
      </c>
      <c r="C92" s="388">
        <f>'AVSC3 losslG,limit-lossyA,intra'!BQ100</f>
        <v>-0.16165565786507607</v>
      </c>
      <c r="D92" s="388">
        <f>'AVSC3 losslG,limit-lossyA,intra'!BR100</f>
        <v>-0.16165565786507607</v>
      </c>
      <c r="E92" s="388">
        <f>'AVSC3 losslG,limit-lossyA,intra'!BS100</f>
        <v>-0.16165565786507607</v>
      </c>
      <c r="F92" s="435"/>
      <c r="G92" s="570"/>
      <c r="H92" s="430"/>
    </row>
    <row r="93" spans="1:8">
      <c r="A93" s="396"/>
      <c r="B93" s="334" t="s">
        <v>875</v>
      </c>
      <c r="C93" s="388">
        <f>'AVSC3 losslG,limit-lossyA,intra'!BQ105</f>
        <v>-0.16380151425410427</v>
      </c>
      <c r="D93" s="388">
        <f>'AVSC3 losslG,limit-lossyA,intra'!BR105</f>
        <v>-0.16380151425410427</v>
      </c>
      <c r="E93" s="388">
        <f>'AVSC3 losslG,limit-lossyA,intra'!BS105</f>
        <v>-0.16380151425410427</v>
      </c>
      <c r="F93" s="435"/>
      <c r="G93" s="570"/>
      <c r="H93" s="430"/>
    </row>
    <row r="94" spans="1:8" ht="14.25" thickBot="1">
      <c r="A94" s="389"/>
      <c r="B94" s="398" t="s">
        <v>876</v>
      </c>
      <c r="C94" s="388">
        <f>'AVSC3 losslG,limit-lossyA,intra'!BQ110</f>
        <v>-0.14266350282571161</v>
      </c>
      <c r="D94" s="388">
        <f>'AVSC3 losslG,limit-lossyA,intra'!BR110</f>
        <v>-0.14266350282571161</v>
      </c>
      <c r="E94" s="388">
        <f>'AVSC3 losslG,limit-lossyA,intra'!BS110</f>
        <v>-0.14266350282571161</v>
      </c>
      <c r="F94" s="417"/>
      <c r="G94" s="570"/>
      <c r="H94" s="430"/>
    </row>
    <row r="95" spans="1:8" ht="14.25" thickBot="1">
      <c r="A95" s="421" t="s">
        <v>1102</v>
      </c>
      <c r="B95" s="403" t="s">
        <v>1154</v>
      </c>
      <c r="C95" s="425"/>
      <c r="D95" s="436"/>
      <c r="E95" s="434"/>
      <c r="F95" s="413">
        <f>'AVSC3 losslG,limit-lossyA,intra'!BT115</f>
        <v>0</v>
      </c>
      <c r="G95" s="441" t="e">
        <f>'AVSC3 losslG,limit-lossyA,intra'!BA121</f>
        <v>#DIV/0!</v>
      </c>
      <c r="H95" s="442" t="e">
        <f>'AVSC3 losslG,limit-lossyA,intra'!BB121</f>
        <v>#DIV/0!</v>
      </c>
    </row>
    <row r="96" spans="1:8" s="1" customFormat="1" ht="14.25" thickBot="1">
      <c r="A96" s="562"/>
      <c r="B96" s="563" t="s">
        <v>1155</v>
      </c>
      <c r="C96" s="438">
        <f>'AVSC3 losslG,limit-lossyA,intra'!$BQ$116</f>
        <v>-0.25508412250632539</v>
      </c>
      <c r="D96" s="438">
        <f>'AVSC3 losslG,limit-lossyA,intra'!$BR$116</f>
        <v>-0.25508412250632539</v>
      </c>
      <c r="E96" s="438">
        <f>'AVSC3 losslG,limit-lossyA,intra'!$BS$116</f>
        <v>-0.25508412250632539</v>
      </c>
      <c r="F96" s="414"/>
      <c r="G96" s="441">
        <f>'AVSC3 losslG,limit-lossyA,intra'!BA122</f>
        <v>1.6638960051735416</v>
      </c>
      <c r="H96" s="442">
        <f>'AVSC3 losslG,limit-lossyA,intra'!BB122</f>
        <v>1.8250348193653052</v>
      </c>
    </row>
    <row r="97" spans="1:8" ht="14.25" thickBot="1">
      <c r="A97" s="204"/>
      <c r="B97" s="407" t="s">
        <v>1103</v>
      </c>
      <c r="C97" s="431"/>
      <c r="D97" s="437"/>
      <c r="E97" s="417"/>
      <c r="F97" s="413">
        <f>'AVSC3 losslG,limit-lossyA,intra'!BT117</f>
        <v>0</v>
      </c>
      <c r="G97" s="441" t="e">
        <f>'AVSC3 losslG,limit-lossyA,intra'!BA123</f>
        <v>#DIV/0!</v>
      </c>
      <c r="H97" s="442" t="e">
        <f>'AVSC3 losslG,limit-lossyA,intra'!BB123</f>
        <v>#DIV/0!</v>
      </c>
    </row>
    <row r="98" spans="1:8" ht="14.25" thickBot="1">
      <c r="A98" s="204"/>
      <c r="B98" s="407" t="s">
        <v>1104</v>
      </c>
      <c r="C98" s="393">
        <f>'AVSC3 losslG,limit-lossyA,intra'!BQ118</f>
        <v>-0.15924492005377114</v>
      </c>
      <c r="D98" s="393">
        <f>'AVSC3 losslG,limit-lossyA,intra'!BR118</f>
        <v>-0.15924492005377114</v>
      </c>
      <c r="E98" s="393">
        <f>'AVSC3 losslG,limit-lossyA,intra'!BS118</f>
        <v>-0.15924492005377114</v>
      </c>
      <c r="F98" s="414"/>
      <c r="G98" s="441">
        <f>'AVSC3 losslG,limit-lossyA,intra'!BA124</f>
        <v>1.2511725672392744</v>
      </c>
      <c r="H98" s="442">
        <f>'AVSC3 losslG,limit-lossyA,intra'!BB124</f>
        <v>1.4380171312074255</v>
      </c>
    </row>
    <row r="99" spans="1:8" ht="14.25" thickBot="1">
      <c r="A99" s="204"/>
      <c r="B99" s="339" t="s">
        <v>1158</v>
      </c>
      <c r="C99" s="439"/>
      <c r="D99" s="440"/>
      <c r="E99" s="414"/>
      <c r="F99" s="413">
        <f>'AVSC3 losslG,limit-lossyA,intra'!BT119</f>
        <v>0</v>
      </c>
      <c r="G99" s="441" t="e">
        <f>'AVSC3 losslG,limit-lossyA,intra'!BA125</f>
        <v>#DIV/0!</v>
      </c>
      <c r="H99" s="442" t="e">
        <f>'AVSC3 losslG,limit-lossyA,intra'!BB125</f>
        <v>#DIV/0!</v>
      </c>
    </row>
    <row r="100" spans="1:8" ht="14.25" thickBot="1">
      <c r="A100" s="416"/>
      <c r="B100" s="407" t="s">
        <v>137</v>
      </c>
      <c r="C100" s="438">
        <f>'AVSC3 losslG,limit-lossyA,intra'!BQ120</f>
        <v>-0.22023350343266931</v>
      </c>
      <c r="D100" s="438">
        <f>'AVSC3 losslG,limit-lossyA,intra'!BR120</f>
        <v>-0.22023350343266931</v>
      </c>
      <c r="E100" s="438">
        <f>'AVSC3 losslG,limit-lossyA,intra'!BS120</f>
        <v>-0.22023350343266931</v>
      </c>
      <c r="F100" s="413">
        <f>'AVSC3 losslG,limit-lossyA,intra'!BT120</f>
        <v>0</v>
      </c>
      <c r="G100" s="441">
        <f>'AVSC3 losslG,limit-lossyA,intra'!BA126</f>
        <v>1.1081233658585927</v>
      </c>
      <c r="H100" s="442">
        <f>'AVSC3 losslG,limit-lossyA,intra'!BB126</f>
        <v>1.0408763193587587</v>
      </c>
    </row>
    <row r="102" spans="1:8" ht="14.25" thickBot="1"/>
    <row r="103" spans="1:8" ht="14.45" customHeight="1" thickBot="1">
      <c r="A103" s="378"/>
      <c r="B103" s="674" t="s">
        <v>176</v>
      </c>
      <c r="C103" s="680" t="s">
        <v>151</v>
      </c>
      <c r="D103" s="681"/>
      <c r="E103" s="681"/>
      <c r="F103" s="681"/>
      <c r="G103" s="681"/>
      <c r="H103" s="682"/>
    </row>
    <row r="104" spans="1:8">
      <c r="A104" s="204"/>
      <c r="B104" s="675"/>
      <c r="C104" s="677" t="s">
        <v>146</v>
      </c>
      <c r="D104" s="678"/>
      <c r="E104" s="678"/>
      <c r="F104" s="679"/>
      <c r="G104" s="669" t="s">
        <v>1098</v>
      </c>
      <c r="H104" s="670"/>
    </row>
    <row r="105" spans="1:8" ht="14.25" thickBot="1">
      <c r="A105" s="416"/>
      <c r="B105" s="676"/>
      <c r="C105" s="443" t="s">
        <v>65</v>
      </c>
      <c r="D105" s="422" t="s">
        <v>67</v>
      </c>
      <c r="E105" s="423" t="s">
        <v>78</v>
      </c>
      <c r="F105" s="443" t="s">
        <v>71</v>
      </c>
      <c r="G105" s="341" t="s">
        <v>1099</v>
      </c>
      <c r="H105" s="342" t="s">
        <v>1100</v>
      </c>
    </row>
    <row r="106" spans="1:8">
      <c r="A106" s="379" t="s">
        <v>1154</v>
      </c>
      <c r="B106" s="380" t="s">
        <v>983</v>
      </c>
      <c r="C106" s="444">
        <f>'AVSC4 losslG,losslA,intra'!AR5</f>
        <v>1</v>
      </c>
      <c r="D106" s="444">
        <f>'AVSC4 losslG,losslA,intra'!AS5</f>
        <v>1</v>
      </c>
      <c r="E106" s="445"/>
      <c r="F106" s="446">
        <f>'AVSC4 losslG,losslA,intra'!AU5</f>
        <v>1</v>
      </c>
      <c r="G106" s="569"/>
      <c r="H106" s="427"/>
    </row>
    <row r="107" spans="1:8">
      <c r="A107" s="384"/>
      <c r="B107" s="385" t="s">
        <v>984</v>
      </c>
      <c r="C107" s="447">
        <f>'AVSC4 losslG,losslA,intra'!AR6</f>
        <v>1</v>
      </c>
      <c r="D107" s="447">
        <f>'AVSC4 losslG,losslA,intra'!AS6</f>
        <v>1</v>
      </c>
      <c r="E107" s="448"/>
      <c r="F107" s="449">
        <f>'AVSC4 losslG,losslA,intra'!AU6</f>
        <v>1</v>
      </c>
      <c r="G107" s="570"/>
      <c r="H107" s="430"/>
    </row>
    <row r="108" spans="1:8">
      <c r="A108" s="384"/>
      <c r="B108" s="385" t="s">
        <v>985</v>
      </c>
      <c r="C108" s="447">
        <f>'AVSC4 losslG,losslA,intra'!AR7</f>
        <v>1</v>
      </c>
      <c r="D108" s="447">
        <f>'AVSC4 losslG,losslA,intra'!AS7</f>
        <v>1</v>
      </c>
      <c r="E108" s="448"/>
      <c r="F108" s="449">
        <f>'AVSC4 losslG,losslA,intra'!AU7</f>
        <v>1</v>
      </c>
      <c r="G108" s="570"/>
      <c r="H108" s="430"/>
    </row>
    <row r="109" spans="1:8">
      <c r="A109" s="384"/>
      <c r="B109" s="385" t="s">
        <v>986</v>
      </c>
      <c r="C109" s="447">
        <f>'AVSC4 losslG,losslA,intra'!AR8</f>
        <v>1</v>
      </c>
      <c r="D109" s="447">
        <f>'AVSC4 losslG,losslA,intra'!AS8</f>
        <v>1</v>
      </c>
      <c r="E109" s="448"/>
      <c r="F109" s="449">
        <f>'AVSC4 losslG,losslA,intra'!AU8</f>
        <v>1</v>
      </c>
      <c r="G109" s="570"/>
      <c r="H109" s="430"/>
    </row>
    <row r="110" spans="1:8">
      <c r="A110" s="384"/>
      <c r="B110" s="385" t="s">
        <v>987</v>
      </c>
      <c r="C110" s="447">
        <f>'AVSC4 losslG,losslA,intra'!AR9</f>
        <v>1</v>
      </c>
      <c r="D110" s="447">
        <f>'AVSC4 losslG,losslA,intra'!AS9</f>
        <v>1</v>
      </c>
      <c r="E110" s="448"/>
      <c r="F110" s="449">
        <f>'AVSC4 losslG,losslA,intra'!AU9</f>
        <v>1</v>
      </c>
      <c r="G110" s="570"/>
      <c r="H110" s="430"/>
    </row>
    <row r="111" spans="1:8" ht="14.25" thickBot="1">
      <c r="A111" s="389"/>
      <c r="B111" s="390" t="s">
        <v>988</v>
      </c>
      <c r="C111" s="450">
        <f>'AVSC4 losslG,losslA,intra'!AR10</f>
        <v>1</v>
      </c>
      <c r="D111" s="450">
        <f>'AVSC4 losslG,losslA,intra'!AS10</f>
        <v>1</v>
      </c>
      <c r="E111" s="451"/>
      <c r="F111" s="452">
        <f>'AVSC4 losslG,losslA,intra'!AU10</f>
        <v>1</v>
      </c>
      <c r="G111" s="570"/>
      <c r="H111" s="430"/>
    </row>
    <row r="112" spans="1:8" s="1" customFormat="1">
      <c r="A112" s="379" t="s">
        <v>1155</v>
      </c>
      <c r="B112" s="558" t="s">
        <v>1145</v>
      </c>
      <c r="C112" s="447">
        <f>'AVSC4 losslG,losslA,intra'!AR11</f>
        <v>0.9985357407773896</v>
      </c>
      <c r="D112" s="447">
        <f>'AVSC4 losslG,losslA,intra'!AS11</f>
        <v>1</v>
      </c>
      <c r="E112" s="444">
        <f>'AVSC4 losslG,losslA,intra'!AT11</f>
        <v>0.99502319704233111</v>
      </c>
      <c r="F112" s="453"/>
      <c r="G112" s="570"/>
      <c r="H112" s="430"/>
    </row>
    <row r="113" spans="1:8" s="1" customFormat="1">
      <c r="A113" s="384"/>
      <c r="B113" s="559" t="s">
        <v>1146</v>
      </c>
      <c r="C113" s="447">
        <f>'AVSC4 losslG,losslA,intra'!AR12</f>
        <v>0.99783811422184143</v>
      </c>
      <c r="D113" s="447">
        <f>'AVSC4 losslG,losslA,intra'!AS12</f>
        <v>1</v>
      </c>
      <c r="E113" s="447">
        <f>'AVSC4 losslG,losslA,intra'!AT12</f>
        <v>0.99268971701136133</v>
      </c>
      <c r="F113" s="454"/>
      <c r="G113" s="570"/>
      <c r="H113" s="430"/>
    </row>
    <row r="114" spans="1:8" s="1" customFormat="1">
      <c r="A114" s="384"/>
      <c r="B114" s="559" t="s">
        <v>1147</v>
      </c>
      <c r="C114" s="447">
        <f>'AVSC4 losslG,losslA,intra'!AR13</f>
        <v>0.9506017446888444</v>
      </c>
      <c r="D114" s="447">
        <f>'AVSC4 losslG,losslA,intra'!AS13</f>
        <v>1</v>
      </c>
      <c r="E114" s="447">
        <f>'AVSC4 losslG,losslA,intra'!AT13</f>
        <v>0.91427706398501085</v>
      </c>
      <c r="F114" s="454"/>
      <c r="G114" s="570"/>
      <c r="H114" s="430"/>
    </row>
    <row r="115" spans="1:8" s="1" customFormat="1">
      <c r="A115" s="384"/>
      <c r="B115" s="559" t="s">
        <v>1148</v>
      </c>
      <c r="C115" s="447">
        <f>'AVSC4 losslG,losslA,intra'!AR14</f>
        <v>0.9550351798422887</v>
      </c>
      <c r="D115" s="447">
        <f>'AVSC4 losslG,losslA,intra'!AS14</f>
        <v>1</v>
      </c>
      <c r="E115" s="447">
        <f>'AVSC4 losslG,losslA,intra'!AT14</f>
        <v>0.91616663752693084</v>
      </c>
      <c r="F115" s="454"/>
      <c r="G115" s="570"/>
      <c r="H115" s="430"/>
    </row>
    <row r="116" spans="1:8" s="1" customFormat="1">
      <c r="A116" s="384"/>
      <c r="B116" s="559" t="s">
        <v>1156</v>
      </c>
      <c r="C116" s="447">
        <f>'AVSC4 losslG,losslA,intra'!AR15</f>
        <v>0.96334298442326172</v>
      </c>
      <c r="D116" s="447">
        <f>'AVSC4 losslG,losslA,intra'!AS15</f>
        <v>1</v>
      </c>
      <c r="E116" s="447">
        <f>'AVSC4 losslG,losslA,intra'!AT15</f>
        <v>0.95605904938839759</v>
      </c>
      <c r="F116" s="454"/>
      <c r="G116" s="570"/>
      <c r="H116" s="430"/>
    </row>
    <row r="117" spans="1:8" s="1" customFormat="1">
      <c r="A117" s="384"/>
      <c r="B117" s="559" t="s">
        <v>1157</v>
      </c>
      <c r="C117" s="447">
        <f>'AVSC4 losslG,losslA,intra'!AR16</f>
        <v>0.99343843635030415</v>
      </c>
      <c r="D117" s="447">
        <f>'AVSC4 losslG,losslA,intra'!AS16</f>
        <v>1</v>
      </c>
      <c r="E117" s="447">
        <f>'AVSC4 losslG,losslA,intra'!AT16</f>
        <v>0.98030700996243536</v>
      </c>
      <c r="F117" s="454"/>
      <c r="G117" s="570"/>
      <c r="H117" s="430"/>
    </row>
    <row r="118" spans="1:8" s="1" customFormat="1" ht="14.25" thickBot="1">
      <c r="A118" s="389"/>
      <c r="B118" s="560" t="s">
        <v>1149</v>
      </c>
      <c r="C118" s="447">
        <f>'AVSC4 losslG,losslA,intra'!AR17</f>
        <v>0.95985961015614607</v>
      </c>
      <c r="D118" s="447">
        <f>'AVSC4 losslG,losslA,intra'!AS17</f>
        <v>1</v>
      </c>
      <c r="E118" s="450">
        <f>'AVSC4 losslG,losslA,intra'!AT17</f>
        <v>0.94311263740888518</v>
      </c>
      <c r="F118" s="455"/>
      <c r="G118" s="570"/>
      <c r="H118" s="430"/>
    </row>
    <row r="119" spans="1:8">
      <c r="A119" s="379" t="s">
        <v>178</v>
      </c>
      <c r="B119" s="394" t="s">
        <v>466</v>
      </c>
      <c r="C119" s="444">
        <f>'AVSC4 losslG,losslA,intra'!AR18</f>
        <v>1</v>
      </c>
      <c r="D119" s="444">
        <f>'AVSC4 losslG,losslA,intra'!AS18</f>
        <v>1</v>
      </c>
      <c r="E119" s="445"/>
      <c r="F119" s="446">
        <f>'AVSC4 losslG,losslA,intra'!AU18</f>
        <v>1</v>
      </c>
      <c r="G119" s="570"/>
      <c r="H119" s="430"/>
    </row>
    <row r="120" spans="1:8">
      <c r="A120" s="384"/>
      <c r="B120" s="395" t="s">
        <v>469</v>
      </c>
      <c r="C120" s="447">
        <f>'AVSC4 losslG,losslA,intra'!AR19</f>
        <v>1</v>
      </c>
      <c r="D120" s="447">
        <f>'AVSC4 losslG,losslA,intra'!AS19</f>
        <v>1</v>
      </c>
      <c r="E120" s="448"/>
      <c r="F120" s="449">
        <f>'AVSC4 losslG,losslA,intra'!AU19</f>
        <v>1</v>
      </c>
      <c r="G120" s="570"/>
      <c r="H120" s="430"/>
    </row>
    <row r="121" spans="1:8">
      <c r="A121" s="396"/>
      <c r="B121" s="395" t="s">
        <v>470</v>
      </c>
      <c r="C121" s="447">
        <f>'AVSC4 losslG,losslA,intra'!AR20</f>
        <v>1</v>
      </c>
      <c r="D121" s="447">
        <f>'AVSC4 losslG,losslA,intra'!AS20</f>
        <v>1</v>
      </c>
      <c r="E121" s="448"/>
      <c r="F121" s="449">
        <f>'AVSC4 losslG,losslA,intra'!AU20</f>
        <v>1</v>
      </c>
      <c r="G121" s="570"/>
      <c r="H121" s="430"/>
    </row>
    <row r="122" spans="1:8">
      <c r="A122" s="396"/>
      <c r="B122" s="397" t="s">
        <v>813</v>
      </c>
      <c r="C122" s="447">
        <f>'AVSC4 losslG,losslA,intra'!AR21</f>
        <v>1</v>
      </c>
      <c r="D122" s="447">
        <f>'AVSC4 losslG,losslA,intra'!AS21</f>
        <v>1</v>
      </c>
      <c r="E122" s="448"/>
      <c r="F122" s="449">
        <f>'AVSC4 losslG,losslA,intra'!AU21</f>
        <v>1</v>
      </c>
      <c r="G122" s="570"/>
      <c r="H122" s="430"/>
    </row>
    <row r="123" spans="1:8" ht="14.25" thickBot="1">
      <c r="A123" s="389"/>
      <c r="B123" s="398" t="s">
        <v>815</v>
      </c>
      <c r="C123" s="450">
        <f>'AVSC4 losslG,losslA,intra'!AR22</f>
        <v>1</v>
      </c>
      <c r="D123" s="450">
        <f>'AVSC4 losslG,losslA,intra'!AS22</f>
        <v>1</v>
      </c>
      <c r="E123" s="451"/>
      <c r="F123" s="452">
        <f>'AVSC4 losslG,losslA,intra'!AU22</f>
        <v>1</v>
      </c>
      <c r="G123" s="570"/>
      <c r="H123" s="430"/>
    </row>
    <row r="124" spans="1:8">
      <c r="A124" s="399" t="s">
        <v>877</v>
      </c>
      <c r="B124" s="400" t="s">
        <v>872</v>
      </c>
      <c r="C124" s="444">
        <f>'AVSC4 losslG,losslA,intra'!AR23</f>
        <v>0.9760503966559273</v>
      </c>
      <c r="D124" s="444">
        <f>'AVSC4 losslG,losslA,intra'!AS23</f>
        <v>1</v>
      </c>
      <c r="E124" s="444">
        <f>'AVSC4 losslG,losslA,intra'!AT23</f>
        <v>0.97310746737664233</v>
      </c>
      <c r="F124" s="453"/>
      <c r="G124" s="570"/>
      <c r="H124" s="430"/>
    </row>
    <row r="125" spans="1:8">
      <c r="A125" s="384"/>
      <c r="B125" s="327" t="s">
        <v>874</v>
      </c>
      <c r="C125" s="447">
        <f>'AVSC4 losslG,losslA,intra'!AR24</f>
        <v>0.9764773896321548</v>
      </c>
      <c r="D125" s="447">
        <f>'AVSC4 losslG,losslA,intra'!AS24</f>
        <v>1</v>
      </c>
      <c r="E125" s="447">
        <f>'AVSC4 losslG,losslA,intra'!AT24</f>
        <v>0.97342516739061213</v>
      </c>
      <c r="F125" s="454"/>
      <c r="G125" s="570"/>
      <c r="H125" s="430"/>
    </row>
    <row r="126" spans="1:8">
      <c r="A126" s="396"/>
      <c r="B126" s="334" t="s">
        <v>875</v>
      </c>
      <c r="C126" s="447">
        <f>'AVSC4 losslG,losslA,intra'!AR25</f>
        <v>0.97748819478706717</v>
      </c>
      <c r="D126" s="447">
        <f>'AVSC4 losslG,losslA,intra'!AS25</f>
        <v>1</v>
      </c>
      <c r="E126" s="447">
        <f>'AVSC4 losslG,losslA,intra'!AT25</f>
        <v>0.97493197673240961</v>
      </c>
      <c r="F126" s="454"/>
      <c r="G126" s="570"/>
      <c r="H126" s="430"/>
    </row>
    <row r="127" spans="1:8" ht="14.25" thickBot="1">
      <c r="A127" s="389"/>
      <c r="B127" s="398" t="s">
        <v>876</v>
      </c>
      <c r="C127" s="450">
        <f>'AVSC4 losslG,losslA,intra'!AR26</f>
        <v>0.97805632006922094</v>
      </c>
      <c r="D127" s="450">
        <f>'AVSC4 losslG,losslA,intra'!AS26</f>
        <v>1</v>
      </c>
      <c r="E127" s="450">
        <f>'AVSC4 losslG,losslA,intra'!AT26</f>
        <v>0.97541703513859168</v>
      </c>
      <c r="F127" s="455"/>
      <c r="G127" s="570"/>
      <c r="H127" s="430"/>
    </row>
    <row r="128" spans="1:8" ht="14.25" thickBot="1">
      <c r="A128" s="421" t="s">
        <v>1102</v>
      </c>
      <c r="B128" s="403" t="s">
        <v>1154</v>
      </c>
      <c r="C128" s="438">
        <f>'AVSC4 losslG,losslA,intra'!AR27</f>
        <v>1</v>
      </c>
      <c r="D128" s="438">
        <f>'AVSC4 losslG,losslA,intra'!AS27</f>
        <v>1</v>
      </c>
      <c r="E128" s="456"/>
      <c r="F128" s="413">
        <f>'AVSC4 losslG,losslA,intra'!AU27</f>
        <v>1</v>
      </c>
      <c r="G128" s="441" t="e">
        <f>'AVSC4 losslG,losslA,intra'!AL33</f>
        <v>#DIV/0!</v>
      </c>
      <c r="H128" s="442" t="e">
        <f>'AVSC4 losslG,losslA,intra'!AM33</f>
        <v>#DIV/0!</v>
      </c>
    </row>
    <row r="129" spans="1:8" s="1" customFormat="1" ht="14.25" thickBot="1">
      <c r="A129" s="562"/>
      <c r="B129" s="563" t="s">
        <v>1155</v>
      </c>
      <c r="C129" s="438">
        <f>'AVSC4 losslG,losslA,intra'!AR28</f>
        <v>0.97695392039621765</v>
      </c>
      <c r="D129" s="438">
        <f>'AVSC4 losslG,losslA,intra'!AS28</f>
        <v>1</v>
      </c>
      <c r="E129" s="438">
        <f>'AVSC4 losslG,losslA,intra'!AT28</f>
        <v>0.95162889989460564</v>
      </c>
      <c r="F129" s="457"/>
      <c r="G129" s="441">
        <f>'AVSC4 losslG,losslA,intra'!AL34</f>
        <v>1.6991646166346941</v>
      </c>
      <c r="H129" s="442">
        <f>'AVSC4 losslG,losslA,intra'!AM34</f>
        <v>1.9293107953984956</v>
      </c>
    </row>
    <row r="130" spans="1:8" ht="14.25" thickBot="1">
      <c r="A130" s="204"/>
      <c r="B130" s="407" t="s">
        <v>1103</v>
      </c>
      <c r="C130" s="438">
        <f>'AVSC4 losslG,losslA,intra'!AR29</f>
        <v>1</v>
      </c>
      <c r="D130" s="438">
        <f>'AVSC4 losslG,losslA,intra'!AS29</f>
        <v>1</v>
      </c>
      <c r="E130" s="456"/>
      <c r="F130" s="413">
        <f>'AVSC4 losslG,losslA,intra'!AU29</f>
        <v>1</v>
      </c>
      <c r="G130" s="441" t="e">
        <f>'AVSC4 losslG,losslA,intra'!AL35</f>
        <v>#DIV/0!</v>
      </c>
      <c r="H130" s="442" t="e">
        <f>'AVSC4 losslG,losslA,intra'!AM35</f>
        <v>#DIV/0!</v>
      </c>
    </row>
    <row r="131" spans="1:8" ht="14.25" thickBot="1">
      <c r="A131" s="204"/>
      <c r="B131" s="407" t="s">
        <v>1104</v>
      </c>
      <c r="C131" s="438">
        <f>'AVSC4 losslG,losslA,intra'!AR30</f>
        <v>0.97702240055343947</v>
      </c>
      <c r="D131" s="438">
        <f>'AVSC4 losslG,losslA,intra'!AS30</f>
        <v>1</v>
      </c>
      <c r="E131" s="438">
        <f>'AVSC4 losslG,losslA,intra'!AT30</f>
        <v>0.97423165841594039</v>
      </c>
      <c r="F131" s="457"/>
      <c r="G131" s="441">
        <f>'AVSC4 losslG,losslA,intra'!AL36</f>
        <v>1.3057292968388334</v>
      </c>
      <c r="H131" s="442">
        <f>'AVSC4 losslG,losslA,intra'!AM36</f>
        <v>1.4943267595605025</v>
      </c>
    </row>
    <row r="132" spans="1:8" ht="14.25" thickBot="1">
      <c r="A132" s="204"/>
      <c r="B132" s="339" t="s">
        <v>1158</v>
      </c>
      <c r="C132" s="393">
        <f>'AVSC4 losslG,losslA,intra'!AR31</f>
        <v>1</v>
      </c>
      <c r="D132" s="393">
        <f>'AVSC4 losslG,losslA,intra'!AS31</f>
        <v>1</v>
      </c>
      <c r="E132" s="456"/>
      <c r="F132" s="392">
        <f>'AVSC4 losslG,losslA,intra'!AU31</f>
        <v>1</v>
      </c>
      <c r="G132" s="441" t="e">
        <f>'AVSC4 losslG,losslA,intra'!AL37</f>
        <v>#DIV/0!</v>
      </c>
      <c r="H132" s="442" t="e">
        <f>'AVSC4 losslG,losslA,intra'!AM37</f>
        <v>#DIV/0!</v>
      </c>
    </row>
    <row r="133" spans="1:8" ht="14.25" thickBot="1">
      <c r="A133" s="416"/>
      <c r="B133" s="407" t="s">
        <v>137</v>
      </c>
      <c r="C133" s="393">
        <f>'AVSC4 losslG,losslA,intra'!AR32</f>
        <v>0.98956715176449173</v>
      </c>
      <c r="D133" s="393">
        <f>'AVSC4 losslG,losslA,intra'!AS32</f>
        <v>1</v>
      </c>
      <c r="E133" s="393">
        <f>'AVSC4 losslG,losslA,intra'!AT32</f>
        <v>0.95773004412476737</v>
      </c>
      <c r="F133" s="392">
        <f>'AVSC4 losslG,losslA,intra'!AU32</f>
        <v>1</v>
      </c>
      <c r="G133" s="441">
        <f>'AVSC4 losslG,losslA,intra'!AL38</f>
        <v>1.119333591841567</v>
      </c>
      <c r="H133" s="442">
        <f>'AVSC4 losslG,losslA,intra'!AM38</f>
        <v>1.061637098014917</v>
      </c>
    </row>
  </sheetData>
  <mergeCells count="19">
    <mergeCell ref="C4:J4"/>
    <mergeCell ref="C1:E1"/>
    <mergeCell ref="C2:E2"/>
    <mergeCell ref="B4:B6"/>
    <mergeCell ref="C5:D5"/>
    <mergeCell ref="E5:H5"/>
    <mergeCell ref="B37:B39"/>
    <mergeCell ref="C38:F38"/>
    <mergeCell ref="G38:H38"/>
    <mergeCell ref="C37:H37"/>
    <mergeCell ref="I5:J5"/>
    <mergeCell ref="B70:B72"/>
    <mergeCell ref="C71:F71"/>
    <mergeCell ref="G71:H71"/>
    <mergeCell ref="C70:H70"/>
    <mergeCell ref="B103:B105"/>
    <mergeCell ref="C104:F104"/>
    <mergeCell ref="G104:H104"/>
    <mergeCell ref="C103:H103"/>
  </mergeCells>
  <phoneticPr fontId="2" type="noConversion"/>
  <conditionalFormatting sqref="E25:G28">
    <cfRule type="cellIs" dxfId="5516" priority="239" operator="greaterThanOrEqual">
      <formula>0.03</formula>
    </cfRule>
    <cfRule type="cellIs" dxfId="5515" priority="240" operator="lessThanOrEqual">
      <formula>-0.03</formula>
    </cfRule>
  </conditionalFormatting>
  <conditionalFormatting sqref="C34:D34 C7:D32">
    <cfRule type="cellIs" dxfId="5514" priority="237" operator="greaterThanOrEqual">
      <formula>0.03</formula>
    </cfRule>
    <cfRule type="cellIs" dxfId="5513" priority="238" operator="lessThanOrEqual">
      <formula>-0.03</formula>
    </cfRule>
  </conditionalFormatting>
  <conditionalFormatting sqref="E32:G32 E34:G34">
    <cfRule type="cellIs" dxfId="5512" priority="235" operator="greaterThanOrEqual">
      <formula>0.03</formula>
    </cfRule>
    <cfRule type="cellIs" dxfId="5511" priority="236" operator="lessThanOrEqual">
      <formula>-0.03</formula>
    </cfRule>
  </conditionalFormatting>
  <conditionalFormatting sqref="H29 H31">
    <cfRule type="cellIs" dxfId="5510" priority="233" operator="greaterThanOrEqual">
      <formula>0.03</formula>
    </cfRule>
    <cfRule type="cellIs" dxfId="5509" priority="234" operator="lessThanOrEqual">
      <formula>-0.03</formula>
    </cfRule>
  </conditionalFormatting>
  <conditionalFormatting sqref="H34">
    <cfRule type="cellIs" dxfId="5508" priority="231" operator="greaterThanOrEqual">
      <formula>0.03</formula>
    </cfRule>
    <cfRule type="cellIs" dxfId="5507" priority="232" operator="lessThanOrEqual">
      <formula>-0.03</formula>
    </cfRule>
  </conditionalFormatting>
  <conditionalFormatting sqref="H20:H24">
    <cfRule type="cellIs" dxfId="5506" priority="229" operator="greaterThanOrEqual">
      <formula>0.03</formula>
    </cfRule>
    <cfRule type="cellIs" dxfId="5505" priority="230" operator="lessThanOrEqual">
      <formula>-0.03</formula>
    </cfRule>
  </conditionalFormatting>
  <conditionalFormatting sqref="H7:H12">
    <cfRule type="cellIs" dxfId="5504" priority="227" operator="greaterThanOrEqual">
      <formula>0.03</formula>
    </cfRule>
    <cfRule type="cellIs" dxfId="5503" priority="228" operator="lessThanOrEqual">
      <formula>-0.03</formula>
    </cfRule>
  </conditionalFormatting>
  <conditionalFormatting sqref="C33:D33">
    <cfRule type="cellIs" dxfId="5502" priority="221" operator="greaterThanOrEqual">
      <formula>0.03</formula>
    </cfRule>
    <cfRule type="cellIs" dxfId="5501" priority="222" operator="lessThanOrEqual">
      <formula>-0.03</formula>
    </cfRule>
  </conditionalFormatting>
  <conditionalFormatting sqref="H33">
    <cfRule type="cellIs" dxfId="5500" priority="217" operator="greaterThanOrEqual">
      <formula>0.03</formula>
    </cfRule>
    <cfRule type="cellIs" dxfId="5499" priority="218" operator="lessThanOrEqual">
      <formula>-0.03</formula>
    </cfRule>
  </conditionalFormatting>
  <conditionalFormatting sqref="I33:J34">
    <cfRule type="cellIs" dxfId="5498" priority="215" operator="greaterThanOrEqual">
      <formula>1.1</formula>
    </cfRule>
    <cfRule type="cellIs" dxfId="5497" priority="216" operator="lessThanOrEqual">
      <formula>0.9</formula>
    </cfRule>
  </conditionalFormatting>
  <conditionalFormatting sqref="C58:E61">
    <cfRule type="cellIs" dxfId="5496" priority="153" operator="greaterThanOrEqual">
      <formula>0.03</formula>
    </cfRule>
    <cfRule type="cellIs" dxfId="5495" priority="154" operator="lessThanOrEqual">
      <formula>-0.03</formula>
    </cfRule>
  </conditionalFormatting>
  <conditionalFormatting sqref="C65:E65">
    <cfRule type="cellIs" dxfId="5494" priority="151" operator="greaterThanOrEqual">
      <formula>0.03</formula>
    </cfRule>
    <cfRule type="cellIs" dxfId="5493" priority="152" operator="lessThanOrEqual">
      <formula>-0.03</formula>
    </cfRule>
  </conditionalFormatting>
  <conditionalFormatting sqref="F62 F64">
    <cfRule type="cellIs" dxfId="5492" priority="149" operator="greaterThanOrEqual">
      <formula>0.03</formula>
    </cfRule>
    <cfRule type="cellIs" dxfId="5491" priority="150" operator="lessThanOrEqual">
      <formula>-0.03</formula>
    </cfRule>
  </conditionalFormatting>
  <conditionalFormatting sqref="F66">
    <cfRule type="cellIs" dxfId="5490" priority="147" operator="greaterThanOrEqual">
      <formula>0.03</formula>
    </cfRule>
    <cfRule type="cellIs" dxfId="5489" priority="148" operator="lessThanOrEqual">
      <formula>-0.03</formula>
    </cfRule>
  </conditionalFormatting>
  <conditionalFormatting sqref="F53:F57">
    <cfRule type="cellIs" dxfId="5488" priority="145" operator="greaterThanOrEqual">
      <formula>0.03</formula>
    </cfRule>
    <cfRule type="cellIs" dxfId="5487" priority="146" operator="lessThanOrEqual">
      <formula>-0.03</formula>
    </cfRule>
  </conditionalFormatting>
  <conditionalFormatting sqref="F40:F45">
    <cfRule type="cellIs" dxfId="5486" priority="143" operator="greaterThanOrEqual">
      <formula>0.03</formula>
    </cfRule>
    <cfRule type="cellIs" dxfId="5485" priority="144" operator="lessThanOrEqual">
      <formula>-0.03</formula>
    </cfRule>
  </conditionalFormatting>
  <conditionalFormatting sqref="C67:E67">
    <cfRule type="cellIs" dxfId="5484" priority="141" operator="greaterThanOrEqual">
      <formula>0.03</formula>
    </cfRule>
    <cfRule type="cellIs" dxfId="5483" priority="142" operator="lessThanOrEqual">
      <formula>-0.03</formula>
    </cfRule>
  </conditionalFormatting>
  <conditionalFormatting sqref="F67">
    <cfRule type="cellIs" dxfId="5482" priority="139" operator="greaterThanOrEqual">
      <formula>0.03</formula>
    </cfRule>
    <cfRule type="cellIs" dxfId="5481" priority="140" operator="lessThanOrEqual">
      <formula>-0.03</formula>
    </cfRule>
  </conditionalFormatting>
  <conditionalFormatting sqref="G66:H67">
    <cfRule type="cellIs" dxfId="5480" priority="135" operator="greaterThanOrEqual">
      <formula>1.1</formula>
    </cfRule>
    <cfRule type="cellIs" dxfId="5479" priority="136" operator="lessThanOrEqual">
      <formula>0.9</formula>
    </cfRule>
  </conditionalFormatting>
  <conditionalFormatting sqref="C91:E94">
    <cfRule type="cellIs" dxfId="5478" priority="121" operator="greaterThanOrEqual">
      <formula>0.03</formula>
    </cfRule>
    <cfRule type="cellIs" dxfId="5477" priority="122" operator="lessThanOrEqual">
      <formula>-0.03</formula>
    </cfRule>
  </conditionalFormatting>
  <conditionalFormatting sqref="C98:E98">
    <cfRule type="cellIs" dxfId="5476" priority="119" operator="greaterThanOrEqual">
      <formula>0.03</formula>
    </cfRule>
    <cfRule type="cellIs" dxfId="5475" priority="120" operator="lessThanOrEqual">
      <formula>-0.03</formula>
    </cfRule>
  </conditionalFormatting>
  <conditionalFormatting sqref="F95 F97">
    <cfRule type="cellIs" dxfId="5474" priority="117" operator="greaterThanOrEqual">
      <formula>0.03</formula>
    </cfRule>
    <cfRule type="cellIs" dxfId="5473" priority="118" operator="lessThanOrEqual">
      <formula>-0.03</formula>
    </cfRule>
  </conditionalFormatting>
  <conditionalFormatting sqref="F99">
    <cfRule type="cellIs" dxfId="5472" priority="115" operator="greaterThanOrEqual">
      <formula>0.03</formula>
    </cfRule>
    <cfRule type="cellIs" dxfId="5471" priority="116" operator="lessThanOrEqual">
      <formula>-0.03</formula>
    </cfRule>
  </conditionalFormatting>
  <conditionalFormatting sqref="F86:F90">
    <cfRule type="cellIs" dxfId="5470" priority="113" operator="greaterThanOrEqual">
      <formula>0.03</formula>
    </cfRule>
    <cfRule type="cellIs" dxfId="5469" priority="114" operator="lessThanOrEqual">
      <formula>-0.03</formula>
    </cfRule>
  </conditionalFormatting>
  <conditionalFormatting sqref="F73:F78">
    <cfRule type="cellIs" dxfId="5468" priority="111" operator="greaterThanOrEqual">
      <formula>0.03</formula>
    </cfRule>
    <cfRule type="cellIs" dxfId="5467" priority="112" operator="lessThanOrEqual">
      <formula>-0.03</formula>
    </cfRule>
  </conditionalFormatting>
  <conditionalFormatting sqref="C100:E100">
    <cfRule type="cellIs" dxfId="5466" priority="109" operator="greaterThanOrEqual">
      <formula>0.03</formula>
    </cfRule>
    <cfRule type="cellIs" dxfId="5465" priority="110" operator="lessThanOrEqual">
      <formula>-0.03</formula>
    </cfRule>
  </conditionalFormatting>
  <conditionalFormatting sqref="F100">
    <cfRule type="cellIs" dxfId="5464" priority="107" operator="greaterThanOrEqual">
      <formula>0.03</formula>
    </cfRule>
    <cfRule type="cellIs" dxfId="5463" priority="108" operator="lessThanOrEqual">
      <formula>-0.03</formula>
    </cfRule>
  </conditionalFormatting>
  <conditionalFormatting sqref="G99:H100">
    <cfRule type="cellIs" dxfId="5462" priority="105" operator="greaterThanOrEqual">
      <formula>1.1</formula>
    </cfRule>
    <cfRule type="cellIs" dxfId="5461" priority="106" operator="lessThanOrEqual">
      <formula>0.9</formula>
    </cfRule>
  </conditionalFormatting>
  <conditionalFormatting sqref="F130 C119:D121 C130:D132 E131 F132">
    <cfRule type="cellIs" dxfId="5460" priority="73" operator="greaterThanOrEqual">
      <formula>1.03</formula>
    </cfRule>
    <cfRule type="cellIs" dxfId="5459" priority="74" operator="lessThanOrEqual">
      <formula>0.97</formula>
    </cfRule>
  </conditionalFormatting>
  <conditionalFormatting sqref="F119:F121">
    <cfRule type="cellIs" dxfId="5458" priority="71" operator="greaterThanOrEqual">
      <formula>1.03</formula>
    </cfRule>
    <cfRule type="cellIs" dxfId="5457" priority="72" operator="lessThanOrEqual">
      <formula>0.97</formula>
    </cfRule>
  </conditionalFormatting>
  <conditionalFormatting sqref="C122:D122">
    <cfRule type="cellIs" dxfId="5456" priority="69" operator="greaterThanOrEqual">
      <formula>1.03</formula>
    </cfRule>
    <cfRule type="cellIs" dxfId="5455" priority="70" operator="lessThanOrEqual">
      <formula>0.97</formula>
    </cfRule>
  </conditionalFormatting>
  <conditionalFormatting sqref="F122">
    <cfRule type="cellIs" dxfId="5454" priority="67" operator="greaterThanOrEqual">
      <formula>1.03</formula>
    </cfRule>
    <cfRule type="cellIs" dxfId="5453" priority="68" operator="lessThanOrEqual">
      <formula>0.97</formula>
    </cfRule>
  </conditionalFormatting>
  <conditionalFormatting sqref="C123:D123">
    <cfRule type="cellIs" dxfId="5452" priority="65" operator="greaterThanOrEqual">
      <formula>1.03</formula>
    </cfRule>
    <cfRule type="cellIs" dxfId="5451" priority="66" operator="lessThanOrEqual">
      <formula>0.97</formula>
    </cfRule>
  </conditionalFormatting>
  <conditionalFormatting sqref="F123">
    <cfRule type="cellIs" dxfId="5450" priority="63" operator="greaterThanOrEqual">
      <formula>1.03</formula>
    </cfRule>
    <cfRule type="cellIs" dxfId="5449" priority="64" operator="lessThanOrEqual">
      <formula>0.97</formula>
    </cfRule>
  </conditionalFormatting>
  <conditionalFormatting sqref="C124:D126">
    <cfRule type="cellIs" dxfId="5448" priority="61" operator="greaterThanOrEqual">
      <formula>1.03</formula>
    </cfRule>
    <cfRule type="cellIs" dxfId="5447" priority="62" operator="lessThanOrEqual">
      <formula>0.97</formula>
    </cfRule>
  </conditionalFormatting>
  <conditionalFormatting sqref="C127:D127">
    <cfRule type="cellIs" dxfId="5446" priority="59" operator="greaterThanOrEqual">
      <formula>1.03</formula>
    </cfRule>
    <cfRule type="cellIs" dxfId="5445" priority="60" operator="lessThanOrEqual">
      <formula>0.97</formula>
    </cfRule>
  </conditionalFormatting>
  <conditionalFormatting sqref="E124:E126">
    <cfRule type="cellIs" dxfId="5444" priority="57" operator="greaterThanOrEqual">
      <formula>1.03</formula>
    </cfRule>
    <cfRule type="cellIs" dxfId="5443" priority="58" operator="lessThanOrEqual">
      <formula>0.97</formula>
    </cfRule>
  </conditionalFormatting>
  <conditionalFormatting sqref="E127">
    <cfRule type="cellIs" dxfId="5442" priority="55" operator="greaterThanOrEqual">
      <formula>1.03</formula>
    </cfRule>
    <cfRule type="cellIs" dxfId="5441" priority="56" operator="lessThanOrEqual">
      <formula>0.97</formula>
    </cfRule>
  </conditionalFormatting>
  <conditionalFormatting sqref="C109:D118">
    <cfRule type="cellIs" dxfId="5440" priority="53" operator="greaterThanOrEqual">
      <formula>1.03</formula>
    </cfRule>
    <cfRule type="cellIs" dxfId="5439" priority="54" operator="lessThanOrEqual">
      <formula>0.97</formula>
    </cfRule>
  </conditionalFormatting>
  <conditionalFormatting sqref="F109:F111">
    <cfRule type="cellIs" dxfId="5438" priority="51" operator="greaterThanOrEqual">
      <formula>1.03</formula>
    </cfRule>
    <cfRule type="cellIs" dxfId="5437" priority="52" operator="lessThanOrEqual">
      <formula>0.97</formula>
    </cfRule>
  </conditionalFormatting>
  <conditionalFormatting sqref="C106:D108">
    <cfRule type="cellIs" dxfId="5436" priority="49" operator="greaterThanOrEqual">
      <formula>1.03</formula>
    </cfRule>
    <cfRule type="cellIs" dxfId="5435" priority="50" operator="lessThanOrEqual">
      <formula>0.97</formula>
    </cfRule>
  </conditionalFormatting>
  <conditionalFormatting sqref="F106:F108">
    <cfRule type="cellIs" dxfId="5434" priority="47" operator="greaterThanOrEqual">
      <formula>1.03</formula>
    </cfRule>
    <cfRule type="cellIs" dxfId="5433" priority="48" operator="lessThanOrEqual">
      <formula>0.97</formula>
    </cfRule>
  </conditionalFormatting>
  <conditionalFormatting sqref="F128 C128:D128">
    <cfRule type="cellIs" dxfId="5432" priority="45" operator="greaterThanOrEqual">
      <formula>1.03</formula>
    </cfRule>
    <cfRule type="cellIs" dxfId="5431" priority="46" operator="lessThanOrEqual">
      <formula>0.97</formula>
    </cfRule>
  </conditionalFormatting>
  <conditionalFormatting sqref="C133:F133">
    <cfRule type="cellIs" dxfId="5430" priority="43" operator="greaterThanOrEqual">
      <formula>1.03</formula>
    </cfRule>
    <cfRule type="cellIs" dxfId="5429" priority="44" operator="lessThanOrEqual">
      <formula>0.97</formula>
    </cfRule>
  </conditionalFormatting>
  <conditionalFormatting sqref="G132:H133">
    <cfRule type="cellIs" dxfId="5428" priority="41" operator="greaterThanOrEqual">
      <formula>1.1</formula>
    </cfRule>
    <cfRule type="cellIs" dxfId="5427" priority="42" operator="lessThanOrEqual">
      <formula>0.9</formula>
    </cfRule>
  </conditionalFormatting>
  <conditionalFormatting sqref="E19:G19">
    <cfRule type="cellIs" dxfId="5426" priority="35" operator="greaterThanOrEqual">
      <formula>0.03</formula>
    </cfRule>
    <cfRule type="cellIs" dxfId="5425" priority="36" operator="lessThanOrEqual">
      <formula>-0.03</formula>
    </cfRule>
  </conditionalFormatting>
  <conditionalFormatting sqref="E30:G30">
    <cfRule type="cellIs" dxfId="5424" priority="33" operator="greaterThanOrEqual">
      <formula>0.03</formula>
    </cfRule>
    <cfRule type="cellIs" dxfId="5423" priority="34" operator="lessThanOrEqual">
      <formula>-0.03</formula>
    </cfRule>
  </conditionalFormatting>
  <conditionalFormatting sqref="C52:E52">
    <cfRule type="cellIs" dxfId="5422" priority="27" operator="greaterThanOrEqual">
      <formula>0.03</formula>
    </cfRule>
    <cfRule type="cellIs" dxfId="5421" priority="28" operator="lessThanOrEqual">
      <formula>-0.03</formula>
    </cfRule>
  </conditionalFormatting>
  <conditionalFormatting sqref="C63:E63">
    <cfRule type="cellIs" dxfId="5420" priority="25" operator="greaterThanOrEqual">
      <formula>0.03</formula>
    </cfRule>
    <cfRule type="cellIs" dxfId="5419" priority="26" operator="lessThanOrEqual">
      <formula>-0.03</formula>
    </cfRule>
  </conditionalFormatting>
  <conditionalFormatting sqref="C85:E85">
    <cfRule type="cellIs" dxfId="5418" priority="19" operator="greaterThanOrEqual">
      <formula>0.03</formula>
    </cfRule>
    <cfRule type="cellIs" dxfId="5417" priority="20" operator="lessThanOrEqual">
      <formula>-0.03</formula>
    </cfRule>
  </conditionalFormatting>
  <conditionalFormatting sqref="E13:G13">
    <cfRule type="cellIs" dxfId="5416" priority="39" operator="greaterThanOrEqual">
      <formula>0.03</formula>
    </cfRule>
    <cfRule type="cellIs" dxfId="5415" priority="40" operator="lessThanOrEqual">
      <formula>-0.03</formula>
    </cfRule>
  </conditionalFormatting>
  <conditionalFormatting sqref="E14:G18">
    <cfRule type="cellIs" dxfId="5414" priority="37" operator="greaterThanOrEqual">
      <formula>0.03</formula>
    </cfRule>
    <cfRule type="cellIs" dxfId="5413" priority="38" operator="lessThanOrEqual">
      <formula>-0.03</formula>
    </cfRule>
  </conditionalFormatting>
  <conditionalFormatting sqref="C96:E96">
    <cfRule type="cellIs" dxfId="5412" priority="17" operator="greaterThanOrEqual">
      <formula>0.03</formula>
    </cfRule>
    <cfRule type="cellIs" dxfId="5411" priority="18" operator="lessThanOrEqual">
      <formula>-0.03</formula>
    </cfRule>
  </conditionalFormatting>
  <conditionalFormatting sqref="C46:E46">
    <cfRule type="cellIs" dxfId="5410" priority="31" operator="greaterThanOrEqual">
      <formula>0.03</formula>
    </cfRule>
    <cfRule type="cellIs" dxfId="5409" priority="32" operator="lessThanOrEqual">
      <formula>-0.03</formula>
    </cfRule>
  </conditionalFormatting>
  <conditionalFormatting sqref="C47:E51">
    <cfRule type="cellIs" dxfId="5408" priority="29" operator="greaterThanOrEqual">
      <formula>0.03</formula>
    </cfRule>
    <cfRule type="cellIs" dxfId="5407" priority="30" operator="lessThanOrEqual">
      <formula>-0.03</formula>
    </cfRule>
  </conditionalFormatting>
  <conditionalFormatting sqref="C79:E79">
    <cfRule type="cellIs" dxfId="5406" priority="23" operator="greaterThanOrEqual">
      <formula>0.03</formula>
    </cfRule>
    <cfRule type="cellIs" dxfId="5405" priority="24" operator="lessThanOrEqual">
      <formula>-0.03</formula>
    </cfRule>
  </conditionalFormatting>
  <conditionalFormatting sqref="C80:E84">
    <cfRule type="cellIs" dxfId="5404" priority="21" operator="greaterThanOrEqual">
      <formula>0.03</formula>
    </cfRule>
    <cfRule type="cellIs" dxfId="5403" priority="22" operator="lessThanOrEqual">
      <formula>-0.03</formula>
    </cfRule>
  </conditionalFormatting>
  <conditionalFormatting sqref="E112">
    <cfRule type="cellIs" dxfId="5402" priority="15" operator="greaterThanOrEqual">
      <formula>1.03</formula>
    </cfRule>
    <cfRule type="cellIs" dxfId="5401" priority="16" operator="lessThanOrEqual">
      <formula>0.97</formula>
    </cfRule>
  </conditionalFormatting>
  <conditionalFormatting sqref="E113:E117">
    <cfRule type="cellIs" dxfId="5400" priority="13" operator="greaterThanOrEqual">
      <formula>1.03</formula>
    </cfRule>
    <cfRule type="cellIs" dxfId="5399" priority="14" operator="lessThanOrEqual">
      <formula>0.97</formula>
    </cfRule>
  </conditionalFormatting>
  <conditionalFormatting sqref="E118">
    <cfRule type="cellIs" dxfId="5398" priority="11" operator="greaterThanOrEqual">
      <formula>1.03</formula>
    </cfRule>
    <cfRule type="cellIs" dxfId="5397" priority="12" operator="lessThanOrEqual">
      <formula>0.97</formula>
    </cfRule>
  </conditionalFormatting>
  <conditionalFormatting sqref="C129:E129">
    <cfRule type="cellIs" dxfId="5396" priority="9" operator="greaterThanOrEqual">
      <formula>1.03</formula>
    </cfRule>
    <cfRule type="cellIs" dxfId="5395" priority="10" operator="lessThanOrEqual">
      <formula>0.97</formula>
    </cfRule>
  </conditionalFormatting>
  <conditionalFormatting sqref="I29:J32">
    <cfRule type="cellIs" dxfId="5394" priority="7" operator="greaterThanOrEqual">
      <formula>1.1</formula>
    </cfRule>
    <cfRule type="cellIs" dxfId="5393" priority="8" operator="lessThanOrEqual">
      <formula>0.9</formula>
    </cfRule>
  </conditionalFormatting>
  <conditionalFormatting sqref="G62:H65">
    <cfRule type="cellIs" dxfId="5392" priority="5" operator="greaterThanOrEqual">
      <formula>1.1</formula>
    </cfRule>
    <cfRule type="cellIs" dxfId="5391" priority="6" operator="lessThanOrEqual">
      <formula>0.9</formula>
    </cfRule>
  </conditionalFormatting>
  <conditionalFormatting sqref="G95:H98">
    <cfRule type="cellIs" dxfId="5390" priority="3" operator="greaterThanOrEqual">
      <formula>1.1</formula>
    </cfRule>
    <cfRule type="cellIs" dxfId="5389" priority="4" operator="lessThanOrEqual">
      <formula>0.9</formula>
    </cfRule>
  </conditionalFormatting>
  <conditionalFormatting sqref="G128:H131">
    <cfRule type="cellIs" dxfId="5388" priority="1" operator="greaterThanOrEqual">
      <formula>1.1</formula>
    </cfRule>
    <cfRule type="cellIs" dxfId="5387" priority="2" operator="lessThanOrEqual">
      <formula>0.9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0"/>
  <sheetViews>
    <sheetView zoomScale="90" zoomScaleNormal="90" workbookViewId="0">
      <selection activeCell="B4" sqref="B4"/>
    </sheetView>
  </sheetViews>
  <sheetFormatPr defaultColWidth="9.875" defaultRowHeight="13.5"/>
  <cols>
    <col min="2" max="2" width="28.375" customWidth="1"/>
    <col min="4" max="4" width="20.375" customWidth="1"/>
    <col min="5" max="5" width="23.375" customWidth="1"/>
    <col min="6" max="6" width="1.125" customWidth="1"/>
    <col min="7" max="7" width="1.375" customWidth="1"/>
    <col min="8" max="8" width="1.125" customWidth="1"/>
    <col min="9" max="9" width="16.875" style="1" customWidth="1"/>
    <col min="10" max="10" width="9.875" style="1"/>
    <col min="11" max="12" width="9.875" customWidth="1"/>
  </cols>
  <sheetData>
    <row r="1" spans="1:20">
      <c r="A1" t="s">
        <v>36</v>
      </c>
      <c r="B1" s="3" t="s">
        <v>1364</v>
      </c>
      <c r="C1" t="s">
        <v>37</v>
      </c>
      <c r="I1" s="1" t="s">
        <v>2</v>
      </c>
      <c r="M1" t="s">
        <v>914</v>
      </c>
      <c r="N1" t="s">
        <v>181</v>
      </c>
      <c r="O1" t="s">
        <v>182</v>
      </c>
      <c r="P1" t="s">
        <v>183</v>
      </c>
      <c r="Q1" s="1" t="s">
        <v>915</v>
      </c>
      <c r="R1" s="1" t="s">
        <v>793</v>
      </c>
      <c r="S1" s="1" t="s">
        <v>794</v>
      </c>
      <c r="T1" s="1" t="s">
        <v>795</v>
      </c>
    </row>
    <row r="2" spans="1:20">
      <c r="A2" t="s">
        <v>38</v>
      </c>
      <c r="B2" s="3" t="s">
        <v>872</v>
      </c>
      <c r="C2" t="s">
        <v>39</v>
      </c>
      <c r="I2" s="1" t="s">
        <v>458</v>
      </c>
      <c r="J2" s="1" t="s">
        <v>188</v>
      </c>
      <c r="M2" s="186" t="s">
        <v>456</v>
      </c>
      <c r="N2" s="186" t="s">
        <v>796</v>
      </c>
      <c r="O2" s="186" t="s">
        <v>457</v>
      </c>
      <c r="P2" s="186" t="s">
        <v>797</v>
      </c>
      <c r="Q2" s="186" t="s">
        <v>908</v>
      </c>
      <c r="R2" s="186" t="s">
        <v>798</v>
      </c>
      <c r="S2" s="186" t="s">
        <v>799</v>
      </c>
      <c r="T2" s="186" t="s">
        <v>800</v>
      </c>
    </row>
    <row r="3" spans="1:20">
      <c r="I3" s="1" t="s">
        <v>3</v>
      </c>
      <c r="J3" s="1" t="s">
        <v>802</v>
      </c>
      <c r="M3" t="s">
        <v>1006</v>
      </c>
      <c r="N3" s="1" t="s">
        <v>1006</v>
      </c>
      <c r="O3" s="1" t="s">
        <v>1006</v>
      </c>
      <c r="P3" s="1" t="s">
        <v>1006</v>
      </c>
      <c r="Q3" s="1" t="s">
        <v>1006</v>
      </c>
      <c r="R3" s="1" t="s">
        <v>1006</v>
      </c>
      <c r="S3" s="1" t="s">
        <v>1006</v>
      </c>
      <c r="T3" s="1" t="s">
        <v>1006</v>
      </c>
    </row>
    <row r="4" spans="1:20">
      <c r="A4" t="s">
        <v>40</v>
      </c>
      <c r="B4" s="3" t="s">
        <v>25</v>
      </c>
      <c r="C4" t="s">
        <v>41</v>
      </c>
      <c r="D4" s="3" t="s">
        <v>19</v>
      </c>
      <c r="E4" t="s">
        <v>42</v>
      </c>
      <c r="I4" s="1" t="s">
        <v>4</v>
      </c>
      <c r="J4" s="1" t="s">
        <v>463</v>
      </c>
      <c r="M4" s="1" t="s">
        <v>1009</v>
      </c>
      <c r="N4" s="1" t="s">
        <v>1009</v>
      </c>
      <c r="O4" s="1" t="s">
        <v>1009</v>
      </c>
      <c r="P4" s="1" t="s">
        <v>1009</v>
      </c>
      <c r="Q4" s="1" t="s">
        <v>1009</v>
      </c>
      <c r="R4" s="1" t="s">
        <v>1009</v>
      </c>
      <c r="S4" s="1" t="s">
        <v>1009</v>
      </c>
      <c r="T4" s="1" t="s">
        <v>1009</v>
      </c>
    </row>
    <row r="5" spans="1:20">
      <c r="A5" t="s">
        <v>40</v>
      </c>
      <c r="B5" s="3" t="s">
        <v>20</v>
      </c>
      <c r="C5" t="s">
        <v>41</v>
      </c>
      <c r="D5" s="3" t="s">
        <v>19</v>
      </c>
      <c r="E5" t="s">
        <v>43</v>
      </c>
      <c r="I5" s="1" t="s">
        <v>5</v>
      </c>
      <c r="J5" s="1" t="s">
        <v>801</v>
      </c>
      <c r="K5" s="1"/>
      <c r="M5" s="1" t="s">
        <v>1012</v>
      </c>
      <c r="N5" s="1" t="s">
        <v>1012</v>
      </c>
      <c r="O5" s="1" t="s">
        <v>1012</v>
      </c>
      <c r="P5" s="1" t="s">
        <v>1012</v>
      </c>
      <c r="Q5" s="1" t="s">
        <v>1012</v>
      </c>
      <c r="R5" s="1" t="s">
        <v>1012</v>
      </c>
      <c r="S5" s="1" t="s">
        <v>1012</v>
      </c>
      <c r="T5" s="1" t="s">
        <v>1012</v>
      </c>
    </row>
    <row r="6" spans="1:20">
      <c r="A6" t="s">
        <v>40</v>
      </c>
      <c r="B6" s="3" t="s">
        <v>21</v>
      </c>
      <c r="C6" t="s">
        <v>41</v>
      </c>
      <c r="D6" s="3" t="s">
        <v>16</v>
      </c>
      <c r="E6" t="s">
        <v>44</v>
      </c>
      <c r="I6" s="1" t="s">
        <v>461</v>
      </c>
      <c r="J6" s="1" t="s">
        <v>464</v>
      </c>
      <c r="K6" s="1"/>
      <c r="M6" t="s">
        <v>1015</v>
      </c>
      <c r="N6" s="1" t="s">
        <v>1015</v>
      </c>
      <c r="O6" s="1" t="s">
        <v>1015</v>
      </c>
      <c r="P6" s="1" t="s">
        <v>1015</v>
      </c>
      <c r="Q6" s="1" t="s">
        <v>1015</v>
      </c>
      <c r="R6" s="1" t="s">
        <v>1015</v>
      </c>
      <c r="S6" s="1" t="s">
        <v>1015</v>
      </c>
      <c r="T6" s="1" t="s">
        <v>1015</v>
      </c>
    </row>
    <row r="7" spans="1:20">
      <c r="A7" t="s">
        <v>40</v>
      </c>
      <c r="B7" s="3" t="s">
        <v>21</v>
      </c>
      <c r="C7" t="s">
        <v>41</v>
      </c>
      <c r="D7" s="3" t="s">
        <v>16</v>
      </c>
      <c r="E7" t="s">
        <v>45</v>
      </c>
      <c r="I7" s="1" t="s">
        <v>6</v>
      </c>
      <c r="J7" s="1" t="s">
        <v>7</v>
      </c>
      <c r="M7" t="s">
        <v>1017</v>
      </c>
      <c r="N7" s="1" t="s">
        <v>1017</v>
      </c>
      <c r="O7" s="1" t="s">
        <v>1017</v>
      </c>
      <c r="P7" s="1" t="s">
        <v>1017</v>
      </c>
      <c r="Q7" s="1" t="s">
        <v>1017</v>
      </c>
      <c r="R7" s="1" t="s">
        <v>1017</v>
      </c>
      <c r="S7" s="1" t="s">
        <v>1017</v>
      </c>
      <c r="T7" s="1" t="s">
        <v>1017</v>
      </c>
    </row>
    <row r="8" spans="1:20">
      <c r="A8" t="s">
        <v>40</v>
      </c>
      <c r="B8" s="3" t="s">
        <v>21</v>
      </c>
      <c r="C8" t="s">
        <v>41</v>
      </c>
      <c r="D8" s="3" t="s">
        <v>16</v>
      </c>
      <c r="E8" t="s">
        <v>46</v>
      </c>
      <c r="I8" s="1" t="s">
        <v>462</v>
      </c>
      <c r="J8" s="1" t="s">
        <v>465</v>
      </c>
      <c r="M8" t="s">
        <v>1020</v>
      </c>
      <c r="N8" s="1" t="s">
        <v>1020</v>
      </c>
      <c r="O8" s="1" t="s">
        <v>1020</v>
      </c>
      <c r="P8" s="1" t="s">
        <v>1020</v>
      </c>
      <c r="Q8" s="1" t="s">
        <v>1020</v>
      </c>
      <c r="R8" s="1" t="s">
        <v>1020</v>
      </c>
      <c r="S8" s="1" t="s">
        <v>1020</v>
      </c>
      <c r="T8" s="1" t="s">
        <v>1020</v>
      </c>
    </row>
    <row r="9" spans="1:20">
      <c r="A9" t="s">
        <v>40</v>
      </c>
      <c r="B9" s="3" t="s">
        <v>21</v>
      </c>
      <c r="C9" t="s">
        <v>41</v>
      </c>
      <c r="D9" s="3" t="s">
        <v>16</v>
      </c>
      <c r="E9" t="s">
        <v>47</v>
      </c>
      <c r="I9" s="1" t="s">
        <v>8</v>
      </c>
      <c r="J9" s="1" t="s">
        <v>9</v>
      </c>
      <c r="M9" s="578" t="s">
        <v>1145</v>
      </c>
      <c r="N9" s="578" t="s">
        <v>1145</v>
      </c>
      <c r="O9" s="578" t="s">
        <v>1145</v>
      </c>
      <c r="P9" s="578" t="s">
        <v>1145</v>
      </c>
      <c r="Q9" s="578" t="s">
        <v>1145</v>
      </c>
      <c r="R9" s="578" t="s">
        <v>1145</v>
      </c>
      <c r="S9" s="578" t="s">
        <v>1145</v>
      </c>
      <c r="T9" s="578" t="s">
        <v>1145</v>
      </c>
    </row>
    <row r="10" spans="1:20">
      <c r="I10" s="1" t="s">
        <v>10</v>
      </c>
      <c r="J10" s="1" t="s">
        <v>11</v>
      </c>
      <c r="M10" s="578" t="s">
        <v>1146</v>
      </c>
      <c r="N10" s="578" t="s">
        <v>1146</v>
      </c>
      <c r="O10" s="578" t="s">
        <v>1146</v>
      </c>
      <c r="P10" s="578" t="s">
        <v>1146</v>
      </c>
      <c r="Q10" s="578" t="s">
        <v>1146</v>
      </c>
      <c r="R10" s="578" t="s">
        <v>1146</v>
      </c>
      <c r="S10" s="578" t="s">
        <v>1146</v>
      </c>
      <c r="T10" s="578" t="s">
        <v>1146</v>
      </c>
    </row>
    <row r="11" spans="1:20">
      <c r="I11" s="1" t="s">
        <v>12</v>
      </c>
      <c r="J11" s="1" t="s">
        <v>189</v>
      </c>
      <c r="M11" s="578" t="s">
        <v>1147</v>
      </c>
      <c r="N11" s="578" t="s">
        <v>1147</v>
      </c>
      <c r="O11" s="578" t="s">
        <v>1147</v>
      </c>
      <c r="P11" s="578" t="s">
        <v>1147</v>
      </c>
      <c r="Q11" s="578" t="s">
        <v>1147</v>
      </c>
      <c r="R11" s="578" t="s">
        <v>1147</v>
      </c>
      <c r="S11" s="578" t="s">
        <v>1147</v>
      </c>
      <c r="T11" s="578" t="s">
        <v>1147</v>
      </c>
    </row>
    <row r="12" spans="1:20">
      <c r="I12" s="1" t="s">
        <v>13</v>
      </c>
      <c r="J12" s="1" t="s">
        <v>14</v>
      </c>
      <c r="M12" s="578" t="s">
        <v>1148</v>
      </c>
      <c r="N12" s="578" t="s">
        <v>1148</v>
      </c>
      <c r="O12" s="578" t="s">
        <v>1148</v>
      </c>
      <c r="P12" s="578" t="s">
        <v>1148</v>
      </c>
      <c r="Q12" s="578" t="s">
        <v>1148</v>
      </c>
      <c r="R12" s="578" t="s">
        <v>1148</v>
      </c>
      <c r="S12" s="578" t="s">
        <v>1148</v>
      </c>
      <c r="T12" s="578" t="s">
        <v>1148</v>
      </c>
    </row>
    <row r="13" spans="1:20">
      <c r="I13" s="1" t="s">
        <v>15</v>
      </c>
      <c r="J13" s="1" t="s">
        <v>190</v>
      </c>
      <c r="M13" s="578" t="s">
        <v>1120</v>
      </c>
      <c r="N13" s="578" t="s">
        <v>1120</v>
      </c>
      <c r="O13" s="578" t="s">
        <v>1120</v>
      </c>
      <c r="P13" s="578" t="s">
        <v>1120</v>
      </c>
      <c r="Q13" s="578" t="s">
        <v>1120</v>
      </c>
      <c r="R13" s="578" t="s">
        <v>1120</v>
      </c>
      <c r="S13" s="578" t="s">
        <v>1120</v>
      </c>
      <c r="T13" s="578" t="s">
        <v>1120</v>
      </c>
    </row>
    <row r="14" spans="1:20">
      <c r="I14" s="1" t="s">
        <v>16</v>
      </c>
      <c r="J14" s="1" t="s">
        <v>803</v>
      </c>
      <c r="M14" s="578" t="s">
        <v>1121</v>
      </c>
      <c r="N14" s="578" t="s">
        <v>1121</v>
      </c>
      <c r="O14" s="578" t="s">
        <v>1121</v>
      </c>
      <c r="P14" s="578" t="s">
        <v>1121</v>
      </c>
      <c r="Q14" s="578" t="s">
        <v>1121</v>
      </c>
      <c r="R14" s="578" t="s">
        <v>1121</v>
      </c>
      <c r="S14" s="578" t="s">
        <v>1121</v>
      </c>
      <c r="T14" s="578" t="s">
        <v>1121</v>
      </c>
    </row>
    <row r="15" spans="1:20">
      <c r="I15" s="1" t="s">
        <v>17</v>
      </c>
      <c r="J15" s="1" t="s">
        <v>191</v>
      </c>
      <c r="M15" s="578" t="s">
        <v>1149</v>
      </c>
      <c r="N15" s="578" t="s">
        <v>1149</v>
      </c>
      <c r="O15" s="578" t="s">
        <v>1149</v>
      </c>
      <c r="P15" s="578" t="s">
        <v>1149</v>
      </c>
      <c r="Q15" s="578" t="s">
        <v>1149</v>
      </c>
      <c r="R15" s="578" t="s">
        <v>1149</v>
      </c>
      <c r="S15" s="578" t="s">
        <v>1149</v>
      </c>
      <c r="T15" s="578" t="s">
        <v>1149</v>
      </c>
    </row>
    <row r="16" spans="1:20">
      <c r="I16" s="1" t="s">
        <v>18</v>
      </c>
      <c r="J16" s="1" t="s">
        <v>192</v>
      </c>
      <c r="M16" s="1" t="s">
        <v>466</v>
      </c>
      <c r="N16" s="1" t="s">
        <v>466</v>
      </c>
      <c r="O16" s="1" t="s">
        <v>466</v>
      </c>
      <c r="P16" s="1" t="s">
        <v>466</v>
      </c>
      <c r="Q16" s="1" t="s">
        <v>466</v>
      </c>
      <c r="R16" s="1" t="s">
        <v>466</v>
      </c>
      <c r="S16" s="1" t="s">
        <v>466</v>
      </c>
      <c r="T16" s="1" t="s">
        <v>466</v>
      </c>
    </row>
    <row r="17" spans="9:20">
      <c r="I17" s="1" t="s">
        <v>19</v>
      </c>
      <c r="J17" s="1" t="s">
        <v>804</v>
      </c>
      <c r="M17" s="1" t="s">
        <v>467</v>
      </c>
      <c r="N17" s="1" t="s">
        <v>467</v>
      </c>
      <c r="O17" s="1" t="s">
        <v>467</v>
      </c>
      <c r="P17" s="1" t="s">
        <v>467</v>
      </c>
      <c r="Q17" s="1" t="s">
        <v>467</v>
      </c>
      <c r="R17" s="1" t="s">
        <v>467</v>
      </c>
      <c r="S17" s="1" t="s">
        <v>467</v>
      </c>
      <c r="T17" s="1" t="s">
        <v>467</v>
      </c>
    </row>
    <row r="18" spans="9:20">
      <c r="I18" s="1" t="s">
        <v>20</v>
      </c>
      <c r="J18" s="1" t="s">
        <v>193</v>
      </c>
      <c r="M18" s="1" t="s">
        <v>468</v>
      </c>
      <c r="N18" s="1" t="s">
        <v>468</v>
      </c>
      <c r="O18" s="1" t="s">
        <v>468</v>
      </c>
      <c r="P18" s="1" t="s">
        <v>468</v>
      </c>
      <c r="Q18" s="1" t="s">
        <v>468</v>
      </c>
      <c r="R18" s="1" t="s">
        <v>468</v>
      </c>
      <c r="S18" s="1" t="s">
        <v>468</v>
      </c>
      <c r="T18" s="1" t="s">
        <v>468</v>
      </c>
    </row>
    <row r="19" spans="9:20">
      <c r="I19" s="1" t="s">
        <v>21</v>
      </c>
      <c r="J19" s="1" t="s">
        <v>22</v>
      </c>
      <c r="M19" s="1" t="s">
        <v>816</v>
      </c>
      <c r="N19" s="1" t="s">
        <v>816</v>
      </c>
      <c r="O19" s="1" t="s">
        <v>816</v>
      </c>
      <c r="P19" s="1" t="s">
        <v>816</v>
      </c>
      <c r="Q19" s="1" t="s">
        <v>816</v>
      </c>
      <c r="R19" s="1" t="s">
        <v>816</v>
      </c>
      <c r="S19" s="1" t="s">
        <v>816</v>
      </c>
      <c r="T19" s="1" t="s">
        <v>816</v>
      </c>
    </row>
    <row r="20" spans="9:20">
      <c r="I20" s="1" t="s">
        <v>23</v>
      </c>
      <c r="J20" s="1" t="s">
        <v>24</v>
      </c>
      <c r="M20" s="1" t="s">
        <v>817</v>
      </c>
      <c r="N20" s="1" t="s">
        <v>817</v>
      </c>
      <c r="O20" s="1" t="s">
        <v>817</v>
      </c>
      <c r="P20" s="1" t="s">
        <v>817</v>
      </c>
      <c r="Q20" s="1" t="s">
        <v>817</v>
      </c>
      <c r="R20" s="1" t="s">
        <v>817</v>
      </c>
      <c r="S20" s="1" t="s">
        <v>817</v>
      </c>
      <c r="T20" s="1" t="s">
        <v>817</v>
      </c>
    </row>
    <row r="21" spans="9:20">
      <c r="I21" s="1" t="s">
        <v>25</v>
      </c>
      <c r="J21" s="1" t="s">
        <v>194</v>
      </c>
      <c r="M21" s="1" t="s">
        <v>873</v>
      </c>
      <c r="N21" s="1" t="s">
        <v>873</v>
      </c>
      <c r="O21" s="1" t="s">
        <v>873</v>
      </c>
      <c r="P21" s="1" t="s">
        <v>873</v>
      </c>
      <c r="Q21" s="1" t="s">
        <v>873</v>
      </c>
      <c r="R21" s="1" t="s">
        <v>873</v>
      </c>
      <c r="S21" s="1" t="s">
        <v>873</v>
      </c>
      <c r="T21" s="1" t="s">
        <v>873</v>
      </c>
    </row>
    <row r="22" spans="9:20">
      <c r="I22" s="1" t="s">
        <v>26</v>
      </c>
      <c r="J22" s="1" t="s">
        <v>195</v>
      </c>
      <c r="M22" s="1" t="s">
        <v>879</v>
      </c>
      <c r="N22" s="1" t="s">
        <v>874</v>
      </c>
      <c r="O22" s="1" t="s">
        <v>874</v>
      </c>
      <c r="P22" s="1" t="s">
        <v>874</v>
      </c>
      <c r="Q22" s="1" t="s">
        <v>874</v>
      </c>
      <c r="R22" s="1" t="s">
        <v>874</v>
      </c>
      <c r="S22" s="1" t="s">
        <v>874</v>
      </c>
      <c r="T22" s="1" t="s">
        <v>874</v>
      </c>
    </row>
    <row r="23" spans="9:20">
      <c r="I23" s="1" t="s">
        <v>27</v>
      </c>
      <c r="J23" s="1" t="s">
        <v>28</v>
      </c>
      <c r="M23" s="1" t="s">
        <v>875</v>
      </c>
      <c r="N23" s="1" t="s">
        <v>875</v>
      </c>
      <c r="O23" s="1" t="s">
        <v>875</v>
      </c>
      <c r="P23" s="1" t="s">
        <v>875</v>
      </c>
      <c r="Q23" s="1" t="s">
        <v>875</v>
      </c>
      <c r="R23" s="1" t="s">
        <v>875</v>
      </c>
      <c r="S23" s="1" t="s">
        <v>875</v>
      </c>
      <c r="T23" s="1" t="s">
        <v>875</v>
      </c>
    </row>
    <row r="24" spans="9:20">
      <c r="I24" s="1" t="s">
        <v>29</v>
      </c>
      <c r="J24" s="1" t="s">
        <v>196</v>
      </c>
      <c r="M24" s="1" t="s">
        <v>876</v>
      </c>
      <c r="N24" s="1" t="s">
        <v>876</v>
      </c>
      <c r="O24" s="1" t="s">
        <v>876</v>
      </c>
      <c r="P24" s="1" t="s">
        <v>876</v>
      </c>
      <c r="Q24" s="1" t="s">
        <v>876</v>
      </c>
      <c r="R24" s="1" t="s">
        <v>876</v>
      </c>
      <c r="S24" s="1" t="s">
        <v>876</v>
      </c>
      <c r="T24" s="1" t="s">
        <v>876</v>
      </c>
    </row>
    <row r="25" spans="9:20">
      <c r="I25" s="1" t="s">
        <v>30</v>
      </c>
      <c r="J25" s="1" t="s">
        <v>197</v>
      </c>
    </row>
    <row r="26" spans="9:20">
      <c r="I26" s="1" t="s">
        <v>31</v>
      </c>
      <c r="J26" s="1" t="s">
        <v>198</v>
      </c>
    </row>
    <row r="27" spans="9:20">
      <c r="I27" s="1" t="s">
        <v>32</v>
      </c>
      <c r="J27" s="1" t="s">
        <v>199</v>
      </c>
    </row>
    <row r="28" spans="9:20">
      <c r="I28" s="1" t="s">
        <v>33</v>
      </c>
      <c r="J28" s="1" t="s">
        <v>200</v>
      </c>
    </row>
    <row r="29" spans="9:20">
      <c r="I29" s="1" t="s">
        <v>34</v>
      </c>
      <c r="J29" s="1" t="s">
        <v>201</v>
      </c>
    </row>
    <row r="30" spans="9:20">
      <c r="I30" s="1" t="s">
        <v>35</v>
      </c>
      <c r="J30" s="1" t="s">
        <v>202</v>
      </c>
    </row>
  </sheetData>
  <phoneticPr fontId="2" type="noConversion"/>
  <conditionalFormatting sqref="B2">
    <cfRule type="expression" dxfId="5386" priority="3">
      <formula>ISNA(MATCH(B2,OFFSET(M:M,2,MATCH(B1,M1:ZZ1,0)-1,COUNTA(INDEX(M:ZZ,,MATCH(B1,M1:ZZ1,0)))-2),0))</formula>
    </cfRule>
  </conditionalFormatting>
  <conditionalFormatting sqref="B4:B9">
    <cfRule type="expression" dxfId="5385" priority="2">
      <formula>ISNA(MATCH(B4,filter_cols,0))</formula>
    </cfRule>
  </conditionalFormatting>
  <conditionalFormatting sqref="D4:D9">
    <cfRule type="expression" dxfId="5384" priority="1">
      <formula>ISNA(MATCH(D4,filter_cols,0))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4:B9 D4:D9">
      <formula1>filter_cols</formula1>
    </dataValidation>
    <dataValidation type="list" allowBlank="1" showInputMessage="1" showErrorMessage="1" sqref="B2">
      <formula1>OFFSET(M:M,2,MATCH(B1,M1:ZZ1,0)-1,COUNTA(INDEX(M:ZZ,,MATCH(B1,M1:ZZ1,0)))-2)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698"/>
  <sheetViews>
    <sheetView topLeftCell="A332" workbookViewId="0"/>
  </sheetViews>
  <sheetFormatPr defaultColWidth="8.875" defaultRowHeight="13.5"/>
  <cols>
    <col min="1" max="1" width="71.125" customWidth="1"/>
    <col min="2" max="2" width="50.125" style="9" customWidth="1"/>
  </cols>
  <sheetData>
    <row r="1" spans="1:25">
      <c r="A1" t="s">
        <v>369</v>
      </c>
      <c r="B1" s="1" t="s">
        <v>3</v>
      </c>
      <c r="C1" t="s">
        <v>5</v>
      </c>
      <c r="D1" s="1" t="s">
        <v>982</v>
      </c>
      <c r="E1" s="1" t="s">
        <v>997</v>
      </c>
      <c r="F1" t="s">
        <v>870</v>
      </c>
      <c r="G1" t="s">
        <v>12</v>
      </c>
      <c r="H1" t="s">
        <v>13</v>
      </c>
      <c r="I1" t="s">
        <v>16</v>
      </c>
      <c r="J1" t="s">
        <v>17</v>
      </c>
      <c r="K1" t="s">
        <v>19</v>
      </c>
      <c r="L1" t="s">
        <v>20</v>
      </c>
      <c r="M1" t="s">
        <v>21</v>
      </c>
      <c r="N1" t="s">
        <v>23</v>
      </c>
      <c r="O1" t="s">
        <v>25</v>
      </c>
      <c r="P1" t="s">
        <v>26</v>
      </c>
      <c r="Q1" t="s">
        <v>27</v>
      </c>
      <c r="R1" s="9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34</v>
      </c>
    </row>
    <row r="2" spans="1:25">
      <c r="A2" t="s">
        <v>260</v>
      </c>
      <c r="B2" s="1" t="s">
        <v>3</v>
      </c>
      <c r="C2" t="s">
        <v>5</v>
      </c>
      <c r="D2" t="s">
        <v>10</v>
      </c>
      <c r="E2" t="s">
        <v>12</v>
      </c>
      <c r="F2" t="s">
        <v>13</v>
      </c>
      <c r="G2" t="s">
        <v>16</v>
      </c>
      <c r="H2" t="s">
        <v>17</v>
      </c>
      <c r="I2" t="s">
        <v>19</v>
      </c>
      <c r="J2" s="9" t="s">
        <v>20</v>
      </c>
      <c r="K2" t="s">
        <v>21</v>
      </c>
      <c r="L2" t="s">
        <v>23</v>
      </c>
      <c r="M2" t="s">
        <v>25</v>
      </c>
      <c r="N2" t="s">
        <v>26</v>
      </c>
      <c r="O2" t="s">
        <v>27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  <c r="U2" t="s">
        <v>34</v>
      </c>
    </row>
    <row r="3" spans="1:25">
      <c r="A3" t="s">
        <v>445</v>
      </c>
      <c r="B3" s="9" t="s">
        <v>460</v>
      </c>
      <c r="C3" t="s">
        <v>3</v>
      </c>
      <c r="D3" t="s">
        <v>459</v>
      </c>
      <c r="E3" t="s">
        <v>5</v>
      </c>
      <c r="F3" t="s">
        <v>10</v>
      </c>
      <c r="G3" t="s">
        <v>12</v>
      </c>
      <c r="H3" t="s">
        <v>13</v>
      </c>
      <c r="I3" t="s">
        <v>15</v>
      </c>
      <c r="J3" t="s">
        <v>16</v>
      </c>
      <c r="K3" t="s">
        <v>17</v>
      </c>
      <c r="L3" t="s">
        <v>18</v>
      </c>
      <c r="M3" t="s">
        <v>19</v>
      </c>
      <c r="N3" t="s">
        <v>20</v>
      </c>
      <c r="O3" t="s">
        <v>21</v>
      </c>
      <c r="P3" t="s">
        <v>23</v>
      </c>
      <c r="Q3" t="s">
        <v>25</v>
      </c>
      <c r="R3" t="s">
        <v>26</v>
      </c>
      <c r="S3" t="s">
        <v>27</v>
      </c>
      <c r="T3" t="s">
        <v>29</v>
      </c>
      <c r="U3" t="s">
        <v>30</v>
      </c>
      <c r="V3" t="s">
        <v>31</v>
      </c>
      <c r="W3" t="s">
        <v>32</v>
      </c>
      <c r="X3" t="s">
        <v>33</v>
      </c>
      <c r="Y3" t="s">
        <v>34</v>
      </c>
    </row>
    <row r="4" spans="1:25">
      <c r="A4" t="s">
        <v>311</v>
      </c>
      <c r="B4" s="1" t="s">
        <v>10</v>
      </c>
      <c r="C4" t="s">
        <v>12</v>
      </c>
      <c r="D4" t="s">
        <v>13</v>
      </c>
      <c r="E4" t="s">
        <v>17</v>
      </c>
      <c r="F4" t="s">
        <v>20</v>
      </c>
      <c r="G4" t="s">
        <v>21</v>
      </c>
      <c r="H4" t="s">
        <v>23</v>
      </c>
      <c r="I4" t="s">
        <v>25</v>
      </c>
      <c r="J4" t="s">
        <v>26</v>
      </c>
      <c r="K4" t="s">
        <v>27</v>
      </c>
      <c r="L4" t="s">
        <v>29</v>
      </c>
      <c r="M4" t="s">
        <v>30</v>
      </c>
      <c r="N4" t="s">
        <v>31</v>
      </c>
      <c r="O4" s="9" t="s">
        <v>32</v>
      </c>
      <c r="P4" t="s">
        <v>33</v>
      </c>
      <c r="Q4" t="s">
        <v>34</v>
      </c>
      <c r="R4" t="s">
        <v>35</v>
      </c>
    </row>
    <row r="5" spans="1:25" s="1" customFormat="1">
      <c r="A5" s="1" t="s">
        <v>916</v>
      </c>
      <c r="B5" s="1" t="s">
        <v>3</v>
      </c>
      <c r="C5" s="1" t="s">
        <v>5</v>
      </c>
      <c r="D5" s="1" t="s">
        <v>982</v>
      </c>
      <c r="E5" s="1" t="s">
        <v>461</v>
      </c>
      <c r="F5" s="1" t="s">
        <v>871</v>
      </c>
      <c r="G5" s="1" t="s">
        <v>12</v>
      </c>
      <c r="H5" s="1" t="s">
        <v>13</v>
      </c>
      <c r="I5" s="1" t="s">
        <v>16</v>
      </c>
      <c r="J5" s="1" t="s">
        <v>17</v>
      </c>
      <c r="K5" s="1" t="s">
        <v>19</v>
      </c>
      <c r="L5" s="1" t="s">
        <v>20</v>
      </c>
      <c r="M5" s="1" t="s">
        <v>21</v>
      </c>
      <c r="N5" s="1" t="s">
        <v>23</v>
      </c>
      <c r="O5" s="1" t="s">
        <v>25</v>
      </c>
      <c r="P5" s="1" t="s">
        <v>26</v>
      </c>
      <c r="Q5" s="1" t="s">
        <v>27</v>
      </c>
      <c r="R5" s="9" t="s">
        <v>29</v>
      </c>
      <c r="S5" s="1" t="s">
        <v>30</v>
      </c>
      <c r="T5" s="1" t="s">
        <v>31</v>
      </c>
      <c r="U5" s="1" t="s">
        <v>32</v>
      </c>
      <c r="V5" s="1" t="s">
        <v>33</v>
      </c>
      <c r="W5" s="1" t="s">
        <v>34</v>
      </c>
    </row>
    <row r="6" spans="1:25" s="1" customFormat="1">
      <c r="A6" s="1" t="s">
        <v>516</v>
      </c>
      <c r="B6" s="1" t="s">
        <v>3</v>
      </c>
      <c r="C6" s="1" t="s">
        <v>5</v>
      </c>
      <c r="D6" s="1" t="s">
        <v>10</v>
      </c>
      <c r="E6" s="1" t="s">
        <v>12</v>
      </c>
      <c r="F6" s="1" t="s">
        <v>13</v>
      </c>
      <c r="G6" s="1" t="s">
        <v>16</v>
      </c>
      <c r="H6" s="1" t="s">
        <v>17</v>
      </c>
      <c r="I6" s="1" t="s">
        <v>19</v>
      </c>
      <c r="J6" s="9" t="s">
        <v>20</v>
      </c>
      <c r="K6" s="1" t="s">
        <v>21</v>
      </c>
      <c r="L6" s="1" t="s">
        <v>23</v>
      </c>
      <c r="M6" s="1" t="s">
        <v>25</v>
      </c>
      <c r="N6" s="1" t="s">
        <v>26</v>
      </c>
      <c r="O6" s="1" t="s">
        <v>27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</row>
    <row r="7" spans="1:25" s="1" customFormat="1">
      <c r="A7" s="1" t="s">
        <v>517</v>
      </c>
      <c r="B7" s="9" t="s">
        <v>460</v>
      </c>
      <c r="C7" s="1" t="s">
        <v>3</v>
      </c>
      <c r="D7" s="1" t="s">
        <v>459</v>
      </c>
      <c r="E7" s="1" t="s">
        <v>5</v>
      </c>
      <c r="F7" s="1" t="s">
        <v>10</v>
      </c>
      <c r="G7" s="1" t="s">
        <v>12</v>
      </c>
      <c r="H7" s="1" t="s">
        <v>13</v>
      </c>
      <c r="I7" s="1" t="s">
        <v>15</v>
      </c>
      <c r="J7" s="1" t="s">
        <v>16</v>
      </c>
      <c r="K7" s="1" t="s">
        <v>17</v>
      </c>
      <c r="L7" s="1" t="s">
        <v>18</v>
      </c>
      <c r="M7" s="1" t="s">
        <v>19</v>
      </c>
      <c r="N7" s="1" t="s">
        <v>20</v>
      </c>
      <c r="O7" s="1" t="s">
        <v>21</v>
      </c>
      <c r="P7" s="1" t="s">
        <v>23</v>
      </c>
      <c r="Q7" s="1" t="s">
        <v>25</v>
      </c>
      <c r="R7" s="1" t="s">
        <v>26</v>
      </c>
      <c r="S7" s="1" t="s">
        <v>27</v>
      </c>
      <c r="T7" s="1" t="s">
        <v>29</v>
      </c>
      <c r="U7" s="1" t="s">
        <v>30</v>
      </c>
      <c r="V7" s="1" t="s">
        <v>31</v>
      </c>
      <c r="W7" s="1" t="s">
        <v>32</v>
      </c>
      <c r="X7" s="1" t="s">
        <v>33</v>
      </c>
      <c r="Y7" s="1" t="s">
        <v>34</v>
      </c>
    </row>
    <row r="8" spans="1:25" s="1" customFormat="1">
      <c r="A8" s="1" t="s">
        <v>518</v>
      </c>
      <c r="B8" s="1" t="s">
        <v>10</v>
      </c>
      <c r="C8" s="1" t="s">
        <v>12</v>
      </c>
      <c r="D8" s="1" t="s">
        <v>13</v>
      </c>
      <c r="E8" s="1" t="s">
        <v>17</v>
      </c>
      <c r="F8" s="1" t="s">
        <v>20</v>
      </c>
      <c r="G8" s="1" t="s">
        <v>21</v>
      </c>
      <c r="H8" s="1" t="s">
        <v>23</v>
      </c>
      <c r="I8" s="1" t="s">
        <v>25</v>
      </c>
      <c r="J8" s="1" t="s">
        <v>26</v>
      </c>
      <c r="K8" s="1" t="s">
        <v>27</v>
      </c>
      <c r="L8" s="1" t="s">
        <v>29</v>
      </c>
      <c r="M8" s="1" t="s">
        <v>30</v>
      </c>
      <c r="N8" s="1" t="s">
        <v>31</v>
      </c>
      <c r="O8" s="9" t="s">
        <v>32</v>
      </c>
      <c r="P8" s="1" t="s">
        <v>33</v>
      </c>
      <c r="Q8" s="1" t="s">
        <v>34</v>
      </c>
      <c r="R8" s="1" t="s">
        <v>35</v>
      </c>
    </row>
    <row r="9" spans="1:25">
      <c r="A9" t="s">
        <v>312</v>
      </c>
      <c r="B9" s="9">
        <v>1</v>
      </c>
    </row>
    <row r="10" spans="1:25">
      <c r="A10" t="s">
        <v>313</v>
      </c>
      <c r="B10" s="9">
        <v>2</v>
      </c>
    </row>
    <row r="11" spans="1:25">
      <c r="A11" t="s">
        <v>314</v>
      </c>
      <c r="B11" s="9">
        <v>3</v>
      </c>
    </row>
    <row r="12" spans="1:25">
      <c r="A12" t="s">
        <v>944</v>
      </c>
      <c r="B12" s="9">
        <v>4</v>
      </c>
    </row>
    <row r="13" spans="1:25">
      <c r="A13" t="s">
        <v>315</v>
      </c>
      <c r="B13" s="9">
        <v>5</v>
      </c>
    </row>
    <row r="14" spans="1:25">
      <c r="A14" t="s">
        <v>316</v>
      </c>
      <c r="B14" s="9">
        <v>6</v>
      </c>
    </row>
    <row r="15" spans="1:25">
      <c r="A15" t="s">
        <v>317</v>
      </c>
      <c r="B15" s="9">
        <v>7</v>
      </c>
    </row>
    <row r="16" spans="1:25">
      <c r="A16" t="s">
        <v>318</v>
      </c>
      <c r="B16" s="9">
        <v>9</v>
      </c>
    </row>
    <row r="17" spans="1:2">
      <c r="A17" t="s">
        <v>319</v>
      </c>
      <c r="B17" s="9">
        <v>10</v>
      </c>
    </row>
    <row r="18" spans="1:2">
      <c r="A18" t="s">
        <v>320</v>
      </c>
      <c r="B18" s="9">
        <v>11</v>
      </c>
    </row>
    <row r="19" spans="1:2">
      <c r="A19" t="s">
        <v>321</v>
      </c>
      <c r="B19" s="9">
        <v>12</v>
      </c>
    </row>
    <row r="20" spans="1:2">
      <c r="A20" t="s">
        <v>322</v>
      </c>
      <c r="B20" s="9">
        <v>13</v>
      </c>
    </row>
    <row r="21" spans="1:2">
      <c r="A21" t="s">
        <v>323</v>
      </c>
      <c r="B21" s="9">
        <v>14</v>
      </c>
    </row>
    <row r="22" spans="1:2">
      <c r="A22" t="s">
        <v>324</v>
      </c>
      <c r="B22" s="9">
        <v>15</v>
      </c>
    </row>
    <row r="23" spans="1:2">
      <c r="A23" t="s">
        <v>325</v>
      </c>
      <c r="B23" s="9">
        <v>16</v>
      </c>
    </row>
    <row r="24" spans="1:2">
      <c r="A24" t="s">
        <v>326</v>
      </c>
      <c r="B24" s="9">
        <v>17</v>
      </c>
    </row>
    <row r="25" spans="1:2">
      <c r="A25" t="s">
        <v>327</v>
      </c>
      <c r="B25" s="9">
        <v>18</v>
      </c>
    </row>
    <row r="26" spans="1:2">
      <c r="A26" t="s">
        <v>328</v>
      </c>
      <c r="B26" s="9">
        <v>19</v>
      </c>
    </row>
    <row r="27" spans="1:2">
      <c r="A27" t="s">
        <v>949</v>
      </c>
      <c r="B27" s="9">
        <v>20</v>
      </c>
    </row>
    <row r="28" spans="1:2">
      <c r="A28" t="s">
        <v>950</v>
      </c>
      <c r="B28" s="9">
        <v>21</v>
      </c>
    </row>
    <row r="29" spans="1:2">
      <c r="A29" t="s">
        <v>329</v>
      </c>
      <c r="B29" s="9">
        <v>22</v>
      </c>
    </row>
    <row r="30" spans="1:2">
      <c r="A30" t="s">
        <v>330</v>
      </c>
      <c r="B30" s="9">
        <v>23</v>
      </c>
    </row>
    <row r="31" spans="1:2">
      <c r="A31" t="s">
        <v>331</v>
      </c>
      <c r="B31" s="9">
        <v>24</v>
      </c>
    </row>
    <row r="32" spans="1:2">
      <c r="A32" t="s">
        <v>332</v>
      </c>
      <c r="B32" s="9">
        <v>25</v>
      </c>
    </row>
    <row r="33" spans="1:2">
      <c r="A33" t="s">
        <v>333</v>
      </c>
      <c r="B33" s="9">
        <v>26</v>
      </c>
    </row>
    <row r="34" spans="1:2">
      <c r="A34" t="s">
        <v>334</v>
      </c>
      <c r="B34" s="9">
        <v>27</v>
      </c>
    </row>
    <row r="35" spans="1:2">
      <c r="A35" t="s">
        <v>335</v>
      </c>
      <c r="B35" s="9">
        <v>28</v>
      </c>
    </row>
    <row r="36" spans="1:2">
      <c r="A36" t="s">
        <v>917</v>
      </c>
      <c r="B36" s="9">
        <v>29</v>
      </c>
    </row>
    <row r="37" spans="1:2">
      <c r="A37" t="s">
        <v>918</v>
      </c>
      <c r="B37" s="9">
        <v>30</v>
      </c>
    </row>
    <row r="38" spans="1:2">
      <c r="A38" t="s">
        <v>336</v>
      </c>
      <c r="B38" s="9">
        <v>32</v>
      </c>
    </row>
    <row r="39" spans="1:2">
      <c r="A39" t="s">
        <v>337</v>
      </c>
      <c r="B39" s="9">
        <v>33</v>
      </c>
    </row>
    <row r="40" spans="1:2">
      <c r="A40" t="s">
        <v>338</v>
      </c>
      <c r="B40" s="9">
        <v>34</v>
      </c>
    </row>
    <row r="41" spans="1:2">
      <c r="A41" t="s">
        <v>339</v>
      </c>
      <c r="B41" s="9">
        <v>35</v>
      </c>
    </row>
    <row r="42" spans="1:2">
      <c r="A42" t="s">
        <v>340</v>
      </c>
      <c r="B42" s="9">
        <v>36</v>
      </c>
    </row>
    <row r="43" spans="1:2">
      <c r="A43" t="s">
        <v>341</v>
      </c>
      <c r="B43" s="9">
        <v>37</v>
      </c>
    </row>
    <row r="44" spans="1:2">
      <c r="A44" t="s">
        <v>342</v>
      </c>
      <c r="B44" s="9">
        <v>38</v>
      </c>
    </row>
    <row r="45" spans="1:2">
      <c r="A45" t="s">
        <v>343</v>
      </c>
      <c r="B45" s="9">
        <v>39</v>
      </c>
    </row>
    <row r="46" spans="1:2">
      <c r="A46" t="s">
        <v>344</v>
      </c>
      <c r="B46" s="9">
        <v>40</v>
      </c>
    </row>
    <row r="47" spans="1:2">
      <c r="A47" t="s">
        <v>345</v>
      </c>
      <c r="B47" s="9">
        <v>41</v>
      </c>
    </row>
    <row r="48" spans="1:2">
      <c r="A48" t="s">
        <v>346</v>
      </c>
      <c r="B48" s="9">
        <v>42</v>
      </c>
    </row>
    <row r="49" spans="1:2">
      <c r="A49" t="s">
        <v>951</v>
      </c>
      <c r="B49" s="9">
        <v>43</v>
      </c>
    </row>
    <row r="50" spans="1:2">
      <c r="A50" t="s">
        <v>952</v>
      </c>
      <c r="B50" s="9">
        <v>44</v>
      </c>
    </row>
    <row r="51" spans="1:2">
      <c r="A51" t="s">
        <v>347</v>
      </c>
      <c r="B51" s="9">
        <v>45</v>
      </c>
    </row>
    <row r="52" spans="1:2">
      <c r="A52" t="s">
        <v>348</v>
      </c>
      <c r="B52" s="9">
        <v>46</v>
      </c>
    </row>
    <row r="53" spans="1:2">
      <c r="A53" t="s">
        <v>349</v>
      </c>
      <c r="B53" s="9">
        <v>47</v>
      </c>
    </row>
    <row r="54" spans="1:2">
      <c r="A54" t="s">
        <v>350</v>
      </c>
      <c r="B54" s="9">
        <v>48</v>
      </c>
    </row>
    <row r="55" spans="1:2">
      <c r="A55" t="s">
        <v>351</v>
      </c>
      <c r="B55" s="9">
        <v>49</v>
      </c>
    </row>
    <row r="56" spans="1:2">
      <c r="A56" t="s">
        <v>352</v>
      </c>
      <c r="B56" s="9">
        <v>50</v>
      </c>
    </row>
    <row r="57" spans="1:2">
      <c r="A57" t="s">
        <v>353</v>
      </c>
      <c r="B57" s="9">
        <v>51</v>
      </c>
    </row>
    <row r="58" spans="1:2">
      <c r="A58" t="s">
        <v>354</v>
      </c>
      <c r="B58" s="9">
        <v>52</v>
      </c>
    </row>
    <row r="59" spans="1:2">
      <c r="A59" t="s">
        <v>919</v>
      </c>
      <c r="B59" s="9">
        <v>53</v>
      </c>
    </row>
    <row r="60" spans="1:2">
      <c r="A60" t="s">
        <v>355</v>
      </c>
      <c r="B60" s="9">
        <v>55</v>
      </c>
    </row>
    <row r="61" spans="1:2">
      <c r="A61" t="s">
        <v>356</v>
      </c>
      <c r="B61" s="9">
        <v>56</v>
      </c>
    </row>
    <row r="62" spans="1:2">
      <c r="A62" t="s">
        <v>920</v>
      </c>
      <c r="B62" s="9">
        <v>57</v>
      </c>
    </row>
    <row r="63" spans="1:2">
      <c r="A63" t="s">
        <v>921</v>
      </c>
      <c r="B63" s="9">
        <v>58</v>
      </c>
    </row>
    <row r="64" spans="1:2">
      <c r="A64" t="s">
        <v>357</v>
      </c>
      <c r="B64" s="9">
        <v>60</v>
      </c>
    </row>
    <row r="65" spans="1:2">
      <c r="A65" t="s">
        <v>953</v>
      </c>
      <c r="B65" s="9">
        <v>61</v>
      </c>
    </row>
    <row r="66" spans="1:2">
      <c r="A66" t="s">
        <v>358</v>
      </c>
      <c r="B66" s="9">
        <v>62</v>
      </c>
    </row>
    <row r="67" spans="1:2">
      <c r="A67" t="s">
        <v>359</v>
      </c>
      <c r="B67" s="9">
        <v>63</v>
      </c>
    </row>
    <row r="68" spans="1:2">
      <c r="A68" t="s">
        <v>360</v>
      </c>
      <c r="B68" s="9">
        <v>64</v>
      </c>
    </row>
    <row r="69" spans="1:2">
      <c r="A69" t="s">
        <v>361</v>
      </c>
      <c r="B69" s="9">
        <v>65</v>
      </c>
    </row>
    <row r="70" spans="1:2">
      <c r="A70" t="s">
        <v>362</v>
      </c>
      <c r="B70" s="9">
        <v>67</v>
      </c>
    </row>
    <row r="71" spans="1:2">
      <c r="A71" t="s">
        <v>954</v>
      </c>
      <c r="B71" s="9">
        <v>68</v>
      </c>
    </row>
    <row r="72" spans="1:2">
      <c r="A72" t="s">
        <v>363</v>
      </c>
      <c r="B72" s="9">
        <v>69</v>
      </c>
    </row>
    <row r="73" spans="1:2">
      <c r="A73" t="s">
        <v>364</v>
      </c>
      <c r="B73" s="9">
        <v>70</v>
      </c>
    </row>
    <row r="74" spans="1:2">
      <c r="A74" t="s">
        <v>365</v>
      </c>
      <c r="B74" s="9">
        <v>71</v>
      </c>
    </row>
    <row r="75" spans="1:2">
      <c r="A75" t="s">
        <v>366</v>
      </c>
      <c r="B75" s="9">
        <v>72</v>
      </c>
    </row>
    <row r="76" spans="1:2">
      <c r="A76" t="s">
        <v>367</v>
      </c>
      <c r="B76" s="11" t="s">
        <v>929</v>
      </c>
    </row>
    <row r="77" spans="1:2">
      <c r="A77" t="s">
        <v>368</v>
      </c>
      <c r="B77" s="10" t="s">
        <v>922</v>
      </c>
    </row>
    <row r="78" spans="1:2">
      <c r="A78" t="s">
        <v>1008</v>
      </c>
      <c r="B78" s="10" t="s">
        <v>923</v>
      </c>
    </row>
    <row r="79" spans="1:2">
      <c r="A79" t="s">
        <v>1011</v>
      </c>
      <c r="B79" s="10" t="s">
        <v>924</v>
      </c>
    </row>
    <row r="80" spans="1:2">
      <c r="A80" t="s">
        <v>1014</v>
      </c>
      <c r="B80" s="10" t="s">
        <v>925</v>
      </c>
    </row>
    <row r="81" spans="1:2" s="1" customFormat="1">
      <c r="A81" s="1" t="s">
        <v>1016</v>
      </c>
      <c r="B81" s="10" t="s">
        <v>926</v>
      </c>
    </row>
    <row r="82" spans="1:2" s="1" customFormat="1">
      <c r="A82" s="1" t="s">
        <v>1019</v>
      </c>
      <c r="B82" s="10" t="s">
        <v>927</v>
      </c>
    </row>
    <row r="83" spans="1:2" s="228" customFormat="1">
      <c r="A83" s="227" t="s">
        <v>1022</v>
      </c>
      <c r="B83" s="244" t="s">
        <v>928</v>
      </c>
    </row>
    <row r="84" spans="1:2" s="228" customFormat="1">
      <c r="A84" s="1" t="s">
        <v>1161</v>
      </c>
      <c r="B84" s="244" t="s">
        <v>937</v>
      </c>
    </row>
    <row r="85" spans="1:2" s="228" customFormat="1">
      <c r="A85" s="1" t="s">
        <v>1164</v>
      </c>
      <c r="B85" s="244" t="s">
        <v>939</v>
      </c>
    </row>
    <row r="86" spans="1:2" s="228" customFormat="1">
      <c r="A86" s="1" t="s">
        <v>1163</v>
      </c>
      <c r="B86" s="244" t="s">
        <v>941</v>
      </c>
    </row>
    <row r="87" spans="1:2" s="228" customFormat="1">
      <c r="A87" s="1" t="s">
        <v>1166</v>
      </c>
      <c r="B87" s="244" t="s">
        <v>1023</v>
      </c>
    </row>
    <row r="88" spans="1:2" s="228" customFormat="1">
      <c r="A88" s="1" t="s">
        <v>1168</v>
      </c>
      <c r="B88" s="244" t="s">
        <v>1024</v>
      </c>
    </row>
    <row r="89" spans="1:2" s="228" customFormat="1">
      <c r="A89" s="227" t="s">
        <v>1169</v>
      </c>
      <c r="B89" s="244" t="s">
        <v>1025</v>
      </c>
    </row>
    <row r="90" spans="1:2" s="228" customFormat="1">
      <c r="A90" s="228" t="s">
        <v>1170</v>
      </c>
      <c r="B90" s="244" t="s">
        <v>1026</v>
      </c>
    </row>
    <row r="91" spans="1:2" s="228" customFormat="1">
      <c r="A91" s="1" t="s">
        <v>930</v>
      </c>
      <c r="B91" s="244" t="s">
        <v>1171</v>
      </c>
    </row>
    <row r="92" spans="1:2" s="228" customFormat="1">
      <c r="A92" s="1" t="s">
        <v>931</v>
      </c>
      <c r="B92" s="244" t="s">
        <v>1172</v>
      </c>
    </row>
    <row r="93" spans="1:2" s="228" customFormat="1">
      <c r="A93" s="1" t="s">
        <v>932</v>
      </c>
      <c r="B93" s="244" t="s">
        <v>1173</v>
      </c>
    </row>
    <row r="94" spans="1:2" s="228" customFormat="1">
      <c r="A94" s="1" t="s">
        <v>933</v>
      </c>
      <c r="B94" s="244" t="s">
        <v>1174</v>
      </c>
    </row>
    <row r="95" spans="1:2" s="228" customFormat="1">
      <c r="A95" s="1" t="s">
        <v>934</v>
      </c>
      <c r="B95" s="244" t="s">
        <v>1175</v>
      </c>
    </row>
    <row r="96" spans="1:2" s="228" customFormat="1">
      <c r="A96" s="227" t="s">
        <v>935</v>
      </c>
      <c r="B96" s="244" t="s">
        <v>1176</v>
      </c>
    </row>
    <row r="97" spans="1:2" s="228" customFormat="1">
      <c r="A97" s="228" t="s">
        <v>936</v>
      </c>
      <c r="B97" s="244" t="s">
        <v>1177</v>
      </c>
    </row>
    <row r="98" spans="1:2" s="228" customFormat="1">
      <c r="A98" s="228" t="s">
        <v>938</v>
      </c>
      <c r="B98" s="244" t="s">
        <v>1178</v>
      </c>
    </row>
    <row r="99" spans="1:2" s="228" customFormat="1">
      <c r="A99" s="228" t="s">
        <v>940</v>
      </c>
      <c r="B99" s="244" t="s">
        <v>1179</v>
      </c>
    </row>
    <row r="100" spans="1:2">
      <c r="A100" t="s">
        <v>261</v>
      </c>
      <c r="B100" s="9">
        <v>1</v>
      </c>
    </row>
    <row r="101" spans="1:2">
      <c r="A101" t="s">
        <v>262</v>
      </c>
      <c r="B101" s="9">
        <v>2</v>
      </c>
    </row>
    <row r="102" spans="1:2">
      <c r="A102" t="s">
        <v>203</v>
      </c>
      <c r="B102" s="9">
        <v>3</v>
      </c>
    </row>
    <row r="103" spans="1:2">
      <c r="A103" t="s">
        <v>204</v>
      </c>
      <c r="B103" s="9">
        <v>4</v>
      </c>
    </row>
    <row r="104" spans="1:2">
      <c r="A104" t="s">
        <v>205</v>
      </c>
      <c r="B104" s="9">
        <v>5</v>
      </c>
    </row>
    <row r="105" spans="1:2">
      <c r="A105" t="s">
        <v>206</v>
      </c>
      <c r="B105" s="9">
        <v>6</v>
      </c>
    </row>
    <row r="106" spans="1:2">
      <c r="A106" t="s">
        <v>207</v>
      </c>
      <c r="B106" s="9">
        <v>7</v>
      </c>
    </row>
    <row r="107" spans="1:2">
      <c r="A107" t="s">
        <v>208</v>
      </c>
      <c r="B107" s="9">
        <v>9</v>
      </c>
    </row>
    <row r="108" spans="1:2">
      <c r="A108" t="s">
        <v>209</v>
      </c>
      <c r="B108" s="9">
        <v>10</v>
      </c>
    </row>
    <row r="109" spans="1:2">
      <c r="A109" t="s">
        <v>210</v>
      </c>
      <c r="B109" s="9">
        <v>11</v>
      </c>
    </row>
    <row r="110" spans="1:2">
      <c r="A110" t="s">
        <v>211</v>
      </c>
      <c r="B110" s="9">
        <v>12</v>
      </c>
    </row>
    <row r="111" spans="1:2">
      <c r="A111" t="s">
        <v>212</v>
      </c>
      <c r="B111" s="9">
        <v>13</v>
      </c>
    </row>
    <row r="112" spans="1:2">
      <c r="A112" t="s">
        <v>213</v>
      </c>
      <c r="B112" s="9">
        <v>14</v>
      </c>
    </row>
    <row r="113" spans="1:2">
      <c r="A113" t="s">
        <v>214</v>
      </c>
      <c r="B113" s="9">
        <v>15</v>
      </c>
    </row>
    <row r="114" spans="1:2">
      <c r="A114" t="s">
        <v>215</v>
      </c>
      <c r="B114" s="9">
        <v>16</v>
      </c>
    </row>
    <row r="115" spans="1:2">
      <c r="A115" t="s">
        <v>216</v>
      </c>
      <c r="B115" s="9">
        <v>17</v>
      </c>
    </row>
    <row r="116" spans="1:2">
      <c r="A116" t="s">
        <v>217</v>
      </c>
      <c r="B116" s="9">
        <v>18</v>
      </c>
    </row>
    <row r="117" spans="1:2">
      <c r="A117" t="s">
        <v>218</v>
      </c>
      <c r="B117" s="9">
        <v>19</v>
      </c>
    </row>
    <row r="118" spans="1:2">
      <c r="A118" t="s">
        <v>219</v>
      </c>
      <c r="B118" s="9">
        <v>20</v>
      </c>
    </row>
    <row r="119" spans="1:2">
      <c r="A119" t="s">
        <v>220</v>
      </c>
      <c r="B119" s="9">
        <v>21</v>
      </c>
    </row>
    <row r="120" spans="1:2">
      <c r="A120" t="s">
        <v>221</v>
      </c>
      <c r="B120" s="9">
        <v>22</v>
      </c>
    </row>
    <row r="121" spans="1:2">
      <c r="A121" t="s">
        <v>222</v>
      </c>
      <c r="B121" s="9">
        <v>23</v>
      </c>
    </row>
    <row r="122" spans="1:2">
      <c r="A122" t="s">
        <v>223</v>
      </c>
      <c r="B122" s="9">
        <v>24</v>
      </c>
    </row>
    <row r="123" spans="1:2">
      <c r="A123" t="s">
        <v>224</v>
      </c>
      <c r="B123" s="9">
        <v>25</v>
      </c>
    </row>
    <row r="124" spans="1:2">
      <c r="A124" t="s">
        <v>225</v>
      </c>
      <c r="B124" s="9">
        <v>26</v>
      </c>
    </row>
    <row r="125" spans="1:2">
      <c r="A125" t="s">
        <v>226</v>
      </c>
      <c r="B125" s="9">
        <v>27</v>
      </c>
    </row>
    <row r="126" spans="1:2">
      <c r="A126" t="s">
        <v>227</v>
      </c>
      <c r="B126" s="9">
        <v>28</v>
      </c>
    </row>
    <row r="127" spans="1:2">
      <c r="A127" t="s">
        <v>228</v>
      </c>
      <c r="B127" s="9">
        <v>30</v>
      </c>
    </row>
    <row r="128" spans="1:2">
      <c r="A128" t="s">
        <v>229</v>
      </c>
      <c r="B128" s="9">
        <v>31</v>
      </c>
    </row>
    <row r="129" spans="1:2">
      <c r="A129" t="s">
        <v>230</v>
      </c>
      <c r="B129" s="9">
        <v>32</v>
      </c>
    </row>
    <row r="130" spans="1:2">
      <c r="A130" t="s">
        <v>231</v>
      </c>
      <c r="B130" s="9">
        <v>33</v>
      </c>
    </row>
    <row r="131" spans="1:2">
      <c r="A131" t="s">
        <v>232</v>
      </c>
      <c r="B131" s="9">
        <v>34</v>
      </c>
    </row>
    <row r="132" spans="1:2">
      <c r="A132" t="s">
        <v>233</v>
      </c>
      <c r="B132" s="9">
        <v>35</v>
      </c>
    </row>
    <row r="133" spans="1:2">
      <c r="A133" t="s">
        <v>234</v>
      </c>
      <c r="B133" s="9">
        <v>36</v>
      </c>
    </row>
    <row r="134" spans="1:2">
      <c r="A134" t="s">
        <v>235</v>
      </c>
      <c r="B134" s="9">
        <v>37</v>
      </c>
    </row>
    <row r="135" spans="1:2">
      <c r="A135" t="s">
        <v>236</v>
      </c>
      <c r="B135" s="9">
        <v>38</v>
      </c>
    </row>
    <row r="136" spans="1:2">
      <c r="A136" t="s">
        <v>237</v>
      </c>
      <c r="B136" s="9">
        <v>39</v>
      </c>
    </row>
    <row r="137" spans="1:2">
      <c r="A137" t="s">
        <v>238</v>
      </c>
      <c r="B137" s="9">
        <v>40</v>
      </c>
    </row>
    <row r="138" spans="1:2">
      <c r="A138" t="s">
        <v>239</v>
      </c>
      <c r="B138" s="9">
        <v>41</v>
      </c>
    </row>
    <row r="139" spans="1:2">
      <c r="A139" t="s">
        <v>240</v>
      </c>
      <c r="B139" s="9">
        <v>42</v>
      </c>
    </row>
    <row r="140" spans="1:2">
      <c r="A140" t="s">
        <v>241</v>
      </c>
      <c r="B140" s="9">
        <v>43</v>
      </c>
    </row>
    <row r="141" spans="1:2">
      <c r="A141" t="s">
        <v>242</v>
      </c>
      <c r="B141" s="9">
        <v>44</v>
      </c>
    </row>
    <row r="142" spans="1:2">
      <c r="A142" t="s">
        <v>243</v>
      </c>
      <c r="B142" s="9">
        <v>45</v>
      </c>
    </row>
    <row r="143" spans="1:2">
      <c r="A143" t="s">
        <v>244</v>
      </c>
      <c r="B143" s="9">
        <v>46</v>
      </c>
    </row>
    <row r="144" spans="1:2">
      <c r="A144" t="s">
        <v>245</v>
      </c>
      <c r="B144" s="9">
        <v>47</v>
      </c>
    </row>
    <row r="145" spans="1:2">
      <c r="A145" t="s">
        <v>246</v>
      </c>
      <c r="B145" s="9">
        <v>48</v>
      </c>
    </row>
    <row r="146" spans="1:2">
      <c r="A146" t="s">
        <v>247</v>
      </c>
      <c r="B146" s="9">
        <v>49</v>
      </c>
    </row>
    <row r="147" spans="1:2">
      <c r="A147" t="s">
        <v>248</v>
      </c>
      <c r="B147" s="9">
        <v>51</v>
      </c>
    </row>
    <row r="148" spans="1:2">
      <c r="A148" t="s">
        <v>249</v>
      </c>
      <c r="B148" s="9">
        <v>52</v>
      </c>
    </row>
    <row r="149" spans="1:2">
      <c r="A149" t="s">
        <v>510</v>
      </c>
      <c r="B149" s="9">
        <v>53</v>
      </c>
    </row>
    <row r="150" spans="1:2">
      <c r="A150" t="s">
        <v>511</v>
      </c>
      <c r="B150" s="9">
        <v>54</v>
      </c>
    </row>
    <row r="151" spans="1:2">
      <c r="A151" t="s">
        <v>250</v>
      </c>
      <c r="B151" s="9">
        <v>56</v>
      </c>
    </row>
    <row r="152" spans="1:2">
      <c r="A152" t="s">
        <v>251</v>
      </c>
      <c r="B152" s="9">
        <v>57</v>
      </c>
    </row>
    <row r="153" spans="1:2">
      <c r="A153" t="s">
        <v>252</v>
      </c>
      <c r="B153" s="9">
        <v>58</v>
      </c>
    </row>
    <row r="154" spans="1:2">
      <c r="A154" t="s">
        <v>253</v>
      </c>
      <c r="B154" s="9">
        <v>59</v>
      </c>
    </row>
    <row r="155" spans="1:2">
      <c r="A155" t="s">
        <v>254</v>
      </c>
      <c r="B155" s="9">
        <v>61</v>
      </c>
    </row>
    <row r="156" spans="1:2">
      <c r="A156" t="s">
        <v>255</v>
      </c>
      <c r="B156" s="9">
        <v>62</v>
      </c>
    </row>
    <row r="157" spans="1:2">
      <c r="A157" t="s">
        <v>256</v>
      </c>
      <c r="B157" s="9">
        <v>63</v>
      </c>
    </row>
    <row r="158" spans="1:2">
      <c r="A158" t="s">
        <v>257</v>
      </c>
      <c r="B158" s="9">
        <v>64</v>
      </c>
    </row>
    <row r="159" spans="1:2">
      <c r="A159" t="s">
        <v>258</v>
      </c>
      <c r="B159" s="10" t="s">
        <v>790</v>
      </c>
    </row>
    <row r="160" spans="1:2">
      <c r="A160" t="s">
        <v>259</v>
      </c>
      <c r="B160" s="10" t="s">
        <v>791</v>
      </c>
    </row>
    <row r="161" spans="1:2">
      <c r="A161" t="s">
        <v>1028</v>
      </c>
      <c r="B161" s="10" t="s">
        <v>819</v>
      </c>
    </row>
    <row r="162" spans="1:2">
      <c r="A162" t="s">
        <v>1029</v>
      </c>
      <c r="B162" s="10" t="s">
        <v>792</v>
      </c>
    </row>
    <row r="163" spans="1:2">
      <c r="A163" t="s">
        <v>1030</v>
      </c>
      <c r="B163" s="10" t="s">
        <v>818</v>
      </c>
    </row>
    <row r="164" spans="1:2" s="1" customFormat="1">
      <c r="A164" s="1" t="s">
        <v>1031</v>
      </c>
      <c r="B164" s="10" t="s">
        <v>822</v>
      </c>
    </row>
    <row r="165" spans="1:2" s="1" customFormat="1">
      <c r="A165" s="1" t="s">
        <v>1032</v>
      </c>
      <c r="B165" s="10" t="s">
        <v>823</v>
      </c>
    </row>
    <row r="166" spans="1:2" s="1" customFormat="1">
      <c r="A166" s="227" t="s">
        <v>1033</v>
      </c>
      <c r="B166" s="10" t="s">
        <v>824</v>
      </c>
    </row>
    <row r="167" spans="1:2" s="1" customFormat="1">
      <c r="A167" s="1" t="s">
        <v>1180</v>
      </c>
      <c r="B167" s="10" t="s">
        <v>825</v>
      </c>
    </row>
    <row r="168" spans="1:2" s="1" customFormat="1">
      <c r="A168" s="1" t="s">
        <v>1181</v>
      </c>
      <c r="B168" s="10" t="s">
        <v>826</v>
      </c>
    </row>
    <row r="169" spans="1:2" s="1" customFormat="1">
      <c r="A169" s="1" t="s">
        <v>1182</v>
      </c>
      <c r="B169" s="10" t="s">
        <v>827</v>
      </c>
    </row>
    <row r="170" spans="1:2" s="1" customFormat="1">
      <c r="A170" s="1" t="s">
        <v>1183</v>
      </c>
      <c r="B170" s="10" t="s">
        <v>1034</v>
      </c>
    </row>
    <row r="171" spans="1:2" s="1" customFormat="1">
      <c r="A171" s="1" t="s">
        <v>1184</v>
      </c>
      <c r="B171" s="10" t="s">
        <v>1035</v>
      </c>
    </row>
    <row r="172" spans="1:2" s="1" customFormat="1">
      <c r="A172" s="227" t="s">
        <v>1185</v>
      </c>
      <c r="B172" s="10" t="s">
        <v>1036</v>
      </c>
    </row>
    <row r="173" spans="1:2" s="1" customFormat="1">
      <c r="A173" s="228" t="s">
        <v>1186</v>
      </c>
      <c r="B173" s="10" t="s">
        <v>1037</v>
      </c>
    </row>
    <row r="174" spans="1:2" s="1" customFormat="1">
      <c r="A174" s="1" t="s">
        <v>481</v>
      </c>
      <c r="B174" s="10" t="s">
        <v>1187</v>
      </c>
    </row>
    <row r="175" spans="1:2" s="1" customFormat="1">
      <c r="A175" s="1" t="s">
        <v>480</v>
      </c>
      <c r="B175" s="10" t="s">
        <v>1188</v>
      </c>
    </row>
    <row r="176" spans="1:2" s="1" customFormat="1">
      <c r="A176" s="1" t="s">
        <v>820</v>
      </c>
      <c r="B176" s="10" t="s">
        <v>1189</v>
      </c>
    </row>
    <row r="177" spans="1:2" s="1" customFormat="1">
      <c r="A177" s="1" t="s">
        <v>821</v>
      </c>
      <c r="B177" s="10" t="s">
        <v>1190</v>
      </c>
    </row>
    <row r="178" spans="1:2" s="1" customFormat="1">
      <c r="A178" s="1" t="s">
        <v>885</v>
      </c>
      <c r="B178" s="10" t="s">
        <v>1191</v>
      </c>
    </row>
    <row r="179" spans="1:2" s="1" customFormat="1">
      <c r="A179" s="227" t="s">
        <v>886</v>
      </c>
      <c r="B179" s="10" t="s">
        <v>1192</v>
      </c>
    </row>
    <row r="180" spans="1:2" s="1" customFormat="1">
      <c r="A180" s="228" t="s">
        <v>887</v>
      </c>
      <c r="B180" s="10" t="s">
        <v>1193</v>
      </c>
    </row>
    <row r="181" spans="1:2" s="1" customFormat="1">
      <c r="A181" s="228" t="s">
        <v>888</v>
      </c>
      <c r="B181" s="10" t="s">
        <v>1194</v>
      </c>
    </row>
    <row r="182" spans="1:2" s="1" customFormat="1">
      <c r="A182" s="228" t="s">
        <v>889</v>
      </c>
      <c r="B182" s="10" t="s">
        <v>1195</v>
      </c>
    </row>
    <row r="183" spans="1:2" s="1" customFormat="1">
      <c r="A183" s="1" t="s">
        <v>370</v>
      </c>
      <c r="B183" s="9">
        <v>1</v>
      </c>
    </row>
    <row r="184" spans="1:2" s="1" customFormat="1">
      <c r="A184" s="1" t="s">
        <v>371</v>
      </c>
      <c r="B184" s="9">
        <v>2</v>
      </c>
    </row>
    <row r="185" spans="1:2" s="1" customFormat="1">
      <c r="A185" s="1" t="s">
        <v>372</v>
      </c>
      <c r="B185" s="9">
        <v>3</v>
      </c>
    </row>
    <row r="186" spans="1:2" s="1" customFormat="1">
      <c r="A186" s="1" t="s">
        <v>373</v>
      </c>
      <c r="B186" s="9">
        <v>4</v>
      </c>
    </row>
    <row r="187" spans="1:2" s="1" customFormat="1">
      <c r="A187" s="1" t="s">
        <v>374</v>
      </c>
      <c r="B187" s="9">
        <v>5</v>
      </c>
    </row>
    <row r="188" spans="1:2" s="1" customFormat="1">
      <c r="A188" s="1" t="s">
        <v>375</v>
      </c>
      <c r="B188" s="9">
        <v>6</v>
      </c>
    </row>
    <row r="189" spans="1:2">
      <c r="A189" t="s">
        <v>376</v>
      </c>
      <c r="B189" s="9">
        <v>7</v>
      </c>
    </row>
    <row r="190" spans="1:2">
      <c r="A190" t="s">
        <v>377</v>
      </c>
      <c r="B190" s="9">
        <v>9</v>
      </c>
    </row>
    <row r="191" spans="1:2">
      <c r="A191" t="s">
        <v>378</v>
      </c>
      <c r="B191" s="9">
        <v>10</v>
      </c>
    </row>
    <row r="192" spans="1:2">
      <c r="A192" t="s">
        <v>379</v>
      </c>
      <c r="B192" s="9">
        <v>11</v>
      </c>
    </row>
    <row r="193" spans="1:2">
      <c r="A193" t="s">
        <v>380</v>
      </c>
      <c r="B193" s="9">
        <v>12</v>
      </c>
    </row>
    <row r="194" spans="1:2">
      <c r="A194" t="s">
        <v>381</v>
      </c>
      <c r="B194" s="9">
        <v>13</v>
      </c>
    </row>
    <row r="195" spans="1:2">
      <c r="A195" t="s">
        <v>382</v>
      </c>
      <c r="B195" s="9">
        <v>14</v>
      </c>
    </row>
    <row r="196" spans="1:2">
      <c r="A196" t="s">
        <v>383</v>
      </c>
      <c r="B196" s="9">
        <v>15</v>
      </c>
    </row>
    <row r="197" spans="1:2">
      <c r="A197" t="s">
        <v>384</v>
      </c>
      <c r="B197" s="9">
        <v>16</v>
      </c>
    </row>
    <row r="198" spans="1:2">
      <c r="A198" t="s">
        <v>385</v>
      </c>
      <c r="B198" s="9">
        <v>17</v>
      </c>
    </row>
    <row r="199" spans="1:2">
      <c r="A199" t="s">
        <v>386</v>
      </c>
      <c r="B199" s="9">
        <v>18</v>
      </c>
    </row>
    <row r="200" spans="1:2">
      <c r="A200" t="s">
        <v>387</v>
      </c>
      <c r="B200" s="9">
        <v>19</v>
      </c>
    </row>
    <row r="201" spans="1:2">
      <c r="A201" t="s">
        <v>388</v>
      </c>
      <c r="B201" s="9">
        <v>20</v>
      </c>
    </row>
    <row r="202" spans="1:2">
      <c r="A202" t="s">
        <v>389</v>
      </c>
      <c r="B202" s="9">
        <v>21</v>
      </c>
    </row>
    <row r="203" spans="1:2">
      <c r="A203" t="s">
        <v>390</v>
      </c>
      <c r="B203" s="9">
        <v>22</v>
      </c>
    </row>
    <row r="204" spans="1:2">
      <c r="A204" t="s">
        <v>391</v>
      </c>
      <c r="B204" s="9">
        <v>23</v>
      </c>
    </row>
    <row r="205" spans="1:2">
      <c r="A205" t="s">
        <v>392</v>
      </c>
      <c r="B205" s="9">
        <v>24</v>
      </c>
    </row>
    <row r="206" spans="1:2">
      <c r="A206" t="s">
        <v>393</v>
      </c>
      <c r="B206" s="9">
        <v>25</v>
      </c>
    </row>
    <row r="207" spans="1:2">
      <c r="A207" t="s">
        <v>394</v>
      </c>
      <c r="B207" s="9">
        <v>26</v>
      </c>
    </row>
    <row r="208" spans="1:2">
      <c r="A208" t="s">
        <v>395</v>
      </c>
      <c r="B208" s="9">
        <v>27</v>
      </c>
    </row>
    <row r="209" spans="1:2">
      <c r="A209" t="s">
        <v>396</v>
      </c>
      <c r="B209" s="9">
        <v>28</v>
      </c>
    </row>
    <row r="210" spans="1:2">
      <c r="A210" t="s">
        <v>397</v>
      </c>
      <c r="B210" s="9">
        <v>29</v>
      </c>
    </row>
    <row r="211" spans="1:2">
      <c r="A211" t="s">
        <v>398</v>
      </c>
      <c r="B211" s="9">
        <v>30</v>
      </c>
    </row>
    <row r="212" spans="1:2">
      <c r="A212" t="s">
        <v>399</v>
      </c>
      <c r="B212" s="9">
        <v>31</v>
      </c>
    </row>
    <row r="213" spans="1:2">
      <c r="A213" t="s">
        <v>400</v>
      </c>
      <c r="B213" s="9">
        <v>32</v>
      </c>
    </row>
    <row r="214" spans="1:2">
      <c r="A214" t="s">
        <v>401</v>
      </c>
      <c r="B214" s="9">
        <v>34</v>
      </c>
    </row>
    <row r="215" spans="1:2">
      <c r="A215" t="s">
        <v>402</v>
      </c>
      <c r="B215" s="9">
        <v>35</v>
      </c>
    </row>
    <row r="216" spans="1:2">
      <c r="A216" t="s">
        <v>403</v>
      </c>
      <c r="B216" s="9">
        <v>36</v>
      </c>
    </row>
    <row r="217" spans="1:2">
      <c r="A217" t="s">
        <v>404</v>
      </c>
      <c r="B217" s="9">
        <v>37</v>
      </c>
    </row>
    <row r="218" spans="1:2">
      <c r="A218" t="s">
        <v>405</v>
      </c>
      <c r="B218" s="9">
        <v>38</v>
      </c>
    </row>
    <row r="219" spans="1:2">
      <c r="A219" t="s">
        <v>406</v>
      </c>
      <c r="B219" s="9">
        <v>39</v>
      </c>
    </row>
    <row r="220" spans="1:2">
      <c r="A220" t="s">
        <v>407</v>
      </c>
      <c r="B220" s="9">
        <v>40</v>
      </c>
    </row>
    <row r="221" spans="1:2">
      <c r="A221" t="s">
        <v>408</v>
      </c>
      <c r="B221" s="9">
        <v>41</v>
      </c>
    </row>
    <row r="222" spans="1:2">
      <c r="A222" t="s">
        <v>409</v>
      </c>
      <c r="B222" s="9">
        <v>42</v>
      </c>
    </row>
    <row r="223" spans="1:2">
      <c r="A223" t="s">
        <v>410</v>
      </c>
      <c r="B223" s="9">
        <v>43</v>
      </c>
    </row>
    <row r="224" spans="1:2">
      <c r="A224" t="s">
        <v>411</v>
      </c>
      <c r="B224" s="9">
        <v>44</v>
      </c>
    </row>
    <row r="225" spans="1:2">
      <c r="A225" t="s">
        <v>412</v>
      </c>
      <c r="B225" s="9">
        <v>45</v>
      </c>
    </row>
    <row r="226" spans="1:2">
      <c r="A226" t="s">
        <v>413</v>
      </c>
      <c r="B226" s="9">
        <v>46</v>
      </c>
    </row>
    <row r="227" spans="1:2">
      <c r="A227" t="s">
        <v>414</v>
      </c>
      <c r="B227" s="9">
        <v>47</v>
      </c>
    </row>
    <row r="228" spans="1:2">
      <c r="A228" t="s">
        <v>415</v>
      </c>
      <c r="B228" s="9">
        <v>48</v>
      </c>
    </row>
    <row r="229" spans="1:2">
      <c r="A229" t="s">
        <v>416</v>
      </c>
      <c r="B229" s="9">
        <v>49</v>
      </c>
    </row>
    <row r="230" spans="1:2">
      <c r="A230" t="s">
        <v>417</v>
      </c>
      <c r="B230" s="9">
        <v>50</v>
      </c>
    </row>
    <row r="231" spans="1:2">
      <c r="A231" t="s">
        <v>418</v>
      </c>
      <c r="B231" s="9">
        <v>51</v>
      </c>
    </row>
    <row r="232" spans="1:2">
      <c r="A232" t="s">
        <v>419</v>
      </c>
      <c r="B232" s="9">
        <v>52</v>
      </c>
    </row>
    <row r="233" spans="1:2">
      <c r="A233" t="s">
        <v>420</v>
      </c>
      <c r="B233" s="9">
        <v>53</v>
      </c>
    </row>
    <row r="234" spans="1:2">
      <c r="A234" t="s">
        <v>421</v>
      </c>
      <c r="B234" s="9">
        <v>54</v>
      </c>
    </row>
    <row r="235" spans="1:2">
      <c r="A235" t="s">
        <v>422</v>
      </c>
      <c r="B235" s="9">
        <v>55</v>
      </c>
    </row>
    <row r="236" spans="1:2">
      <c r="A236" t="s">
        <v>423</v>
      </c>
      <c r="B236" s="9">
        <v>56</v>
      </c>
    </row>
    <row r="237" spans="1:2">
      <c r="A237" t="s">
        <v>424</v>
      </c>
      <c r="B237" s="9">
        <v>57</v>
      </c>
    </row>
    <row r="238" spans="1:2">
      <c r="A238" t="s">
        <v>425</v>
      </c>
      <c r="B238" s="9">
        <v>59</v>
      </c>
    </row>
    <row r="239" spans="1:2">
      <c r="A239" t="s">
        <v>426</v>
      </c>
      <c r="B239" s="9">
        <v>60</v>
      </c>
    </row>
    <row r="240" spans="1:2">
      <c r="A240" t="s">
        <v>514</v>
      </c>
      <c r="B240" s="9">
        <v>61</v>
      </c>
    </row>
    <row r="241" spans="1:2">
      <c r="A241" t="s">
        <v>515</v>
      </c>
      <c r="B241" s="9">
        <v>62</v>
      </c>
    </row>
    <row r="242" spans="1:2">
      <c r="A242" t="s">
        <v>427</v>
      </c>
      <c r="B242" s="9">
        <v>64</v>
      </c>
    </row>
    <row r="243" spans="1:2">
      <c r="A243" t="s">
        <v>428</v>
      </c>
      <c r="B243" s="9">
        <v>65</v>
      </c>
    </row>
    <row r="244" spans="1:2">
      <c r="A244" t="s">
        <v>429</v>
      </c>
      <c r="B244" s="9">
        <v>66</v>
      </c>
    </row>
    <row r="245" spans="1:2">
      <c r="A245" t="s">
        <v>430</v>
      </c>
      <c r="B245" s="9">
        <v>67</v>
      </c>
    </row>
    <row r="246" spans="1:2">
      <c r="A246" t="s">
        <v>431</v>
      </c>
      <c r="B246" s="9">
        <v>69</v>
      </c>
    </row>
    <row r="247" spans="1:2">
      <c r="A247" t="s">
        <v>432</v>
      </c>
      <c r="B247" s="9">
        <v>70</v>
      </c>
    </row>
    <row r="248" spans="1:2">
      <c r="A248" t="s">
        <v>433</v>
      </c>
      <c r="B248" s="9">
        <v>71</v>
      </c>
    </row>
    <row r="249" spans="1:2">
      <c r="A249" t="s">
        <v>434</v>
      </c>
      <c r="B249" s="9">
        <v>72</v>
      </c>
    </row>
    <row r="250" spans="1:2">
      <c r="A250" t="s">
        <v>435</v>
      </c>
      <c r="B250" s="9">
        <v>74</v>
      </c>
    </row>
    <row r="251" spans="1:2">
      <c r="A251" t="s">
        <v>436</v>
      </c>
      <c r="B251" s="9">
        <v>75</v>
      </c>
    </row>
    <row r="252" spans="1:2">
      <c r="A252" t="s">
        <v>437</v>
      </c>
      <c r="B252" s="9">
        <v>76</v>
      </c>
    </row>
    <row r="253" spans="1:2">
      <c r="A253" t="s">
        <v>438</v>
      </c>
      <c r="B253" s="9">
        <v>77</v>
      </c>
    </row>
    <row r="254" spans="1:2">
      <c r="A254" t="s">
        <v>439</v>
      </c>
      <c r="B254" s="9">
        <v>79</v>
      </c>
    </row>
    <row r="255" spans="1:2">
      <c r="A255" t="s">
        <v>440</v>
      </c>
      <c r="B255" s="9">
        <v>80</v>
      </c>
    </row>
    <row r="256" spans="1:2">
      <c r="A256" t="s">
        <v>441</v>
      </c>
      <c r="B256" s="9">
        <v>81</v>
      </c>
    </row>
    <row r="257" spans="1:2">
      <c r="A257" t="s">
        <v>442</v>
      </c>
      <c r="B257" s="9">
        <v>82</v>
      </c>
    </row>
    <row r="258" spans="1:2">
      <c r="A258" t="s">
        <v>443</v>
      </c>
      <c r="B258" s="10" t="s">
        <v>448</v>
      </c>
    </row>
    <row r="259" spans="1:2">
      <c r="A259" t="s">
        <v>444</v>
      </c>
      <c r="B259" s="10" t="s">
        <v>449</v>
      </c>
    </row>
    <row r="260" spans="1:2">
      <c r="A260" t="s">
        <v>1038</v>
      </c>
      <c r="B260" s="10" t="s">
        <v>450</v>
      </c>
    </row>
    <row r="261" spans="1:2">
      <c r="A261" t="s">
        <v>1039</v>
      </c>
      <c r="B261" s="10" t="s">
        <v>451</v>
      </c>
    </row>
    <row r="262" spans="1:2">
      <c r="A262" t="s">
        <v>1040</v>
      </c>
      <c r="B262" s="10" t="s">
        <v>452</v>
      </c>
    </row>
    <row r="263" spans="1:2" s="1" customFormat="1">
      <c r="A263" s="1" t="s">
        <v>1041</v>
      </c>
      <c r="B263" s="10" t="s">
        <v>829</v>
      </c>
    </row>
    <row r="264" spans="1:2" s="1" customFormat="1">
      <c r="A264" s="1" t="s">
        <v>1042</v>
      </c>
      <c r="B264" s="10" t="s">
        <v>830</v>
      </c>
    </row>
    <row r="265" spans="1:2" s="1" customFormat="1">
      <c r="A265" s="227" t="s">
        <v>1043</v>
      </c>
      <c r="B265" s="10" t="s">
        <v>831</v>
      </c>
    </row>
    <row r="266" spans="1:2" s="1" customFormat="1">
      <c r="A266" s="1" t="s">
        <v>1196</v>
      </c>
      <c r="B266" s="10" t="s">
        <v>832</v>
      </c>
    </row>
    <row r="267" spans="1:2" s="1" customFormat="1">
      <c r="A267" s="1" t="s">
        <v>1197</v>
      </c>
      <c r="B267" s="10" t="s">
        <v>833</v>
      </c>
    </row>
    <row r="268" spans="1:2" s="1" customFormat="1">
      <c r="A268" s="1" t="s">
        <v>1198</v>
      </c>
      <c r="B268" s="10" t="s">
        <v>834</v>
      </c>
    </row>
    <row r="269" spans="1:2" s="1" customFormat="1">
      <c r="A269" s="1" t="s">
        <v>1199</v>
      </c>
      <c r="B269" s="10" t="s">
        <v>1044</v>
      </c>
    </row>
    <row r="270" spans="1:2" s="1" customFormat="1">
      <c r="A270" s="1" t="s">
        <v>1200</v>
      </c>
      <c r="B270" s="10" t="s">
        <v>1045</v>
      </c>
    </row>
    <row r="271" spans="1:2" s="1" customFormat="1">
      <c r="A271" s="227" t="s">
        <v>1201</v>
      </c>
      <c r="B271" s="10" t="s">
        <v>1046</v>
      </c>
    </row>
    <row r="272" spans="1:2" s="1" customFormat="1">
      <c r="A272" s="228" t="s">
        <v>1202</v>
      </c>
      <c r="B272" s="10" t="s">
        <v>1047</v>
      </c>
    </row>
    <row r="273" spans="1:2" s="1" customFormat="1">
      <c r="A273" s="1" t="s">
        <v>479</v>
      </c>
      <c r="B273" s="10" t="s">
        <v>1203</v>
      </c>
    </row>
    <row r="274" spans="1:2" s="1" customFormat="1">
      <c r="A274" s="1" t="s">
        <v>478</v>
      </c>
      <c r="B274" s="10" t="s">
        <v>1048</v>
      </c>
    </row>
    <row r="275" spans="1:2" s="1" customFormat="1">
      <c r="A275" s="1" t="s">
        <v>477</v>
      </c>
      <c r="B275" s="10" t="s">
        <v>1204</v>
      </c>
    </row>
    <row r="276" spans="1:2" s="1" customFormat="1">
      <c r="A276" s="1" t="s">
        <v>828</v>
      </c>
      <c r="B276" s="10" t="s">
        <v>1205</v>
      </c>
    </row>
    <row r="277" spans="1:2" s="1" customFormat="1">
      <c r="A277" s="1" t="s">
        <v>890</v>
      </c>
      <c r="B277" s="10" t="s">
        <v>1206</v>
      </c>
    </row>
    <row r="278" spans="1:2" s="1" customFormat="1">
      <c r="A278" s="227" t="s">
        <v>891</v>
      </c>
      <c r="B278" s="10" t="s">
        <v>1207</v>
      </c>
    </row>
    <row r="279" spans="1:2" s="1" customFormat="1">
      <c r="A279" s="228" t="s">
        <v>892</v>
      </c>
      <c r="B279" s="10" t="s">
        <v>1208</v>
      </c>
    </row>
    <row r="280" spans="1:2" s="1" customFormat="1">
      <c r="A280" s="228" t="s">
        <v>893</v>
      </c>
      <c r="B280" s="10" t="s">
        <v>1209</v>
      </c>
    </row>
    <row r="281" spans="1:2" s="1" customFormat="1">
      <c r="A281" s="228" t="s">
        <v>894</v>
      </c>
      <c r="B281" s="10" t="s">
        <v>1210</v>
      </c>
    </row>
    <row r="282" spans="1:2">
      <c r="A282" t="s">
        <v>263</v>
      </c>
      <c r="B282" s="9">
        <v>1</v>
      </c>
    </row>
    <row r="283" spans="1:2">
      <c r="A283" t="s">
        <v>264</v>
      </c>
      <c r="B283" s="9">
        <v>2</v>
      </c>
    </row>
    <row r="284" spans="1:2">
      <c r="A284" t="s">
        <v>265</v>
      </c>
      <c r="B284" s="9">
        <v>3</v>
      </c>
    </row>
    <row r="285" spans="1:2">
      <c r="A285" t="s">
        <v>266</v>
      </c>
      <c r="B285" s="9">
        <v>4</v>
      </c>
    </row>
    <row r="286" spans="1:2">
      <c r="A286" t="s">
        <v>267</v>
      </c>
      <c r="B286" s="9">
        <v>5</v>
      </c>
    </row>
    <row r="287" spans="1:2">
      <c r="A287" t="s">
        <v>268</v>
      </c>
      <c r="B287" s="9">
        <v>6</v>
      </c>
    </row>
    <row r="288" spans="1:2">
      <c r="A288" t="s">
        <v>269</v>
      </c>
      <c r="B288" s="9">
        <v>8</v>
      </c>
    </row>
    <row r="289" spans="1:2">
      <c r="A289" t="s">
        <v>270</v>
      </c>
      <c r="B289" s="9">
        <v>9</v>
      </c>
    </row>
    <row r="290" spans="1:2">
      <c r="A290" t="s">
        <v>271</v>
      </c>
      <c r="B290" s="9">
        <v>10</v>
      </c>
    </row>
    <row r="291" spans="1:2">
      <c r="A291" t="s">
        <v>272</v>
      </c>
      <c r="B291" s="9">
        <v>11</v>
      </c>
    </row>
    <row r="292" spans="1:2">
      <c r="A292" t="s">
        <v>273</v>
      </c>
      <c r="B292" s="9">
        <v>12</v>
      </c>
    </row>
    <row r="293" spans="1:2">
      <c r="A293" t="s">
        <v>274</v>
      </c>
      <c r="B293" s="9">
        <v>13</v>
      </c>
    </row>
    <row r="294" spans="1:2">
      <c r="A294" t="s">
        <v>275</v>
      </c>
      <c r="B294" s="9">
        <v>14</v>
      </c>
    </row>
    <row r="295" spans="1:2">
      <c r="A295" t="s">
        <v>276</v>
      </c>
      <c r="B295" s="9">
        <v>15</v>
      </c>
    </row>
    <row r="296" spans="1:2">
      <c r="A296" t="s">
        <v>277</v>
      </c>
      <c r="B296" s="9">
        <v>16</v>
      </c>
    </row>
    <row r="297" spans="1:2">
      <c r="A297" t="s">
        <v>278</v>
      </c>
      <c r="B297" s="9">
        <v>17</v>
      </c>
    </row>
    <row r="298" spans="1:2">
      <c r="A298" t="s">
        <v>279</v>
      </c>
      <c r="B298" s="9">
        <v>18</v>
      </c>
    </row>
    <row r="299" spans="1:2">
      <c r="A299" t="s">
        <v>280</v>
      </c>
      <c r="B299" s="9">
        <v>19</v>
      </c>
    </row>
    <row r="300" spans="1:2">
      <c r="A300" t="s">
        <v>281</v>
      </c>
      <c r="B300" s="9">
        <v>20</v>
      </c>
    </row>
    <row r="301" spans="1:2">
      <c r="A301" t="s">
        <v>282</v>
      </c>
      <c r="B301" s="9">
        <v>21</v>
      </c>
    </row>
    <row r="302" spans="1:2">
      <c r="A302" t="s">
        <v>283</v>
      </c>
      <c r="B302" s="9">
        <v>22</v>
      </c>
    </row>
    <row r="303" spans="1:2">
      <c r="A303" t="s">
        <v>284</v>
      </c>
      <c r="B303" s="9">
        <v>23</v>
      </c>
    </row>
    <row r="304" spans="1:2">
      <c r="A304" t="s">
        <v>285</v>
      </c>
      <c r="B304" s="9">
        <v>24</v>
      </c>
    </row>
    <row r="305" spans="1:2">
      <c r="A305" t="s">
        <v>286</v>
      </c>
      <c r="B305" s="9">
        <v>26</v>
      </c>
    </row>
    <row r="306" spans="1:2">
      <c r="A306" t="s">
        <v>287</v>
      </c>
      <c r="B306" s="9">
        <v>27</v>
      </c>
    </row>
    <row r="307" spans="1:2">
      <c r="A307" t="s">
        <v>288</v>
      </c>
      <c r="B307" s="9">
        <v>28</v>
      </c>
    </row>
    <row r="308" spans="1:2">
      <c r="A308" t="s">
        <v>289</v>
      </c>
      <c r="B308" s="9">
        <v>29</v>
      </c>
    </row>
    <row r="309" spans="1:2">
      <c r="A309" t="s">
        <v>290</v>
      </c>
      <c r="B309" s="9">
        <v>30</v>
      </c>
    </row>
    <row r="310" spans="1:2">
      <c r="A310" t="s">
        <v>291</v>
      </c>
      <c r="B310" s="9">
        <v>31</v>
      </c>
    </row>
    <row r="311" spans="1:2">
      <c r="A311" t="s">
        <v>292</v>
      </c>
      <c r="B311" s="9">
        <v>32</v>
      </c>
    </row>
    <row r="312" spans="1:2">
      <c r="A312" t="s">
        <v>293</v>
      </c>
      <c r="B312" s="9">
        <v>33</v>
      </c>
    </row>
    <row r="313" spans="1:2">
      <c r="A313" t="s">
        <v>294</v>
      </c>
      <c r="B313" s="9">
        <v>34</v>
      </c>
    </row>
    <row r="314" spans="1:2">
      <c r="A314" t="s">
        <v>295</v>
      </c>
      <c r="B314" s="9">
        <v>35</v>
      </c>
    </row>
    <row r="315" spans="1:2">
      <c r="A315" t="s">
        <v>296</v>
      </c>
      <c r="B315" s="9">
        <v>36</v>
      </c>
    </row>
    <row r="316" spans="1:2">
      <c r="A316" t="s">
        <v>297</v>
      </c>
      <c r="B316" s="9">
        <v>37</v>
      </c>
    </row>
    <row r="317" spans="1:2">
      <c r="A317" t="s">
        <v>298</v>
      </c>
      <c r="B317" s="9">
        <v>38</v>
      </c>
    </row>
    <row r="318" spans="1:2">
      <c r="A318" t="s">
        <v>299</v>
      </c>
      <c r="B318" s="9">
        <v>39</v>
      </c>
    </row>
    <row r="319" spans="1:2">
      <c r="A319" t="s">
        <v>300</v>
      </c>
      <c r="B319" s="9">
        <v>40</v>
      </c>
    </row>
    <row r="320" spans="1:2">
      <c r="A320" t="s">
        <v>301</v>
      </c>
      <c r="B320" s="9">
        <v>41</v>
      </c>
    </row>
    <row r="321" spans="1:4">
      <c r="A321" t="s">
        <v>302</v>
      </c>
      <c r="B321" s="9">
        <v>42</v>
      </c>
    </row>
    <row r="322" spans="1:4">
      <c r="A322" t="s">
        <v>303</v>
      </c>
      <c r="B322" s="9">
        <v>44</v>
      </c>
    </row>
    <row r="323" spans="1:4">
      <c r="A323" t="s">
        <v>304</v>
      </c>
      <c r="B323" s="9">
        <v>45</v>
      </c>
    </row>
    <row r="324" spans="1:4">
      <c r="A324" t="s">
        <v>305</v>
      </c>
      <c r="B324" s="9">
        <v>46</v>
      </c>
    </row>
    <row r="325" spans="1:4">
      <c r="A325" t="s">
        <v>306</v>
      </c>
      <c r="B325" s="9">
        <v>47</v>
      </c>
    </row>
    <row r="326" spans="1:4">
      <c r="A326" t="s">
        <v>307</v>
      </c>
      <c r="B326" s="9">
        <v>48</v>
      </c>
    </row>
    <row r="327" spans="1:4">
      <c r="A327" t="s">
        <v>308</v>
      </c>
      <c r="B327" s="9">
        <v>49</v>
      </c>
    </row>
    <row r="328" spans="1:4">
      <c r="A328" t="s">
        <v>512</v>
      </c>
      <c r="B328" s="9">
        <v>50</v>
      </c>
    </row>
    <row r="329" spans="1:4">
      <c r="A329" t="s">
        <v>513</v>
      </c>
      <c r="B329" s="9">
        <v>51</v>
      </c>
    </row>
    <row r="330" spans="1:4">
      <c r="A330" t="s">
        <v>309</v>
      </c>
      <c r="B330" s="10" t="s">
        <v>446</v>
      </c>
    </row>
    <row r="331" spans="1:4">
      <c r="A331" t="s">
        <v>310</v>
      </c>
      <c r="B331" s="10" t="s">
        <v>447</v>
      </c>
    </row>
    <row r="332" spans="1:4">
      <c r="A332" t="s">
        <v>1049</v>
      </c>
      <c r="B332" s="10" t="s">
        <v>453</v>
      </c>
      <c r="D332" s="1"/>
    </row>
    <row r="333" spans="1:4">
      <c r="A333" t="s">
        <v>1050</v>
      </c>
      <c r="B333" s="10" t="s">
        <v>454</v>
      </c>
      <c r="D333" s="1"/>
    </row>
    <row r="334" spans="1:4">
      <c r="A334" t="s">
        <v>1051</v>
      </c>
      <c r="B334" s="10" t="s">
        <v>455</v>
      </c>
      <c r="D334" s="1"/>
    </row>
    <row r="335" spans="1:4" s="1" customFormat="1">
      <c r="A335" s="1" t="s">
        <v>1052</v>
      </c>
      <c r="B335" s="10" t="s">
        <v>836</v>
      </c>
    </row>
    <row r="336" spans="1:4" s="1" customFormat="1">
      <c r="A336" s="1" t="s">
        <v>1053</v>
      </c>
      <c r="B336" s="10" t="s">
        <v>837</v>
      </c>
    </row>
    <row r="337" spans="1:2" s="1" customFormat="1">
      <c r="A337" s="227" t="s">
        <v>1054</v>
      </c>
      <c r="B337" s="10" t="s">
        <v>838</v>
      </c>
    </row>
    <row r="338" spans="1:2" s="1" customFormat="1">
      <c r="A338" s="1" t="s">
        <v>1214</v>
      </c>
      <c r="B338" s="10" t="s">
        <v>839</v>
      </c>
    </row>
    <row r="339" spans="1:2" s="1" customFormat="1">
      <c r="A339" s="1" t="s">
        <v>1213</v>
      </c>
      <c r="B339" s="10" t="s">
        <v>840</v>
      </c>
    </row>
    <row r="340" spans="1:2" s="1" customFormat="1">
      <c r="A340" s="1" t="s">
        <v>1215</v>
      </c>
      <c r="B340" s="10" t="s">
        <v>1055</v>
      </c>
    </row>
    <row r="341" spans="1:2" s="1" customFormat="1">
      <c r="A341" s="1" t="s">
        <v>1216</v>
      </c>
      <c r="B341" s="10" t="s">
        <v>1056</v>
      </c>
    </row>
    <row r="342" spans="1:2" s="1" customFormat="1">
      <c r="A342" s="1" t="s">
        <v>1217</v>
      </c>
      <c r="B342" s="10" t="s">
        <v>1057</v>
      </c>
    </row>
    <row r="343" spans="1:2" s="1" customFormat="1">
      <c r="A343" s="227" t="s">
        <v>1218</v>
      </c>
      <c r="B343" s="10" t="s">
        <v>1058</v>
      </c>
    </row>
    <row r="344" spans="1:2" s="1" customFormat="1">
      <c r="A344" s="228" t="s">
        <v>1220</v>
      </c>
      <c r="B344" s="10" t="s">
        <v>1059</v>
      </c>
    </row>
    <row r="345" spans="1:2" s="1" customFormat="1">
      <c r="A345" s="1" t="s">
        <v>476</v>
      </c>
      <c r="B345" s="10" t="s">
        <v>1221</v>
      </c>
    </row>
    <row r="346" spans="1:2" s="1" customFormat="1">
      <c r="A346" s="1" t="s">
        <v>475</v>
      </c>
      <c r="B346" s="10" t="s">
        <v>1222</v>
      </c>
    </row>
    <row r="347" spans="1:2" s="1" customFormat="1">
      <c r="A347" s="1" t="s">
        <v>474</v>
      </c>
      <c r="B347" s="10" t="s">
        <v>1223</v>
      </c>
    </row>
    <row r="348" spans="1:2" s="1" customFormat="1">
      <c r="A348" s="1" t="s">
        <v>835</v>
      </c>
      <c r="B348" s="10" t="s">
        <v>1224</v>
      </c>
    </row>
    <row r="349" spans="1:2" s="1" customFormat="1">
      <c r="A349" s="1" t="s">
        <v>895</v>
      </c>
      <c r="B349" s="10" t="s">
        <v>1225</v>
      </c>
    </row>
    <row r="350" spans="1:2" s="1" customFormat="1">
      <c r="A350" s="227" t="s">
        <v>896</v>
      </c>
      <c r="B350" s="10" t="s">
        <v>1226</v>
      </c>
    </row>
    <row r="351" spans="1:2" s="1" customFormat="1">
      <c r="A351" s="228" t="s">
        <v>897</v>
      </c>
      <c r="B351" s="10" t="s">
        <v>1227</v>
      </c>
    </row>
    <row r="352" spans="1:2" s="1" customFormat="1">
      <c r="A352" s="228" t="s">
        <v>898</v>
      </c>
      <c r="B352" s="10" t="s">
        <v>1228</v>
      </c>
    </row>
    <row r="353" spans="1:2" s="1" customFormat="1">
      <c r="A353" s="228" t="s">
        <v>899</v>
      </c>
      <c r="B353" s="10" t="s">
        <v>1229</v>
      </c>
    </row>
    <row r="354" spans="1:2" s="1" customFormat="1">
      <c r="A354" s="1" t="s">
        <v>519</v>
      </c>
      <c r="B354" s="9">
        <v>1</v>
      </c>
    </row>
    <row r="355" spans="1:2" s="1" customFormat="1">
      <c r="A355" s="1" t="s">
        <v>520</v>
      </c>
      <c r="B355" s="9">
        <v>2</v>
      </c>
    </row>
    <row r="356" spans="1:2" s="1" customFormat="1">
      <c r="A356" s="1" t="s">
        <v>521</v>
      </c>
      <c r="B356" s="9">
        <v>3</v>
      </c>
    </row>
    <row r="357" spans="1:2" s="1" customFormat="1">
      <c r="A357" s="1" t="s">
        <v>522</v>
      </c>
      <c r="B357" s="9">
        <v>4</v>
      </c>
    </row>
    <row r="358" spans="1:2" s="1" customFormat="1">
      <c r="A358" s="1" t="s">
        <v>523</v>
      </c>
      <c r="B358" s="9">
        <v>5</v>
      </c>
    </row>
    <row r="359" spans="1:2" s="1" customFormat="1">
      <c r="A359" s="1" t="s">
        <v>524</v>
      </c>
      <c r="B359" s="9">
        <v>6</v>
      </c>
    </row>
    <row r="360" spans="1:2" s="1" customFormat="1">
      <c r="A360" s="1" t="s">
        <v>525</v>
      </c>
      <c r="B360" s="9">
        <v>7</v>
      </c>
    </row>
    <row r="361" spans="1:2" s="1" customFormat="1">
      <c r="A361" s="1" t="s">
        <v>526</v>
      </c>
      <c r="B361" s="9">
        <v>9</v>
      </c>
    </row>
    <row r="362" spans="1:2" s="1" customFormat="1">
      <c r="A362" s="1" t="s">
        <v>527</v>
      </c>
      <c r="B362" s="9">
        <v>10</v>
      </c>
    </row>
    <row r="363" spans="1:2" s="1" customFormat="1">
      <c r="A363" s="1" t="s">
        <v>528</v>
      </c>
      <c r="B363" s="9">
        <v>11</v>
      </c>
    </row>
    <row r="364" spans="1:2" s="1" customFormat="1">
      <c r="A364" s="1" t="s">
        <v>529</v>
      </c>
      <c r="B364" s="9">
        <v>12</v>
      </c>
    </row>
    <row r="365" spans="1:2" s="1" customFormat="1">
      <c r="A365" s="1" t="s">
        <v>530</v>
      </c>
      <c r="B365" s="9">
        <v>13</v>
      </c>
    </row>
    <row r="366" spans="1:2" s="1" customFormat="1">
      <c r="A366" s="1" t="s">
        <v>531</v>
      </c>
      <c r="B366" s="9">
        <v>14</v>
      </c>
    </row>
    <row r="367" spans="1:2" s="1" customFormat="1">
      <c r="A367" s="1" t="s">
        <v>532</v>
      </c>
      <c r="B367" s="9">
        <v>15</v>
      </c>
    </row>
    <row r="368" spans="1:2" s="1" customFormat="1">
      <c r="A368" s="1" t="s">
        <v>533</v>
      </c>
      <c r="B368" s="9">
        <v>16</v>
      </c>
    </row>
    <row r="369" spans="1:2" s="1" customFormat="1">
      <c r="A369" s="1" t="s">
        <v>534</v>
      </c>
      <c r="B369" s="9">
        <v>17</v>
      </c>
    </row>
    <row r="370" spans="1:2" s="1" customFormat="1">
      <c r="A370" s="1" t="s">
        <v>535</v>
      </c>
      <c r="B370" s="9">
        <v>18</v>
      </c>
    </row>
    <row r="371" spans="1:2" s="1" customFormat="1">
      <c r="A371" s="1" t="s">
        <v>536</v>
      </c>
      <c r="B371" s="9">
        <v>19</v>
      </c>
    </row>
    <row r="372" spans="1:2" s="1" customFormat="1">
      <c r="A372" s="1" t="s">
        <v>947</v>
      </c>
      <c r="B372" s="9">
        <v>20</v>
      </c>
    </row>
    <row r="373" spans="1:2" s="1" customFormat="1">
      <c r="A373" s="1" t="s">
        <v>948</v>
      </c>
      <c r="B373" s="9">
        <v>21</v>
      </c>
    </row>
    <row r="374" spans="1:2" s="1" customFormat="1">
      <c r="A374" s="1" t="s">
        <v>537</v>
      </c>
      <c r="B374" s="9">
        <v>22</v>
      </c>
    </row>
    <row r="375" spans="1:2" s="1" customFormat="1">
      <c r="A375" s="1" t="s">
        <v>538</v>
      </c>
      <c r="B375" s="9">
        <v>23</v>
      </c>
    </row>
    <row r="376" spans="1:2" s="1" customFormat="1">
      <c r="A376" s="1" t="s">
        <v>539</v>
      </c>
      <c r="B376" s="9">
        <v>24</v>
      </c>
    </row>
    <row r="377" spans="1:2" s="1" customFormat="1">
      <c r="A377" s="1" t="s">
        <v>540</v>
      </c>
      <c r="B377" s="9">
        <v>25</v>
      </c>
    </row>
    <row r="378" spans="1:2" s="1" customFormat="1">
      <c r="A378" s="1" t="s">
        <v>541</v>
      </c>
      <c r="B378" s="9">
        <v>26</v>
      </c>
    </row>
    <row r="379" spans="1:2" s="1" customFormat="1">
      <c r="A379" s="1" t="s">
        <v>542</v>
      </c>
      <c r="B379" s="9">
        <v>27</v>
      </c>
    </row>
    <row r="380" spans="1:2" s="1" customFormat="1">
      <c r="A380" s="1" t="s">
        <v>543</v>
      </c>
      <c r="B380" s="9">
        <v>28</v>
      </c>
    </row>
    <row r="381" spans="1:2" s="1" customFormat="1">
      <c r="A381" s="1" t="s">
        <v>544</v>
      </c>
      <c r="B381" s="9">
        <v>29</v>
      </c>
    </row>
    <row r="382" spans="1:2" s="1" customFormat="1">
      <c r="A382" s="1" t="s">
        <v>942</v>
      </c>
      <c r="B382" s="9">
        <v>30</v>
      </c>
    </row>
    <row r="383" spans="1:2" s="1" customFormat="1">
      <c r="A383" s="1" t="s">
        <v>545</v>
      </c>
      <c r="B383" s="9">
        <v>32</v>
      </c>
    </row>
    <row r="384" spans="1:2" s="1" customFormat="1">
      <c r="A384" s="1" t="s">
        <v>546</v>
      </c>
      <c r="B384" s="9">
        <v>33</v>
      </c>
    </row>
    <row r="385" spans="1:2" s="1" customFormat="1">
      <c r="A385" s="1" t="s">
        <v>547</v>
      </c>
      <c r="B385" s="9">
        <v>34</v>
      </c>
    </row>
    <row r="386" spans="1:2" s="1" customFormat="1">
      <c r="A386" s="1" t="s">
        <v>548</v>
      </c>
      <c r="B386" s="9">
        <v>35</v>
      </c>
    </row>
    <row r="387" spans="1:2" s="1" customFormat="1">
      <c r="A387" s="1" t="s">
        <v>549</v>
      </c>
      <c r="B387" s="9">
        <v>36</v>
      </c>
    </row>
    <row r="388" spans="1:2" s="1" customFormat="1">
      <c r="A388" s="1" t="s">
        <v>550</v>
      </c>
      <c r="B388" s="9">
        <v>37</v>
      </c>
    </row>
    <row r="389" spans="1:2" s="1" customFormat="1">
      <c r="A389" s="1" t="s">
        <v>551</v>
      </c>
      <c r="B389" s="9">
        <v>38</v>
      </c>
    </row>
    <row r="390" spans="1:2" s="1" customFormat="1">
      <c r="A390" s="1" t="s">
        <v>552</v>
      </c>
      <c r="B390" s="9">
        <v>39</v>
      </c>
    </row>
    <row r="391" spans="1:2" s="1" customFormat="1">
      <c r="A391" s="1" t="s">
        <v>553</v>
      </c>
      <c r="B391" s="9">
        <v>40</v>
      </c>
    </row>
    <row r="392" spans="1:2" s="1" customFormat="1">
      <c r="A392" s="1" t="s">
        <v>554</v>
      </c>
      <c r="B392" s="9">
        <v>41</v>
      </c>
    </row>
    <row r="393" spans="1:2" s="1" customFormat="1">
      <c r="A393" s="1" t="s">
        <v>555</v>
      </c>
      <c r="B393" s="9">
        <v>42</v>
      </c>
    </row>
    <row r="394" spans="1:2" s="1" customFormat="1">
      <c r="A394" s="1" t="s">
        <v>945</v>
      </c>
      <c r="B394" s="9">
        <v>43</v>
      </c>
    </row>
    <row r="395" spans="1:2" s="1" customFormat="1">
      <c r="A395" s="1" t="s">
        <v>946</v>
      </c>
      <c r="B395" s="9">
        <v>44</v>
      </c>
    </row>
    <row r="396" spans="1:2" s="1" customFormat="1">
      <c r="A396" s="1" t="s">
        <v>556</v>
      </c>
      <c r="B396" s="9">
        <v>45</v>
      </c>
    </row>
    <row r="397" spans="1:2" s="1" customFormat="1">
      <c r="A397" s="1" t="s">
        <v>557</v>
      </c>
      <c r="B397" s="9">
        <v>46</v>
      </c>
    </row>
    <row r="398" spans="1:2" s="1" customFormat="1">
      <c r="A398" s="1" t="s">
        <v>558</v>
      </c>
      <c r="B398" s="9">
        <v>47</v>
      </c>
    </row>
    <row r="399" spans="1:2" s="1" customFormat="1">
      <c r="A399" s="1" t="s">
        <v>559</v>
      </c>
      <c r="B399" s="9">
        <v>48</v>
      </c>
    </row>
    <row r="400" spans="1:2" s="1" customFormat="1">
      <c r="A400" s="1" t="s">
        <v>560</v>
      </c>
      <c r="B400" s="9">
        <v>49</v>
      </c>
    </row>
    <row r="401" spans="1:2" s="1" customFormat="1">
      <c r="A401" s="1" t="s">
        <v>561</v>
      </c>
      <c r="B401" s="9">
        <v>50</v>
      </c>
    </row>
    <row r="402" spans="1:2" s="1" customFormat="1">
      <c r="A402" s="1" t="s">
        <v>562</v>
      </c>
      <c r="B402" s="9">
        <v>51</v>
      </c>
    </row>
    <row r="403" spans="1:2" s="1" customFormat="1">
      <c r="A403" s="1" t="s">
        <v>563</v>
      </c>
      <c r="B403" s="9">
        <v>52</v>
      </c>
    </row>
    <row r="404" spans="1:2" s="1" customFormat="1">
      <c r="A404" s="1" t="s">
        <v>943</v>
      </c>
      <c r="B404" s="9">
        <v>53</v>
      </c>
    </row>
    <row r="405" spans="1:2" s="1" customFormat="1">
      <c r="A405" s="1" t="s">
        <v>564</v>
      </c>
      <c r="B405" s="9">
        <v>55</v>
      </c>
    </row>
    <row r="406" spans="1:2" s="1" customFormat="1">
      <c r="A406" s="1" t="s">
        <v>565</v>
      </c>
      <c r="B406" s="9">
        <v>56</v>
      </c>
    </row>
    <row r="407" spans="1:2" s="1" customFormat="1">
      <c r="A407" s="1" t="s">
        <v>566</v>
      </c>
      <c r="B407" s="9">
        <v>57</v>
      </c>
    </row>
    <row r="408" spans="1:2" s="1" customFormat="1">
      <c r="A408" s="1" t="s">
        <v>567</v>
      </c>
      <c r="B408" s="9">
        <v>58</v>
      </c>
    </row>
    <row r="409" spans="1:2" s="1" customFormat="1">
      <c r="A409" s="1" t="s">
        <v>568</v>
      </c>
      <c r="B409" s="9">
        <v>60</v>
      </c>
    </row>
    <row r="410" spans="1:2" s="1" customFormat="1">
      <c r="A410" s="1" t="s">
        <v>955</v>
      </c>
      <c r="B410" s="9">
        <v>61</v>
      </c>
    </row>
    <row r="411" spans="1:2" s="1" customFormat="1">
      <c r="A411" s="1" t="s">
        <v>569</v>
      </c>
      <c r="B411" s="9">
        <v>62</v>
      </c>
    </row>
    <row r="412" spans="1:2" s="1" customFormat="1">
      <c r="A412" s="1" t="s">
        <v>570</v>
      </c>
      <c r="B412" s="9">
        <v>63</v>
      </c>
    </row>
    <row r="413" spans="1:2" s="1" customFormat="1">
      <c r="A413" s="1" t="s">
        <v>571</v>
      </c>
      <c r="B413" s="9">
        <v>64</v>
      </c>
    </row>
    <row r="414" spans="1:2" s="1" customFormat="1">
      <c r="A414" s="1" t="s">
        <v>572</v>
      </c>
      <c r="B414" s="9">
        <v>65</v>
      </c>
    </row>
    <row r="415" spans="1:2" s="1" customFormat="1">
      <c r="A415" s="1" t="s">
        <v>573</v>
      </c>
      <c r="B415" s="9">
        <v>67</v>
      </c>
    </row>
    <row r="416" spans="1:2" s="1" customFormat="1">
      <c r="A416" s="1" t="s">
        <v>956</v>
      </c>
      <c r="B416" s="9">
        <v>68</v>
      </c>
    </row>
    <row r="417" spans="1:2" s="1" customFormat="1">
      <c r="A417" s="1" t="s">
        <v>574</v>
      </c>
      <c r="B417" s="9">
        <v>69</v>
      </c>
    </row>
    <row r="418" spans="1:2" s="1" customFormat="1">
      <c r="A418" s="1" t="s">
        <v>575</v>
      </c>
      <c r="B418" s="9">
        <v>70</v>
      </c>
    </row>
    <row r="419" spans="1:2" s="1" customFormat="1">
      <c r="A419" s="1" t="s">
        <v>576</v>
      </c>
      <c r="B419" s="9">
        <v>71</v>
      </c>
    </row>
    <row r="420" spans="1:2" s="1" customFormat="1">
      <c r="A420" s="1" t="s">
        <v>577</v>
      </c>
      <c r="B420" s="9">
        <v>72</v>
      </c>
    </row>
    <row r="421" spans="1:2" s="1" customFormat="1">
      <c r="A421" s="1" t="s">
        <v>1060</v>
      </c>
      <c r="B421" s="11" t="s">
        <v>1068</v>
      </c>
    </row>
    <row r="422" spans="1:2" s="1" customFormat="1">
      <c r="A422" s="1" t="s">
        <v>1061</v>
      </c>
      <c r="B422" s="10" t="s">
        <v>1069</v>
      </c>
    </row>
    <row r="423" spans="1:2" s="1" customFormat="1">
      <c r="A423" s="1" t="s">
        <v>1062</v>
      </c>
      <c r="B423" s="10" t="s">
        <v>1070</v>
      </c>
    </row>
    <row r="424" spans="1:2" s="1" customFormat="1">
      <c r="A424" s="1" t="s">
        <v>1063</v>
      </c>
      <c r="B424" s="10" t="s">
        <v>1071</v>
      </c>
    </row>
    <row r="425" spans="1:2" s="1" customFormat="1">
      <c r="A425" s="1" t="s">
        <v>1064</v>
      </c>
      <c r="B425" s="10" t="s">
        <v>1072</v>
      </c>
    </row>
    <row r="426" spans="1:2" s="1" customFormat="1">
      <c r="A426" s="1" t="s">
        <v>1065</v>
      </c>
      <c r="B426" s="10" t="s">
        <v>1073</v>
      </c>
    </row>
    <row r="427" spans="1:2" s="1" customFormat="1">
      <c r="A427" s="1" t="s">
        <v>1066</v>
      </c>
      <c r="B427" s="10" t="s">
        <v>1074</v>
      </c>
    </row>
    <row r="428" spans="1:2" s="228" customFormat="1">
      <c r="A428" s="227" t="s">
        <v>1067</v>
      </c>
      <c r="B428" s="244" t="s">
        <v>1075</v>
      </c>
    </row>
    <row r="429" spans="1:2" s="228" customFormat="1">
      <c r="A429" s="1" t="s">
        <v>1230</v>
      </c>
      <c r="B429" s="244" t="s">
        <v>1231</v>
      </c>
    </row>
    <row r="430" spans="1:2" s="228" customFormat="1">
      <c r="A430" s="1" t="s">
        <v>1232</v>
      </c>
      <c r="B430" s="244" t="s">
        <v>1233</v>
      </c>
    </row>
    <row r="431" spans="1:2" s="228" customFormat="1">
      <c r="A431" s="1" t="s">
        <v>1234</v>
      </c>
      <c r="B431" s="244" t="s">
        <v>1235</v>
      </c>
    </row>
    <row r="432" spans="1:2" s="228" customFormat="1">
      <c r="A432" s="1" t="s">
        <v>1236</v>
      </c>
      <c r="B432" s="244" t="s">
        <v>1237</v>
      </c>
    </row>
    <row r="433" spans="1:2" s="228" customFormat="1">
      <c r="A433" s="1" t="s">
        <v>1238</v>
      </c>
      <c r="B433" s="244" t="s">
        <v>1239</v>
      </c>
    </row>
    <row r="434" spans="1:2" s="228" customFormat="1">
      <c r="A434" s="227" t="s">
        <v>1240</v>
      </c>
      <c r="B434" s="244" t="s">
        <v>1241</v>
      </c>
    </row>
    <row r="435" spans="1:2" s="228" customFormat="1">
      <c r="A435" s="228" t="s">
        <v>1242</v>
      </c>
      <c r="B435" s="244" t="s">
        <v>1243</v>
      </c>
    </row>
    <row r="436" spans="1:2" s="228" customFormat="1">
      <c r="A436" s="1" t="s">
        <v>1244</v>
      </c>
      <c r="B436" s="244" t="s">
        <v>1245</v>
      </c>
    </row>
    <row r="437" spans="1:2" s="228" customFormat="1">
      <c r="A437" s="1" t="s">
        <v>1246</v>
      </c>
      <c r="B437" s="244" t="s">
        <v>1247</v>
      </c>
    </row>
    <row r="438" spans="1:2" s="228" customFormat="1">
      <c r="A438" s="1" t="s">
        <v>1248</v>
      </c>
      <c r="B438" s="244" t="s">
        <v>1249</v>
      </c>
    </row>
    <row r="439" spans="1:2" s="228" customFormat="1">
      <c r="A439" s="1" t="s">
        <v>1250</v>
      </c>
      <c r="B439" s="244" t="s">
        <v>1251</v>
      </c>
    </row>
    <row r="440" spans="1:2" s="228" customFormat="1">
      <c r="A440" s="1" t="s">
        <v>1252</v>
      </c>
      <c r="B440" s="244" t="s">
        <v>1253</v>
      </c>
    </row>
    <row r="441" spans="1:2" s="228" customFormat="1">
      <c r="A441" s="227" t="s">
        <v>1254</v>
      </c>
      <c r="B441" s="244" t="s">
        <v>1255</v>
      </c>
    </row>
    <row r="442" spans="1:2" s="228" customFormat="1">
      <c r="A442" s="228" t="s">
        <v>1256</v>
      </c>
      <c r="B442" s="244" t="s">
        <v>1257</v>
      </c>
    </row>
    <row r="443" spans="1:2" s="228" customFormat="1">
      <c r="A443" s="228" t="s">
        <v>1258</v>
      </c>
      <c r="B443" s="244" t="s">
        <v>1259</v>
      </c>
    </row>
    <row r="444" spans="1:2" s="228" customFormat="1">
      <c r="A444" s="228" t="s">
        <v>1260</v>
      </c>
      <c r="B444" s="244" t="s">
        <v>1261</v>
      </c>
    </row>
    <row r="445" spans="1:2" s="1" customFormat="1">
      <c r="A445" s="1" t="s">
        <v>578</v>
      </c>
      <c r="B445" s="9">
        <v>1</v>
      </c>
    </row>
    <row r="446" spans="1:2" s="1" customFormat="1">
      <c r="A446" s="1" t="s">
        <v>579</v>
      </c>
      <c r="B446" s="9">
        <v>2</v>
      </c>
    </row>
    <row r="447" spans="1:2" s="1" customFormat="1">
      <c r="A447" s="1" t="s">
        <v>580</v>
      </c>
      <c r="B447" s="9">
        <v>3</v>
      </c>
    </row>
    <row r="448" spans="1:2" s="1" customFormat="1">
      <c r="A448" s="1" t="s">
        <v>581</v>
      </c>
      <c r="B448" s="9">
        <v>4</v>
      </c>
    </row>
    <row r="449" spans="1:2" s="1" customFormat="1">
      <c r="A449" s="1" t="s">
        <v>582</v>
      </c>
      <c r="B449" s="9">
        <v>5</v>
      </c>
    </row>
    <row r="450" spans="1:2" s="1" customFormat="1">
      <c r="A450" s="1" t="s">
        <v>583</v>
      </c>
      <c r="B450" s="9">
        <v>6</v>
      </c>
    </row>
    <row r="451" spans="1:2" s="1" customFormat="1">
      <c r="A451" s="1" t="s">
        <v>584</v>
      </c>
      <c r="B451" s="9">
        <v>7</v>
      </c>
    </row>
    <row r="452" spans="1:2" s="1" customFormat="1">
      <c r="A452" s="1" t="s">
        <v>585</v>
      </c>
      <c r="B452" s="9">
        <v>9</v>
      </c>
    </row>
    <row r="453" spans="1:2" s="1" customFormat="1">
      <c r="A453" s="1" t="s">
        <v>586</v>
      </c>
      <c r="B453" s="9">
        <v>10</v>
      </c>
    </row>
    <row r="454" spans="1:2" s="1" customFormat="1">
      <c r="A454" s="1" t="s">
        <v>587</v>
      </c>
      <c r="B454" s="9">
        <v>11</v>
      </c>
    </row>
    <row r="455" spans="1:2" s="1" customFormat="1">
      <c r="A455" s="1" t="s">
        <v>588</v>
      </c>
      <c r="B455" s="9">
        <v>12</v>
      </c>
    </row>
    <row r="456" spans="1:2" s="1" customFormat="1">
      <c r="A456" s="1" t="s">
        <v>589</v>
      </c>
      <c r="B456" s="9">
        <v>13</v>
      </c>
    </row>
    <row r="457" spans="1:2" s="1" customFormat="1">
      <c r="A457" s="1" t="s">
        <v>590</v>
      </c>
      <c r="B457" s="9">
        <v>14</v>
      </c>
    </row>
    <row r="458" spans="1:2" s="1" customFormat="1">
      <c r="A458" s="1" t="s">
        <v>591</v>
      </c>
      <c r="B458" s="9">
        <v>15</v>
      </c>
    </row>
    <row r="459" spans="1:2" s="1" customFormat="1">
      <c r="A459" s="1" t="s">
        <v>592</v>
      </c>
      <c r="B459" s="9">
        <v>16</v>
      </c>
    </row>
    <row r="460" spans="1:2" s="1" customFormat="1">
      <c r="A460" s="1" t="s">
        <v>593</v>
      </c>
      <c r="B460" s="9">
        <v>17</v>
      </c>
    </row>
    <row r="461" spans="1:2" s="1" customFormat="1">
      <c r="A461" s="1" t="s">
        <v>594</v>
      </c>
      <c r="B461" s="9">
        <v>18</v>
      </c>
    </row>
    <row r="462" spans="1:2" s="1" customFormat="1">
      <c r="A462" s="1" t="s">
        <v>595</v>
      </c>
      <c r="B462" s="9">
        <v>19</v>
      </c>
    </row>
    <row r="463" spans="1:2" s="1" customFormat="1">
      <c r="A463" s="1" t="s">
        <v>596</v>
      </c>
      <c r="B463" s="9">
        <v>20</v>
      </c>
    </row>
    <row r="464" spans="1:2" s="1" customFormat="1">
      <c r="A464" s="1" t="s">
        <v>597</v>
      </c>
      <c r="B464" s="9">
        <v>21</v>
      </c>
    </row>
    <row r="465" spans="1:2" s="1" customFormat="1">
      <c r="A465" s="1" t="s">
        <v>598</v>
      </c>
      <c r="B465" s="9">
        <v>22</v>
      </c>
    </row>
    <row r="466" spans="1:2" s="1" customFormat="1">
      <c r="A466" s="1" t="s">
        <v>599</v>
      </c>
      <c r="B466" s="9">
        <v>23</v>
      </c>
    </row>
    <row r="467" spans="1:2" s="1" customFormat="1">
      <c r="A467" s="1" t="s">
        <v>600</v>
      </c>
      <c r="B467" s="9">
        <v>24</v>
      </c>
    </row>
    <row r="468" spans="1:2" s="1" customFormat="1">
      <c r="A468" s="1" t="s">
        <v>601</v>
      </c>
      <c r="B468" s="9">
        <v>25</v>
      </c>
    </row>
    <row r="469" spans="1:2" s="1" customFormat="1">
      <c r="A469" s="1" t="s">
        <v>602</v>
      </c>
      <c r="B469" s="9">
        <v>26</v>
      </c>
    </row>
    <row r="470" spans="1:2" s="1" customFormat="1">
      <c r="A470" s="1" t="s">
        <v>603</v>
      </c>
      <c r="B470" s="9">
        <v>27</v>
      </c>
    </row>
    <row r="471" spans="1:2" s="1" customFormat="1">
      <c r="A471" s="1" t="s">
        <v>604</v>
      </c>
      <c r="B471" s="9">
        <v>28</v>
      </c>
    </row>
    <row r="472" spans="1:2" s="1" customFormat="1">
      <c r="A472" s="1" t="s">
        <v>605</v>
      </c>
      <c r="B472" s="9">
        <v>30</v>
      </c>
    </row>
    <row r="473" spans="1:2" s="1" customFormat="1">
      <c r="A473" s="1" t="s">
        <v>606</v>
      </c>
      <c r="B473" s="9">
        <v>31</v>
      </c>
    </row>
    <row r="474" spans="1:2" s="1" customFormat="1">
      <c r="A474" s="1" t="s">
        <v>607</v>
      </c>
      <c r="B474" s="9">
        <v>32</v>
      </c>
    </row>
    <row r="475" spans="1:2" s="1" customFormat="1">
      <c r="A475" s="1" t="s">
        <v>608</v>
      </c>
      <c r="B475" s="9">
        <v>33</v>
      </c>
    </row>
    <row r="476" spans="1:2" s="1" customFormat="1">
      <c r="A476" s="1" t="s">
        <v>609</v>
      </c>
      <c r="B476" s="9">
        <v>34</v>
      </c>
    </row>
    <row r="477" spans="1:2" s="1" customFormat="1">
      <c r="A477" s="1" t="s">
        <v>610</v>
      </c>
      <c r="B477" s="9">
        <v>35</v>
      </c>
    </row>
    <row r="478" spans="1:2" s="1" customFormat="1">
      <c r="A478" s="1" t="s">
        <v>611</v>
      </c>
      <c r="B478" s="9">
        <v>36</v>
      </c>
    </row>
    <row r="479" spans="1:2" s="1" customFormat="1">
      <c r="A479" s="1" t="s">
        <v>612</v>
      </c>
      <c r="B479" s="9">
        <v>37</v>
      </c>
    </row>
    <row r="480" spans="1:2" s="1" customFormat="1">
      <c r="A480" s="1" t="s">
        <v>613</v>
      </c>
      <c r="B480" s="9">
        <v>38</v>
      </c>
    </row>
    <row r="481" spans="1:2" s="1" customFormat="1">
      <c r="A481" s="1" t="s">
        <v>614</v>
      </c>
      <c r="B481" s="9">
        <v>39</v>
      </c>
    </row>
    <row r="482" spans="1:2" s="1" customFormat="1">
      <c r="A482" s="1" t="s">
        <v>615</v>
      </c>
      <c r="B482" s="9">
        <v>40</v>
      </c>
    </row>
    <row r="483" spans="1:2" s="1" customFormat="1">
      <c r="A483" s="1" t="s">
        <v>616</v>
      </c>
      <c r="B483" s="9">
        <v>41</v>
      </c>
    </row>
    <row r="484" spans="1:2" s="1" customFormat="1">
      <c r="A484" s="1" t="s">
        <v>617</v>
      </c>
      <c r="B484" s="9">
        <v>42</v>
      </c>
    </row>
    <row r="485" spans="1:2" s="1" customFormat="1">
      <c r="A485" s="1" t="s">
        <v>618</v>
      </c>
      <c r="B485" s="9">
        <v>43</v>
      </c>
    </row>
    <row r="486" spans="1:2" s="1" customFormat="1">
      <c r="A486" s="1" t="s">
        <v>619</v>
      </c>
      <c r="B486" s="9">
        <v>44</v>
      </c>
    </row>
    <row r="487" spans="1:2" s="1" customFormat="1">
      <c r="A487" s="1" t="s">
        <v>620</v>
      </c>
      <c r="B487" s="9">
        <v>45</v>
      </c>
    </row>
    <row r="488" spans="1:2" s="1" customFormat="1">
      <c r="A488" s="1" t="s">
        <v>621</v>
      </c>
      <c r="B488" s="9">
        <v>46</v>
      </c>
    </row>
    <row r="489" spans="1:2" s="1" customFormat="1">
      <c r="A489" s="1" t="s">
        <v>622</v>
      </c>
      <c r="B489" s="9">
        <v>47</v>
      </c>
    </row>
    <row r="490" spans="1:2" s="1" customFormat="1">
      <c r="A490" s="1" t="s">
        <v>623</v>
      </c>
      <c r="B490" s="9">
        <v>48</v>
      </c>
    </row>
    <row r="491" spans="1:2" s="1" customFormat="1">
      <c r="A491" s="1" t="s">
        <v>624</v>
      </c>
      <c r="B491" s="9">
        <v>49</v>
      </c>
    </row>
    <row r="492" spans="1:2" s="1" customFormat="1">
      <c r="A492" s="1" t="s">
        <v>625</v>
      </c>
      <c r="B492" s="9">
        <v>51</v>
      </c>
    </row>
    <row r="493" spans="1:2" s="1" customFormat="1">
      <c r="A493" s="1" t="s">
        <v>626</v>
      </c>
      <c r="B493" s="9">
        <v>52</v>
      </c>
    </row>
    <row r="494" spans="1:2" s="1" customFormat="1">
      <c r="A494" s="1" t="s">
        <v>627</v>
      </c>
      <c r="B494" s="9">
        <v>53</v>
      </c>
    </row>
    <row r="495" spans="1:2" s="1" customFormat="1">
      <c r="A495" s="1" t="s">
        <v>628</v>
      </c>
      <c r="B495" s="9">
        <v>54</v>
      </c>
    </row>
    <row r="496" spans="1:2" s="1" customFormat="1">
      <c r="A496" s="1" t="s">
        <v>629</v>
      </c>
      <c r="B496" s="9">
        <v>56</v>
      </c>
    </row>
    <row r="497" spans="1:2" s="1" customFormat="1">
      <c r="A497" s="1" t="s">
        <v>630</v>
      </c>
      <c r="B497" s="9">
        <v>57</v>
      </c>
    </row>
    <row r="498" spans="1:2" s="1" customFormat="1">
      <c r="A498" s="1" t="s">
        <v>631</v>
      </c>
      <c r="B498" s="9">
        <v>58</v>
      </c>
    </row>
    <row r="499" spans="1:2" s="1" customFormat="1">
      <c r="A499" s="1" t="s">
        <v>632</v>
      </c>
      <c r="B499" s="9">
        <v>59</v>
      </c>
    </row>
    <row r="500" spans="1:2" s="1" customFormat="1">
      <c r="A500" s="1" t="s">
        <v>633</v>
      </c>
      <c r="B500" s="9">
        <v>61</v>
      </c>
    </row>
    <row r="501" spans="1:2" s="1" customFormat="1">
      <c r="A501" s="1" t="s">
        <v>634</v>
      </c>
      <c r="B501" s="9">
        <v>62</v>
      </c>
    </row>
    <row r="502" spans="1:2" s="1" customFormat="1">
      <c r="A502" s="1" t="s">
        <v>635</v>
      </c>
      <c r="B502" s="9">
        <v>63</v>
      </c>
    </row>
    <row r="503" spans="1:2" s="1" customFormat="1">
      <c r="A503" s="1" t="s">
        <v>636</v>
      </c>
      <c r="B503" s="9">
        <v>64</v>
      </c>
    </row>
    <row r="504" spans="1:2" s="1" customFormat="1">
      <c r="A504" s="1" t="s">
        <v>637</v>
      </c>
      <c r="B504" s="10" t="s">
        <v>785</v>
      </c>
    </row>
    <row r="505" spans="1:2" s="1" customFormat="1">
      <c r="A505" s="1" t="s">
        <v>638</v>
      </c>
      <c r="B505" s="10" t="s">
        <v>786</v>
      </c>
    </row>
    <row r="506" spans="1:2" s="1" customFormat="1">
      <c r="A506" s="1" t="s">
        <v>1076</v>
      </c>
      <c r="B506" s="10" t="s">
        <v>787</v>
      </c>
    </row>
    <row r="507" spans="1:2" s="1" customFormat="1">
      <c r="A507" s="1" t="s">
        <v>1077</v>
      </c>
      <c r="B507" s="10" t="s">
        <v>788</v>
      </c>
    </row>
    <row r="508" spans="1:2" s="1" customFormat="1">
      <c r="A508" s="1" t="s">
        <v>1078</v>
      </c>
      <c r="B508" s="10" t="s">
        <v>789</v>
      </c>
    </row>
    <row r="509" spans="1:2" s="1" customFormat="1">
      <c r="A509" s="1" t="s">
        <v>1079</v>
      </c>
      <c r="B509" s="10" t="s">
        <v>841</v>
      </c>
    </row>
    <row r="510" spans="1:2" s="1" customFormat="1">
      <c r="A510" s="1" t="s">
        <v>1080</v>
      </c>
      <c r="B510" s="10" t="s">
        <v>842</v>
      </c>
    </row>
    <row r="511" spans="1:2" s="1" customFormat="1">
      <c r="A511" s="227" t="s">
        <v>1081</v>
      </c>
      <c r="B511" s="10" t="s">
        <v>843</v>
      </c>
    </row>
    <row r="512" spans="1:2" s="1" customFormat="1">
      <c r="A512" s="1" t="s">
        <v>1320</v>
      </c>
      <c r="B512" s="10" t="s">
        <v>1321</v>
      </c>
    </row>
    <row r="513" spans="1:2" s="1" customFormat="1">
      <c r="A513" s="1" t="s">
        <v>1322</v>
      </c>
      <c r="B513" s="10" t="s">
        <v>1323</v>
      </c>
    </row>
    <row r="514" spans="1:2" s="1" customFormat="1">
      <c r="A514" s="1" t="s">
        <v>1324</v>
      </c>
      <c r="B514" s="10" t="s">
        <v>1325</v>
      </c>
    </row>
    <row r="515" spans="1:2" s="1" customFormat="1">
      <c r="A515" s="1" t="s">
        <v>1326</v>
      </c>
      <c r="B515" s="10" t="s">
        <v>1327</v>
      </c>
    </row>
    <row r="516" spans="1:2" s="1" customFormat="1">
      <c r="A516" s="1" t="s">
        <v>1328</v>
      </c>
      <c r="B516" s="10" t="s">
        <v>1329</v>
      </c>
    </row>
    <row r="517" spans="1:2" s="1" customFormat="1">
      <c r="A517" s="227" t="s">
        <v>1330</v>
      </c>
      <c r="B517" s="10" t="s">
        <v>1331</v>
      </c>
    </row>
    <row r="518" spans="1:2" s="1" customFormat="1">
      <c r="A518" s="228" t="s">
        <v>1332</v>
      </c>
      <c r="B518" s="10" t="s">
        <v>1333</v>
      </c>
    </row>
    <row r="519" spans="1:2" s="1" customFormat="1">
      <c r="A519" s="1" t="s">
        <v>639</v>
      </c>
      <c r="B519" s="10" t="s">
        <v>1334</v>
      </c>
    </row>
    <row r="520" spans="1:2" s="1" customFormat="1">
      <c r="A520" s="1" t="s">
        <v>640</v>
      </c>
      <c r="B520" s="10" t="s">
        <v>1335</v>
      </c>
    </row>
    <row r="521" spans="1:2" s="1" customFormat="1">
      <c r="A521" s="1" t="s">
        <v>641</v>
      </c>
      <c r="B521" s="10" t="s">
        <v>1336</v>
      </c>
    </row>
    <row r="522" spans="1:2" s="1" customFormat="1">
      <c r="A522" s="1" t="s">
        <v>1337</v>
      </c>
      <c r="B522" s="10" t="s">
        <v>1338</v>
      </c>
    </row>
    <row r="523" spans="1:2" s="1" customFormat="1">
      <c r="A523" s="1" t="s">
        <v>1339</v>
      </c>
      <c r="B523" s="10" t="s">
        <v>1340</v>
      </c>
    </row>
    <row r="524" spans="1:2" s="1" customFormat="1">
      <c r="A524" s="227" t="s">
        <v>1341</v>
      </c>
      <c r="B524" s="10" t="s">
        <v>1342</v>
      </c>
    </row>
    <row r="525" spans="1:2" s="1" customFormat="1">
      <c r="A525" s="228" t="s">
        <v>1343</v>
      </c>
      <c r="B525" s="10" t="s">
        <v>1344</v>
      </c>
    </row>
    <row r="526" spans="1:2" s="1" customFormat="1">
      <c r="A526" s="228" t="s">
        <v>1345</v>
      </c>
      <c r="B526" s="10" t="s">
        <v>1346</v>
      </c>
    </row>
    <row r="527" spans="1:2" s="1" customFormat="1">
      <c r="A527" s="228" t="s">
        <v>1347</v>
      </c>
      <c r="B527" s="10" t="s">
        <v>1348</v>
      </c>
    </row>
    <row r="528" spans="1:2" s="1" customFormat="1">
      <c r="A528" s="1" t="s">
        <v>642</v>
      </c>
      <c r="B528" s="9">
        <v>1</v>
      </c>
    </row>
    <row r="529" spans="1:2" s="1" customFormat="1">
      <c r="A529" s="1" t="s">
        <v>643</v>
      </c>
      <c r="B529" s="9">
        <v>2</v>
      </c>
    </row>
    <row r="530" spans="1:2" s="1" customFormat="1">
      <c r="A530" s="1" t="s">
        <v>644</v>
      </c>
      <c r="B530" s="9">
        <v>3</v>
      </c>
    </row>
    <row r="531" spans="1:2" s="1" customFormat="1">
      <c r="A531" s="1" t="s">
        <v>645</v>
      </c>
      <c r="B531" s="9">
        <v>4</v>
      </c>
    </row>
    <row r="532" spans="1:2" s="1" customFormat="1">
      <c r="A532" s="1" t="s">
        <v>646</v>
      </c>
      <c r="B532" s="9">
        <v>5</v>
      </c>
    </row>
    <row r="533" spans="1:2" s="1" customFormat="1">
      <c r="A533" s="1" t="s">
        <v>647</v>
      </c>
      <c r="B533" s="9">
        <v>6</v>
      </c>
    </row>
    <row r="534" spans="1:2" s="1" customFormat="1">
      <c r="A534" s="1" t="s">
        <v>648</v>
      </c>
      <c r="B534" s="9">
        <v>7</v>
      </c>
    </row>
    <row r="535" spans="1:2" s="1" customFormat="1">
      <c r="A535" s="1" t="s">
        <v>649</v>
      </c>
      <c r="B535" s="9">
        <v>9</v>
      </c>
    </row>
    <row r="536" spans="1:2" s="1" customFormat="1">
      <c r="A536" s="1" t="s">
        <v>650</v>
      </c>
      <c r="B536" s="9">
        <v>10</v>
      </c>
    </row>
    <row r="537" spans="1:2" s="1" customFormat="1">
      <c r="A537" s="1" t="s">
        <v>651</v>
      </c>
      <c r="B537" s="9">
        <v>11</v>
      </c>
    </row>
    <row r="538" spans="1:2" s="1" customFormat="1">
      <c r="A538" s="1" t="s">
        <v>652</v>
      </c>
      <c r="B538" s="9">
        <v>12</v>
      </c>
    </row>
    <row r="539" spans="1:2" s="1" customFormat="1">
      <c r="A539" s="1" t="s">
        <v>653</v>
      </c>
      <c r="B539" s="9">
        <v>13</v>
      </c>
    </row>
    <row r="540" spans="1:2" s="1" customFormat="1">
      <c r="A540" s="1" t="s">
        <v>654</v>
      </c>
      <c r="B540" s="9">
        <v>14</v>
      </c>
    </row>
    <row r="541" spans="1:2" s="1" customFormat="1">
      <c r="A541" s="1" t="s">
        <v>655</v>
      </c>
      <c r="B541" s="9">
        <v>15</v>
      </c>
    </row>
    <row r="542" spans="1:2" s="1" customFormat="1">
      <c r="A542" s="1" t="s">
        <v>656</v>
      </c>
      <c r="B542" s="9">
        <v>16</v>
      </c>
    </row>
    <row r="543" spans="1:2" s="1" customFormat="1">
      <c r="A543" s="1" t="s">
        <v>657</v>
      </c>
      <c r="B543" s="9">
        <v>17</v>
      </c>
    </row>
    <row r="544" spans="1:2" s="1" customFormat="1">
      <c r="A544" s="1" t="s">
        <v>658</v>
      </c>
      <c r="B544" s="9">
        <v>18</v>
      </c>
    </row>
    <row r="545" spans="1:2" s="1" customFormat="1">
      <c r="A545" s="1" t="s">
        <v>659</v>
      </c>
      <c r="B545" s="9">
        <v>19</v>
      </c>
    </row>
    <row r="546" spans="1:2" s="1" customFormat="1">
      <c r="A546" s="1" t="s">
        <v>660</v>
      </c>
      <c r="B546" s="9">
        <v>20</v>
      </c>
    </row>
    <row r="547" spans="1:2" s="1" customFormat="1">
      <c r="A547" s="1" t="s">
        <v>661</v>
      </c>
      <c r="B547" s="9">
        <v>21</v>
      </c>
    </row>
    <row r="548" spans="1:2" s="1" customFormat="1">
      <c r="A548" s="1" t="s">
        <v>662</v>
      </c>
      <c r="B548" s="9">
        <v>22</v>
      </c>
    </row>
    <row r="549" spans="1:2" s="1" customFormat="1">
      <c r="A549" s="1" t="s">
        <v>663</v>
      </c>
      <c r="B549" s="9">
        <v>23</v>
      </c>
    </row>
    <row r="550" spans="1:2" s="1" customFormat="1">
      <c r="A550" s="1" t="s">
        <v>664</v>
      </c>
      <c r="B550" s="9">
        <v>24</v>
      </c>
    </row>
    <row r="551" spans="1:2" s="1" customFormat="1">
      <c r="A551" s="1" t="s">
        <v>665</v>
      </c>
      <c r="B551" s="9">
        <v>25</v>
      </c>
    </row>
    <row r="552" spans="1:2" s="1" customFormat="1">
      <c r="A552" s="1" t="s">
        <v>666</v>
      </c>
      <c r="B552" s="9">
        <v>26</v>
      </c>
    </row>
    <row r="553" spans="1:2" s="1" customFormat="1">
      <c r="A553" s="1" t="s">
        <v>667</v>
      </c>
      <c r="B553" s="9">
        <v>27</v>
      </c>
    </row>
    <row r="554" spans="1:2" s="1" customFormat="1">
      <c r="A554" s="1" t="s">
        <v>668</v>
      </c>
      <c r="B554" s="9">
        <v>28</v>
      </c>
    </row>
    <row r="555" spans="1:2" s="1" customFormat="1">
      <c r="A555" s="1" t="s">
        <v>669</v>
      </c>
      <c r="B555" s="9">
        <v>29</v>
      </c>
    </row>
    <row r="556" spans="1:2" s="1" customFormat="1">
      <c r="A556" s="1" t="s">
        <v>670</v>
      </c>
      <c r="B556" s="9">
        <v>30</v>
      </c>
    </row>
    <row r="557" spans="1:2" s="1" customFormat="1">
      <c r="A557" s="1" t="s">
        <v>671</v>
      </c>
      <c r="B557" s="9">
        <v>31</v>
      </c>
    </row>
    <row r="558" spans="1:2" s="1" customFormat="1">
      <c r="A558" s="1" t="s">
        <v>672</v>
      </c>
      <c r="B558" s="9">
        <v>32</v>
      </c>
    </row>
    <row r="559" spans="1:2" s="1" customFormat="1">
      <c r="A559" s="1" t="s">
        <v>673</v>
      </c>
      <c r="B559" s="9">
        <v>34</v>
      </c>
    </row>
    <row r="560" spans="1:2" s="1" customFormat="1">
      <c r="A560" s="1" t="s">
        <v>674</v>
      </c>
      <c r="B560" s="9">
        <v>35</v>
      </c>
    </row>
    <row r="561" spans="1:2" s="1" customFormat="1">
      <c r="A561" s="1" t="s">
        <v>675</v>
      </c>
      <c r="B561" s="9">
        <v>36</v>
      </c>
    </row>
    <row r="562" spans="1:2" s="1" customFormat="1">
      <c r="A562" s="1" t="s">
        <v>676</v>
      </c>
      <c r="B562" s="9">
        <v>37</v>
      </c>
    </row>
    <row r="563" spans="1:2" s="1" customFormat="1">
      <c r="A563" s="1" t="s">
        <v>677</v>
      </c>
      <c r="B563" s="9">
        <v>38</v>
      </c>
    </row>
    <row r="564" spans="1:2" s="1" customFormat="1">
      <c r="A564" s="1" t="s">
        <v>678</v>
      </c>
      <c r="B564" s="9">
        <v>39</v>
      </c>
    </row>
    <row r="565" spans="1:2" s="1" customFormat="1">
      <c r="A565" s="1" t="s">
        <v>679</v>
      </c>
      <c r="B565" s="9">
        <v>40</v>
      </c>
    </row>
    <row r="566" spans="1:2" s="1" customFormat="1">
      <c r="A566" s="1" t="s">
        <v>680</v>
      </c>
      <c r="B566" s="9">
        <v>41</v>
      </c>
    </row>
    <row r="567" spans="1:2" s="1" customFormat="1">
      <c r="A567" s="1" t="s">
        <v>681</v>
      </c>
      <c r="B567" s="9">
        <v>42</v>
      </c>
    </row>
    <row r="568" spans="1:2" s="1" customFormat="1">
      <c r="A568" s="1" t="s">
        <v>682</v>
      </c>
      <c r="B568" s="9">
        <v>43</v>
      </c>
    </row>
    <row r="569" spans="1:2" s="1" customFormat="1">
      <c r="A569" s="1" t="s">
        <v>683</v>
      </c>
      <c r="B569" s="9">
        <v>44</v>
      </c>
    </row>
    <row r="570" spans="1:2" s="1" customFormat="1">
      <c r="A570" s="1" t="s">
        <v>684</v>
      </c>
      <c r="B570" s="9">
        <v>45</v>
      </c>
    </row>
    <row r="571" spans="1:2" s="1" customFormat="1">
      <c r="A571" s="1" t="s">
        <v>685</v>
      </c>
      <c r="B571" s="9">
        <v>46</v>
      </c>
    </row>
    <row r="572" spans="1:2" s="1" customFormat="1">
      <c r="A572" s="1" t="s">
        <v>686</v>
      </c>
      <c r="B572" s="9">
        <v>47</v>
      </c>
    </row>
    <row r="573" spans="1:2" s="1" customFormat="1">
      <c r="A573" s="1" t="s">
        <v>687</v>
      </c>
      <c r="B573" s="9">
        <v>48</v>
      </c>
    </row>
    <row r="574" spans="1:2" s="1" customFormat="1">
      <c r="A574" s="1" t="s">
        <v>688</v>
      </c>
      <c r="B574" s="9">
        <v>49</v>
      </c>
    </row>
    <row r="575" spans="1:2" s="1" customFormat="1">
      <c r="A575" s="1" t="s">
        <v>689</v>
      </c>
      <c r="B575" s="9">
        <v>50</v>
      </c>
    </row>
    <row r="576" spans="1:2" s="1" customFormat="1">
      <c r="A576" s="1" t="s">
        <v>690</v>
      </c>
      <c r="B576" s="9">
        <v>51</v>
      </c>
    </row>
    <row r="577" spans="1:2" s="1" customFormat="1">
      <c r="A577" s="1" t="s">
        <v>691</v>
      </c>
      <c r="B577" s="9">
        <v>52</v>
      </c>
    </row>
    <row r="578" spans="1:2" s="1" customFormat="1">
      <c r="A578" s="1" t="s">
        <v>692</v>
      </c>
      <c r="B578" s="9">
        <v>53</v>
      </c>
    </row>
    <row r="579" spans="1:2" s="1" customFormat="1">
      <c r="A579" s="1" t="s">
        <v>693</v>
      </c>
      <c r="B579" s="9">
        <v>54</v>
      </c>
    </row>
    <row r="580" spans="1:2" s="1" customFormat="1">
      <c r="A580" s="1" t="s">
        <v>694</v>
      </c>
      <c r="B580" s="9">
        <v>55</v>
      </c>
    </row>
    <row r="581" spans="1:2" s="1" customFormat="1">
      <c r="A581" s="1" t="s">
        <v>695</v>
      </c>
      <c r="B581" s="9">
        <v>56</v>
      </c>
    </row>
    <row r="582" spans="1:2" s="1" customFormat="1">
      <c r="A582" s="1" t="s">
        <v>696</v>
      </c>
      <c r="B582" s="9">
        <v>57</v>
      </c>
    </row>
    <row r="583" spans="1:2" s="1" customFormat="1">
      <c r="A583" s="1" t="s">
        <v>697</v>
      </c>
      <c r="B583" s="9">
        <v>59</v>
      </c>
    </row>
    <row r="584" spans="1:2" s="1" customFormat="1">
      <c r="A584" s="1" t="s">
        <v>698</v>
      </c>
      <c r="B584" s="9">
        <v>60</v>
      </c>
    </row>
    <row r="585" spans="1:2" s="1" customFormat="1">
      <c r="A585" s="1" t="s">
        <v>699</v>
      </c>
      <c r="B585" s="9">
        <v>61</v>
      </c>
    </row>
    <row r="586" spans="1:2" s="1" customFormat="1">
      <c r="A586" s="1" t="s">
        <v>700</v>
      </c>
      <c r="B586" s="9">
        <v>62</v>
      </c>
    </row>
    <row r="587" spans="1:2" s="1" customFormat="1">
      <c r="A587" s="1" t="s">
        <v>701</v>
      </c>
      <c r="B587" s="9">
        <v>64</v>
      </c>
    </row>
    <row r="588" spans="1:2" s="1" customFormat="1">
      <c r="A588" s="1" t="s">
        <v>702</v>
      </c>
      <c r="B588" s="9">
        <v>65</v>
      </c>
    </row>
    <row r="589" spans="1:2" s="1" customFormat="1">
      <c r="A589" s="1" t="s">
        <v>703</v>
      </c>
      <c r="B589" s="9">
        <v>66</v>
      </c>
    </row>
    <row r="590" spans="1:2" s="1" customFormat="1">
      <c r="A590" s="1" t="s">
        <v>704</v>
      </c>
      <c r="B590" s="9">
        <v>67</v>
      </c>
    </row>
    <row r="591" spans="1:2" s="1" customFormat="1">
      <c r="A591" s="1" t="s">
        <v>705</v>
      </c>
      <c r="B591" s="9">
        <v>69</v>
      </c>
    </row>
    <row r="592" spans="1:2" s="1" customFormat="1">
      <c r="A592" s="1" t="s">
        <v>706</v>
      </c>
      <c r="B592" s="9">
        <v>70</v>
      </c>
    </row>
    <row r="593" spans="1:2" s="1" customFormat="1">
      <c r="A593" s="1" t="s">
        <v>707</v>
      </c>
      <c r="B593" s="9">
        <v>71</v>
      </c>
    </row>
    <row r="594" spans="1:2" s="1" customFormat="1">
      <c r="A594" s="1" t="s">
        <v>708</v>
      </c>
      <c r="B594" s="9">
        <v>72</v>
      </c>
    </row>
    <row r="595" spans="1:2" s="1" customFormat="1">
      <c r="A595" s="1" t="s">
        <v>709</v>
      </c>
      <c r="B595" s="9">
        <v>74</v>
      </c>
    </row>
    <row r="596" spans="1:2" s="1" customFormat="1">
      <c r="A596" s="1" t="s">
        <v>710</v>
      </c>
      <c r="B596" s="9">
        <v>75</v>
      </c>
    </row>
    <row r="597" spans="1:2" s="1" customFormat="1">
      <c r="A597" s="1" t="s">
        <v>711</v>
      </c>
      <c r="B597" s="9">
        <v>76</v>
      </c>
    </row>
    <row r="598" spans="1:2" s="1" customFormat="1">
      <c r="A598" s="1" t="s">
        <v>712</v>
      </c>
      <c r="B598" s="9">
        <v>77</v>
      </c>
    </row>
    <row r="599" spans="1:2" s="1" customFormat="1">
      <c r="A599" s="1" t="s">
        <v>713</v>
      </c>
      <c r="B599" s="9">
        <v>79</v>
      </c>
    </row>
    <row r="600" spans="1:2" s="1" customFormat="1">
      <c r="A600" s="1" t="s">
        <v>714</v>
      </c>
      <c r="B600" s="9">
        <v>80</v>
      </c>
    </row>
    <row r="601" spans="1:2" s="1" customFormat="1">
      <c r="A601" s="1" t="s">
        <v>715</v>
      </c>
      <c r="B601" s="9">
        <v>81</v>
      </c>
    </row>
    <row r="602" spans="1:2" s="1" customFormat="1">
      <c r="A602" s="1" t="s">
        <v>716</v>
      </c>
      <c r="B602" s="9">
        <v>82</v>
      </c>
    </row>
    <row r="603" spans="1:2" s="1" customFormat="1">
      <c r="A603" s="1" t="s">
        <v>717</v>
      </c>
      <c r="B603" s="10" t="s">
        <v>718</v>
      </c>
    </row>
    <row r="604" spans="1:2" s="1" customFormat="1">
      <c r="A604" s="1" t="s">
        <v>719</v>
      </c>
      <c r="B604" s="10" t="s">
        <v>720</v>
      </c>
    </row>
    <row r="605" spans="1:2" s="1" customFormat="1">
      <c r="A605" s="1" t="s">
        <v>1082</v>
      </c>
      <c r="B605" s="10" t="s">
        <v>722</v>
      </c>
    </row>
    <row r="606" spans="1:2" s="1" customFormat="1">
      <c r="A606" s="1" t="s">
        <v>1083</v>
      </c>
      <c r="B606" s="10" t="s">
        <v>724</v>
      </c>
    </row>
    <row r="607" spans="1:2" s="1" customFormat="1">
      <c r="A607" s="1" t="s">
        <v>1084</v>
      </c>
      <c r="B607" s="10" t="s">
        <v>726</v>
      </c>
    </row>
    <row r="608" spans="1:2" s="1" customFormat="1">
      <c r="A608" s="1" t="s">
        <v>1085</v>
      </c>
      <c r="B608" s="10" t="s">
        <v>844</v>
      </c>
    </row>
    <row r="609" spans="1:2" s="1" customFormat="1">
      <c r="A609" s="1" t="s">
        <v>1086</v>
      </c>
      <c r="B609" s="10" t="s">
        <v>845</v>
      </c>
    </row>
    <row r="610" spans="1:2" s="1" customFormat="1">
      <c r="A610" s="227" t="s">
        <v>1087</v>
      </c>
      <c r="B610" s="10" t="s">
        <v>846</v>
      </c>
    </row>
    <row r="611" spans="1:2" s="1" customFormat="1">
      <c r="A611" s="1" t="s">
        <v>1291</v>
      </c>
      <c r="B611" s="10" t="s">
        <v>1292</v>
      </c>
    </row>
    <row r="612" spans="1:2" s="1" customFormat="1">
      <c r="A612" s="1" t="s">
        <v>1293</v>
      </c>
      <c r="B612" s="10" t="s">
        <v>1294</v>
      </c>
    </row>
    <row r="613" spans="1:2" s="1" customFormat="1">
      <c r="A613" s="1" t="s">
        <v>1295</v>
      </c>
      <c r="B613" s="10" t="s">
        <v>1296</v>
      </c>
    </row>
    <row r="614" spans="1:2" s="1" customFormat="1">
      <c r="A614" s="1" t="s">
        <v>1297</v>
      </c>
      <c r="B614" s="10" t="s">
        <v>1298</v>
      </c>
    </row>
    <row r="615" spans="1:2" s="1" customFormat="1">
      <c r="A615" s="1" t="s">
        <v>1299</v>
      </c>
      <c r="B615" s="10" t="s">
        <v>1300</v>
      </c>
    </row>
    <row r="616" spans="1:2" s="1" customFormat="1">
      <c r="A616" s="227" t="s">
        <v>1301</v>
      </c>
      <c r="B616" s="10" t="s">
        <v>1302</v>
      </c>
    </row>
    <row r="617" spans="1:2" s="1" customFormat="1">
      <c r="A617" s="228" t="s">
        <v>1303</v>
      </c>
      <c r="B617" s="10" t="s">
        <v>1304</v>
      </c>
    </row>
    <row r="618" spans="1:2" s="1" customFormat="1">
      <c r="A618" s="1" t="s">
        <v>721</v>
      </c>
      <c r="B618" s="10" t="s">
        <v>1305</v>
      </c>
    </row>
    <row r="619" spans="1:2" s="1" customFormat="1">
      <c r="A619" s="1" t="s">
        <v>723</v>
      </c>
      <c r="B619" s="10" t="s">
        <v>1306</v>
      </c>
    </row>
    <row r="620" spans="1:2" s="1" customFormat="1">
      <c r="A620" s="1" t="s">
        <v>725</v>
      </c>
      <c r="B620" s="10" t="s">
        <v>1307</v>
      </c>
    </row>
    <row r="621" spans="1:2" s="1" customFormat="1">
      <c r="A621" s="1" t="s">
        <v>1308</v>
      </c>
      <c r="B621" s="10" t="s">
        <v>1309</v>
      </c>
    </row>
    <row r="622" spans="1:2" s="1" customFormat="1">
      <c r="A622" s="1" t="s">
        <v>1310</v>
      </c>
      <c r="B622" s="10" t="s">
        <v>1311</v>
      </c>
    </row>
    <row r="623" spans="1:2" s="1" customFormat="1">
      <c r="A623" s="227" t="s">
        <v>1312</v>
      </c>
      <c r="B623" s="10" t="s">
        <v>1313</v>
      </c>
    </row>
    <row r="624" spans="1:2" s="1" customFormat="1">
      <c r="A624" s="228" t="s">
        <v>1314</v>
      </c>
      <c r="B624" s="10" t="s">
        <v>1315</v>
      </c>
    </row>
    <row r="625" spans="1:2" s="1" customFormat="1">
      <c r="A625" s="228" t="s">
        <v>1316</v>
      </c>
      <c r="B625" s="10" t="s">
        <v>1317</v>
      </c>
    </row>
    <row r="626" spans="1:2" s="1" customFormat="1">
      <c r="A626" s="228" t="s">
        <v>1318</v>
      </c>
      <c r="B626" s="10" t="s">
        <v>1319</v>
      </c>
    </row>
    <row r="627" spans="1:2" s="1" customFormat="1">
      <c r="A627" s="1" t="s">
        <v>727</v>
      </c>
      <c r="B627" s="9">
        <v>1</v>
      </c>
    </row>
    <row r="628" spans="1:2" s="1" customFormat="1">
      <c r="A628" s="1" t="s">
        <v>728</v>
      </c>
      <c r="B628" s="9">
        <v>2</v>
      </c>
    </row>
    <row r="629" spans="1:2" s="1" customFormat="1">
      <c r="A629" s="1" t="s">
        <v>729</v>
      </c>
      <c r="B629" s="9">
        <v>3</v>
      </c>
    </row>
    <row r="630" spans="1:2" s="1" customFormat="1">
      <c r="A630" s="1" t="s">
        <v>730</v>
      </c>
      <c r="B630" s="9">
        <v>4</v>
      </c>
    </row>
    <row r="631" spans="1:2" s="1" customFormat="1">
      <c r="A631" s="1" t="s">
        <v>731</v>
      </c>
      <c r="B631" s="9">
        <v>5</v>
      </c>
    </row>
    <row r="632" spans="1:2" s="1" customFormat="1">
      <c r="A632" s="1" t="s">
        <v>732</v>
      </c>
      <c r="B632" s="9">
        <v>6</v>
      </c>
    </row>
    <row r="633" spans="1:2" s="1" customFormat="1">
      <c r="A633" s="1" t="s">
        <v>733</v>
      </c>
      <c r="B633" s="9">
        <v>8</v>
      </c>
    </row>
    <row r="634" spans="1:2" s="1" customFormat="1">
      <c r="A634" s="1" t="s">
        <v>734</v>
      </c>
      <c r="B634" s="9">
        <v>9</v>
      </c>
    </row>
    <row r="635" spans="1:2" s="1" customFormat="1">
      <c r="A635" s="1" t="s">
        <v>735</v>
      </c>
      <c r="B635" s="9">
        <v>10</v>
      </c>
    </row>
    <row r="636" spans="1:2" s="1" customFormat="1">
      <c r="A636" s="1" t="s">
        <v>736</v>
      </c>
      <c r="B636" s="9">
        <v>11</v>
      </c>
    </row>
    <row r="637" spans="1:2" s="1" customFormat="1">
      <c r="A637" s="1" t="s">
        <v>737</v>
      </c>
      <c r="B637" s="9">
        <v>12</v>
      </c>
    </row>
    <row r="638" spans="1:2" s="1" customFormat="1">
      <c r="A638" s="1" t="s">
        <v>738</v>
      </c>
      <c r="B638" s="9">
        <v>13</v>
      </c>
    </row>
    <row r="639" spans="1:2" s="1" customFormat="1">
      <c r="A639" s="1" t="s">
        <v>739</v>
      </c>
      <c r="B639" s="9">
        <v>14</v>
      </c>
    </row>
    <row r="640" spans="1:2" s="1" customFormat="1">
      <c r="A640" s="1" t="s">
        <v>740</v>
      </c>
      <c r="B640" s="9">
        <v>15</v>
      </c>
    </row>
    <row r="641" spans="1:2" s="1" customFormat="1">
      <c r="A641" s="1" t="s">
        <v>741</v>
      </c>
      <c r="B641" s="9">
        <v>16</v>
      </c>
    </row>
    <row r="642" spans="1:2" s="1" customFormat="1">
      <c r="A642" s="1" t="s">
        <v>742</v>
      </c>
      <c r="B642" s="9">
        <v>17</v>
      </c>
    </row>
    <row r="643" spans="1:2" s="1" customFormat="1">
      <c r="A643" s="1" t="s">
        <v>743</v>
      </c>
      <c r="B643" s="9">
        <v>18</v>
      </c>
    </row>
    <row r="644" spans="1:2" s="1" customFormat="1">
      <c r="A644" s="1" t="s">
        <v>744</v>
      </c>
      <c r="B644" s="9">
        <v>19</v>
      </c>
    </row>
    <row r="645" spans="1:2" s="1" customFormat="1">
      <c r="A645" s="1" t="s">
        <v>745</v>
      </c>
      <c r="B645" s="9">
        <v>20</v>
      </c>
    </row>
    <row r="646" spans="1:2" s="1" customFormat="1">
      <c r="A646" s="1" t="s">
        <v>746</v>
      </c>
      <c r="B646" s="9">
        <v>21</v>
      </c>
    </row>
    <row r="647" spans="1:2" s="1" customFormat="1">
      <c r="A647" s="1" t="s">
        <v>747</v>
      </c>
      <c r="B647" s="9">
        <v>22</v>
      </c>
    </row>
    <row r="648" spans="1:2" s="1" customFormat="1">
      <c r="A648" s="1" t="s">
        <v>748</v>
      </c>
      <c r="B648" s="9">
        <v>23</v>
      </c>
    </row>
    <row r="649" spans="1:2" s="1" customFormat="1">
      <c r="A649" s="1" t="s">
        <v>749</v>
      </c>
      <c r="B649" s="9">
        <v>24</v>
      </c>
    </row>
    <row r="650" spans="1:2" s="1" customFormat="1">
      <c r="A650" s="1" t="s">
        <v>750</v>
      </c>
      <c r="B650" s="9">
        <v>26</v>
      </c>
    </row>
    <row r="651" spans="1:2" s="1" customFormat="1">
      <c r="A651" s="1" t="s">
        <v>751</v>
      </c>
      <c r="B651" s="9">
        <v>27</v>
      </c>
    </row>
    <row r="652" spans="1:2" s="1" customFormat="1">
      <c r="A652" s="1" t="s">
        <v>752</v>
      </c>
      <c r="B652" s="9">
        <v>28</v>
      </c>
    </row>
    <row r="653" spans="1:2" s="1" customFormat="1">
      <c r="A653" s="1" t="s">
        <v>753</v>
      </c>
      <c r="B653" s="9">
        <v>29</v>
      </c>
    </row>
    <row r="654" spans="1:2" s="1" customFormat="1">
      <c r="A654" s="1" t="s">
        <v>754</v>
      </c>
      <c r="B654" s="9">
        <v>30</v>
      </c>
    </row>
    <row r="655" spans="1:2" s="1" customFormat="1">
      <c r="A655" s="1" t="s">
        <v>755</v>
      </c>
      <c r="B655" s="9">
        <v>31</v>
      </c>
    </row>
    <row r="656" spans="1:2" s="1" customFormat="1">
      <c r="A656" s="1" t="s">
        <v>756</v>
      </c>
      <c r="B656" s="9">
        <v>32</v>
      </c>
    </row>
    <row r="657" spans="1:2" s="1" customFormat="1">
      <c r="A657" s="1" t="s">
        <v>757</v>
      </c>
      <c r="B657" s="9">
        <v>33</v>
      </c>
    </row>
    <row r="658" spans="1:2" s="1" customFormat="1">
      <c r="A658" s="1" t="s">
        <v>758</v>
      </c>
      <c r="B658" s="9">
        <v>34</v>
      </c>
    </row>
    <row r="659" spans="1:2" s="1" customFormat="1">
      <c r="A659" s="1" t="s">
        <v>759</v>
      </c>
      <c r="B659" s="9">
        <v>35</v>
      </c>
    </row>
    <row r="660" spans="1:2" s="1" customFormat="1">
      <c r="A660" s="1" t="s">
        <v>760</v>
      </c>
      <c r="B660" s="9">
        <v>36</v>
      </c>
    </row>
    <row r="661" spans="1:2" s="1" customFormat="1">
      <c r="A661" s="1" t="s">
        <v>761</v>
      </c>
      <c r="B661" s="9">
        <v>37</v>
      </c>
    </row>
    <row r="662" spans="1:2" s="1" customFormat="1">
      <c r="A662" s="1" t="s">
        <v>762</v>
      </c>
      <c r="B662" s="9">
        <v>38</v>
      </c>
    </row>
    <row r="663" spans="1:2" s="1" customFormat="1">
      <c r="A663" s="1" t="s">
        <v>763</v>
      </c>
      <c r="B663" s="9">
        <v>39</v>
      </c>
    </row>
    <row r="664" spans="1:2" s="1" customFormat="1">
      <c r="A664" s="1" t="s">
        <v>764</v>
      </c>
      <c r="B664" s="9">
        <v>40</v>
      </c>
    </row>
    <row r="665" spans="1:2" s="1" customFormat="1">
      <c r="A665" s="1" t="s">
        <v>765</v>
      </c>
      <c r="B665" s="9">
        <v>41</v>
      </c>
    </row>
    <row r="666" spans="1:2" s="1" customFormat="1">
      <c r="A666" s="1" t="s">
        <v>766</v>
      </c>
      <c r="B666" s="9">
        <v>42</v>
      </c>
    </row>
    <row r="667" spans="1:2" s="1" customFormat="1">
      <c r="A667" s="1" t="s">
        <v>767</v>
      </c>
      <c r="B667" s="9">
        <v>44</v>
      </c>
    </row>
    <row r="668" spans="1:2" s="1" customFormat="1">
      <c r="A668" s="1" t="s">
        <v>768</v>
      </c>
      <c r="B668" s="9">
        <v>45</v>
      </c>
    </row>
    <row r="669" spans="1:2" s="1" customFormat="1">
      <c r="A669" s="1" t="s">
        <v>769</v>
      </c>
      <c r="B669" s="9">
        <v>46</v>
      </c>
    </row>
    <row r="670" spans="1:2" s="1" customFormat="1">
      <c r="A670" s="1" t="s">
        <v>770</v>
      </c>
      <c r="B670" s="9">
        <v>47</v>
      </c>
    </row>
    <row r="671" spans="1:2" s="1" customFormat="1">
      <c r="A671" s="1" t="s">
        <v>771</v>
      </c>
      <c r="B671" s="9">
        <v>48</v>
      </c>
    </row>
    <row r="672" spans="1:2" s="1" customFormat="1">
      <c r="A672" s="1" t="s">
        <v>772</v>
      </c>
      <c r="B672" s="9">
        <v>49</v>
      </c>
    </row>
    <row r="673" spans="1:2" s="1" customFormat="1">
      <c r="A673" s="1" t="s">
        <v>773</v>
      </c>
      <c r="B673" s="9">
        <v>50</v>
      </c>
    </row>
    <row r="674" spans="1:2" s="1" customFormat="1">
      <c r="A674" s="1" t="s">
        <v>774</v>
      </c>
      <c r="B674" s="9">
        <v>51</v>
      </c>
    </row>
    <row r="675" spans="1:2" s="1" customFormat="1">
      <c r="A675" s="1" t="s">
        <v>775</v>
      </c>
      <c r="B675" s="10" t="s">
        <v>776</v>
      </c>
    </row>
    <row r="676" spans="1:2" s="1" customFormat="1">
      <c r="A676" s="1" t="s">
        <v>777</v>
      </c>
      <c r="B676" s="10" t="s">
        <v>778</v>
      </c>
    </row>
    <row r="677" spans="1:2" s="1" customFormat="1">
      <c r="A677" s="1" t="s">
        <v>1088</v>
      </c>
      <c r="B677" s="10" t="s">
        <v>780</v>
      </c>
    </row>
    <row r="678" spans="1:2" s="1" customFormat="1">
      <c r="A678" s="1" t="s">
        <v>1089</v>
      </c>
      <c r="B678" s="10" t="s">
        <v>782</v>
      </c>
    </row>
    <row r="679" spans="1:2" s="1" customFormat="1">
      <c r="A679" s="1" t="s">
        <v>1090</v>
      </c>
      <c r="B679" s="10" t="s">
        <v>784</v>
      </c>
    </row>
    <row r="680" spans="1:2" s="1" customFormat="1">
      <c r="A680" s="1" t="s">
        <v>1091</v>
      </c>
      <c r="B680" s="10" t="s">
        <v>847</v>
      </c>
    </row>
    <row r="681" spans="1:2" s="1" customFormat="1">
      <c r="A681" s="1" t="s">
        <v>1092</v>
      </c>
      <c r="B681" s="10" t="s">
        <v>848</v>
      </c>
    </row>
    <row r="682" spans="1:2" s="1" customFormat="1">
      <c r="A682" s="227" t="s">
        <v>1093</v>
      </c>
      <c r="B682" s="10" t="s">
        <v>849</v>
      </c>
    </row>
    <row r="683" spans="1:2" s="1" customFormat="1">
      <c r="A683" s="1" t="s">
        <v>1262</v>
      </c>
      <c r="B683" s="10" t="s">
        <v>1263</v>
      </c>
    </row>
    <row r="684" spans="1:2" s="1" customFormat="1">
      <c r="A684" s="1" t="s">
        <v>1264</v>
      </c>
      <c r="B684" s="10" t="s">
        <v>1265</v>
      </c>
    </row>
    <row r="685" spans="1:2" s="1" customFormat="1">
      <c r="A685" s="1" t="s">
        <v>1266</v>
      </c>
      <c r="B685" s="10" t="s">
        <v>1267</v>
      </c>
    </row>
    <row r="686" spans="1:2" s="1" customFormat="1">
      <c r="A686" s="1" t="s">
        <v>1268</v>
      </c>
      <c r="B686" s="10" t="s">
        <v>1269</v>
      </c>
    </row>
    <row r="687" spans="1:2" s="1" customFormat="1">
      <c r="A687" s="1" t="s">
        <v>1270</v>
      </c>
      <c r="B687" s="10" t="s">
        <v>1271</v>
      </c>
    </row>
    <row r="688" spans="1:2" s="1" customFormat="1">
      <c r="A688" s="227" t="s">
        <v>1272</v>
      </c>
      <c r="B688" s="10" t="s">
        <v>1273</v>
      </c>
    </row>
    <row r="689" spans="1:2" s="1" customFormat="1">
      <c r="A689" s="228" t="s">
        <v>1274</v>
      </c>
      <c r="B689" s="10" t="s">
        <v>1275</v>
      </c>
    </row>
    <row r="690" spans="1:2" s="1" customFormat="1">
      <c r="A690" s="1" t="s">
        <v>779</v>
      </c>
      <c r="B690" s="10" t="s">
        <v>1276</v>
      </c>
    </row>
    <row r="691" spans="1:2" s="1" customFormat="1">
      <c r="A691" s="1" t="s">
        <v>781</v>
      </c>
      <c r="B691" s="10" t="s">
        <v>1277</v>
      </c>
    </row>
    <row r="692" spans="1:2" s="1" customFormat="1">
      <c r="A692" s="1" t="s">
        <v>783</v>
      </c>
      <c r="B692" s="10" t="s">
        <v>1278</v>
      </c>
    </row>
    <row r="693" spans="1:2" s="1" customFormat="1">
      <c r="A693" s="1" t="s">
        <v>1279</v>
      </c>
      <c r="B693" s="10" t="s">
        <v>1280</v>
      </c>
    </row>
    <row r="694" spans="1:2" s="1" customFormat="1">
      <c r="A694" s="1" t="s">
        <v>1281</v>
      </c>
      <c r="B694" s="10" t="s">
        <v>1282</v>
      </c>
    </row>
    <row r="695" spans="1:2" s="1" customFormat="1">
      <c r="A695" s="227" t="s">
        <v>1283</v>
      </c>
      <c r="B695" s="10" t="s">
        <v>1284</v>
      </c>
    </row>
    <row r="696" spans="1:2" s="1" customFormat="1">
      <c r="A696" s="228" t="s">
        <v>1285</v>
      </c>
      <c r="B696" s="10" t="s">
        <v>1286</v>
      </c>
    </row>
    <row r="697" spans="1:2" s="1" customFormat="1">
      <c r="A697" s="228" t="s">
        <v>1287</v>
      </c>
      <c r="B697" s="10" t="s">
        <v>1288</v>
      </c>
    </row>
    <row r="698" spans="1:2" s="1" customFormat="1">
      <c r="A698" s="228" t="s">
        <v>1289</v>
      </c>
      <c r="B698" s="10" t="s">
        <v>1290</v>
      </c>
    </row>
  </sheetData>
  <sortState columnSort="1" ref="B4:R4">
    <sortCondition ref="B4:R4"/>
  </sortSt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CV148"/>
  <sheetViews>
    <sheetView zoomScaleNormal="100" workbookViewId="0">
      <pane xSplit="2" ySplit="4" topLeftCell="BC5" activePane="bottomRight" state="frozen"/>
      <selection pane="topRight" activeCell="C1" sqref="C1"/>
      <selection pane="bottomLeft" activeCell="A5" sqref="A5"/>
      <selection pane="bottomRight" activeCell="AL5" sqref="AL5:AL136"/>
    </sheetView>
  </sheetViews>
  <sheetFormatPr defaultColWidth="8.875" defaultRowHeight="13.5" outlineLevelRow="2"/>
  <cols>
    <col min="1" max="1" width="11" customWidth="1"/>
    <col min="2" max="2" width="23.875" customWidth="1"/>
    <col min="4" max="4" width="10.875" style="471" customWidth="1"/>
    <col min="5" max="5" width="10.875" customWidth="1"/>
    <col min="8" max="8" width="1.875" customWidth="1"/>
    <col min="10" max="11" width="10.875" customWidth="1"/>
    <col min="12" max="12" width="7.875" bestFit="1" customWidth="1"/>
    <col min="13" max="14" width="12.875" customWidth="1"/>
    <col min="15" max="15" width="10.875" customWidth="1"/>
    <col min="16" max="18" width="12.875" customWidth="1"/>
    <col min="19" max="19" width="15.125" customWidth="1"/>
    <col min="20" max="21" width="11.875" customWidth="1"/>
    <col min="22" max="22" width="11" customWidth="1"/>
    <col min="23" max="24" width="11.875" customWidth="1"/>
    <col min="25" max="25" width="13.125" customWidth="1"/>
    <col min="26" max="29" width="8.875" customWidth="1"/>
    <col min="30" max="30" width="10.375" customWidth="1"/>
    <col min="31" max="31" width="1.875" customWidth="1"/>
    <col min="32" max="32" width="8.875" customWidth="1"/>
    <col min="33" max="34" width="10.875" customWidth="1"/>
    <col min="35" max="35" width="9.375" customWidth="1"/>
    <col min="36" max="36" width="13" customWidth="1"/>
    <col min="37" max="37" width="12.875" customWidth="1"/>
    <col min="38" max="38" width="10.875" customWidth="1"/>
    <col min="39" max="40" width="12.875" customWidth="1"/>
    <col min="41" max="41" width="11.875" customWidth="1"/>
    <col min="42" max="42" width="13.375" customWidth="1"/>
    <col min="43" max="44" width="11.875" customWidth="1"/>
    <col min="45" max="45" width="10.375" customWidth="1"/>
    <col min="46" max="47" width="11.875" customWidth="1"/>
    <col min="48" max="48" width="13.375" customWidth="1"/>
    <col min="53" max="53" width="10.875" customWidth="1"/>
    <col min="54" max="54" width="1.875" customWidth="1"/>
    <col min="58" max="58" width="9.375" customWidth="1"/>
    <col min="59" max="59" width="1.875" customWidth="1"/>
    <col min="60" max="61" width="8.875" style="1"/>
    <col min="62" max="64" width="11.875" style="1" customWidth="1"/>
    <col min="65" max="65" width="13.125" style="1" customWidth="1"/>
    <col min="66" max="66" width="1.875" style="1" customWidth="1"/>
    <col min="67" max="68" width="8.875" style="1"/>
    <col min="69" max="71" width="11.875" style="1" customWidth="1"/>
    <col min="72" max="72" width="12.625" style="1" customWidth="1"/>
    <col min="73" max="73" width="1.875" style="1" customWidth="1"/>
    <col min="74" max="75" width="8.875" style="1"/>
    <col min="76" max="78" width="11.875" style="1" customWidth="1"/>
    <col min="79" max="79" width="13.125" style="1" customWidth="1"/>
    <col min="80" max="80" width="1.875" style="1" customWidth="1"/>
    <col min="81" max="82" width="8.875" style="1"/>
    <col min="83" max="85" width="11.875" style="1" customWidth="1"/>
    <col min="86" max="86" width="12.625" style="1" customWidth="1"/>
    <col min="87" max="87" width="1.875" style="1" customWidth="1"/>
    <col min="88" max="89" width="8.875" style="1"/>
    <col min="90" max="92" width="11.875" style="1" customWidth="1"/>
    <col min="93" max="93" width="13.125" style="1" customWidth="1"/>
    <col min="94" max="94" width="1.875" style="1" customWidth="1"/>
    <col min="95" max="96" width="8.875" style="1"/>
    <col min="97" max="99" width="11.875" style="1" customWidth="1"/>
    <col min="100" max="100" width="12.625" style="1" customWidth="1"/>
    <col min="101" max="101" width="1.375" customWidth="1"/>
  </cols>
  <sheetData>
    <row r="1" spans="1:100" ht="14.25" thickBot="1">
      <c r="A1" s="702" t="s">
        <v>1383</v>
      </c>
      <c r="B1" s="703"/>
      <c r="C1" s="703"/>
      <c r="D1" s="703"/>
      <c r="E1" s="703"/>
      <c r="F1" s="703"/>
      <c r="G1" s="704"/>
      <c r="I1" s="705" t="str">
        <f>Summary!C1</f>
        <v>pcrm-dev-3.2-attr-ccp</v>
      </c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6"/>
      <c r="U1" s="706"/>
      <c r="V1" s="706"/>
      <c r="W1" s="706"/>
      <c r="X1" s="706"/>
      <c r="Y1" s="706"/>
      <c r="Z1" s="706"/>
      <c r="AA1" s="706"/>
      <c r="AB1" s="706"/>
      <c r="AC1" s="706"/>
      <c r="AD1" s="707"/>
      <c r="AF1" s="708" t="str">
        <f>Summary!C2</f>
        <v>pcrm-dev-3.3-attr-cache-impr</v>
      </c>
      <c r="AG1" s="623"/>
      <c r="AH1" s="623"/>
      <c r="AI1" s="623"/>
      <c r="AJ1" s="623"/>
      <c r="AK1" s="623"/>
      <c r="AL1" s="623"/>
      <c r="AM1" s="623"/>
      <c r="AN1" s="623"/>
      <c r="AO1" s="623"/>
      <c r="AP1" s="623"/>
      <c r="AQ1" s="623"/>
      <c r="AR1" s="623"/>
      <c r="AS1" s="623"/>
      <c r="AT1" s="623"/>
      <c r="AU1" s="623"/>
      <c r="AV1" s="623"/>
      <c r="AW1" s="623"/>
      <c r="AX1" s="623"/>
      <c r="AY1" s="623"/>
      <c r="AZ1" s="623"/>
      <c r="BA1" s="624"/>
      <c r="BC1" s="689"/>
      <c r="BD1" s="689"/>
      <c r="BE1" s="689"/>
      <c r="BF1" s="689"/>
      <c r="BG1" s="115"/>
      <c r="BH1" s="694" t="s">
        <v>810</v>
      </c>
      <c r="BI1" s="695"/>
      <c r="BJ1" s="695"/>
      <c r="BK1" s="695"/>
      <c r="BL1" s="695"/>
      <c r="BM1" s="696"/>
      <c r="BN1" s="115"/>
      <c r="BO1" s="694" t="s">
        <v>810</v>
      </c>
      <c r="BP1" s="695"/>
      <c r="BQ1" s="695"/>
      <c r="BR1" s="695"/>
      <c r="BS1" s="695"/>
      <c r="BT1" s="696"/>
      <c r="BV1" s="694" t="s">
        <v>806</v>
      </c>
      <c r="BW1" s="695"/>
      <c r="BX1" s="695"/>
      <c r="BY1" s="695"/>
      <c r="BZ1" s="695"/>
      <c r="CA1" s="696"/>
      <c r="CB1" s="115"/>
      <c r="CC1" s="694" t="s">
        <v>806</v>
      </c>
      <c r="CD1" s="695"/>
      <c r="CE1" s="695"/>
      <c r="CF1" s="695"/>
      <c r="CG1" s="695"/>
      <c r="CH1" s="696"/>
      <c r="CJ1" s="731" t="s">
        <v>805</v>
      </c>
      <c r="CK1" s="731"/>
      <c r="CL1" s="731"/>
      <c r="CM1" s="731"/>
      <c r="CN1" s="731"/>
      <c r="CO1" s="731"/>
      <c r="CP1" s="115"/>
      <c r="CQ1" s="731" t="s">
        <v>807</v>
      </c>
      <c r="CR1" s="731"/>
      <c r="CS1" s="731"/>
      <c r="CT1" s="731"/>
      <c r="CU1" s="731"/>
      <c r="CV1" s="731"/>
    </row>
    <row r="2" spans="1:100" ht="29.45" customHeight="1">
      <c r="A2" s="727" t="s">
        <v>48</v>
      </c>
      <c r="B2" s="721" t="s">
        <v>50</v>
      </c>
      <c r="C2" s="721" t="s">
        <v>52</v>
      </c>
      <c r="D2" s="729" t="s">
        <v>54</v>
      </c>
      <c r="E2" s="721" t="s">
        <v>56</v>
      </c>
      <c r="F2" s="721" t="s">
        <v>58</v>
      </c>
      <c r="G2" s="723" t="s">
        <v>60</v>
      </c>
      <c r="I2" s="725" t="s">
        <v>62</v>
      </c>
      <c r="J2" s="715" t="s">
        <v>64</v>
      </c>
      <c r="K2" s="715"/>
      <c r="L2" s="715"/>
      <c r="M2" s="715"/>
      <c r="N2" s="715" t="s">
        <v>484</v>
      </c>
      <c r="O2" s="715" t="s">
        <v>14</v>
      </c>
      <c r="P2" s="715" t="s">
        <v>75</v>
      </c>
      <c r="Q2" s="715"/>
      <c r="R2" s="715"/>
      <c r="S2" s="715"/>
      <c r="T2" s="715" t="s">
        <v>965</v>
      </c>
      <c r="U2" s="715"/>
      <c r="V2" s="715" t="s">
        <v>491</v>
      </c>
      <c r="W2" s="715"/>
      <c r="X2" s="715"/>
      <c r="Y2" s="715"/>
      <c r="Z2" s="715" t="s">
        <v>909</v>
      </c>
      <c r="AA2" s="715" t="s">
        <v>910</v>
      </c>
      <c r="AB2" s="715" t="s">
        <v>92</v>
      </c>
      <c r="AC2" s="715" t="s">
        <v>94</v>
      </c>
      <c r="AD2" s="717" t="s">
        <v>866</v>
      </c>
      <c r="AF2" s="719" t="s">
        <v>62</v>
      </c>
      <c r="AG2" s="713" t="s">
        <v>64</v>
      </c>
      <c r="AH2" s="713"/>
      <c r="AI2" s="713"/>
      <c r="AJ2" s="713"/>
      <c r="AK2" s="713" t="s">
        <v>485</v>
      </c>
      <c r="AL2" s="713" t="s">
        <v>14</v>
      </c>
      <c r="AM2" s="713" t="s">
        <v>75</v>
      </c>
      <c r="AN2" s="713"/>
      <c r="AO2" s="713"/>
      <c r="AP2" s="713"/>
      <c r="AQ2" s="713" t="s">
        <v>966</v>
      </c>
      <c r="AR2" s="713"/>
      <c r="AS2" s="713" t="s">
        <v>490</v>
      </c>
      <c r="AT2" s="713"/>
      <c r="AU2" s="713"/>
      <c r="AV2" s="713"/>
      <c r="AW2" s="713" t="s">
        <v>904</v>
      </c>
      <c r="AX2" s="713" t="s">
        <v>905</v>
      </c>
      <c r="AY2" s="713" t="s">
        <v>92</v>
      </c>
      <c r="AZ2" s="713" t="s">
        <v>94</v>
      </c>
      <c r="BA2" s="709" t="s">
        <v>867</v>
      </c>
      <c r="BC2" s="711" t="s">
        <v>117</v>
      </c>
      <c r="BD2" s="690" t="s">
        <v>119</v>
      </c>
      <c r="BE2" s="690" t="s">
        <v>487</v>
      </c>
      <c r="BF2" s="692" t="s">
        <v>488</v>
      </c>
      <c r="BH2" s="697" t="s">
        <v>483</v>
      </c>
      <c r="BI2" s="698"/>
      <c r="BJ2" s="699" t="s">
        <v>489</v>
      </c>
      <c r="BK2" s="700"/>
      <c r="BL2" s="700"/>
      <c r="BM2" s="701"/>
      <c r="BO2" s="697" t="s">
        <v>1359</v>
      </c>
      <c r="BP2" s="700"/>
      <c r="BQ2" s="700"/>
      <c r="BR2" s="700"/>
      <c r="BS2" s="700"/>
      <c r="BT2" s="701"/>
      <c r="BV2" s="697" t="s">
        <v>483</v>
      </c>
      <c r="BW2" s="698"/>
      <c r="BX2" s="699" t="s">
        <v>489</v>
      </c>
      <c r="BY2" s="700"/>
      <c r="BZ2" s="700"/>
      <c r="CA2" s="701"/>
      <c r="CC2" s="697" t="s">
        <v>126</v>
      </c>
      <c r="CD2" s="700"/>
      <c r="CE2" s="700"/>
      <c r="CF2" s="700"/>
      <c r="CG2" s="700"/>
      <c r="CH2" s="701"/>
      <c r="CJ2" s="711" t="s">
        <v>483</v>
      </c>
      <c r="CK2" s="690"/>
      <c r="CL2" s="690" t="s">
        <v>489</v>
      </c>
      <c r="CM2" s="690"/>
      <c r="CN2" s="690"/>
      <c r="CO2" s="692"/>
      <c r="CQ2" s="711" t="s">
        <v>126</v>
      </c>
      <c r="CR2" s="732"/>
      <c r="CS2" s="732"/>
      <c r="CT2" s="732"/>
      <c r="CU2" s="732"/>
      <c r="CV2" s="733"/>
    </row>
    <row r="3" spans="1:100" s="289" customFormat="1" ht="27.75" thickBot="1">
      <c r="A3" s="728"/>
      <c r="B3" s="722"/>
      <c r="C3" s="722"/>
      <c r="D3" s="730"/>
      <c r="E3" s="722"/>
      <c r="F3" s="722"/>
      <c r="G3" s="724"/>
      <c r="I3" s="726"/>
      <c r="J3" s="284" t="s">
        <v>65</v>
      </c>
      <c r="K3" s="284" t="s">
        <v>67</v>
      </c>
      <c r="L3" s="284" t="s">
        <v>69</v>
      </c>
      <c r="M3" s="284" t="s">
        <v>71</v>
      </c>
      <c r="N3" s="716"/>
      <c r="O3" s="716"/>
      <c r="P3" s="284" t="s">
        <v>65</v>
      </c>
      <c r="Q3" s="284" t="s">
        <v>67</v>
      </c>
      <c r="R3" s="284" t="s">
        <v>78</v>
      </c>
      <c r="S3" s="284" t="s">
        <v>71</v>
      </c>
      <c r="T3" s="284" t="s">
        <v>140</v>
      </c>
      <c r="U3" s="284" t="s">
        <v>964</v>
      </c>
      <c r="V3" s="284" t="s">
        <v>81</v>
      </c>
      <c r="W3" s="284" t="s">
        <v>83</v>
      </c>
      <c r="X3" s="284" t="s">
        <v>85</v>
      </c>
      <c r="Y3" s="284" t="s">
        <v>71</v>
      </c>
      <c r="Z3" s="716"/>
      <c r="AA3" s="716"/>
      <c r="AB3" s="716"/>
      <c r="AC3" s="716"/>
      <c r="AD3" s="718"/>
      <c r="AF3" s="720"/>
      <c r="AG3" s="286" t="s">
        <v>65</v>
      </c>
      <c r="AH3" s="286" t="s">
        <v>67</v>
      </c>
      <c r="AI3" s="286" t="s">
        <v>69</v>
      </c>
      <c r="AJ3" s="286" t="s">
        <v>71</v>
      </c>
      <c r="AK3" s="714"/>
      <c r="AL3" s="714"/>
      <c r="AM3" s="286" t="s">
        <v>65</v>
      </c>
      <c r="AN3" s="286" t="s">
        <v>67</v>
      </c>
      <c r="AO3" s="286" t="s">
        <v>78</v>
      </c>
      <c r="AP3" s="286" t="s">
        <v>71</v>
      </c>
      <c r="AQ3" s="286" t="s">
        <v>140</v>
      </c>
      <c r="AR3" s="286" t="s">
        <v>964</v>
      </c>
      <c r="AS3" s="286" t="s">
        <v>81</v>
      </c>
      <c r="AT3" s="286" t="s">
        <v>83</v>
      </c>
      <c r="AU3" s="286" t="s">
        <v>85</v>
      </c>
      <c r="AV3" s="286" t="s">
        <v>71</v>
      </c>
      <c r="AW3" s="714"/>
      <c r="AX3" s="714"/>
      <c r="AY3" s="714"/>
      <c r="AZ3" s="714"/>
      <c r="BA3" s="710"/>
      <c r="BC3" s="712"/>
      <c r="BD3" s="691"/>
      <c r="BE3" s="691"/>
      <c r="BF3" s="693"/>
      <c r="BH3" s="285" t="s">
        <v>809</v>
      </c>
      <c r="BI3" s="287" t="s">
        <v>964</v>
      </c>
      <c r="BJ3" s="287" t="s">
        <v>81</v>
      </c>
      <c r="BK3" s="287" t="s">
        <v>83</v>
      </c>
      <c r="BL3" s="287" t="s">
        <v>85</v>
      </c>
      <c r="BM3" s="288" t="s">
        <v>71</v>
      </c>
      <c r="BO3" s="285" t="s">
        <v>140</v>
      </c>
      <c r="BP3" s="287" t="s">
        <v>964</v>
      </c>
      <c r="BQ3" s="287" t="s">
        <v>81</v>
      </c>
      <c r="BR3" s="287" t="s">
        <v>83</v>
      </c>
      <c r="BS3" s="287" t="s">
        <v>85</v>
      </c>
      <c r="BT3" s="288" t="s">
        <v>71</v>
      </c>
      <c r="BV3" s="285" t="s">
        <v>912</v>
      </c>
      <c r="BW3" s="287" t="s">
        <v>964</v>
      </c>
      <c r="BX3" s="287" t="s">
        <v>81</v>
      </c>
      <c r="BY3" s="287" t="s">
        <v>83</v>
      </c>
      <c r="BZ3" s="287" t="s">
        <v>85</v>
      </c>
      <c r="CA3" s="288" t="s">
        <v>71</v>
      </c>
      <c r="CC3" s="285" t="s">
        <v>140</v>
      </c>
      <c r="CD3" s="287" t="s">
        <v>967</v>
      </c>
      <c r="CE3" s="287" t="s">
        <v>81</v>
      </c>
      <c r="CF3" s="287" t="s">
        <v>83</v>
      </c>
      <c r="CG3" s="287" t="s">
        <v>85</v>
      </c>
      <c r="CH3" s="288" t="s">
        <v>71</v>
      </c>
      <c r="CJ3" s="285" t="s">
        <v>140</v>
      </c>
      <c r="CK3" s="287" t="s">
        <v>964</v>
      </c>
      <c r="CL3" s="287" t="s">
        <v>81</v>
      </c>
      <c r="CM3" s="287" t="s">
        <v>83</v>
      </c>
      <c r="CN3" s="287" t="s">
        <v>85</v>
      </c>
      <c r="CO3" s="288" t="s">
        <v>71</v>
      </c>
      <c r="CQ3" s="285" t="s">
        <v>140</v>
      </c>
      <c r="CR3" s="287" t="s">
        <v>964</v>
      </c>
      <c r="CS3" s="287" t="s">
        <v>81</v>
      </c>
      <c r="CT3" s="287" t="s">
        <v>83</v>
      </c>
      <c r="CU3" s="287" t="s">
        <v>85</v>
      </c>
      <c r="CV3" s="288" t="s">
        <v>71</v>
      </c>
    </row>
    <row r="4" spans="1:100" s="316" customFormat="1" ht="12.95" hidden="1" customHeight="1" thickBot="1">
      <c r="A4" s="313" t="s">
        <v>504</v>
      </c>
      <c r="B4" s="314" t="s">
        <v>51</v>
      </c>
      <c r="C4" s="314" t="s">
        <v>53</v>
      </c>
      <c r="D4" s="458" t="s">
        <v>55</v>
      </c>
      <c r="E4" s="314" t="s">
        <v>57</v>
      </c>
      <c r="F4" s="314" t="s">
        <v>59</v>
      </c>
      <c r="G4" s="315" t="s">
        <v>61</v>
      </c>
      <c r="I4" s="313" t="s">
        <v>63</v>
      </c>
      <c r="J4" s="314" t="s">
        <v>66</v>
      </c>
      <c r="K4" s="314" t="s">
        <v>68</v>
      </c>
      <c r="L4" s="314" t="s">
        <v>70</v>
      </c>
      <c r="M4" s="314" t="s">
        <v>72</v>
      </c>
      <c r="N4" s="314" t="s">
        <v>73</v>
      </c>
      <c r="O4" s="314" t="s">
        <v>74</v>
      </c>
      <c r="P4" s="314" t="s">
        <v>76</v>
      </c>
      <c r="Q4" s="314" t="s">
        <v>77</v>
      </c>
      <c r="R4" s="314" t="s">
        <v>79</v>
      </c>
      <c r="S4" s="314" t="s">
        <v>80</v>
      </c>
      <c r="T4" s="314" t="s">
        <v>957</v>
      </c>
      <c r="U4" s="314" t="s">
        <v>958</v>
      </c>
      <c r="V4" s="314" t="s">
        <v>82</v>
      </c>
      <c r="W4" s="314" t="s">
        <v>84</v>
      </c>
      <c r="X4" s="314" t="s">
        <v>86</v>
      </c>
      <c r="Y4" s="314" t="s">
        <v>87</v>
      </c>
      <c r="Z4" s="314" t="s">
        <v>89</v>
      </c>
      <c r="AA4" s="314" t="s">
        <v>91</v>
      </c>
      <c r="AB4" s="314" t="s">
        <v>93</v>
      </c>
      <c r="AC4" s="314" t="s">
        <v>95</v>
      </c>
      <c r="AD4" s="315" t="s">
        <v>868</v>
      </c>
      <c r="AF4" s="313" t="s">
        <v>97</v>
      </c>
      <c r="AG4" s="314" t="s">
        <v>98</v>
      </c>
      <c r="AH4" s="314" t="s">
        <v>99</v>
      </c>
      <c r="AI4" s="314" t="s">
        <v>100</v>
      </c>
      <c r="AJ4" s="314" t="s">
        <v>101</v>
      </c>
      <c r="AK4" s="314" t="s">
        <v>102</v>
      </c>
      <c r="AL4" s="314" t="s">
        <v>103</v>
      </c>
      <c r="AM4" s="314" t="s">
        <v>104</v>
      </c>
      <c r="AN4" s="314" t="s">
        <v>105</v>
      </c>
      <c r="AO4" s="314" t="s">
        <v>106</v>
      </c>
      <c r="AP4" s="314" t="s">
        <v>107</v>
      </c>
      <c r="AQ4" s="314" t="s">
        <v>959</v>
      </c>
      <c r="AR4" s="314" t="s">
        <v>960</v>
      </c>
      <c r="AS4" s="314" t="s">
        <v>108</v>
      </c>
      <c r="AT4" s="314" t="s">
        <v>109</v>
      </c>
      <c r="AU4" s="314" t="s">
        <v>110</v>
      </c>
      <c r="AV4" s="314" t="s">
        <v>111</v>
      </c>
      <c r="AW4" s="314" t="s">
        <v>112</v>
      </c>
      <c r="AX4" s="314" t="s">
        <v>113</v>
      </c>
      <c r="AY4" s="314" t="s">
        <v>114</v>
      </c>
      <c r="AZ4" s="314" t="s">
        <v>115</v>
      </c>
      <c r="BA4" s="315" t="s">
        <v>869</v>
      </c>
      <c r="BC4" s="313" t="s">
        <v>118</v>
      </c>
      <c r="BD4" s="314" t="s">
        <v>120</v>
      </c>
      <c r="BE4" s="314" t="s">
        <v>505</v>
      </c>
      <c r="BF4" s="315" t="s">
        <v>506</v>
      </c>
      <c r="BH4" s="313" t="s">
        <v>141</v>
      </c>
      <c r="BI4" s="314" t="s">
        <v>961</v>
      </c>
      <c r="BJ4" s="314" t="s">
        <v>122</v>
      </c>
      <c r="BK4" s="314" t="s">
        <v>123</v>
      </c>
      <c r="BL4" s="314" t="s">
        <v>124</v>
      </c>
      <c r="BM4" s="315" t="s">
        <v>125</v>
      </c>
      <c r="BO4" s="313" t="s">
        <v>142</v>
      </c>
      <c r="BP4" s="314" t="s">
        <v>962</v>
      </c>
      <c r="BQ4" s="314" t="s">
        <v>127</v>
      </c>
      <c r="BR4" s="314" t="s">
        <v>128</v>
      </c>
      <c r="BS4" s="314" t="s">
        <v>129</v>
      </c>
      <c r="BT4" s="315" t="s">
        <v>130</v>
      </c>
      <c r="BV4" s="313" t="s">
        <v>141</v>
      </c>
      <c r="BW4" s="314" t="s">
        <v>961</v>
      </c>
      <c r="BX4" s="314" t="s">
        <v>122</v>
      </c>
      <c r="BY4" s="314" t="s">
        <v>123</v>
      </c>
      <c r="BZ4" s="314" t="s">
        <v>124</v>
      </c>
      <c r="CA4" s="315" t="s">
        <v>125</v>
      </c>
      <c r="CC4" s="313" t="s">
        <v>142</v>
      </c>
      <c r="CD4" s="314" t="s">
        <v>963</v>
      </c>
      <c r="CE4" s="314" t="s">
        <v>127</v>
      </c>
      <c r="CF4" s="314" t="s">
        <v>128</v>
      </c>
      <c r="CG4" s="314" t="s">
        <v>129</v>
      </c>
      <c r="CH4" s="315" t="s">
        <v>130</v>
      </c>
      <c r="CJ4" s="313" t="s">
        <v>141</v>
      </c>
      <c r="CK4" s="314" t="s">
        <v>961</v>
      </c>
      <c r="CL4" s="314" t="s">
        <v>122</v>
      </c>
      <c r="CM4" s="314" t="s">
        <v>123</v>
      </c>
      <c r="CN4" s="314" t="s">
        <v>124</v>
      </c>
      <c r="CO4" s="315" t="s">
        <v>125</v>
      </c>
      <c r="CQ4" s="313" t="s">
        <v>142</v>
      </c>
      <c r="CR4" s="314" t="s">
        <v>962</v>
      </c>
      <c r="CS4" s="314" t="s">
        <v>127</v>
      </c>
      <c r="CT4" s="314" t="s">
        <v>128</v>
      </c>
      <c r="CU4" s="314" t="s">
        <v>129</v>
      </c>
      <c r="CV4" s="315" t="s">
        <v>130</v>
      </c>
    </row>
    <row r="5" spans="1:100" s="1" customFormat="1">
      <c r="A5" s="96" t="s">
        <v>1115</v>
      </c>
      <c r="B5" s="290" t="s">
        <v>1027</v>
      </c>
      <c r="C5" s="25" t="s">
        <v>131</v>
      </c>
      <c r="D5" s="459">
        <v>9378695</v>
      </c>
      <c r="E5" s="299">
        <v>17</v>
      </c>
      <c r="F5" s="299">
        <v>1</v>
      </c>
      <c r="G5" s="29"/>
      <c r="I5" s="42" t="str">
        <f t="shared" ref="I5:I22" si="0">IF(OR(ISBLANK(P5),ISBLANK(G5)),"·",P5*G5/F5/1000000)</f>
        <v>·</v>
      </c>
      <c r="J5" s="43">
        <f t="shared" ref="J5:J22" si="1">IF(ISBLANK(P5),"·",P5/D5)</f>
        <v>1.5795801014959969E-2</v>
      </c>
      <c r="K5" s="43">
        <f t="shared" ref="K5:K22" si="2">IF(Q5="","·",Q5/D5)</f>
        <v>4.5942425891875149E-3</v>
      </c>
      <c r="L5" s="55"/>
      <c r="M5" s="43">
        <f t="shared" ref="M5:M22" si="3">IF(ISBLANK(Q5),"·",S5/D5)</f>
        <v>1.1134171651812965E-2</v>
      </c>
      <c r="N5" s="43">
        <f t="shared" ref="N5:N22" si="4">IF(ISBLANK(P5),"·",P5/O5)</f>
        <v>4.874761434682461</v>
      </c>
      <c r="O5" s="352">
        <v>30390</v>
      </c>
      <c r="P5" s="353">
        <v>148144</v>
      </c>
      <c r="Q5" s="353">
        <v>43088</v>
      </c>
      <c r="R5" s="55"/>
      <c r="S5" s="353">
        <v>104424</v>
      </c>
      <c r="T5" s="354">
        <v>46.577441999999998</v>
      </c>
      <c r="U5" s="354">
        <v>41.422877999999997</v>
      </c>
      <c r="V5" s="87"/>
      <c r="W5" s="87"/>
      <c r="X5" s="87"/>
      <c r="Y5" s="354">
        <v>48.259231999999997</v>
      </c>
      <c r="Z5" s="355"/>
      <c r="AA5" s="355"/>
      <c r="AB5" s="48">
        <v>0</v>
      </c>
      <c r="AC5" s="48">
        <v>0</v>
      </c>
      <c r="AD5" s="49"/>
      <c r="AF5" s="42" t="str">
        <f t="shared" ref="AF5:AF22" si="5">IF(OR(ISBLANK(AM5),ISBLANK(G5)),"·",AM5*G5/F5/1000000)</f>
        <v>·</v>
      </c>
      <c r="AG5" s="43">
        <f t="shared" ref="AG5:AG22" si="6">IF(ISBLANK(AM5),"·",AM5/D5)</f>
        <v>1.5795801014959969E-2</v>
      </c>
      <c r="AH5" s="43">
        <f t="shared" ref="AH5:AH22" si="7">IF(AN5="","·",AN5/D5)</f>
        <v>4.5942425891875149E-3</v>
      </c>
      <c r="AI5" s="55"/>
      <c r="AJ5" s="43">
        <f t="shared" ref="AJ5:AJ22" si="8">IF(ISBLANK(AN5),"·",AP5/D5)</f>
        <v>1.1134171651812965E-2</v>
      </c>
      <c r="AK5" s="43">
        <f t="shared" ref="AK5:AK22" si="9">IF(ISBLANK(AM5),"·",AM5/AL5)</f>
        <v>4.874761434682461</v>
      </c>
      <c r="AL5" s="352">
        <v>30390</v>
      </c>
      <c r="AM5" s="353">
        <v>148144</v>
      </c>
      <c r="AN5" s="353">
        <v>43088</v>
      </c>
      <c r="AO5" s="55"/>
      <c r="AP5" s="353">
        <v>104424</v>
      </c>
      <c r="AQ5" s="354">
        <v>46.577441999999998</v>
      </c>
      <c r="AR5" s="354">
        <v>41.422877999999997</v>
      </c>
      <c r="AS5" s="87"/>
      <c r="AT5" s="87"/>
      <c r="AU5" s="87"/>
      <c r="AV5" s="354">
        <v>48.259231999999997</v>
      </c>
      <c r="AW5" s="355">
        <v>2.6520000000000001</v>
      </c>
      <c r="AX5" s="355">
        <v>2.9000000000000001E-2</v>
      </c>
      <c r="AY5" s="48">
        <v>0</v>
      </c>
      <c r="AZ5" s="48">
        <v>0</v>
      </c>
      <c r="BA5" s="49">
        <v>194570</v>
      </c>
      <c r="BB5" s="281"/>
      <c r="BC5" s="65" t="e">
        <f>AY5/AB5</f>
        <v>#DIV/0!</v>
      </c>
      <c r="BD5" s="280" t="e">
        <f>AZ5/AC5</f>
        <v>#DIV/0!</v>
      </c>
      <c r="BE5" s="66">
        <f t="shared" ref="BE5:BE22" si="10">(AN5/AM5) - (Q5/P5)</f>
        <v>0</v>
      </c>
      <c r="BF5" s="67">
        <f t="array" ref="BF5">AVERAGE(AN5:AN10/AM5:AM10) - AVERAGE(Q5:Q10/P5:P10)</f>
        <v>0</v>
      </c>
      <c r="BH5" s="83">
        <f>IF( OR(ISBLANK($Q5:$Q10),ISBLANK($AN5:$AN10), ISBLANK($T5:$T10),ISBLANK($AQ5:$AQ10)), "·", bdRateHermite( $Q5:$Q10,$T5:$T10, $AN5:$AN10,$AQ5:$AQ10))</f>
        <v>0</v>
      </c>
      <c r="BI5" s="84">
        <f>IF(OR(ISBLANK($Q5:$Q10),ISBLANK($AN5:$AN10),ISBLANK($U5:$U10),ISBLANK($AR5:$AR10)),"·",bdRateHermite($Q5:$Q10,$U5:$U10,$AN5:$AN10,$AR5:$AR10))</f>
        <v>0</v>
      </c>
      <c r="BJ5" s="92"/>
      <c r="BK5" s="92"/>
      <c r="BL5" s="92"/>
      <c r="BM5" s="184">
        <f>IF( OR(ISBLANK($S5:$S10),ISBLANK($AP5:$AP10), ISBLANK($Y5:$Y10),ISBLANK($AV5:$AV10)), "·", bdRateHermite($S5:$S10,$Y5:$Y10, $AP5:$AP10,$AV5:$AV10))</f>
        <v>0</v>
      </c>
      <c r="BO5" s="83">
        <f>IF( OR(ISBLANK($P5:$P10),ISBLANK($AM5:$AM10), ISBLANK($T5:$T10),ISBLANK($AQ5:$AQ10)), "·", bdRateHermite($P5:$P10,$T5:$T10, $AM5:$AM10,$AQ5:$AQ10))</f>
        <v>0</v>
      </c>
      <c r="BP5" s="84">
        <f>IF( OR(ISBLANK($P5:$P10),ISBLANK($AM5:$AM10), ISBLANK($U5:$U10),ISBLANK($AR5:$AR10)), "·", bdRateHermite( $P5:$P10,$U5:$U10, $AM5:$AM10,$AR5:$AR10))</f>
        <v>0</v>
      </c>
      <c r="BQ5" s="92"/>
      <c r="BR5" s="87"/>
      <c r="BS5" s="92"/>
      <c r="BT5" s="85">
        <f>IF( OR(ISBLANK($P5:$P10),ISBLANK($AM5:$AM10), ISBLANK($Y5:$Y10),ISBLANK($AV5:$AV10)), "·", bdRateHermite( $P5:$P10,$Y5:$Y10, $AM5:$AM10,$AV5:$AV10))</f>
        <v>0</v>
      </c>
      <c r="BV5" s="83">
        <f>IF( OR(ISBLANK($Q5:$Q10),ISBLANK($AN5:$AN10), ISBLANK($T5:$T10),ISBLANK($AQ5:$AQ10)), "·", bdRateHermite( $Q6:$Q10,$T6:$T10, $AN6:$AN10,$AQ6:$AQ10))</f>
        <v>0</v>
      </c>
      <c r="BW5" s="84">
        <f>IF(OR(ISBLANK($Q5:$Q10),ISBLANK($AN5:$AN10),ISBLANK($U5:$U10),ISBLANK($AR5:$AR10)),"·",bdRateHermite($Q6:$Q10,$U6:$U10,$AN6:$AN10,$AR6:$AR10))</f>
        <v>0</v>
      </c>
      <c r="BX5" s="92"/>
      <c r="BY5" s="92"/>
      <c r="BZ5" s="92"/>
      <c r="CA5" s="184">
        <f>IF( OR(ISBLANK($S5:$S10),ISBLANK($AP5:$AP10), ISBLANK($Y5:$Y10),ISBLANK($AV5:$AV10)), "·", bdRateHermite($S6:$S10,$Y6:$Y10, $AP6:$AP10,$AV6:$AV10))</f>
        <v>0</v>
      </c>
      <c r="CC5" s="83">
        <f>IF( OR(ISBLANK($P5:$P10),ISBLANK($AM5:$AM10), ISBLANK($T5:$T10),ISBLANK($AQ5:$AQ10)), "·", bdRateHermite($P6:$P10,$T6:$T10, $AM6:$AM10,$AQ6:$AQ10))</f>
        <v>0</v>
      </c>
      <c r="CD5" s="84">
        <f>IF( OR(ISBLANK($P5:$P10),ISBLANK($AM5:$AM10), ISBLANK($U5:$U10),ISBLANK($AR5:$AR10)), "·", bdRateHermite( $P6:$P10,$U6:$U10, $AM6:$AM10,$AR6:$AR10))</f>
        <v>0</v>
      </c>
      <c r="CE5" s="92"/>
      <c r="CF5" s="92"/>
      <c r="CG5" s="92"/>
      <c r="CH5" s="85">
        <f>IF( OR(ISBLANK($P5:$P10),ISBLANK($AM5:$AM10), ISBLANK($Y5:$Y10),ISBLANK($AV5:$AV10)), "·", bdRateHermite( $P6:$P10,$Y6:$Y10, $AM6:$AM10,$AV6:$AV10))</f>
        <v>0</v>
      </c>
      <c r="CJ5" s="83">
        <f>IF( OR(ISBLANK($Q5:$Q9),ISBLANK($AN5:$AN9), ISBLANK($T5:$T9),ISBLANK($AQ5:$AQ9)), "·", bdRateHermite( $Q5:$Q9,$T5:$T9, $AN5:$AN9,$AQ5:$AQ9))</f>
        <v>0</v>
      </c>
      <c r="CK5" s="84">
        <f>IF(OR(ISBLANK($Q5:$Q9),ISBLANK($AN5:$AN9),ISBLANK($U5:$U9),ISBLANK($AR5:$AR9)),"·",bdRateHermite($Q5:$Q9,$U5:$U9,$AN5:$AN9,$AR5:$AR9))</f>
        <v>0</v>
      </c>
      <c r="CL5" s="92"/>
      <c r="CM5" s="92"/>
      <c r="CN5" s="92"/>
      <c r="CO5" s="184">
        <f>IF( OR(ISBLANK($S5:$S10),ISBLANK($AP5:$AP10), ISBLANK($Y5:$Y10),ISBLANK($AV5:$AV10)), "·", bdRateHermite($S5:$S9,$Y5:$Y9, $AP5:$AP9,$AV5:$AV9))</f>
        <v>0</v>
      </c>
      <c r="CQ5" s="83">
        <f>IF( OR(ISBLANK($P5:$P9),ISBLANK($AM5:$AM9), ISBLANK($T5:$T9),ISBLANK($AQ5:$AQ9)), "·", bdRateHermite($P5:$P9,$T5:$T9, $AM5:$AM9,$AQ5:$AQ9))</f>
        <v>0</v>
      </c>
      <c r="CR5" s="84">
        <f>IF( OR(ISBLANK($P5:$P9),ISBLANK($AM5:$AM9), ISBLANK($U5:$U9),ISBLANK($AR5:$AR9)), "·", bdRateHermite( $P5:$P9,$U5:$U9, $AM5:$AM9,$AR5:$AR9))</f>
        <v>0</v>
      </c>
      <c r="CS5" s="92"/>
      <c r="CT5" s="92"/>
      <c r="CU5" s="92"/>
      <c r="CV5" s="85">
        <f>IF( OR(ISBLANK($P5:$P10),ISBLANK($AM5:$AM10), ISBLANK($Y5:$Y10),ISBLANK($AV5:$AV10)), "·", bdRateHermite( $P5:$P9,$Y5:$Y9, $AM5:$AM9,$AV5:$AV9))</f>
        <v>0</v>
      </c>
    </row>
    <row r="6" spans="1:100" s="1" customFormat="1" outlineLevel="1">
      <c r="A6" s="13"/>
      <c r="B6" s="291" t="s">
        <v>983</v>
      </c>
      <c r="C6" s="15" t="s">
        <v>132</v>
      </c>
      <c r="D6" s="459">
        <v>9378695</v>
      </c>
      <c r="E6" s="299">
        <v>17</v>
      </c>
      <c r="F6" s="299">
        <v>1</v>
      </c>
      <c r="G6" s="16"/>
      <c r="I6" s="30" t="str">
        <f t="shared" si="0"/>
        <v>·</v>
      </c>
      <c r="J6" s="31">
        <f t="shared" si="1"/>
        <v>8.5285212921413903E-2</v>
      </c>
      <c r="K6" s="31">
        <f t="shared" si="2"/>
        <v>2.1736073089059831E-2</v>
      </c>
      <c r="L6" s="51"/>
      <c r="M6" s="31">
        <f t="shared" si="3"/>
        <v>6.3480900061255854E-2</v>
      </c>
      <c r="N6" s="31">
        <f t="shared" si="4"/>
        <v>6.2707872744092699</v>
      </c>
      <c r="O6" s="356">
        <v>127554</v>
      </c>
      <c r="P6" s="357">
        <v>799864</v>
      </c>
      <c r="Q6" s="357">
        <v>203856</v>
      </c>
      <c r="R6" s="51"/>
      <c r="S6" s="357">
        <v>595368</v>
      </c>
      <c r="T6" s="358">
        <v>52.190886999999996</v>
      </c>
      <c r="U6" s="358">
        <v>47.420814999999997</v>
      </c>
      <c r="V6" s="87"/>
      <c r="W6" s="87"/>
      <c r="X6" s="87"/>
      <c r="Y6" s="358">
        <v>49.897990999999998</v>
      </c>
      <c r="Z6" s="359"/>
      <c r="AA6" s="359"/>
      <c r="AB6" s="32">
        <v>0</v>
      </c>
      <c r="AC6" s="32">
        <v>0</v>
      </c>
      <c r="AD6" s="33"/>
      <c r="AF6" s="30" t="str">
        <f t="shared" si="5"/>
        <v>·</v>
      </c>
      <c r="AG6" s="31">
        <f t="shared" si="6"/>
        <v>8.5285212921413903E-2</v>
      </c>
      <c r="AH6" s="31">
        <f t="shared" si="7"/>
        <v>2.1736073089059831E-2</v>
      </c>
      <c r="AI6" s="51"/>
      <c r="AJ6" s="31">
        <f t="shared" si="8"/>
        <v>6.3480900061255854E-2</v>
      </c>
      <c r="AK6" s="31">
        <f t="shared" si="9"/>
        <v>6.2707872744092699</v>
      </c>
      <c r="AL6" s="356">
        <v>127554</v>
      </c>
      <c r="AM6" s="357">
        <v>799864</v>
      </c>
      <c r="AN6" s="357">
        <v>203856</v>
      </c>
      <c r="AO6" s="51"/>
      <c r="AP6" s="357">
        <v>595368</v>
      </c>
      <c r="AQ6" s="358">
        <v>52.190886999999996</v>
      </c>
      <c r="AR6" s="358">
        <v>47.420814999999997</v>
      </c>
      <c r="AS6" s="87"/>
      <c r="AT6" s="87"/>
      <c r="AU6" s="87"/>
      <c r="AV6" s="358">
        <v>49.897990999999998</v>
      </c>
      <c r="AW6" s="359">
        <v>3.3279999999999998</v>
      </c>
      <c r="AX6" s="359">
        <v>0.13200000000000001</v>
      </c>
      <c r="AY6" s="32">
        <v>0</v>
      </c>
      <c r="AZ6" s="32">
        <v>0</v>
      </c>
      <c r="BA6" s="33">
        <v>48897</v>
      </c>
      <c r="BB6" s="281"/>
      <c r="BC6" s="65" t="e">
        <f t="shared" ref="BC6:BC10" si="11">AY6/AB6</f>
        <v>#DIV/0!</v>
      </c>
      <c r="BD6" s="280" t="e">
        <f t="shared" ref="BD6:BD22" si="12">AZ6/AC6</f>
        <v>#DIV/0!</v>
      </c>
      <c r="BE6" s="57">
        <f t="shared" si="10"/>
        <v>0</v>
      </c>
      <c r="BF6" s="58"/>
      <c r="BH6" s="74"/>
      <c r="BI6" s="75"/>
      <c r="BJ6" s="87"/>
      <c r="BK6" s="87"/>
      <c r="BL6" s="87"/>
      <c r="BM6" s="76"/>
      <c r="BO6" s="74"/>
      <c r="BP6" s="75"/>
      <c r="BQ6" s="87"/>
      <c r="BR6" s="87"/>
      <c r="BS6" s="87"/>
      <c r="BT6" s="76"/>
      <c r="BV6" s="74"/>
      <c r="BW6" s="75"/>
      <c r="BX6" s="87"/>
      <c r="BY6" s="87"/>
      <c r="BZ6" s="87"/>
      <c r="CA6" s="76"/>
      <c r="CC6" s="74"/>
      <c r="CD6" s="75"/>
      <c r="CE6" s="87"/>
      <c r="CF6" s="87"/>
      <c r="CG6" s="87"/>
      <c r="CH6" s="76"/>
      <c r="CJ6" s="74"/>
      <c r="CK6" s="75"/>
      <c r="CL6" s="87"/>
      <c r="CM6" s="87"/>
      <c r="CN6" s="87"/>
      <c r="CO6" s="76"/>
      <c r="CQ6" s="74"/>
      <c r="CR6" s="75"/>
      <c r="CS6" s="87"/>
      <c r="CT6" s="87"/>
      <c r="CU6" s="87"/>
      <c r="CV6" s="76"/>
    </row>
    <row r="7" spans="1:100" s="1" customFormat="1" outlineLevel="1">
      <c r="A7" s="13"/>
      <c r="B7" s="291" t="s">
        <v>983</v>
      </c>
      <c r="C7" s="15" t="s">
        <v>133</v>
      </c>
      <c r="D7" s="459">
        <v>9378695</v>
      </c>
      <c r="E7" s="299">
        <v>17</v>
      </c>
      <c r="F7" s="299">
        <v>1</v>
      </c>
      <c r="G7" s="16"/>
      <c r="I7" s="30" t="str">
        <f t="shared" si="0"/>
        <v>·</v>
      </c>
      <c r="J7" s="31">
        <f t="shared" si="1"/>
        <v>1.2395890899533464</v>
      </c>
      <c r="K7" s="31">
        <f t="shared" si="2"/>
        <v>0.35165574741475225</v>
      </c>
      <c r="L7" s="51"/>
      <c r="M7" s="31">
        <f t="shared" si="3"/>
        <v>0.88786254377607976</v>
      </c>
      <c r="N7" s="31">
        <f t="shared" si="4"/>
        <v>8.1677483718218031</v>
      </c>
      <c r="O7" s="356">
        <v>1423370</v>
      </c>
      <c r="P7" s="357">
        <v>11625728</v>
      </c>
      <c r="Q7" s="357">
        <v>3298072</v>
      </c>
      <c r="R7" s="51"/>
      <c r="S7" s="357">
        <v>8326992</v>
      </c>
      <c r="T7" s="358">
        <v>64.192665000000005</v>
      </c>
      <c r="U7" s="358">
        <v>59.439425999999997</v>
      </c>
      <c r="V7" s="87"/>
      <c r="W7" s="87"/>
      <c r="X7" s="87"/>
      <c r="Y7" s="358">
        <v>53.502861000000003</v>
      </c>
      <c r="Z7" s="359"/>
      <c r="AA7" s="359"/>
      <c r="AB7" s="32">
        <v>0</v>
      </c>
      <c r="AC7" s="32">
        <v>0</v>
      </c>
      <c r="AD7" s="33"/>
      <c r="AF7" s="30" t="str">
        <f t="shared" si="5"/>
        <v>·</v>
      </c>
      <c r="AG7" s="31">
        <f t="shared" si="6"/>
        <v>1.2395890899533464</v>
      </c>
      <c r="AH7" s="31">
        <f t="shared" si="7"/>
        <v>0.35165574741475225</v>
      </c>
      <c r="AI7" s="51"/>
      <c r="AJ7" s="31">
        <f t="shared" si="8"/>
        <v>0.88786254377607976</v>
      </c>
      <c r="AK7" s="31">
        <f t="shared" si="9"/>
        <v>8.1677483718218031</v>
      </c>
      <c r="AL7" s="356">
        <v>1423370</v>
      </c>
      <c r="AM7" s="357">
        <v>11625728</v>
      </c>
      <c r="AN7" s="357">
        <v>3298072</v>
      </c>
      <c r="AO7" s="51"/>
      <c r="AP7" s="357">
        <v>8326992</v>
      </c>
      <c r="AQ7" s="358">
        <v>64.192665000000005</v>
      </c>
      <c r="AR7" s="358">
        <v>59.439425999999997</v>
      </c>
      <c r="AS7" s="87"/>
      <c r="AT7" s="87"/>
      <c r="AU7" s="87"/>
      <c r="AV7" s="358">
        <v>53.502861000000003</v>
      </c>
      <c r="AW7" s="359">
        <v>8.7840000000000007</v>
      </c>
      <c r="AX7" s="359">
        <v>1.9410000000000001</v>
      </c>
      <c r="AY7" s="32">
        <v>0</v>
      </c>
      <c r="AZ7" s="32">
        <v>0</v>
      </c>
      <c r="BA7" s="33">
        <v>3072</v>
      </c>
      <c r="BB7" s="281"/>
      <c r="BC7" s="65" t="e">
        <f t="shared" si="11"/>
        <v>#DIV/0!</v>
      </c>
      <c r="BD7" s="280" t="e">
        <f t="shared" si="12"/>
        <v>#DIV/0!</v>
      </c>
      <c r="BE7" s="57">
        <f t="shared" si="10"/>
        <v>0</v>
      </c>
      <c r="BF7" s="58"/>
      <c r="BH7" s="74"/>
      <c r="BI7" s="75"/>
      <c r="BJ7" s="87"/>
      <c r="BK7" s="87"/>
      <c r="BL7" s="87"/>
      <c r="BM7" s="76"/>
      <c r="BO7" s="74"/>
      <c r="BP7" s="75"/>
      <c r="BQ7" s="87"/>
      <c r="BR7" s="87"/>
      <c r="BS7" s="87"/>
      <c r="BT7" s="76"/>
      <c r="BV7" s="74"/>
      <c r="BW7" s="75"/>
      <c r="BX7" s="87"/>
      <c r="BY7" s="87"/>
      <c r="BZ7" s="87"/>
      <c r="CA7" s="76"/>
      <c r="CC7" s="74"/>
      <c r="CD7" s="75"/>
      <c r="CE7" s="87"/>
      <c r="CF7" s="87"/>
      <c r="CG7" s="87"/>
      <c r="CH7" s="76"/>
      <c r="CJ7" s="74"/>
      <c r="CK7" s="75"/>
      <c r="CL7" s="87"/>
      <c r="CM7" s="87"/>
      <c r="CN7" s="87"/>
      <c r="CO7" s="76"/>
      <c r="CQ7" s="74"/>
      <c r="CR7" s="75"/>
      <c r="CS7" s="87"/>
      <c r="CT7" s="87"/>
      <c r="CU7" s="87"/>
      <c r="CV7" s="76"/>
    </row>
    <row r="8" spans="1:100" s="1" customFormat="1" outlineLevel="1">
      <c r="A8" s="13"/>
      <c r="B8" s="291" t="s">
        <v>983</v>
      </c>
      <c r="C8" s="15" t="s">
        <v>134</v>
      </c>
      <c r="D8" s="459">
        <v>9378695</v>
      </c>
      <c r="E8" s="299">
        <v>17</v>
      </c>
      <c r="F8" s="299">
        <v>1</v>
      </c>
      <c r="G8" s="16"/>
      <c r="I8" s="30" t="str">
        <f t="shared" si="0"/>
        <v>·</v>
      </c>
      <c r="J8" s="31">
        <f t="shared" si="1"/>
        <v>3.876984591139812</v>
      </c>
      <c r="K8" s="31">
        <f t="shared" si="2"/>
        <v>1.1246212825984852</v>
      </c>
      <c r="L8" s="51"/>
      <c r="M8" s="31">
        <f t="shared" si="3"/>
        <v>2.7522925097788127</v>
      </c>
      <c r="N8" s="31">
        <f t="shared" si="4"/>
        <v>10.144806489809174</v>
      </c>
      <c r="O8" s="356">
        <v>3584204</v>
      </c>
      <c r="P8" s="357">
        <v>36361056</v>
      </c>
      <c r="Q8" s="357">
        <v>10547480</v>
      </c>
      <c r="R8" s="51"/>
      <c r="S8" s="357">
        <v>25812912</v>
      </c>
      <c r="T8" s="358">
        <v>70.194396999999995</v>
      </c>
      <c r="U8" s="358">
        <v>65.460021999999995</v>
      </c>
      <c r="V8" s="87"/>
      <c r="W8" s="87"/>
      <c r="X8" s="87"/>
      <c r="Y8" s="358">
        <v>55.715384999999998</v>
      </c>
      <c r="Z8" s="359"/>
      <c r="AA8" s="359"/>
      <c r="AB8" s="32">
        <v>0</v>
      </c>
      <c r="AC8" s="32">
        <v>0</v>
      </c>
      <c r="AD8" s="33"/>
      <c r="AF8" s="30" t="str">
        <f t="shared" si="5"/>
        <v>·</v>
      </c>
      <c r="AG8" s="31">
        <f t="shared" si="6"/>
        <v>3.876984591139812</v>
      </c>
      <c r="AH8" s="31">
        <f t="shared" si="7"/>
        <v>1.1246212825984852</v>
      </c>
      <c r="AI8" s="51"/>
      <c r="AJ8" s="31">
        <f t="shared" si="8"/>
        <v>2.7522925097788127</v>
      </c>
      <c r="AK8" s="31">
        <f t="shared" si="9"/>
        <v>10.144806489809174</v>
      </c>
      <c r="AL8" s="356">
        <v>3584204</v>
      </c>
      <c r="AM8" s="357">
        <v>36361056</v>
      </c>
      <c r="AN8" s="357">
        <v>10547480</v>
      </c>
      <c r="AO8" s="51"/>
      <c r="AP8" s="357">
        <v>25812912</v>
      </c>
      <c r="AQ8" s="358">
        <v>70.194396999999995</v>
      </c>
      <c r="AR8" s="358">
        <v>65.460021999999995</v>
      </c>
      <c r="AS8" s="87"/>
      <c r="AT8" s="87"/>
      <c r="AU8" s="87"/>
      <c r="AV8" s="358">
        <v>55.715384999999998</v>
      </c>
      <c r="AW8" s="359">
        <v>16.888000000000002</v>
      </c>
      <c r="AX8" s="359">
        <v>5.3479999999999999</v>
      </c>
      <c r="AY8" s="32">
        <v>0</v>
      </c>
      <c r="AZ8" s="32">
        <v>0</v>
      </c>
      <c r="BA8" s="33">
        <v>768</v>
      </c>
      <c r="BB8" s="281"/>
      <c r="BC8" s="65" t="e">
        <f t="shared" si="11"/>
        <v>#DIV/0!</v>
      </c>
      <c r="BD8" s="280" t="e">
        <f t="shared" si="12"/>
        <v>#DIV/0!</v>
      </c>
      <c r="BE8" s="57">
        <f t="shared" si="10"/>
        <v>0</v>
      </c>
      <c r="BF8" s="58"/>
      <c r="BH8" s="74"/>
      <c r="BI8" s="75"/>
      <c r="BJ8" s="87"/>
      <c r="BK8" s="87"/>
      <c r="BL8" s="87"/>
      <c r="BM8" s="76"/>
      <c r="BO8" s="74"/>
      <c r="BP8" s="75"/>
      <c r="BQ8" s="87"/>
      <c r="BR8" s="87"/>
      <c r="BS8" s="87"/>
      <c r="BT8" s="76"/>
      <c r="BV8" s="74"/>
      <c r="BW8" s="75"/>
      <c r="BX8" s="87"/>
      <c r="BY8" s="87"/>
      <c r="BZ8" s="87"/>
      <c r="CA8" s="76"/>
      <c r="CC8" s="74"/>
      <c r="CD8" s="75"/>
      <c r="CE8" s="87"/>
      <c r="CF8" s="87"/>
      <c r="CG8" s="87"/>
      <c r="CH8" s="76"/>
      <c r="CJ8" s="74"/>
      <c r="CK8" s="75"/>
      <c r="CL8" s="87"/>
      <c r="CM8" s="87"/>
      <c r="CN8" s="87"/>
      <c r="CO8" s="76"/>
      <c r="CQ8" s="74"/>
      <c r="CR8" s="75"/>
      <c r="CS8" s="87"/>
      <c r="CT8" s="87"/>
      <c r="CU8" s="87"/>
      <c r="CV8" s="76"/>
    </row>
    <row r="9" spans="1:100" s="1" customFormat="1" outlineLevel="1">
      <c r="A9" s="13"/>
      <c r="B9" s="291" t="s">
        <v>983</v>
      </c>
      <c r="C9" s="15" t="s">
        <v>135</v>
      </c>
      <c r="D9" s="459">
        <v>9378695</v>
      </c>
      <c r="E9" s="299">
        <v>17</v>
      </c>
      <c r="F9" s="299">
        <v>1</v>
      </c>
      <c r="G9" s="16"/>
      <c r="I9" s="30" t="str">
        <f t="shared" si="0"/>
        <v>·</v>
      </c>
      <c r="J9" s="31">
        <f t="shared" si="1"/>
        <v>13.867371526635635</v>
      </c>
      <c r="K9" s="31">
        <f t="shared" si="2"/>
        <v>5.8908937757331907</v>
      </c>
      <c r="L9" s="51"/>
      <c r="M9" s="31">
        <f t="shared" si="3"/>
        <v>7.9764043931485133</v>
      </c>
      <c r="N9" s="31">
        <f t="shared" si="4"/>
        <v>14.772584419288458</v>
      </c>
      <c r="O9" s="356">
        <v>8804001</v>
      </c>
      <c r="P9" s="357">
        <v>130057848</v>
      </c>
      <c r="Q9" s="357">
        <v>55248896</v>
      </c>
      <c r="R9" s="51"/>
      <c r="S9" s="357">
        <v>74808264</v>
      </c>
      <c r="T9" s="358">
        <v>82.137932000000006</v>
      </c>
      <c r="U9" s="358">
        <v>77.501227999999998</v>
      </c>
      <c r="V9" s="87"/>
      <c r="W9" s="87"/>
      <c r="X9" s="87"/>
      <c r="Y9" s="358">
        <v>65.222115000000002</v>
      </c>
      <c r="Z9" s="359"/>
      <c r="AA9" s="359"/>
      <c r="AB9" s="32">
        <v>0</v>
      </c>
      <c r="AC9" s="32">
        <v>0</v>
      </c>
      <c r="AD9" s="33"/>
      <c r="AF9" s="30" t="str">
        <f t="shared" si="5"/>
        <v>·</v>
      </c>
      <c r="AG9" s="31">
        <f t="shared" si="6"/>
        <v>13.867371526635635</v>
      </c>
      <c r="AH9" s="31">
        <f t="shared" si="7"/>
        <v>5.8908937757331907</v>
      </c>
      <c r="AI9" s="51"/>
      <c r="AJ9" s="31">
        <f t="shared" si="8"/>
        <v>7.9764043931485133</v>
      </c>
      <c r="AK9" s="31">
        <f t="shared" si="9"/>
        <v>14.772584419288458</v>
      </c>
      <c r="AL9" s="356">
        <v>8804001</v>
      </c>
      <c r="AM9" s="357">
        <v>130057848</v>
      </c>
      <c r="AN9" s="357">
        <v>55248896</v>
      </c>
      <c r="AO9" s="51"/>
      <c r="AP9" s="357">
        <v>74808264</v>
      </c>
      <c r="AQ9" s="358">
        <v>82.137932000000006</v>
      </c>
      <c r="AR9" s="358">
        <v>77.501227999999998</v>
      </c>
      <c r="AS9" s="87"/>
      <c r="AT9" s="87"/>
      <c r="AU9" s="87"/>
      <c r="AV9" s="358">
        <v>65.222115000000002</v>
      </c>
      <c r="AW9" s="359">
        <v>52.054000000000002</v>
      </c>
      <c r="AX9" s="359">
        <v>20.488</v>
      </c>
      <c r="AY9" s="32">
        <v>0</v>
      </c>
      <c r="AZ9" s="32">
        <v>0</v>
      </c>
      <c r="BA9" s="33">
        <v>48</v>
      </c>
      <c r="BB9" s="281"/>
      <c r="BC9" s="65" t="e">
        <f t="shared" si="11"/>
        <v>#DIV/0!</v>
      </c>
      <c r="BD9" s="280" t="e">
        <f t="shared" si="12"/>
        <v>#DIV/0!</v>
      </c>
      <c r="BE9" s="57">
        <f t="shared" si="10"/>
        <v>0</v>
      </c>
      <c r="BF9" s="58"/>
      <c r="BH9" s="74"/>
      <c r="BI9" s="75"/>
      <c r="BJ9" s="87"/>
      <c r="BK9" s="87"/>
      <c r="BL9" s="87"/>
      <c r="BM9" s="76"/>
      <c r="BO9" s="74"/>
      <c r="BP9" s="75"/>
      <c r="BQ9" s="87"/>
      <c r="BR9" s="87"/>
      <c r="BS9" s="87"/>
      <c r="BT9" s="76"/>
      <c r="BV9" s="74"/>
      <c r="BW9" s="75"/>
      <c r="BX9" s="87"/>
      <c r="BY9" s="87"/>
      <c r="BZ9" s="87"/>
      <c r="CA9" s="76"/>
      <c r="CC9" s="74"/>
      <c r="CD9" s="75"/>
      <c r="CE9" s="87"/>
      <c r="CF9" s="87"/>
      <c r="CG9" s="87"/>
      <c r="CH9" s="76"/>
      <c r="CJ9" s="74"/>
      <c r="CK9" s="75"/>
      <c r="CL9" s="87"/>
      <c r="CM9" s="87"/>
      <c r="CN9" s="87"/>
      <c r="CO9" s="76"/>
      <c r="CQ9" s="74"/>
      <c r="CR9" s="75"/>
      <c r="CS9" s="87"/>
      <c r="CT9" s="87"/>
      <c r="CU9" s="87"/>
      <c r="CV9" s="76"/>
    </row>
    <row r="10" spans="1:100" s="1" customFormat="1" ht="14.25" outlineLevel="1" thickBot="1">
      <c r="A10" s="13"/>
      <c r="B10" s="292" t="s">
        <v>1007</v>
      </c>
      <c r="C10" s="22" t="s">
        <v>136</v>
      </c>
      <c r="D10" s="460">
        <v>9378695</v>
      </c>
      <c r="E10" s="302">
        <v>17</v>
      </c>
      <c r="F10" s="302">
        <v>1</v>
      </c>
      <c r="G10" s="23"/>
      <c r="I10" s="34" t="str">
        <f t="shared" si="0"/>
        <v>·</v>
      </c>
      <c r="J10" s="35">
        <f t="shared" si="1"/>
        <v>18.717102965817737</v>
      </c>
      <c r="K10" s="35">
        <f t="shared" si="2"/>
        <v>9.0974029968988219</v>
      </c>
      <c r="L10" s="52"/>
      <c r="M10" s="35">
        <f t="shared" si="3"/>
        <v>9.6196266111649855</v>
      </c>
      <c r="N10" s="35">
        <f t="shared" si="4"/>
        <v>18.874566526444092</v>
      </c>
      <c r="O10" s="360">
        <v>9300452</v>
      </c>
      <c r="P10" s="361">
        <v>175542000</v>
      </c>
      <c r="Q10" s="361">
        <v>85321768</v>
      </c>
      <c r="R10" s="52"/>
      <c r="S10" s="361">
        <v>90219544</v>
      </c>
      <c r="T10" s="362">
        <v>87.783362999999994</v>
      </c>
      <c r="U10" s="362">
        <v>83.521827999999999</v>
      </c>
      <c r="V10" s="88"/>
      <c r="W10" s="88"/>
      <c r="X10" s="88"/>
      <c r="Y10" s="362">
        <v>72.141098</v>
      </c>
      <c r="Z10" s="363"/>
      <c r="AA10" s="363"/>
      <c r="AB10" s="36">
        <v>0</v>
      </c>
      <c r="AC10" s="36">
        <v>0</v>
      </c>
      <c r="AD10" s="37"/>
      <c r="AF10" s="34" t="str">
        <f t="shared" si="5"/>
        <v>·</v>
      </c>
      <c r="AG10" s="35">
        <f t="shared" si="6"/>
        <v>18.717102965817737</v>
      </c>
      <c r="AH10" s="35">
        <f t="shared" si="7"/>
        <v>9.0974029968988219</v>
      </c>
      <c r="AI10" s="52"/>
      <c r="AJ10" s="35">
        <f t="shared" si="8"/>
        <v>9.6196266111649855</v>
      </c>
      <c r="AK10" s="35">
        <f t="shared" si="9"/>
        <v>18.874566526444092</v>
      </c>
      <c r="AL10" s="360">
        <v>9300452</v>
      </c>
      <c r="AM10" s="361">
        <v>175542000</v>
      </c>
      <c r="AN10" s="361">
        <v>85321768</v>
      </c>
      <c r="AO10" s="52"/>
      <c r="AP10" s="361">
        <v>90219544</v>
      </c>
      <c r="AQ10" s="362">
        <v>87.783362999999994</v>
      </c>
      <c r="AR10" s="362">
        <v>83.521827999999999</v>
      </c>
      <c r="AS10" s="88"/>
      <c r="AT10" s="88"/>
      <c r="AU10" s="88"/>
      <c r="AV10" s="362">
        <v>72.141098</v>
      </c>
      <c r="AW10" s="363">
        <v>58.994</v>
      </c>
      <c r="AX10" s="363">
        <v>25.422000000000001</v>
      </c>
      <c r="AY10" s="36">
        <v>0</v>
      </c>
      <c r="AZ10" s="36">
        <v>0</v>
      </c>
      <c r="BA10" s="37">
        <v>12</v>
      </c>
      <c r="BB10" s="281"/>
      <c r="BC10" s="65" t="e">
        <f t="shared" si="11"/>
        <v>#DIV/0!</v>
      </c>
      <c r="BD10" s="280" t="e">
        <f t="shared" si="12"/>
        <v>#DIV/0!</v>
      </c>
      <c r="BE10" s="63">
        <f t="shared" si="10"/>
        <v>0</v>
      </c>
      <c r="BF10" s="64"/>
      <c r="BH10" s="80"/>
      <c r="BI10" s="81"/>
      <c r="BJ10" s="89"/>
      <c r="BK10" s="89"/>
      <c r="BL10" s="89"/>
      <c r="BM10" s="82"/>
      <c r="BO10" s="80"/>
      <c r="BP10" s="81"/>
      <c r="BQ10" s="89"/>
      <c r="BR10" s="89"/>
      <c r="BS10" s="89"/>
      <c r="BT10" s="82"/>
      <c r="BV10" s="77"/>
      <c r="BW10" s="78"/>
      <c r="BX10" s="88"/>
      <c r="BY10" s="88"/>
      <c r="BZ10" s="88"/>
      <c r="CA10" s="79"/>
      <c r="CC10" s="80"/>
      <c r="CD10" s="81"/>
      <c r="CE10" s="89"/>
      <c r="CF10" s="89"/>
      <c r="CG10" s="89"/>
      <c r="CH10" s="82"/>
      <c r="CJ10" s="80"/>
      <c r="CK10" s="81"/>
      <c r="CL10" s="89"/>
      <c r="CM10" s="89"/>
      <c r="CN10" s="89"/>
      <c r="CO10" s="82"/>
      <c r="CQ10" s="80"/>
      <c r="CR10" s="81"/>
      <c r="CS10" s="89"/>
      <c r="CT10" s="89"/>
      <c r="CU10" s="89"/>
      <c r="CV10" s="82"/>
    </row>
    <row r="11" spans="1:100" s="1" customFormat="1">
      <c r="A11" s="13"/>
      <c r="B11" s="294" t="s">
        <v>1010</v>
      </c>
      <c r="C11" s="28" t="s">
        <v>131</v>
      </c>
      <c r="D11" s="461">
        <v>9477876</v>
      </c>
      <c r="E11" s="304">
        <v>19</v>
      </c>
      <c r="F11" s="304">
        <v>1</v>
      </c>
      <c r="G11" s="29"/>
      <c r="I11" s="42" t="str">
        <f t="shared" si="0"/>
        <v>·</v>
      </c>
      <c r="J11" s="43">
        <f t="shared" si="1"/>
        <v>0.12149135523613097</v>
      </c>
      <c r="K11" s="43">
        <f t="shared" si="2"/>
        <v>4.6731145248154755E-2</v>
      </c>
      <c r="L11" s="55"/>
      <c r="M11" s="43">
        <f t="shared" si="3"/>
        <v>7.4689308026397477E-2</v>
      </c>
      <c r="N11" s="43">
        <f t="shared" si="4"/>
        <v>6.2578054095768092</v>
      </c>
      <c r="O11" s="364">
        <v>184007</v>
      </c>
      <c r="P11" s="365">
        <v>1151480</v>
      </c>
      <c r="Q11" s="365">
        <v>442912</v>
      </c>
      <c r="R11" s="55"/>
      <c r="S11" s="365">
        <v>707896</v>
      </c>
      <c r="T11" s="366">
        <v>46.100192999999997</v>
      </c>
      <c r="U11" s="366">
        <v>41.400261</v>
      </c>
      <c r="V11" s="92"/>
      <c r="W11" s="92"/>
      <c r="X11" s="92"/>
      <c r="Y11" s="366">
        <v>49.374248999999999</v>
      </c>
      <c r="Z11" s="367"/>
      <c r="AA11" s="367"/>
      <c r="AB11" s="44">
        <v>0</v>
      </c>
      <c r="AC11" s="44">
        <v>0</v>
      </c>
      <c r="AD11" s="45"/>
      <c r="AF11" s="42" t="str">
        <f t="shared" si="5"/>
        <v>·</v>
      </c>
      <c r="AG11" s="43">
        <f t="shared" si="6"/>
        <v>0.12149135523613097</v>
      </c>
      <c r="AH11" s="43">
        <f t="shared" si="7"/>
        <v>4.6731145248154755E-2</v>
      </c>
      <c r="AI11" s="55"/>
      <c r="AJ11" s="43">
        <f t="shared" si="8"/>
        <v>7.4689308026397477E-2</v>
      </c>
      <c r="AK11" s="43">
        <f t="shared" si="9"/>
        <v>6.2578054095768092</v>
      </c>
      <c r="AL11" s="364">
        <v>184007</v>
      </c>
      <c r="AM11" s="365">
        <v>1151480</v>
      </c>
      <c r="AN11" s="365">
        <v>442912</v>
      </c>
      <c r="AO11" s="55"/>
      <c r="AP11" s="365">
        <v>707896</v>
      </c>
      <c r="AQ11" s="366">
        <v>46.100192999999997</v>
      </c>
      <c r="AR11" s="366">
        <v>41.400261</v>
      </c>
      <c r="AS11" s="92"/>
      <c r="AT11" s="92"/>
      <c r="AU11" s="92"/>
      <c r="AV11" s="366">
        <v>49.374248999999999</v>
      </c>
      <c r="AW11" s="367">
        <v>3.4470000000000001</v>
      </c>
      <c r="AX11" s="367">
        <v>0.223</v>
      </c>
      <c r="AY11" s="44">
        <v>0</v>
      </c>
      <c r="AZ11" s="44">
        <v>0</v>
      </c>
      <c r="BA11" s="45">
        <v>195586</v>
      </c>
      <c r="BC11" s="65" t="e">
        <f>AY11/AB11</f>
        <v>#DIV/0!</v>
      </c>
      <c r="BD11" s="69" t="e">
        <f t="shared" si="12"/>
        <v>#DIV/0!</v>
      </c>
      <c r="BE11" s="69">
        <f t="shared" si="10"/>
        <v>0</v>
      </c>
      <c r="BF11" s="70">
        <f t="array" ref="BF11">AVERAGE(AN11:AN16/AM11:AM16) - AVERAGE(Q11:Q16/P11:P16)</f>
        <v>0</v>
      </c>
      <c r="BH11" s="224">
        <f>IF( OR(ISBLANK($Q11:$Q16),ISBLANK($AN11:$AN16), ISBLANK($T11:$T16),ISBLANK($AQ11:$AQ16)), "·", bdRateHermite( $Q11:$Q16,$T11:$T16, $AN11:$AN16,$AQ11:$AQ16))</f>
        <v>0</v>
      </c>
      <c r="BI11" s="225">
        <f>IF(OR(ISBLANK($Q11:$Q16),ISBLANK($AN11:$AN16),ISBLANK($U11:$U16),ISBLANK($AR11:$AR16)),"·",bdRateHermite($Q11:$Q16,$U11:$U16,$AN11:$AN16,$AR11:$AR16))</f>
        <v>0</v>
      </c>
      <c r="BJ11" s="90"/>
      <c r="BK11" s="90"/>
      <c r="BL11" s="90"/>
      <c r="BM11" s="226">
        <f>IF( OR(ISBLANK($S11:$S16),ISBLANK($AP11:$AP16), ISBLANK($Y11:$Y16),ISBLANK($AV11:$AV16)), "·", bdRateHermite($S11:$S16,$Y11:$Y16, $AP11:$AP16,$AV11:$AV16))</f>
        <v>0</v>
      </c>
      <c r="BO11" s="224">
        <f>IF( OR(ISBLANK($P11:$P16),ISBLANK($AM11:$AM16), ISBLANK($T11:$T16),ISBLANK($AQ11:$AQ16)), "·", bdRateHermite($P11:$P16,$T11:$T16, $AM11:$AM16,$AQ11:$AQ16))</f>
        <v>0</v>
      </c>
      <c r="BP11" s="225">
        <f>IF( OR(ISBLANK($P11:$P16),ISBLANK($AM11:$AM16), ISBLANK($U11:$U16),ISBLANK($AR11:$AR16)), "·", bdRateHermite( $P11:$P16,$U11:$U16, $AM11:$AM16,$AR11:$AR16))</f>
        <v>0</v>
      </c>
      <c r="BQ11" s="90"/>
      <c r="BR11" s="90"/>
      <c r="BS11" s="90"/>
      <c r="BT11" s="86">
        <f>IF( OR(ISBLANK($P11:$P16),ISBLANK($AM11:$AM16), ISBLANK($Y11:$Y16),ISBLANK($AV11:$AV16)), "·", bdRateHermite( $P11:$P16,$Y11:$Y16, $AM11:$AM16,$AV11:$AV16))</f>
        <v>0</v>
      </c>
      <c r="BV11" s="83">
        <f>IF( OR(ISBLANK($Q11:$Q15),ISBLANK($AN11:$AN15), ISBLANK($T11:$T15),ISBLANK($AQ11:$AQ15)), "·", bdRateHermite( $Q12:$Q16,$T12:$T16, $AN12:$AN16,$AQ12:$AQ16))</f>
        <v>0</v>
      </c>
      <c r="BW11" s="84">
        <f>IF(OR(ISBLANK($Q11:$Q16),ISBLANK($AN11:$AN16),ISBLANK($U11:$U16),ISBLANK($AR11:$AR16)),"·",bdRateHermite($Q12:$Q16,$U12:$U16,$AN12:$AN16,$AR12:$AR16))</f>
        <v>0</v>
      </c>
      <c r="BX11" s="92"/>
      <c r="BY11" s="92"/>
      <c r="BZ11" s="92"/>
      <c r="CA11" s="184">
        <f>IF( OR(ISBLANK($S11:$S16),ISBLANK($AP11:$AP16), ISBLANK($Y11:$Y16),ISBLANK($AV11:$AV16)), "·", bdRateHermite($S12:$S16,$Y12:$Y16, $AP12:$AP16,$AV12:$AV16))</f>
        <v>0</v>
      </c>
      <c r="CC11" s="224">
        <f>IF( OR(ISBLANK($P11:$P16),ISBLANK($AM11:$AM16), ISBLANK($T11:$T16),ISBLANK($AQ11:$AQ16)), "·", bdRateHermite($P12:$P16,$T12:$T16, $AM12:$AM16,$AQ12:$AQ16))</f>
        <v>0</v>
      </c>
      <c r="CD11" s="225">
        <f>IF( OR(ISBLANK($P11:$P16),ISBLANK($AM11:$AM16), ISBLANK($U11:$U16),ISBLANK($AR11:$AR16)), "·", bdRateHermite( $P12:$P16,$U12:$U16, $AM12:$AM16,$AR12:$AR16))</f>
        <v>0</v>
      </c>
      <c r="CE11" s="90"/>
      <c r="CF11" s="90"/>
      <c r="CG11" s="90"/>
      <c r="CH11" s="86">
        <f>IF( OR(ISBLANK($P11:$P16),ISBLANK($AM11:$AM16), ISBLANK($Y11:$Y16),ISBLANK($AV11:$AV16)), "·", bdRateHermite( $P12:$P16,$Y12:$Y16, $AM12:$AM16,$AV12:$AV16))</f>
        <v>0</v>
      </c>
      <c r="CJ11" s="224">
        <f>IF( OR(ISBLANK($Q11:$Q15),ISBLANK($AN11:$AN15), ISBLANK($T11:$T15),ISBLANK($AQ11:$AQ15)), "·", bdRateHermite( $Q11:$Q15,$T11:$T15, $AN11:$AN15,$AQ11:$AQ15))</f>
        <v>0</v>
      </c>
      <c r="CK11" s="225">
        <f>IF(OR(ISBLANK($Q11:$Q15),ISBLANK($AN11:$AN15),ISBLANK($U11:$U15),ISBLANK($AR11:$AR15)),"·",bdRateHermite($Q11:$Q15,$U11:$U15,$AN11:$AN15,$AR11:$AR15))</f>
        <v>0</v>
      </c>
      <c r="CL11" s="90"/>
      <c r="CM11" s="90"/>
      <c r="CN11" s="90"/>
      <c r="CO11" s="226">
        <f>IF( OR(ISBLANK($S11:$S15),ISBLANK($AP11:$AP15), ISBLANK($Y11:$Y15),ISBLANK($AV11:$AV15)), "·", bdRateHermite($S11:$S15,$Y11:$Y15, $AP11:$AP15,$AV11:$AV15))</f>
        <v>0</v>
      </c>
      <c r="CQ11" s="224">
        <f>IF( OR(ISBLANK($P11:$P15),ISBLANK($AM11:$AM15), ISBLANK($T11:$T15),ISBLANK($AQ11:$AQ15)), "·", bdRateHermite($P11:$P15,$T11:$T15, $AM11:$AM15,$AQ11:$AQ15))</f>
        <v>0</v>
      </c>
      <c r="CR11" s="225">
        <f>IF( OR(ISBLANK($P11:$P15),ISBLANK($AM11:$AM15), ISBLANK($U11:$U15),ISBLANK($AR11:$AR15)), "·", bdRateHermite( $P11:$P15,$U11:$U15, $AM11:$AM15,$AR11:$AR15))</f>
        <v>0</v>
      </c>
      <c r="CS11" s="90"/>
      <c r="CT11" s="90"/>
      <c r="CU11" s="90"/>
      <c r="CV11" s="86">
        <f>IF( OR(ISBLANK($P11:$P15),ISBLANK($AM11:$AM15), ISBLANK($Y11:$Y15),ISBLANK($AV11:$AV15)), "·", bdRateHermite( $P11:$P15,$Y11:$Y15, $AM11:$AM15,$AV11:$AV15))</f>
        <v>0</v>
      </c>
    </row>
    <row r="12" spans="1:100" s="1" customFormat="1" outlineLevel="1">
      <c r="A12" s="13"/>
      <c r="B12" s="295" t="s">
        <v>984</v>
      </c>
      <c r="C12" s="15" t="s">
        <v>132</v>
      </c>
      <c r="D12" s="459">
        <v>9477876</v>
      </c>
      <c r="E12" s="299">
        <v>19</v>
      </c>
      <c r="F12" s="299">
        <v>1</v>
      </c>
      <c r="G12" s="16"/>
      <c r="I12" s="30" t="str">
        <f t="shared" si="0"/>
        <v>·</v>
      </c>
      <c r="J12" s="31">
        <f t="shared" si="1"/>
        <v>0.43832943161526905</v>
      </c>
      <c r="K12" s="31">
        <f t="shared" si="2"/>
        <v>0.14994414360348246</v>
      </c>
      <c r="L12" s="51"/>
      <c r="M12" s="31">
        <f t="shared" si="3"/>
        <v>0.2883135419792367</v>
      </c>
      <c r="N12" s="31">
        <f t="shared" si="4"/>
        <v>7.3901369541357518</v>
      </c>
      <c r="O12" s="356">
        <v>562159</v>
      </c>
      <c r="P12" s="357">
        <v>4154432</v>
      </c>
      <c r="Q12" s="357">
        <v>1421152</v>
      </c>
      <c r="R12" s="51"/>
      <c r="S12" s="357">
        <v>2732600</v>
      </c>
      <c r="T12" s="358">
        <v>52.194991999999999</v>
      </c>
      <c r="U12" s="358">
        <v>47.420814999999997</v>
      </c>
      <c r="V12" s="87"/>
      <c r="W12" s="87"/>
      <c r="X12" s="87"/>
      <c r="Y12" s="358">
        <v>51.263286999999998</v>
      </c>
      <c r="Z12" s="359"/>
      <c r="AA12" s="359"/>
      <c r="AB12" s="32">
        <v>0</v>
      </c>
      <c r="AC12" s="32">
        <v>0</v>
      </c>
      <c r="AD12" s="33"/>
      <c r="AF12" s="30" t="str">
        <f t="shared" si="5"/>
        <v>·</v>
      </c>
      <c r="AG12" s="31">
        <f t="shared" si="6"/>
        <v>0.43832943161526905</v>
      </c>
      <c r="AH12" s="31">
        <f t="shared" si="7"/>
        <v>0.14994414360348246</v>
      </c>
      <c r="AI12" s="51"/>
      <c r="AJ12" s="31">
        <f t="shared" si="8"/>
        <v>0.2883135419792367</v>
      </c>
      <c r="AK12" s="31">
        <f t="shared" si="9"/>
        <v>7.3901369541357518</v>
      </c>
      <c r="AL12" s="356">
        <v>562159</v>
      </c>
      <c r="AM12" s="357">
        <v>4154432</v>
      </c>
      <c r="AN12" s="357">
        <v>1421152</v>
      </c>
      <c r="AO12" s="51"/>
      <c r="AP12" s="357">
        <v>2732600</v>
      </c>
      <c r="AQ12" s="358">
        <v>52.194991999999999</v>
      </c>
      <c r="AR12" s="358">
        <v>47.420814999999997</v>
      </c>
      <c r="AS12" s="87"/>
      <c r="AT12" s="87"/>
      <c r="AU12" s="87"/>
      <c r="AV12" s="358">
        <v>51.263286999999998</v>
      </c>
      <c r="AW12" s="359">
        <v>5.4379999999999997</v>
      </c>
      <c r="AX12" s="359">
        <v>0.72399999999999998</v>
      </c>
      <c r="AY12" s="32">
        <v>0</v>
      </c>
      <c r="AZ12" s="32">
        <v>0</v>
      </c>
      <c r="BA12" s="33">
        <v>48897</v>
      </c>
      <c r="BC12" s="65" t="e">
        <f t="shared" ref="BC12:BC22" si="13">AY12/AB12</f>
        <v>#DIV/0!</v>
      </c>
      <c r="BD12" s="57" t="e">
        <f t="shared" si="12"/>
        <v>#DIV/0!</v>
      </c>
      <c r="BE12" s="57">
        <f t="shared" si="10"/>
        <v>0</v>
      </c>
      <c r="BF12" s="58"/>
      <c r="BH12" s="74"/>
      <c r="BI12" s="75"/>
      <c r="BJ12" s="87"/>
      <c r="BK12" s="87"/>
      <c r="BL12" s="87"/>
      <c r="BM12" s="76"/>
      <c r="BO12" s="74"/>
      <c r="BP12" s="75"/>
      <c r="BQ12" s="87"/>
      <c r="BR12" s="87"/>
      <c r="BS12" s="87"/>
      <c r="BT12" s="76"/>
      <c r="BV12" s="74"/>
      <c r="BW12" s="75"/>
      <c r="BX12" s="87"/>
      <c r="BY12" s="87"/>
      <c r="BZ12" s="87"/>
      <c r="CA12" s="76"/>
      <c r="CC12" s="74"/>
      <c r="CD12" s="75"/>
      <c r="CE12" s="87"/>
      <c r="CF12" s="87"/>
      <c r="CG12" s="87"/>
      <c r="CH12" s="76"/>
      <c r="CJ12" s="74"/>
      <c r="CK12" s="75"/>
      <c r="CL12" s="87"/>
      <c r="CM12" s="87"/>
      <c r="CN12" s="87"/>
      <c r="CO12" s="76"/>
      <c r="CQ12" s="74"/>
      <c r="CR12" s="75"/>
      <c r="CS12" s="87"/>
      <c r="CT12" s="87"/>
      <c r="CU12" s="87"/>
      <c r="CV12" s="76"/>
    </row>
    <row r="13" spans="1:100" s="1" customFormat="1" outlineLevel="1">
      <c r="A13" s="13"/>
      <c r="B13" s="295" t="s">
        <v>984</v>
      </c>
      <c r="C13" s="15" t="s">
        <v>133</v>
      </c>
      <c r="D13" s="459">
        <v>9477876</v>
      </c>
      <c r="E13" s="299">
        <v>19</v>
      </c>
      <c r="F13" s="299">
        <v>1</v>
      </c>
      <c r="G13" s="16"/>
      <c r="I13" s="30" t="str">
        <f t="shared" si="0"/>
        <v>·</v>
      </c>
      <c r="J13" s="31">
        <f t="shared" si="1"/>
        <v>3.0635446169584832</v>
      </c>
      <c r="K13" s="31">
        <f t="shared" si="2"/>
        <v>1.1922772570563278</v>
      </c>
      <c r="L13" s="51"/>
      <c r="M13" s="31">
        <f t="shared" si="3"/>
        <v>1.8711939257276631</v>
      </c>
      <c r="N13" s="31">
        <f t="shared" si="4"/>
        <v>9.6180861477002271</v>
      </c>
      <c r="O13" s="356">
        <v>3018885</v>
      </c>
      <c r="P13" s="357">
        <v>29035896</v>
      </c>
      <c r="Q13" s="357">
        <v>11300256</v>
      </c>
      <c r="R13" s="51"/>
      <c r="S13" s="357">
        <v>17734944</v>
      </c>
      <c r="T13" s="358">
        <v>64.195824000000002</v>
      </c>
      <c r="U13" s="358">
        <v>59.439425999999997</v>
      </c>
      <c r="V13" s="87"/>
      <c r="W13" s="87"/>
      <c r="X13" s="87"/>
      <c r="Y13" s="358">
        <v>54.062472999999997</v>
      </c>
      <c r="Z13" s="359"/>
      <c r="AA13" s="359"/>
      <c r="AB13" s="32">
        <v>0</v>
      </c>
      <c r="AC13" s="32">
        <v>0</v>
      </c>
      <c r="AD13" s="33"/>
      <c r="AF13" s="30" t="str">
        <f t="shared" si="5"/>
        <v>·</v>
      </c>
      <c r="AG13" s="31">
        <f t="shared" si="6"/>
        <v>3.0635446169584832</v>
      </c>
      <c r="AH13" s="31">
        <f t="shared" si="7"/>
        <v>1.1922772570563278</v>
      </c>
      <c r="AI13" s="51"/>
      <c r="AJ13" s="31">
        <f t="shared" si="8"/>
        <v>1.8711939257276631</v>
      </c>
      <c r="AK13" s="31">
        <f t="shared" si="9"/>
        <v>9.6180861477002271</v>
      </c>
      <c r="AL13" s="356">
        <v>3018885</v>
      </c>
      <c r="AM13" s="357">
        <v>29035896</v>
      </c>
      <c r="AN13" s="357">
        <v>11300256</v>
      </c>
      <c r="AO13" s="51"/>
      <c r="AP13" s="357">
        <v>17734944</v>
      </c>
      <c r="AQ13" s="358">
        <v>64.195824000000002</v>
      </c>
      <c r="AR13" s="358">
        <v>59.439425999999997</v>
      </c>
      <c r="AS13" s="87"/>
      <c r="AT13" s="87"/>
      <c r="AU13" s="87"/>
      <c r="AV13" s="358">
        <v>54.062472999999997</v>
      </c>
      <c r="AW13" s="359">
        <v>15.452</v>
      </c>
      <c r="AX13" s="359">
        <v>5.093</v>
      </c>
      <c r="AY13" s="32">
        <v>0</v>
      </c>
      <c r="AZ13" s="32">
        <v>0</v>
      </c>
      <c r="BA13" s="33">
        <v>3072</v>
      </c>
      <c r="BC13" s="65" t="e">
        <f t="shared" si="13"/>
        <v>#DIV/0!</v>
      </c>
      <c r="BD13" s="57" t="e">
        <f t="shared" si="12"/>
        <v>#DIV/0!</v>
      </c>
      <c r="BE13" s="57">
        <f t="shared" si="10"/>
        <v>0</v>
      </c>
      <c r="BF13" s="58"/>
      <c r="BH13" s="74"/>
      <c r="BI13" s="75"/>
      <c r="BJ13" s="87"/>
      <c r="BK13" s="87"/>
      <c r="BL13" s="87"/>
      <c r="BM13" s="76"/>
      <c r="BO13" s="74"/>
      <c r="BP13" s="75"/>
      <c r="BQ13" s="87"/>
      <c r="BR13" s="87"/>
      <c r="BS13" s="87"/>
      <c r="BT13" s="76"/>
      <c r="BV13" s="74"/>
      <c r="BW13" s="75"/>
      <c r="BX13" s="87"/>
      <c r="BY13" s="87"/>
      <c r="BZ13" s="87"/>
      <c r="CA13" s="76"/>
      <c r="CC13" s="74"/>
      <c r="CD13" s="75"/>
      <c r="CE13" s="87"/>
      <c r="CF13" s="87"/>
      <c r="CG13" s="87"/>
      <c r="CH13" s="76"/>
      <c r="CJ13" s="74"/>
      <c r="CK13" s="75"/>
      <c r="CL13" s="87"/>
      <c r="CM13" s="87"/>
      <c r="CN13" s="87"/>
      <c r="CO13" s="76"/>
      <c r="CQ13" s="74"/>
      <c r="CR13" s="75"/>
      <c r="CS13" s="87"/>
      <c r="CT13" s="87"/>
      <c r="CU13" s="87"/>
      <c r="CV13" s="76"/>
    </row>
    <row r="14" spans="1:100" s="1" customFormat="1" outlineLevel="1">
      <c r="A14" s="13"/>
      <c r="B14" s="295" t="s">
        <v>984</v>
      </c>
      <c r="C14" s="15" t="s">
        <v>134</v>
      </c>
      <c r="D14" s="459">
        <v>9477876</v>
      </c>
      <c r="E14" s="299">
        <v>19</v>
      </c>
      <c r="F14" s="299">
        <v>1</v>
      </c>
      <c r="G14" s="16"/>
      <c r="I14" s="30" t="str">
        <f t="shared" si="0"/>
        <v>·</v>
      </c>
      <c r="J14" s="31">
        <f t="shared" si="1"/>
        <v>6.6153927314516459</v>
      </c>
      <c r="K14" s="31">
        <f t="shared" si="2"/>
        <v>2.4509871198990152</v>
      </c>
      <c r="L14" s="51"/>
      <c r="M14" s="31">
        <f t="shared" si="3"/>
        <v>4.1643313333071674</v>
      </c>
      <c r="N14" s="31">
        <f t="shared" si="4"/>
        <v>12.273819087843922</v>
      </c>
      <c r="O14" s="356">
        <v>5108424</v>
      </c>
      <c r="P14" s="357">
        <v>62699872</v>
      </c>
      <c r="Q14" s="357">
        <v>23230152</v>
      </c>
      <c r="R14" s="51"/>
      <c r="S14" s="357">
        <v>39469016</v>
      </c>
      <c r="T14" s="358">
        <v>70.222747999999996</v>
      </c>
      <c r="U14" s="358">
        <v>65.460021999999995</v>
      </c>
      <c r="V14" s="87"/>
      <c r="W14" s="87"/>
      <c r="X14" s="87"/>
      <c r="Y14" s="358">
        <v>56.752879999999998</v>
      </c>
      <c r="Z14" s="359"/>
      <c r="AA14" s="359"/>
      <c r="AB14" s="32">
        <v>0</v>
      </c>
      <c r="AC14" s="32">
        <v>0</v>
      </c>
      <c r="AD14" s="33"/>
      <c r="AF14" s="30" t="str">
        <f t="shared" si="5"/>
        <v>·</v>
      </c>
      <c r="AG14" s="31">
        <f t="shared" si="6"/>
        <v>6.6153927314516459</v>
      </c>
      <c r="AH14" s="31">
        <f t="shared" si="7"/>
        <v>2.4509871198990152</v>
      </c>
      <c r="AI14" s="51"/>
      <c r="AJ14" s="31">
        <f t="shared" si="8"/>
        <v>4.1643313333071674</v>
      </c>
      <c r="AK14" s="31">
        <f t="shared" si="9"/>
        <v>12.273819087843922</v>
      </c>
      <c r="AL14" s="356">
        <v>5108424</v>
      </c>
      <c r="AM14" s="357">
        <v>62699872</v>
      </c>
      <c r="AN14" s="357">
        <v>23230152</v>
      </c>
      <c r="AO14" s="51"/>
      <c r="AP14" s="357">
        <v>39469016</v>
      </c>
      <c r="AQ14" s="358">
        <v>70.222747999999996</v>
      </c>
      <c r="AR14" s="358">
        <v>65.460021999999995</v>
      </c>
      <c r="AS14" s="87"/>
      <c r="AT14" s="87"/>
      <c r="AU14" s="87"/>
      <c r="AV14" s="358">
        <v>56.752879999999998</v>
      </c>
      <c r="AW14" s="359">
        <v>25.295000000000002</v>
      </c>
      <c r="AX14" s="359">
        <v>9.4749999999999996</v>
      </c>
      <c r="AY14" s="32">
        <v>0</v>
      </c>
      <c r="AZ14" s="32">
        <v>0</v>
      </c>
      <c r="BA14" s="33">
        <v>768</v>
      </c>
      <c r="BC14" s="65" t="e">
        <f t="shared" si="13"/>
        <v>#DIV/0!</v>
      </c>
      <c r="BD14" s="57" t="e">
        <f t="shared" si="12"/>
        <v>#DIV/0!</v>
      </c>
      <c r="BE14" s="57">
        <f t="shared" si="10"/>
        <v>0</v>
      </c>
      <c r="BF14" s="58"/>
      <c r="BH14" s="74"/>
      <c r="BI14" s="75"/>
      <c r="BJ14" s="87"/>
      <c r="BK14" s="87"/>
      <c r="BL14" s="87"/>
      <c r="BM14" s="76"/>
      <c r="BO14" s="74"/>
      <c r="BP14" s="75"/>
      <c r="BQ14" s="87"/>
      <c r="BR14" s="87"/>
      <c r="BS14" s="87"/>
      <c r="BT14" s="76"/>
      <c r="BV14" s="74"/>
      <c r="BW14" s="75"/>
      <c r="BX14" s="87"/>
      <c r="BY14" s="87"/>
      <c r="BZ14" s="87"/>
      <c r="CA14" s="76"/>
      <c r="CC14" s="74"/>
      <c r="CD14" s="75"/>
      <c r="CE14" s="87"/>
      <c r="CF14" s="87"/>
      <c r="CG14" s="87"/>
      <c r="CH14" s="76"/>
      <c r="CJ14" s="74"/>
      <c r="CK14" s="75"/>
      <c r="CL14" s="87"/>
      <c r="CM14" s="87"/>
      <c r="CN14" s="87"/>
      <c r="CO14" s="76"/>
      <c r="CQ14" s="74"/>
      <c r="CR14" s="75"/>
      <c r="CS14" s="87"/>
      <c r="CT14" s="87"/>
      <c r="CU14" s="87"/>
      <c r="CV14" s="76"/>
    </row>
    <row r="15" spans="1:100" s="1" customFormat="1" outlineLevel="1">
      <c r="A15" s="13"/>
      <c r="B15" s="295" t="s">
        <v>984</v>
      </c>
      <c r="C15" s="15" t="s">
        <v>135</v>
      </c>
      <c r="D15" s="459">
        <v>9477876</v>
      </c>
      <c r="E15" s="299">
        <v>19</v>
      </c>
      <c r="F15" s="299">
        <v>1</v>
      </c>
      <c r="G15" s="16"/>
      <c r="I15" s="30" t="str">
        <f t="shared" si="0"/>
        <v>·</v>
      </c>
      <c r="J15" s="31">
        <f t="shared" si="1"/>
        <v>15.662048332347881</v>
      </c>
      <c r="K15" s="31">
        <f t="shared" si="2"/>
        <v>7.1729640691648635</v>
      </c>
      <c r="L15" s="51"/>
      <c r="M15" s="31">
        <f t="shared" si="3"/>
        <v>8.4890082967956104</v>
      </c>
      <c r="N15" s="31">
        <f t="shared" si="4"/>
        <v>16.37022799533429</v>
      </c>
      <c r="O15" s="356">
        <v>9067861</v>
      </c>
      <c r="P15" s="357">
        <v>148442952</v>
      </c>
      <c r="Q15" s="357">
        <v>67984464</v>
      </c>
      <c r="R15" s="51"/>
      <c r="S15" s="357">
        <v>80457768</v>
      </c>
      <c r="T15" s="358">
        <v>82.138519000000002</v>
      </c>
      <c r="U15" s="358">
        <v>77.501227999999998</v>
      </c>
      <c r="V15" s="87"/>
      <c r="W15" s="87"/>
      <c r="X15" s="87"/>
      <c r="Y15" s="358">
        <v>66.505073999999993</v>
      </c>
      <c r="Z15" s="359"/>
      <c r="AA15" s="359"/>
      <c r="AB15" s="32">
        <v>0</v>
      </c>
      <c r="AC15" s="32">
        <v>0</v>
      </c>
      <c r="AD15" s="33"/>
      <c r="AF15" s="30" t="str">
        <f t="shared" si="5"/>
        <v>·</v>
      </c>
      <c r="AG15" s="31">
        <f t="shared" si="6"/>
        <v>15.662048332347881</v>
      </c>
      <c r="AH15" s="31">
        <f t="shared" si="7"/>
        <v>7.1729640691648635</v>
      </c>
      <c r="AI15" s="51"/>
      <c r="AJ15" s="31">
        <f t="shared" si="8"/>
        <v>8.4890082967956104</v>
      </c>
      <c r="AK15" s="31">
        <f t="shared" si="9"/>
        <v>16.37022799533429</v>
      </c>
      <c r="AL15" s="356">
        <v>9067861</v>
      </c>
      <c r="AM15" s="357">
        <v>148442952</v>
      </c>
      <c r="AN15" s="357">
        <v>67984464</v>
      </c>
      <c r="AO15" s="51"/>
      <c r="AP15" s="357">
        <v>80457768</v>
      </c>
      <c r="AQ15" s="358">
        <v>82.138519000000002</v>
      </c>
      <c r="AR15" s="358">
        <v>77.501227999999998</v>
      </c>
      <c r="AS15" s="87"/>
      <c r="AT15" s="87"/>
      <c r="AU15" s="87"/>
      <c r="AV15" s="358">
        <v>66.505073999999993</v>
      </c>
      <c r="AW15" s="359">
        <v>53.006</v>
      </c>
      <c r="AX15" s="359">
        <v>20.762</v>
      </c>
      <c r="AY15" s="32">
        <v>0</v>
      </c>
      <c r="AZ15" s="32">
        <v>0</v>
      </c>
      <c r="BA15" s="33">
        <v>48</v>
      </c>
      <c r="BC15" s="65" t="e">
        <f t="shared" si="13"/>
        <v>#DIV/0!</v>
      </c>
      <c r="BD15" s="57" t="e">
        <f t="shared" si="12"/>
        <v>#DIV/0!</v>
      </c>
      <c r="BE15" s="57">
        <f t="shared" si="10"/>
        <v>0</v>
      </c>
      <c r="BF15" s="58"/>
      <c r="BH15" s="74"/>
      <c r="BI15" s="75"/>
      <c r="BJ15" s="87"/>
      <c r="BK15" s="87"/>
      <c r="BL15" s="87"/>
      <c r="BM15" s="76"/>
      <c r="BO15" s="74"/>
      <c r="BP15" s="75"/>
      <c r="BQ15" s="87"/>
      <c r="BR15" s="87"/>
      <c r="BS15" s="87"/>
      <c r="BT15" s="76"/>
      <c r="BV15" s="74"/>
      <c r="BW15" s="75"/>
      <c r="BX15" s="87"/>
      <c r="BY15" s="87"/>
      <c r="BZ15" s="87"/>
      <c r="CA15" s="76"/>
      <c r="CC15" s="74"/>
      <c r="CD15" s="75"/>
      <c r="CE15" s="87"/>
      <c r="CF15" s="87"/>
      <c r="CG15" s="87"/>
      <c r="CH15" s="76"/>
      <c r="CJ15" s="74"/>
      <c r="CK15" s="75"/>
      <c r="CL15" s="87"/>
      <c r="CM15" s="87"/>
      <c r="CN15" s="87"/>
      <c r="CO15" s="76"/>
      <c r="CQ15" s="74"/>
      <c r="CR15" s="75"/>
      <c r="CS15" s="87"/>
      <c r="CT15" s="87"/>
      <c r="CU15" s="87"/>
      <c r="CV15" s="76"/>
    </row>
    <row r="16" spans="1:100" s="1" customFormat="1" ht="14.25" outlineLevel="1" thickBot="1">
      <c r="A16" s="13"/>
      <c r="B16" s="296" t="s">
        <v>984</v>
      </c>
      <c r="C16" s="19" t="s">
        <v>136</v>
      </c>
      <c r="D16" s="462">
        <v>9477876</v>
      </c>
      <c r="E16" s="306">
        <v>19</v>
      </c>
      <c r="F16" s="306">
        <v>1</v>
      </c>
      <c r="G16" s="20"/>
      <c r="I16" s="34" t="str">
        <f t="shared" si="0"/>
        <v>·</v>
      </c>
      <c r="J16" s="35">
        <f t="shared" si="1"/>
        <v>20.43591116828285</v>
      </c>
      <c r="K16" s="35">
        <f t="shared" si="2"/>
        <v>10.345666476328663</v>
      </c>
      <c r="L16" s="52"/>
      <c r="M16" s="35">
        <f t="shared" si="3"/>
        <v>10.090168725566784</v>
      </c>
      <c r="N16" s="35">
        <f t="shared" si="4"/>
        <v>20.509343715722071</v>
      </c>
      <c r="O16" s="360">
        <v>9443941</v>
      </c>
      <c r="P16" s="361">
        <v>193689032</v>
      </c>
      <c r="Q16" s="361">
        <v>98054944</v>
      </c>
      <c r="R16" s="52"/>
      <c r="S16" s="361">
        <v>95633368</v>
      </c>
      <c r="T16" s="362">
        <v>87.781104999999997</v>
      </c>
      <c r="U16" s="362">
        <v>83.521827999999999</v>
      </c>
      <c r="V16" s="89"/>
      <c r="W16" s="89"/>
      <c r="X16" s="89"/>
      <c r="Y16" s="362">
        <v>74.510666000000001</v>
      </c>
      <c r="Z16" s="363"/>
      <c r="AA16" s="363"/>
      <c r="AB16" s="36">
        <v>0</v>
      </c>
      <c r="AC16" s="36">
        <v>0</v>
      </c>
      <c r="AD16" s="37"/>
      <c r="AF16" s="34" t="str">
        <f t="shared" si="5"/>
        <v>·</v>
      </c>
      <c r="AG16" s="35">
        <f t="shared" si="6"/>
        <v>20.43591116828285</v>
      </c>
      <c r="AH16" s="35">
        <f t="shared" si="7"/>
        <v>10.345666476328663</v>
      </c>
      <c r="AI16" s="52"/>
      <c r="AJ16" s="35">
        <f t="shared" si="8"/>
        <v>10.090168725566784</v>
      </c>
      <c r="AK16" s="35">
        <f t="shared" si="9"/>
        <v>20.509343715722071</v>
      </c>
      <c r="AL16" s="360">
        <v>9443941</v>
      </c>
      <c r="AM16" s="361">
        <v>193689032</v>
      </c>
      <c r="AN16" s="361">
        <v>98054944</v>
      </c>
      <c r="AO16" s="52"/>
      <c r="AP16" s="361">
        <v>95633368</v>
      </c>
      <c r="AQ16" s="362">
        <v>87.781104999999997</v>
      </c>
      <c r="AR16" s="362">
        <v>83.521827999999999</v>
      </c>
      <c r="AS16" s="89"/>
      <c r="AT16" s="89"/>
      <c r="AU16" s="89"/>
      <c r="AV16" s="362">
        <v>74.510666000000001</v>
      </c>
      <c r="AW16" s="363">
        <v>63.1</v>
      </c>
      <c r="AX16" s="363">
        <v>26.92</v>
      </c>
      <c r="AY16" s="36">
        <v>0</v>
      </c>
      <c r="AZ16" s="36">
        <v>0</v>
      </c>
      <c r="BA16" s="37">
        <v>12</v>
      </c>
      <c r="BC16" s="65" t="e">
        <f t="shared" si="13"/>
        <v>#DIV/0!</v>
      </c>
      <c r="BD16" s="60" t="e">
        <f t="shared" si="12"/>
        <v>#DIV/0!</v>
      </c>
      <c r="BE16" s="60">
        <f t="shared" si="10"/>
        <v>0</v>
      </c>
      <c r="BF16" s="61"/>
      <c r="BH16" s="77"/>
      <c r="BI16" s="78"/>
      <c r="BJ16" s="88"/>
      <c r="BK16" s="88"/>
      <c r="BL16" s="88"/>
      <c r="BM16" s="79"/>
      <c r="BO16" s="77"/>
      <c r="BP16" s="78"/>
      <c r="BQ16" s="88"/>
      <c r="BR16" s="88"/>
      <c r="BS16" s="88"/>
      <c r="BT16" s="79"/>
      <c r="BV16" s="77"/>
      <c r="BW16" s="78"/>
      <c r="BX16" s="88"/>
      <c r="BY16" s="88"/>
      <c r="BZ16" s="88"/>
      <c r="CA16" s="79"/>
      <c r="CC16" s="77"/>
      <c r="CD16" s="78"/>
      <c r="CE16" s="88"/>
      <c r="CF16" s="88"/>
      <c r="CG16" s="88"/>
      <c r="CH16" s="79"/>
      <c r="CJ16" s="77"/>
      <c r="CK16" s="78"/>
      <c r="CL16" s="88"/>
      <c r="CM16" s="88"/>
      <c r="CN16" s="88"/>
      <c r="CO16" s="79"/>
      <c r="CQ16" s="77"/>
      <c r="CR16" s="78"/>
      <c r="CS16" s="88"/>
      <c r="CT16" s="88"/>
      <c r="CU16" s="88"/>
      <c r="CV16" s="79"/>
    </row>
    <row r="17" spans="1:100" s="1" customFormat="1">
      <c r="A17" s="13"/>
      <c r="B17" s="293" t="s">
        <v>1013</v>
      </c>
      <c r="C17" s="25" t="s">
        <v>131</v>
      </c>
      <c r="D17" s="459">
        <v>9740660</v>
      </c>
      <c r="E17" s="299">
        <v>20</v>
      </c>
      <c r="F17" s="299">
        <v>1</v>
      </c>
      <c r="G17" s="26"/>
      <c r="I17" s="42" t="str">
        <f t="shared" si="0"/>
        <v>·</v>
      </c>
      <c r="J17" s="43">
        <f t="shared" si="1"/>
        <v>7.8374155344709706E-2</v>
      </c>
      <c r="K17" s="43">
        <f t="shared" si="2"/>
        <v>2.7943897025458235E-2</v>
      </c>
      <c r="L17" s="55"/>
      <c r="M17" s="43">
        <f t="shared" si="3"/>
        <v>5.036126915424622E-2</v>
      </c>
      <c r="N17" s="43">
        <f t="shared" si="4"/>
        <v>5.8628697815869506</v>
      </c>
      <c r="O17" s="364">
        <v>130212</v>
      </c>
      <c r="P17" s="365">
        <v>763416</v>
      </c>
      <c r="Q17" s="365">
        <v>272192</v>
      </c>
      <c r="R17" s="55"/>
      <c r="S17" s="365">
        <v>490552</v>
      </c>
      <c r="T17" s="366">
        <v>45.917828</v>
      </c>
      <c r="U17" s="366">
        <v>41.400261</v>
      </c>
      <c r="V17" s="90"/>
      <c r="W17" s="90"/>
      <c r="X17" s="90"/>
      <c r="Y17" s="366">
        <v>48.937201999999999</v>
      </c>
      <c r="Z17" s="367"/>
      <c r="AA17" s="367"/>
      <c r="AB17" s="44">
        <v>0</v>
      </c>
      <c r="AC17" s="44">
        <v>0</v>
      </c>
      <c r="AD17" s="45"/>
      <c r="AF17" s="42" t="str">
        <f t="shared" si="5"/>
        <v>·</v>
      </c>
      <c r="AG17" s="43">
        <f t="shared" si="6"/>
        <v>7.8374155344709706E-2</v>
      </c>
      <c r="AH17" s="43">
        <f t="shared" si="7"/>
        <v>2.7943897025458235E-2</v>
      </c>
      <c r="AI17" s="55"/>
      <c r="AJ17" s="43">
        <f t="shared" si="8"/>
        <v>5.036126915424622E-2</v>
      </c>
      <c r="AK17" s="43">
        <f t="shared" si="9"/>
        <v>5.8628697815869506</v>
      </c>
      <c r="AL17" s="364">
        <v>130212</v>
      </c>
      <c r="AM17" s="365">
        <v>763416</v>
      </c>
      <c r="AN17" s="365">
        <v>272192</v>
      </c>
      <c r="AO17" s="55"/>
      <c r="AP17" s="365">
        <v>490552</v>
      </c>
      <c r="AQ17" s="366">
        <v>45.917828</v>
      </c>
      <c r="AR17" s="366">
        <v>41.400261</v>
      </c>
      <c r="AS17" s="90"/>
      <c r="AT17" s="90"/>
      <c r="AU17" s="90"/>
      <c r="AV17" s="366">
        <v>48.937201999999999</v>
      </c>
      <c r="AW17" s="367">
        <v>3.4929999999999999</v>
      </c>
      <c r="AX17" s="367">
        <v>0.158</v>
      </c>
      <c r="AY17" s="44">
        <v>0</v>
      </c>
      <c r="AZ17" s="44">
        <v>0</v>
      </c>
      <c r="BA17" s="45">
        <v>195586</v>
      </c>
      <c r="BC17" s="65" t="e">
        <f t="shared" si="13"/>
        <v>#DIV/0!</v>
      </c>
      <c r="BD17" s="66" t="e">
        <f t="shared" si="12"/>
        <v>#DIV/0!</v>
      </c>
      <c r="BE17" s="66">
        <f t="shared" si="10"/>
        <v>0</v>
      </c>
      <c r="BF17" s="67">
        <f t="array" ref="BF17">AVERAGE(AN17:AN22/AM17:AM22) - AVERAGE(Q17:Q22/P17:P22)</f>
        <v>0</v>
      </c>
      <c r="BH17" s="83">
        <f>IF( OR(ISBLANK($Q17:$Q22),ISBLANK($AN17:$AN22), ISBLANK($T17:$T22),ISBLANK($AQ17:$AQ22)), "·", bdRateHermite( $Q17:$Q22,$T17:$T22, $AN17:$AN22,$AQ17:$AQ22))</f>
        <v>0</v>
      </c>
      <c r="BI17" s="84">
        <f>IF(OR(ISBLANK($Q17:$Q22),ISBLANK($AN17:$AN22),ISBLANK($U17:$U22),ISBLANK($AR17:$AR22)),"·",bdRateHermite($Q17:$Q22,$U17:$U22,$AN17:$AN22,$AR17:$AR22))</f>
        <v>0</v>
      </c>
      <c r="BJ17" s="92"/>
      <c r="BK17" s="92"/>
      <c r="BL17" s="92"/>
      <c r="BM17" s="184">
        <f>IF( OR(ISBLANK($S17:$S22),ISBLANK($AP17:$AP22), ISBLANK($Y17:$Y22),ISBLANK($AV17:$AV22)), "·", bdRateHermite($S17:$S22,$Y17:$Y22, $AP17:$AP22,$AV17:$AV22))</f>
        <v>0</v>
      </c>
      <c r="BO17" s="83">
        <f>IF( OR(ISBLANK($P17:$P22),ISBLANK($AM17:$AM22), ISBLANK($T17:$T22),ISBLANK($AQ17:$AQ22)), "·", bdRateHermite($P17:$P22,$T17:$T22, $AM17:$AM22,$AQ17:$AQ22))</f>
        <v>0</v>
      </c>
      <c r="BP17" s="84">
        <f>IF( OR(ISBLANK($P17:$P22),ISBLANK($AM17:$AM22), ISBLANK($U17:$U22),ISBLANK($AR17:$AR22)), "·", bdRateHermite( $P17:$P22,$U17:$U22, $AM17:$AM22,$AR17:$AR22))</f>
        <v>0</v>
      </c>
      <c r="BQ17" s="92"/>
      <c r="BR17" s="92"/>
      <c r="BS17" s="92"/>
      <c r="BT17" s="85">
        <f>IF( OR(ISBLANK($P17:$P22),ISBLANK($AM17:$AM22), ISBLANK($Y17:$Y22),ISBLANK($AV17:$AV22)), "·", bdRateHermite( $P17:$P22,$Y17:$Y22, $AM17:$AM22,$AV17:$AV22))</f>
        <v>0</v>
      </c>
      <c r="BV17" s="83">
        <f>IF( OR(ISBLANK($Q17:$Q21),ISBLANK($AN17:$AN21), ISBLANK($T17:$T21),ISBLANK($AQ17:$AQ21)), "·", bdRateHermite( $Q18:$Q22,$T18:$T22, $AN18:$AN22,$AQ18:$AQ22))</f>
        <v>0</v>
      </c>
      <c r="BW17" s="84">
        <f>IF(OR(ISBLANK($Q17:$Q22),ISBLANK($AN17:$AN22),ISBLANK($U17:$U22),ISBLANK($AR17:$AR22)),"·",bdRateHermite($Q18:$Q22,$U18:$U22,$AN18:$AN22,$AR18:$AR22))</f>
        <v>0</v>
      </c>
      <c r="BX17" s="92"/>
      <c r="BY17" s="92"/>
      <c r="BZ17" s="92"/>
      <c r="CA17" s="184">
        <f>IF( OR(ISBLANK($S17:$S22),ISBLANK($AP17:$AP22), ISBLANK($Y17:$Y22),ISBLANK($AV17:$AV22)), "·", bdRateHermite($S18:$S22,$Y18:$Y22, $AP18:$AP22,$AV18:$AV22))</f>
        <v>0</v>
      </c>
      <c r="CC17" s="83">
        <f>IF( OR(ISBLANK($P17:$P22),ISBLANK($AM17:$AM22), ISBLANK($T17:$T22),ISBLANK($AQ17:$AQ22)), "·", bdRateHermite($P18:$P22,$T18:$T22, $AM18:$AM22,$AQ18:$AQ22))</f>
        <v>0</v>
      </c>
      <c r="CD17" s="84">
        <f>IF( OR(ISBLANK($P17:$P22),ISBLANK($AM17:$AM22), ISBLANK($U17:$U22),ISBLANK($AR17:$AR22)), "·", bdRateHermite( $P18:$P22,$U18:$U22, $AM18:$AM22,$AR18:$AR22))</f>
        <v>0</v>
      </c>
      <c r="CE17" s="92"/>
      <c r="CF17" s="92"/>
      <c r="CG17" s="92"/>
      <c r="CH17" s="85">
        <f>IF( OR(ISBLANK($P17:$P22),ISBLANK($AM17:$AM22), ISBLANK($Y17:$Y22),ISBLANK($AV17:$AV22)), "·", bdRateHermite( $P18:$P22,$Y18:$Y22, $AM18:$AM22,$AV18:$AV22))</f>
        <v>0</v>
      </c>
      <c r="CJ17" s="83">
        <f>IF( OR(ISBLANK($Q17:$Q21),ISBLANK($AN17:$AN21), ISBLANK($T17:$T21),ISBLANK($AQ17:$AQ21)), "·", bdRateHermite( $Q17:$Q21,$T17:$T21, $AN17:$AN21,$AQ17:$AQ21))</f>
        <v>0</v>
      </c>
      <c r="CK17" s="84">
        <f>IF(OR(ISBLANK($Q17:$Q21),ISBLANK($AN17:$AN21),ISBLANK($U17:$U21),ISBLANK($AR17:$AR21)),"·",bdRateHermite($Q17:$Q21,$U17:$U21,$AN17:$AN21,$AR17:$AR21))</f>
        <v>0</v>
      </c>
      <c r="CL17" s="92"/>
      <c r="CM17" s="92"/>
      <c r="CN17" s="92"/>
      <c r="CO17" s="184">
        <f>IF( OR(ISBLANK($S17:$S21),ISBLANK($AP17:$AP21), ISBLANK($Y17:$Y21),ISBLANK($AV17:$AV21)), "·", bdRateHermite($S17:$S21,$Y17:$Y21, $AP17:$AP21,$AV17:$AV21))</f>
        <v>0</v>
      </c>
      <c r="CQ17" s="83">
        <f>IF( OR(ISBLANK($P17:$P21),ISBLANK($AM17:$AM21), ISBLANK($T17:$T21),ISBLANK($AQ17:$AQ21)), "·", bdRateHermite($P17:$P21,$T17:$T21, $AM17:$AM21,$AQ17:$AQ21))</f>
        <v>0</v>
      </c>
      <c r="CR17" s="84">
        <f>IF( OR(ISBLANK($P17:$P21),ISBLANK($AM17:$AM21), ISBLANK($U17:$U21),ISBLANK($AR17:$AR21)), "·", bdRateHermite( $P17:$P21,$U17:$U21, $AM17:$AM21,$AR17:$AR21))</f>
        <v>0</v>
      </c>
      <c r="CS17" s="92"/>
      <c r="CT17" s="92"/>
      <c r="CU17" s="92"/>
      <c r="CV17" s="85">
        <f>IF( OR(ISBLANK($P17:$P21),ISBLANK($AM17:$AM21), ISBLANK($Y17:$Y21),ISBLANK($AV17:$AV21)), "·", bdRateHermite( $P17:$P21,$Y17:$Y21, $AM17:$AM21,$AV17:$AV21))</f>
        <v>0</v>
      </c>
    </row>
    <row r="18" spans="1:100" s="1" customFormat="1" outlineLevel="1">
      <c r="A18" s="13"/>
      <c r="B18" s="291" t="s">
        <v>985</v>
      </c>
      <c r="C18" s="15" t="s">
        <v>132</v>
      </c>
      <c r="D18" s="459">
        <v>9740660</v>
      </c>
      <c r="E18" s="299">
        <v>20</v>
      </c>
      <c r="F18" s="299">
        <v>1</v>
      </c>
      <c r="G18" s="16"/>
      <c r="I18" s="30" t="str">
        <f t="shared" si="0"/>
        <v>·</v>
      </c>
      <c r="J18" s="31">
        <f t="shared" si="1"/>
        <v>0.3069845369820936</v>
      </c>
      <c r="K18" s="31">
        <f t="shared" si="2"/>
        <v>0.10252775479279638</v>
      </c>
      <c r="L18" s="51"/>
      <c r="M18" s="31">
        <f t="shared" si="3"/>
        <v>0.2043869717247086</v>
      </c>
      <c r="N18" s="31">
        <f t="shared" si="4"/>
        <v>7.2582674718915667</v>
      </c>
      <c r="O18" s="356">
        <v>411976</v>
      </c>
      <c r="P18" s="357">
        <v>2990232</v>
      </c>
      <c r="Q18" s="357">
        <v>998688</v>
      </c>
      <c r="R18" s="51"/>
      <c r="S18" s="357">
        <v>1990864</v>
      </c>
      <c r="T18" s="358">
        <v>51.825339999999997</v>
      </c>
      <c r="U18" s="358">
        <v>47.420814999999997</v>
      </c>
      <c r="V18" s="87"/>
      <c r="W18" s="87"/>
      <c r="X18" s="87"/>
      <c r="Y18" s="358">
        <v>51.467776999999998</v>
      </c>
      <c r="Z18" s="359"/>
      <c r="AA18" s="359"/>
      <c r="AB18" s="32">
        <v>0</v>
      </c>
      <c r="AC18" s="32">
        <v>0</v>
      </c>
      <c r="AD18" s="33"/>
      <c r="AF18" s="30" t="str">
        <f t="shared" si="5"/>
        <v>·</v>
      </c>
      <c r="AG18" s="31">
        <f t="shared" si="6"/>
        <v>0.3069845369820936</v>
      </c>
      <c r="AH18" s="31">
        <f t="shared" si="7"/>
        <v>0.10252775479279638</v>
      </c>
      <c r="AI18" s="51"/>
      <c r="AJ18" s="31">
        <f t="shared" si="8"/>
        <v>0.2043869717247086</v>
      </c>
      <c r="AK18" s="31">
        <f t="shared" si="9"/>
        <v>7.2582674718915667</v>
      </c>
      <c r="AL18" s="356">
        <v>411976</v>
      </c>
      <c r="AM18" s="357">
        <v>2990232</v>
      </c>
      <c r="AN18" s="357">
        <v>998688</v>
      </c>
      <c r="AO18" s="51"/>
      <c r="AP18" s="357">
        <v>1990864</v>
      </c>
      <c r="AQ18" s="358">
        <v>51.825339999999997</v>
      </c>
      <c r="AR18" s="358">
        <v>47.420814999999997</v>
      </c>
      <c r="AS18" s="87"/>
      <c r="AT18" s="87"/>
      <c r="AU18" s="87"/>
      <c r="AV18" s="358">
        <v>51.467776999999998</v>
      </c>
      <c r="AW18" s="359">
        <v>5.4969999999999999</v>
      </c>
      <c r="AX18" s="359">
        <v>0.55100000000000005</v>
      </c>
      <c r="AY18" s="32">
        <v>0</v>
      </c>
      <c r="AZ18" s="32">
        <v>0</v>
      </c>
      <c r="BA18" s="33">
        <v>48897</v>
      </c>
      <c r="BC18" s="56" t="e">
        <f t="shared" si="13"/>
        <v>#DIV/0!</v>
      </c>
      <c r="BD18" s="57" t="e">
        <f t="shared" si="12"/>
        <v>#DIV/0!</v>
      </c>
      <c r="BE18" s="57">
        <f t="shared" si="10"/>
        <v>0</v>
      </c>
      <c r="BF18" s="58"/>
      <c r="BH18" s="74"/>
      <c r="BI18" s="75"/>
      <c r="BJ18" s="87"/>
      <c r="BK18" s="87"/>
      <c r="BL18" s="87"/>
      <c r="BM18" s="76"/>
      <c r="BO18" s="74"/>
      <c r="BP18" s="75"/>
      <c r="BQ18" s="87"/>
      <c r="BR18" s="87"/>
      <c r="BS18" s="87"/>
      <c r="BT18" s="76"/>
      <c r="BV18" s="74"/>
      <c r="BW18" s="75"/>
      <c r="BX18" s="87"/>
      <c r="BY18" s="87"/>
      <c r="BZ18" s="87"/>
      <c r="CA18" s="76"/>
      <c r="CC18" s="74"/>
      <c r="CD18" s="75"/>
      <c r="CE18" s="87"/>
      <c r="CF18" s="87"/>
      <c r="CG18" s="87"/>
      <c r="CH18" s="76"/>
      <c r="CJ18" s="74"/>
      <c r="CK18" s="75"/>
      <c r="CL18" s="87"/>
      <c r="CM18" s="87"/>
      <c r="CN18" s="87"/>
      <c r="CO18" s="76"/>
      <c r="CQ18" s="74"/>
      <c r="CR18" s="75"/>
      <c r="CS18" s="87"/>
      <c r="CT18" s="87"/>
      <c r="CU18" s="87"/>
      <c r="CV18" s="76"/>
    </row>
    <row r="19" spans="1:100" s="1" customFormat="1" outlineLevel="1">
      <c r="A19" s="13"/>
      <c r="B19" s="291" t="s">
        <v>985</v>
      </c>
      <c r="C19" s="15" t="s">
        <v>133</v>
      </c>
      <c r="D19" s="459">
        <v>9740660</v>
      </c>
      <c r="E19" s="299">
        <v>20</v>
      </c>
      <c r="F19" s="299">
        <v>1</v>
      </c>
      <c r="G19" s="16"/>
      <c r="I19" s="30" t="str">
        <f t="shared" si="0"/>
        <v>·</v>
      </c>
      <c r="J19" s="31">
        <f t="shared" si="1"/>
        <v>2.2249933782721087</v>
      </c>
      <c r="K19" s="31">
        <f t="shared" si="2"/>
        <v>0.87741980522880381</v>
      </c>
      <c r="L19" s="51"/>
      <c r="M19" s="31">
        <f t="shared" si="3"/>
        <v>1.3475029412791331</v>
      </c>
      <c r="N19" s="31">
        <f t="shared" si="4"/>
        <v>9.1794587259246203</v>
      </c>
      <c r="O19" s="356">
        <v>2361022</v>
      </c>
      <c r="P19" s="357">
        <v>21672904</v>
      </c>
      <c r="Q19" s="357">
        <v>8546648</v>
      </c>
      <c r="R19" s="51"/>
      <c r="S19" s="357">
        <v>13125568</v>
      </c>
      <c r="T19" s="358">
        <v>64.207367000000005</v>
      </c>
      <c r="U19" s="358">
        <v>59.439425999999997</v>
      </c>
      <c r="V19" s="87"/>
      <c r="W19" s="87"/>
      <c r="X19" s="87"/>
      <c r="Y19" s="358">
        <v>55.313415999999997</v>
      </c>
      <c r="Z19" s="359"/>
      <c r="AA19" s="359"/>
      <c r="AB19" s="32">
        <v>0</v>
      </c>
      <c r="AC19" s="32">
        <v>0</v>
      </c>
      <c r="AD19" s="33"/>
      <c r="AF19" s="30" t="str">
        <f t="shared" si="5"/>
        <v>·</v>
      </c>
      <c r="AG19" s="31">
        <f t="shared" si="6"/>
        <v>2.2249933782721087</v>
      </c>
      <c r="AH19" s="31">
        <f t="shared" si="7"/>
        <v>0.87741980522880381</v>
      </c>
      <c r="AI19" s="51"/>
      <c r="AJ19" s="31">
        <f t="shared" si="8"/>
        <v>1.3475029412791331</v>
      </c>
      <c r="AK19" s="31">
        <f t="shared" si="9"/>
        <v>9.1794587259246203</v>
      </c>
      <c r="AL19" s="356">
        <v>2361022</v>
      </c>
      <c r="AM19" s="357">
        <v>21672904</v>
      </c>
      <c r="AN19" s="357">
        <v>8546648</v>
      </c>
      <c r="AO19" s="51"/>
      <c r="AP19" s="357">
        <v>13125568</v>
      </c>
      <c r="AQ19" s="358">
        <v>64.207367000000005</v>
      </c>
      <c r="AR19" s="358">
        <v>59.439425999999997</v>
      </c>
      <c r="AS19" s="87"/>
      <c r="AT19" s="87"/>
      <c r="AU19" s="87"/>
      <c r="AV19" s="358">
        <v>55.313415999999997</v>
      </c>
      <c r="AW19" s="359">
        <v>15.718999999999999</v>
      </c>
      <c r="AX19" s="359">
        <v>3.9049999999999998</v>
      </c>
      <c r="AY19" s="32">
        <v>0</v>
      </c>
      <c r="AZ19" s="32">
        <v>0</v>
      </c>
      <c r="BA19" s="33">
        <v>3072</v>
      </c>
      <c r="BC19" s="56" t="e">
        <f t="shared" si="13"/>
        <v>#DIV/0!</v>
      </c>
      <c r="BD19" s="57" t="e">
        <f t="shared" si="12"/>
        <v>#DIV/0!</v>
      </c>
      <c r="BE19" s="57">
        <f t="shared" si="10"/>
        <v>0</v>
      </c>
      <c r="BF19" s="58"/>
      <c r="BH19" s="74"/>
      <c r="BI19" s="75"/>
      <c r="BJ19" s="87"/>
      <c r="BK19" s="87"/>
      <c r="BL19" s="87"/>
      <c r="BM19" s="76"/>
      <c r="BO19" s="74"/>
      <c r="BP19" s="75"/>
      <c r="BQ19" s="87"/>
      <c r="BR19" s="87"/>
      <c r="BS19" s="87"/>
      <c r="BT19" s="76"/>
      <c r="BV19" s="74"/>
      <c r="BW19" s="75"/>
      <c r="BX19" s="87"/>
      <c r="BY19" s="87"/>
      <c r="BZ19" s="87"/>
      <c r="CA19" s="76"/>
      <c r="CC19" s="74"/>
      <c r="CD19" s="75"/>
      <c r="CE19" s="87"/>
      <c r="CF19" s="87"/>
      <c r="CG19" s="87"/>
      <c r="CH19" s="76"/>
      <c r="CJ19" s="74"/>
      <c r="CK19" s="75"/>
      <c r="CL19" s="87"/>
      <c r="CM19" s="87"/>
      <c r="CN19" s="87"/>
      <c r="CO19" s="76"/>
      <c r="CQ19" s="74"/>
      <c r="CR19" s="75"/>
      <c r="CS19" s="87"/>
      <c r="CT19" s="87"/>
      <c r="CU19" s="87"/>
      <c r="CV19" s="76"/>
    </row>
    <row r="20" spans="1:100" s="1" customFormat="1" outlineLevel="1">
      <c r="A20" s="13"/>
      <c r="B20" s="291" t="s">
        <v>985</v>
      </c>
      <c r="C20" s="15" t="s">
        <v>134</v>
      </c>
      <c r="D20" s="459">
        <v>9740660</v>
      </c>
      <c r="E20" s="299">
        <v>20</v>
      </c>
      <c r="F20" s="299">
        <v>1</v>
      </c>
      <c r="G20" s="16"/>
      <c r="I20" s="30" t="str">
        <f t="shared" si="0"/>
        <v>·</v>
      </c>
      <c r="J20" s="31">
        <f t="shared" si="1"/>
        <v>4.9719152500959893</v>
      </c>
      <c r="K20" s="31">
        <f t="shared" si="2"/>
        <v>1.7579556210770113</v>
      </c>
      <c r="L20" s="51"/>
      <c r="M20" s="31">
        <f t="shared" si="3"/>
        <v>3.2138865333560558</v>
      </c>
      <c r="N20" s="31">
        <f t="shared" si="4"/>
        <v>11.386024055369811</v>
      </c>
      <c r="O20" s="356">
        <v>4253437</v>
      </c>
      <c r="P20" s="357">
        <v>48429736</v>
      </c>
      <c r="Q20" s="357">
        <v>17123648</v>
      </c>
      <c r="R20" s="51"/>
      <c r="S20" s="357">
        <v>31305376</v>
      </c>
      <c r="T20" s="358">
        <v>70.243781999999996</v>
      </c>
      <c r="U20" s="358">
        <v>65.460021999999995</v>
      </c>
      <c r="V20" s="87"/>
      <c r="W20" s="87"/>
      <c r="X20" s="87"/>
      <c r="Y20" s="358">
        <v>57.044902999999998</v>
      </c>
      <c r="Z20" s="359"/>
      <c r="AA20" s="359"/>
      <c r="AB20" s="32">
        <v>0</v>
      </c>
      <c r="AC20" s="32">
        <v>0</v>
      </c>
      <c r="AD20" s="33"/>
      <c r="AF20" s="30" t="str">
        <f t="shared" si="5"/>
        <v>·</v>
      </c>
      <c r="AG20" s="31">
        <f t="shared" si="6"/>
        <v>4.9719152500959893</v>
      </c>
      <c r="AH20" s="31">
        <f t="shared" si="7"/>
        <v>1.7579556210770113</v>
      </c>
      <c r="AI20" s="51"/>
      <c r="AJ20" s="31">
        <f t="shared" si="8"/>
        <v>3.2138865333560558</v>
      </c>
      <c r="AK20" s="31">
        <f t="shared" si="9"/>
        <v>11.386024055369811</v>
      </c>
      <c r="AL20" s="356">
        <v>4253437</v>
      </c>
      <c r="AM20" s="357">
        <v>48429736</v>
      </c>
      <c r="AN20" s="357">
        <v>17123648</v>
      </c>
      <c r="AO20" s="51"/>
      <c r="AP20" s="357">
        <v>31305376</v>
      </c>
      <c r="AQ20" s="358">
        <v>70.243781999999996</v>
      </c>
      <c r="AR20" s="358">
        <v>65.460021999999995</v>
      </c>
      <c r="AS20" s="87"/>
      <c r="AT20" s="87"/>
      <c r="AU20" s="87"/>
      <c r="AV20" s="358">
        <v>57.044902999999998</v>
      </c>
      <c r="AW20" s="359">
        <v>25.687000000000001</v>
      </c>
      <c r="AX20" s="359">
        <v>7.8490000000000002</v>
      </c>
      <c r="AY20" s="32">
        <v>0</v>
      </c>
      <c r="AZ20" s="32">
        <v>0</v>
      </c>
      <c r="BA20" s="33">
        <v>768</v>
      </c>
      <c r="BC20" s="56" t="e">
        <f t="shared" si="13"/>
        <v>#DIV/0!</v>
      </c>
      <c r="BD20" s="57" t="e">
        <f t="shared" si="12"/>
        <v>#DIV/0!</v>
      </c>
      <c r="BE20" s="57">
        <f t="shared" si="10"/>
        <v>0</v>
      </c>
      <c r="BF20" s="58"/>
      <c r="BH20" s="74"/>
      <c r="BI20" s="75"/>
      <c r="BJ20" s="87"/>
      <c r="BK20" s="87"/>
      <c r="BL20" s="87"/>
      <c r="BM20" s="76"/>
      <c r="BO20" s="74"/>
      <c r="BP20" s="75"/>
      <c r="BQ20" s="87"/>
      <c r="BR20" s="87"/>
      <c r="BS20" s="87"/>
      <c r="BT20" s="76"/>
      <c r="BV20" s="74"/>
      <c r="BW20" s="75"/>
      <c r="BX20" s="87"/>
      <c r="BY20" s="87"/>
      <c r="BZ20" s="87"/>
      <c r="CA20" s="76"/>
      <c r="CC20" s="74"/>
      <c r="CD20" s="75"/>
      <c r="CE20" s="87"/>
      <c r="CF20" s="87"/>
      <c r="CG20" s="87"/>
      <c r="CH20" s="76"/>
      <c r="CJ20" s="74"/>
      <c r="CK20" s="75"/>
      <c r="CL20" s="87"/>
      <c r="CM20" s="87"/>
      <c r="CN20" s="87"/>
      <c r="CO20" s="76"/>
      <c r="CQ20" s="74"/>
      <c r="CR20" s="75"/>
      <c r="CS20" s="87"/>
      <c r="CT20" s="87"/>
      <c r="CU20" s="87"/>
      <c r="CV20" s="76"/>
    </row>
    <row r="21" spans="1:100" s="1" customFormat="1" outlineLevel="1">
      <c r="A21" s="13"/>
      <c r="B21" s="291" t="s">
        <v>985</v>
      </c>
      <c r="C21" s="15" t="s">
        <v>135</v>
      </c>
      <c r="D21" s="459">
        <v>9740660</v>
      </c>
      <c r="E21" s="299">
        <v>20</v>
      </c>
      <c r="F21" s="299">
        <v>1</v>
      </c>
      <c r="G21" s="16"/>
      <c r="I21" s="30" t="str">
        <f t="shared" si="0"/>
        <v>·</v>
      </c>
      <c r="J21" s="31">
        <f t="shared" si="1"/>
        <v>13.633049095235846</v>
      </c>
      <c r="K21" s="31">
        <f t="shared" si="2"/>
        <v>5.8171220430648436</v>
      </c>
      <c r="L21" s="51"/>
      <c r="M21" s="31">
        <f t="shared" si="3"/>
        <v>7.8158531352084974</v>
      </c>
      <c r="N21" s="31">
        <f t="shared" si="4"/>
        <v>14.705712868558098</v>
      </c>
      <c r="O21" s="356">
        <v>9030157</v>
      </c>
      <c r="P21" s="357">
        <v>132794896</v>
      </c>
      <c r="Q21" s="357">
        <v>56662608</v>
      </c>
      <c r="R21" s="51"/>
      <c r="S21" s="357">
        <v>76131568</v>
      </c>
      <c r="T21" s="358">
        <v>82.139572000000001</v>
      </c>
      <c r="U21" s="358">
        <v>77.501227999999998</v>
      </c>
      <c r="V21" s="87"/>
      <c r="W21" s="87"/>
      <c r="X21" s="87"/>
      <c r="Y21" s="358">
        <v>65.318443000000002</v>
      </c>
      <c r="Z21" s="359"/>
      <c r="AA21" s="359"/>
      <c r="AB21" s="32">
        <v>0</v>
      </c>
      <c r="AC21" s="32">
        <v>0</v>
      </c>
      <c r="AD21" s="33"/>
      <c r="AF21" s="30" t="str">
        <f t="shared" si="5"/>
        <v>·</v>
      </c>
      <c r="AG21" s="31">
        <f t="shared" si="6"/>
        <v>13.633049095235846</v>
      </c>
      <c r="AH21" s="31">
        <f t="shared" si="7"/>
        <v>5.8171220430648436</v>
      </c>
      <c r="AI21" s="51"/>
      <c r="AJ21" s="31">
        <f t="shared" si="8"/>
        <v>7.8158531352084974</v>
      </c>
      <c r="AK21" s="31">
        <f t="shared" si="9"/>
        <v>14.705712868558098</v>
      </c>
      <c r="AL21" s="356">
        <v>9030157</v>
      </c>
      <c r="AM21" s="357">
        <v>132794896</v>
      </c>
      <c r="AN21" s="357">
        <v>56662608</v>
      </c>
      <c r="AO21" s="51"/>
      <c r="AP21" s="357">
        <v>76131568</v>
      </c>
      <c r="AQ21" s="358">
        <v>82.139572000000001</v>
      </c>
      <c r="AR21" s="358">
        <v>77.501227999999998</v>
      </c>
      <c r="AS21" s="87"/>
      <c r="AT21" s="87"/>
      <c r="AU21" s="87"/>
      <c r="AV21" s="358">
        <v>65.318443000000002</v>
      </c>
      <c r="AW21" s="359">
        <v>52.476999999999997</v>
      </c>
      <c r="AX21" s="359">
        <v>19.108000000000001</v>
      </c>
      <c r="AY21" s="32">
        <v>0</v>
      </c>
      <c r="AZ21" s="32">
        <v>0</v>
      </c>
      <c r="BA21" s="33">
        <v>48</v>
      </c>
      <c r="BC21" s="56" t="e">
        <f t="shared" si="13"/>
        <v>#DIV/0!</v>
      </c>
      <c r="BD21" s="57" t="e">
        <f t="shared" si="12"/>
        <v>#DIV/0!</v>
      </c>
      <c r="BE21" s="57">
        <f t="shared" si="10"/>
        <v>0</v>
      </c>
      <c r="BF21" s="58"/>
      <c r="BH21" s="74"/>
      <c r="BI21" s="75"/>
      <c r="BJ21" s="87"/>
      <c r="BK21" s="87"/>
      <c r="BL21" s="87"/>
      <c r="BM21" s="76"/>
      <c r="BO21" s="74"/>
      <c r="BP21" s="75"/>
      <c r="BQ21" s="87"/>
      <c r="BR21" s="87"/>
      <c r="BS21" s="87"/>
      <c r="BT21" s="76"/>
      <c r="BV21" s="74"/>
      <c r="BW21" s="75"/>
      <c r="BX21" s="87"/>
      <c r="BY21" s="87"/>
      <c r="BZ21" s="87"/>
      <c r="CA21" s="76"/>
      <c r="CC21" s="74"/>
      <c r="CD21" s="75"/>
      <c r="CE21" s="87"/>
      <c r="CF21" s="87"/>
      <c r="CG21" s="87"/>
      <c r="CH21" s="76"/>
      <c r="CJ21" s="74"/>
      <c r="CK21" s="75"/>
      <c r="CL21" s="87"/>
      <c r="CM21" s="87"/>
      <c r="CN21" s="87"/>
      <c r="CO21" s="76"/>
      <c r="CQ21" s="74"/>
      <c r="CR21" s="75"/>
      <c r="CS21" s="87"/>
      <c r="CT21" s="87"/>
      <c r="CU21" s="87"/>
      <c r="CV21" s="76"/>
    </row>
    <row r="22" spans="1:100" s="1" customFormat="1" ht="14.25" outlineLevel="1" thickBot="1">
      <c r="A22" s="13"/>
      <c r="B22" s="292" t="s">
        <v>985</v>
      </c>
      <c r="C22" s="19" t="s">
        <v>136</v>
      </c>
      <c r="D22" s="460">
        <v>9740660</v>
      </c>
      <c r="E22" s="302">
        <v>20</v>
      </c>
      <c r="F22" s="302">
        <v>1</v>
      </c>
      <c r="G22" s="20"/>
      <c r="I22" s="34" t="str">
        <f t="shared" si="0"/>
        <v>·</v>
      </c>
      <c r="J22" s="35">
        <f t="shared" si="1"/>
        <v>18.504021698734995</v>
      </c>
      <c r="K22" s="35">
        <f t="shared" si="2"/>
        <v>8.9559779316801933</v>
      </c>
      <c r="L22" s="52"/>
      <c r="M22" s="35">
        <f t="shared" si="3"/>
        <v>9.5479690287927106</v>
      </c>
      <c r="N22" s="35">
        <f t="shared" si="4"/>
        <v>18.659509630527154</v>
      </c>
      <c r="O22" s="360">
        <v>9659492</v>
      </c>
      <c r="P22" s="361">
        <v>180241384</v>
      </c>
      <c r="Q22" s="361">
        <v>87237136</v>
      </c>
      <c r="R22" s="52"/>
      <c r="S22" s="361">
        <v>93003520</v>
      </c>
      <c r="T22" s="362">
        <v>87.781661999999997</v>
      </c>
      <c r="U22" s="362">
        <v>83.521827999999999</v>
      </c>
      <c r="V22" s="88"/>
      <c r="W22" s="88"/>
      <c r="X22" s="88"/>
      <c r="Y22" s="362">
        <v>72.119759000000002</v>
      </c>
      <c r="Z22" s="363"/>
      <c r="AA22" s="363"/>
      <c r="AB22" s="36">
        <v>0</v>
      </c>
      <c r="AC22" s="36">
        <v>0</v>
      </c>
      <c r="AD22" s="37"/>
      <c r="AF22" s="34" t="str">
        <f t="shared" si="5"/>
        <v>·</v>
      </c>
      <c r="AG22" s="35">
        <f t="shared" si="6"/>
        <v>18.504021698734995</v>
      </c>
      <c r="AH22" s="35">
        <f t="shared" si="7"/>
        <v>8.9559779316801933</v>
      </c>
      <c r="AI22" s="52"/>
      <c r="AJ22" s="35">
        <f t="shared" si="8"/>
        <v>9.5479690287927106</v>
      </c>
      <c r="AK22" s="35">
        <f t="shared" si="9"/>
        <v>18.659509630527154</v>
      </c>
      <c r="AL22" s="360">
        <v>9659492</v>
      </c>
      <c r="AM22" s="361">
        <v>180241384</v>
      </c>
      <c r="AN22" s="361">
        <v>87237136</v>
      </c>
      <c r="AO22" s="52"/>
      <c r="AP22" s="361">
        <v>93003520</v>
      </c>
      <c r="AQ22" s="362">
        <v>87.781661999999997</v>
      </c>
      <c r="AR22" s="362">
        <v>83.521827999999999</v>
      </c>
      <c r="AS22" s="88"/>
      <c r="AT22" s="88"/>
      <c r="AU22" s="88"/>
      <c r="AV22" s="362">
        <v>72.119759000000002</v>
      </c>
      <c r="AW22" s="363">
        <v>63.851999999999997</v>
      </c>
      <c r="AX22" s="363">
        <v>26.076000000000001</v>
      </c>
      <c r="AY22" s="36">
        <v>0</v>
      </c>
      <c r="AZ22" s="36">
        <v>0</v>
      </c>
      <c r="BA22" s="37">
        <v>12</v>
      </c>
      <c r="BC22" s="59" t="e">
        <f t="shared" si="13"/>
        <v>#DIV/0!</v>
      </c>
      <c r="BD22" s="60" t="e">
        <f t="shared" si="12"/>
        <v>#DIV/0!</v>
      </c>
      <c r="BE22" s="60">
        <f t="shared" si="10"/>
        <v>0</v>
      </c>
      <c r="BF22" s="61"/>
      <c r="BH22" s="77"/>
      <c r="BI22" s="78"/>
      <c r="BJ22" s="88"/>
      <c r="BK22" s="88"/>
      <c r="BL22" s="88"/>
      <c r="BM22" s="79"/>
      <c r="BO22" s="77"/>
      <c r="BP22" s="78"/>
      <c r="BQ22" s="88"/>
      <c r="BR22" s="88"/>
      <c r="BS22" s="88"/>
      <c r="BT22" s="79"/>
      <c r="BV22" s="77"/>
      <c r="BW22" s="78"/>
      <c r="BX22" s="88"/>
      <c r="BY22" s="88"/>
      <c r="BZ22" s="88"/>
      <c r="CA22" s="79"/>
      <c r="CC22" s="77"/>
      <c r="CD22" s="78"/>
      <c r="CE22" s="88"/>
      <c r="CF22" s="88"/>
      <c r="CG22" s="88"/>
      <c r="CH22" s="79"/>
      <c r="CJ22" s="77"/>
      <c r="CK22" s="78"/>
      <c r="CL22" s="88"/>
      <c r="CM22" s="88"/>
      <c r="CN22" s="88"/>
      <c r="CO22" s="79"/>
      <c r="CQ22" s="77"/>
      <c r="CR22" s="78"/>
      <c r="CS22" s="88"/>
      <c r="CT22" s="88"/>
      <c r="CU22" s="88"/>
      <c r="CV22" s="79"/>
    </row>
    <row r="23" spans="1:100" s="1" customFormat="1">
      <c r="A23" s="13"/>
      <c r="B23" s="294" t="s">
        <v>1107</v>
      </c>
      <c r="C23" s="25" t="s">
        <v>131</v>
      </c>
      <c r="D23" s="461">
        <v>5865647</v>
      </c>
      <c r="E23" s="304">
        <v>19</v>
      </c>
      <c r="F23" s="304">
        <v>1</v>
      </c>
      <c r="G23" s="29"/>
      <c r="I23" s="42" t="str">
        <f t="shared" ref="I23:I80" si="14">IF(OR(ISBLANK(P23),ISBLANK(G23)),"·",P23*G23/F23/1000000)</f>
        <v>·</v>
      </c>
      <c r="J23" s="43">
        <f t="shared" ref="J23:J80" si="15">IF(ISBLANK(P23),"·",P23/D23)</f>
        <v>9.5195636559786162E-2</v>
      </c>
      <c r="K23" s="43">
        <f t="shared" ref="K23:K80" si="16">IF(Q23="","·",Q23/D23)</f>
        <v>3.4496450263713452E-2</v>
      </c>
      <c r="L23" s="55"/>
      <c r="M23" s="43">
        <f t="shared" ref="M23:M40" si="17">IF(ISBLANK(Q23),"·",S23/D23)</f>
        <v>6.0590076422941917E-2</v>
      </c>
      <c r="N23" s="43">
        <f t="shared" ref="N23:N80" si="18">IF(ISBLANK(P23),"·",P23/O23)</f>
        <v>5.9694037908510706</v>
      </c>
      <c r="O23" s="352">
        <v>93541</v>
      </c>
      <c r="P23" s="353">
        <v>558384</v>
      </c>
      <c r="Q23" s="353">
        <v>202344</v>
      </c>
      <c r="R23" s="55"/>
      <c r="S23" s="353">
        <v>355400</v>
      </c>
      <c r="T23" s="354">
        <v>45.803874999999998</v>
      </c>
      <c r="U23" s="354">
        <v>41.388927000000002</v>
      </c>
      <c r="V23" s="87"/>
      <c r="W23" s="87"/>
      <c r="X23" s="87"/>
      <c r="Y23" s="354">
        <v>49.414847999999999</v>
      </c>
      <c r="Z23" s="355"/>
      <c r="AA23" s="355"/>
      <c r="AB23" s="48">
        <v>0</v>
      </c>
      <c r="AC23" s="48">
        <v>0</v>
      </c>
      <c r="AD23" s="49"/>
      <c r="AF23" s="42" t="str">
        <f t="shared" ref="AF23:AF80" si="19">IF(OR(ISBLANK(AM23),ISBLANK(G23)),"·",AM23*G23/F23/1000000)</f>
        <v>·</v>
      </c>
      <c r="AG23" s="43">
        <f t="shared" ref="AG23:AG80" si="20">IF(ISBLANK(AM23),"·",AM23/D23)</f>
        <v>9.5195636559786162E-2</v>
      </c>
      <c r="AH23" s="43">
        <f t="shared" ref="AH23:AH58" si="21">IF(AN23="","·",AN23/D23)</f>
        <v>3.4496450263713452E-2</v>
      </c>
      <c r="AI23" s="55"/>
      <c r="AJ23" s="43">
        <f t="shared" ref="AJ23:AJ40" si="22">IF(ISBLANK(AN23),"·",AP23/D23)</f>
        <v>6.0590076422941917E-2</v>
      </c>
      <c r="AK23" s="43">
        <f t="shared" ref="AK23:AK80" si="23">IF(ISBLANK(AM23),"·",AM23/AL23)</f>
        <v>5.9694037908510706</v>
      </c>
      <c r="AL23" s="352">
        <v>93541</v>
      </c>
      <c r="AM23" s="353">
        <v>558384</v>
      </c>
      <c r="AN23" s="353">
        <v>202344</v>
      </c>
      <c r="AO23" s="55"/>
      <c r="AP23" s="353">
        <v>355400</v>
      </c>
      <c r="AQ23" s="354">
        <v>45.803874999999998</v>
      </c>
      <c r="AR23" s="354">
        <v>41.388927000000002</v>
      </c>
      <c r="AS23" s="87"/>
      <c r="AT23" s="87"/>
      <c r="AU23" s="87"/>
      <c r="AV23" s="354">
        <v>49.414847999999999</v>
      </c>
      <c r="AW23" s="355">
        <v>2.0979999999999999</v>
      </c>
      <c r="AX23" s="355">
        <v>0.108</v>
      </c>
      <c r="AY23" s="48">
        <v>0</v>
      </c>
      <c r="AZ23" s="48">
        <v>0</v>
      </c>
      <c r="BA23" s="49">
        <v>196097</v>
      </c>
      <c r="BB23" s="281"/>
      <c r="BC23" s="65" t="e">
        <f>AY23/AB23</f>
        <v>#DIV/0!</v>
      </c>
      <c r="BD23" s="280" t="e">
        <f>AZ23/AC23</f>
        <v>#DIV/0!</v>
      </c>
      <c r="BE23" s="66">
        <f t="shared" ref="BE23:BE80" si="24">(AN23/AM23) - (Q23/P23)</f>
        <v>0</v>
      </c>
      <c r="BF23" s="67">
        <f t="array" ref="BF23">AVERAGE(AN23:AN28/AM23:AM28) - AVERAGE(Q23:Q28/P23:P28)</f>
        <v>0</v>
      </c>
      <c r="BH23" s="83">
        <f>IF( OR(ISBLANK($Q23:$Q28),ISBLANK($AN23:$AN28), ISBLANK($T23:$T28),ISBLANK($AQ23:$AQ28)), "·", bdRateHermite( $Q23:$Q28,$T23:$T28, $AN23:$AN28,$AQ23:$AQ28))</f>
        <v>0</v>
      </c>
      <c r="BI23" s="84">
        <f>IF(OR(ISBLANK($Q23:$Q28),ISBLANK($AN23:$AN28),ISBLANK($U23:$U28),ISBLANK($AR23:$AR28)),"·",bdRateHermite($Q23:$Q28,$U23:$U28,$AN23:$AN28,$AR23:$AR28))</f>
        <v>0</v>
      </c>
      <c r="BJ23" s="92"/>
      <c r="BK23" s="92"/>
      <c r="BL23" s="92"/>
      <c r="BM23" s="184">
        <f>IF( OR(ISBLANK($S23:$S28),ISBLANK($AP23:$AP28), ISBLANK($Y23:$Y28),ISBLANK($AV23:$AV28)), "·", bdRateHermite($S23:$S28,$Y23:$Y28, $AP23:$AP28,$AV23:$AV28))</f>
        <v>0</v>
      </c>
      <c r="BO23" s="83">
        <f>IF( OR(ISBLANK($P23:$P28),ISBLANK($AM23:$AM28), ISBLANK($T23:$T28),ISBLANK($AQ23:$AQ28)), "·", bdRateHermite($P23:$P28,$T23:$T28, $AM23:$AM28,$AQ23:$AQ28))</f>
        <v>0</v>
      </c>
      <c r="BP23" s="84">
        <f>IF( OR(ISBLANK($P23:$P28),ISBLANK($AM23:$AM28), ISBLANK($U23:$U28),ISBLANK($AR23:$AR28)), "·", bdRateHermite( $P23:$P28,$U23:$U28, $AM23:$AM28,$AR23:$AR28))</f>
        <v>0</v>
      </c>
      <c r="BQ23" s="92"/>
      <c r="BR23" s="87"/>
      <c r="BS23" s="92"/>
      <c r="BT23" s="85">
        <f>IF( OR(ISBLANK($P23:$P28),ISBLANK($AM23:$AM28), ISBLANK($Y23:$Y28),ISBLANK($AV23:$AV28)), "·", bdRateHermite( $P23:$P28,$Y23:$Y28, $AM23:$AM28,$AV23:$AV28))</f>
        <v>0</v>
      </c>
      <c r="BV23" s="83">
        <f>IF( OR(ISBLANK($Q23:$Q28),ISBLANK($AN23:$AN28), ISBLANK($T23:$T28),ISBLANK($AQ23:$AQ28)), "·", bdRateHermite( $Q24:$Q28,$T24:$T28, $AN24:$AN28,$AQ24:$AQ28))</f>
        <v>0</v>
      </c>
      <c r="BW23" s="84">
        <f>IF(OR(ISBLANK($Q23:$Q28),ISBLANK($AN23:$AN28),ISBLANK($U23:$U28),ISBLANK($AR23:$AR28)),"·",bdRateHermite($Q24:$Q28,$U24:$U28,$AN24:$AN28,$AR24:$AR28))</f>
        <v>0</v>
      </c>
      <c r="BX23" s="92"/>
      <c r="BY23" s="92"/>
      <c r="BZ23" s="92"/>
      <c r="CA23" s="184">
        <f>IF( OR(ISBLANK($S23:$S28),ISBLANK($AP23:$AP28), ISBLANK($Y23:$Y28),ISBLANK($AV23:$AV28)), "·", bdRateHermite($S24:$S28,$Y24:$Y28, $AP24:$AP28,$AV24:$AV28))</f>
        <v>0</v>
      </c>
      <c r="CC23" s="83">
        <f>IF( OR(ISBLANK($P23:$P28),ISBLANK($AM23:$AM28), ISBLANK($T23:$T28),ISBLANK($AQ23:$AQ28)), "·", bdRateHermite($P24:$P28,$T24:$T28, $AM24:$AM28,$AQ24:$AQ28))</f>
        <v>0</v>
      </c>
      <c r="CD23" s="84">
        <f>IF( OR(ISBLANK($P23:$P28),ISBLANK($AM23:$AM28), ISBLANK($U23:$U28),ISBLANK($AR23:$AR28)), "·", bdRateHermite( $P24:$P28,$U24:$U28, $AM24:$AM28,$AR24:$AR28))</f>
        <v>0</v>
      </c>
      <c r="CE23" s="92"/>
      <c r="CF23" s="92"/>
      <c r="CG23" s="92"/>
      <c r="CH23" s="85">
        <f>IF( OR(ISBLANK($P23:$P28),ISBLANK($AM23:$AM28), ISBLANK($Y23:$Y28),ISBLANK($AV23:$AV28)), "·", bdRateHermite( $P24:$P28,$Y24:$Y28, $AM24:$AM28,$AV24:$AV28))</f>
        <v>0</v>
      </c>
      <c r="CJ23" s="83">
        <f>IF( OR(ISBLANK($Q23:$Q27),ISBLANK($AN23:$AN27), ISBLANK($T23:$T27),ISBLANK($AQ23:$AQ27)), "·", bdRateHermite( $Q23:$Q27,$T23:$T27, $AN23:$AN27,$AQ23:$AQ27))</f>
        <v>0</v>
      </c>
      <c r="CK23" s="84">
        <f>IF(OR(ISBLANK($Q23:$Q27),ISBLANK($AN23:$AN27),ISBLANK($U23:$U27),ISBLANK($AR23:$AR27)),"·",bdRateHermite($Q23:$Q27,$U23:$U27,$AN23:$AN27,$AR23:$AR27))</f>
        <v>0</v>
      </c>
      <c r="CL23" s="92"/>
      <c r="CM23" s="92"/>
      <c r="CN23" s="92"/>
      <c r="CO23" s="184">
        <f>IF( OR(ISBLANK($S23:$S28),ISBLANK($AP23:$AP28), ISBLANK($Y23:$Y28),ISBLANK($AV23:$AV28)), "·", bdRateHermite($S23:$S27,$Y23:$Y27, $AP23:$AP27,$AV23:$AV27))</f>
        <v>0</v>
      </c>
      <c r="CQ23" s="83">
        <f>IF( OR(ISBLANK($P23:$P27),ISBLANK($AM23:$AM27), ISBLANK($T23:$T27),ISBLANK($AQ23:$AQ27)), "·", bdRateHermite($P23:$P27,$T23:$T27, $AM23:$AM27,$AQ23:$AQ27))</f>
        <v>0</v>
      </c>
      <c r="CR23" s="84">
        <f>IF( OR(ISBLANK($P23:$P27),ISBLANK($AM23:$AM27), ISBLANK($U23:$U27),ISBLANK($AR23:$AR27)), "·", bdRateHermite( $P23:$P27,$U23:$U27, $AM23:$AM27,$AR23:$AR27))</f>
        <v>0</v>
      </c>
      <c r="CS23" s="92"/>
      <c r="CT23" s="92"/>
      <c r="CU23" s="92"/>
      <c r="CV23" s="85">
        <f>IF( OR(ISBLANK($P23:$P28),ISBLANK($AM23:$AM28), ISBLANK($Y23:$Y28),ISBLANK($AV23:$AV28)), "·", bdRateHermite( $P23:$P27,$Y23:$Y27, $AM23:$AM27,$AV23:$AV27))</f>
        <v>0</v>
      </c>
    </row>
    <row r="24" spans="1:100" s="1" customFormat="1" outlineLevel="1">
      <c r="A24" s="13"/>
      <c r="B24" s="295" t="s">
        <v>986</v>
      </c>
      <c r="C24" s="15" t="s">
        <v>132</v>
      </c>
      <c r="D24" s="459">
        <v>5865647</v>
      </c>
      <c r="E24" s="299">
        <v>19</v>
      </c>
      <c r="F24" s="299">
        <v>1</v>
      </c>
      <c r="G24" s="16"/>
      <c r="I24" s="30" t="str">
        <f t="shared" si="14"/>
        <v>·</v>
      </c>
      <c r="J24" s="31">
        <f t="shared" si="15"/>
        <v>0.3299796254360346</v>
      </c>
      <c r="K24" s="31">
        <f t="shared" si="16"/>
        <v>0.10493232886329505</v>
      </c>
      <c r="L24" s="51"/>
      <c r="M24" s="31">
        <f t="shared" si="17"/>
        <v>0.22493682282619462</v>
      </c>
      <c r="N24" s="31">
        <f t="shared" si="18"/>
        <v>6.9953269170301891</v>
      </c>
      <c r="O24" s="356">
        <v>276691</v>
      </c>
      <c r="P24" s="357">
        <v>1935544</v>
      </c>
      <c r="Q24" s="357">
        <v>615496</v>
      </c>
      <c r="R24" s="51"/>
      <c r="S24" s="357">
        <v>1319400</v>
      </c>
      <c r="T24" s="358">
        <v>51.998947000000001</v>
      </c>
      <c r="U24" s="358">
        <v>47.398223999999999</v>
      </c>
      <c r="V24" s="87"/>
      <c r="W24" s="87"/>
      <c r="X24" s="87"/>
      <c r="Y24" s="358">
        <v>51.999485</v>
      </c>
      <c r="Z24" s="359"/>
      <c r="AA24" s="359"/>
      <c r="AB24" s="32">
        <v>0</v>
      </c>
      <c r="AC24" s="32">
        <v>0</v>
      </c>
      <c r="AD24" s="33"/>
      <c r="AF24" s="30" t="str">
        <f t="shared" si="19"/>
        <v>·</v>
      </c>
      <c r="AG24" s="31">
        <f t="shared" si="20"/>
        <v>0.3299796254360346</v>
      </c>
      <c r="AH24" s="31">
        <f t="shared" si="21"/>
        <v>0.10493232886329505</v>
      </c>
      <c r="AI24" s="51"/>
      <c r="AJ24" s="31">
        <f t="shared" si="22"/>
        <v>0.22493682282619462</v>
      </c>
      <c r="AK24" s="31">
        <f t="shared" si="23"/>
        <v>6.9953269170301891</v>
      </c>
      <c r="AL24" s="356">
        <v>276691</v>
      </c>
      <c r="AM24" s="357">
        <v>1935544</v>
      </c>
      <c r="AN24" s="357">
        <v>615496</v>
      </c>
      <c r="AO24" s="51"/>
      <c r="AP24" s="357">
        <v>1319400</v>
      </c>
      <c r="AQ24" s="358">
        <v>51.998947000000001</v>
      </c>
      <c r="AR24" s="358">
        <v>47.398223999999999</v>
      </c>
      <c r="AS24" s="87"/>
      <c r="AT24" s="87"/>
      <c r="AU24" s="87"/>
      <c r="AV24" s="358">
        <v>51.999485</v>
      </c>
      <c r="AW24" s="359">
        <v>3.2240000000000002</v>
      </c>
      <c r="AX24" s="359">
        <v>0.34599999999999997</v>
      </c>
      <c r="AY24" s="32">
        <v>0</v>
      </c>
      <c r="AZ24" s="32">
        <v>0</v>
      </c>
      <c r="BA24" s="33">
        <v>49152</v>
      </c>
      <c r="BB24" s="281"/>
      <c r="BC24" s="65" t="e">
        <f t="shared" ref="BC24:BC28" si="25">AY24/AB24</f>
        <v>#DIV/0!</v>
      </c>
      <c r="BD24" s="280" t="e">
        <f t="shared" ref="BD24:BD81" si="26">AZ24/AC24</f>
        <v>#DIV/0!</v>
      </c>
      <c r="BE24" s="57">
        <f t="shared" si="24"/>
        <v>0</v>
      </c>
      <c r="BF24" s="58"/>
      <c r="BH24" s="74"/>
      <c r="BI24" s="75"/>
      <c r="BJ24" s="87"/>
      <c r="BK24" s="87"/>
      <c r="BL24" s="87"/>
      <c r="BM24" s="76"/>
      <c r="BO24" s="74"/>
      <c r="BP24" s="75"/>
      <c r="BQ24" s="87"/>
      <c r="BR24" s="87"/>
      <c r="BS24" s="87"/>
      <c r="BT24" s="76"/>
      <c r="BV24" s="74"/>
      <c r="BW24" s="75"/>
      <c r="BX24" s="87"/>
      <c r="BY24" s="87"/>
      <c r="BZ24" s="87"/>
      <c r="CA24" s="76"/>
      <c r="CC24" s="74"/>
      <c r="CD24" s="75"/>
      <c r="CE24" s="87"/>
      <c r="CF24" s="87"/>
      <c r="CG24" s="87"/>
      <c r="CH24" s="76"/>
      <c r="CJ24" s="74"/>
      <c r="CK24" s="75"/>
      <c r="CL24" s="87"/>
      <c r="CM24" s="87"/>
      <c r="CN24" s="87"/>
      <c r="CO24" s="76"/>
      <c r="CQ24" s="74"/>
      <c r="CR24" s="75"/>
      <c r="CS24" s="87"/>
      <c r="CT24" s="87"/>
      <c r="CU24" s="87"/>
      <c r="CV24" s="76"/>
    </row>
    <row r="25" spans="1:100" s="1" customFormat="1" outlineLevel="1">
      <c r="A25" s="13"/>
      <c r="B25" s="295" t="s">
        <v>986</v>
      </c>
      <c r="C25" s="15" t="s">
        <v>133</v>
      </c>
      <c r="D25" s="459">
        <v>5865647</v>
      </c>
      <c r="E25" s="299">
        <v>19</v>
      </c>
      <c r="F25" s="299">
        <v>1</v>
      </c>
      <c r="G25" s="16"/>
      <c r="I25" s="30" t="str">
        <f t="shared" si="14"/>
        <v>·</v>
      </c>
      <c r="J25" s="31">
        <f t="shared" si="15"/>
        <v>2.3527962047494504</v>
      </c>
      <c r="K25" s="31">
        <f t="shared" si="16"/>
        <v>0.75445249262357583</v>
      </c>
      <c r="L25" s="51"/>
      <c r="M25" s="31">
        <f t="shared" si="17"/>
        <v>1.5982305106325014</v>
      </c>
      <c r="N25" s="31">
        <f t="shared" si="18"/>
        <v>8.1401932552935214</v>
      </c>
      <c r="O25" s="356">
        <v>1695374</v>
      </c>
      <c r="P25" s="357">
        <v>13800672</v>
      </c>
      <c r="Q25" s="357">
        <v>4425352</v>
      </c>
      <c r="R25" s="51"/>
      <c r="S25" s="357">
        <v>9374656</v>
      </c>
      <c r="T25" s="358">
        <v>64.133246999999997</v>
      </c>
      <c r="U25" s="358">
        <v>59.439425999999997</v>
      </c>
      <c r="V25" s="87"/>
      <c r="W25" s="87"/>
      <c r="X25" s="87"/>
      <c r="Y25" s="358">
        <v>55.410254999999999</v>
      </c>
      <c r="Z25" s="359"/>
      <c r="AA25" s="359"/>
      <c r="AB25" s="32">
        <v>0</v>
      </c>
      <c r="AC25" s="32">
        <v>0</v>
      </c>
      <c r="AD25" s="33"/>
      <c r="AF25" s="30" t="str">
        <f t="shared" si="19"/>
        <v>·</v>
      </c>
      <c r="AG25" s="31">
        <f t="shared" si="20"/>
        <v>2.3527962047494504</v>
      </c>
      <c r="AH25" s="31">
        <f t="shared" si="21"/>
        <v>0.75445249262357583</v>
      </c>
      <c r="AI25" s="51"/>
      <c r="AJ25" s="31">
        <f t="shared" si="22"/>
        <v>1.5982305106325014</v>
      </c>
      <c r="AK25" s="31">
        <f t="shared" si="23"/>
        <v>8.1401932552935214</v>
      </c>
      <c r="AL25" s="356">
        <v>1695374</v>
      </c>
      <c r="AM25" s="357">
        <v>13800672</v>
      </c>
      <c r="AN25" s="357">
        <v>4425352</v>
      </c>
      <c r="AO25" s="51"/>
      <c r="AP25" s="357">
        <v>9374656</v>
      </c>
      <c r="AQ25" s="358">
        <v>64.133246999999997</v>
      </c>
      <c r="AR25" s="358">
        <v>59.439425999999997</v>
      </c>
      <c r="AS25" s="87"/>
      <c r="AT25" s="87"/>
      <c r="AU25" s="87"/>
      <c r="AV25" s="358">
        <v>55.410254999999999</v>
      </c>
      <c r="AW25" s="359">
        <v>9.2349999999999994</v>
      </c>
      <c r="AX25" s="359">
        <v>2.4140000000000001</v>
      </c>
      <c r="AY25" s="32">
        <v>0</v>
      </c>
      <c r="AZ25" s="32">
        <v>0</v>
      </c>
      <c r="BA25" s="33">
        <v>3072</v>
      </c>
      <c r="BB25" s="281"/>
      <c r="BC25" s="65" t="e">
        <f t="shared" si="25"/>
        <v>#DIV/0!</v>
      </c>
      <c r="BD25" s="280" t="e">
        <f t="shared" si="26"/>
        <v>#DIV/0!</v>
      </c>
      <c r="BE25" s="57">
        <f t="shared" si="24"/>
        <v>0</v>
      </c>
      <c r="BF25" s="58"/>
      <c r="BH25" s="74"/>
      <c r="BI25" s="75"/>
      <c r="BJ25" s="87"/>
      <c r="BK25" s="87"/>
      <c r="BL25" s="87"/>
      <c r="BM25" s="76"/>
      <c r="BO25" s="74"/>
      <c r="BP25" s="75"/>
      <c r="BQ25" s="87"/>
      <c r="BR25" s="87"/>
      <c r="BS25" s="87"/>
      <c r="BT25" s="76"/>
      <c r="BV25" s="74"/>
      <c r="BW25" s="75"/>
      <c r="BX25" s="87"/>
      <c r="BY25" s="87"/>
      <c r="BZ25" s="87"/>
      <c r="CA25" s="76"/>
      <c r="CC25" s="74"/>
      <c r="CD25" s="75"/>
      <c r="CE25" s="87"/>
      <c r="CF25" s="87"/>
      <c r="CG25" s="87"/>
      <c r="CH25" s="76"/>
      <c r="CJ25" s="74"/>
      <c r="CK25" s="75"/>
      <c r="CL25" s="87"/>
      <c r="CM25" s="87"/>
      <c r="CN25" s="87"/>
      <c r="CO25" s="76"/>
      <c r="CQ25" s="74"/>
      <c r="CR25" s="75"/>
      <c r="CS25" s="87"/>
      <c r="CT25" s="87"/>
      <c r="CU25" s="87"/>
      <c r="CV25" s="76"/>
    </row>
    <row r="26" spans="1:100" s="1" customFormat="1" outlineLevel="1">
      <c r="A26" s="13"/>
      <c r="B26" s="295" t="s">
        <v>986</v>
      </c>
      <c r="C26" s="15" t="s">
        <v>134</v>
      </c>
      <c r="D26" s="459">
        <v>5865647</v>
      </c>
      <c r="E26" s="299">
        <v>19</v>
      </c>
      <c r="F26" s="299">
        <v>1</v>
      </c>
      <c r="G26" s="16"/>
      <c r="I26" s="30" t="str">
        <f t="shared" si="14"/>
        <v>·</v>
      </c>
      <c r="J26" s="31">
        <f t="shared" si="15"/>
        <v>5.9290141394461688</v>
      </c>
      <c r="K26" s="31">
        <f t="shared" si="16"/>
        <v>1.6540483939793853</v>
      </c>
      <c r="L26" s="51"/>
      <c r="M26" s="31">
        <f t="shared" si="17"/>
        <v>4.2748511800999962</v>
      </c>
      <c r="N26" s="31">
        <f t="shared" si="18"/>
        <v>10.330941816997907</v>
      </c>
      <c r="O26" s="356">
        <v>3366344</v>
      </c>
      <c r="P26" s="357">
        <v>34777504</v>
      </c>
      <c r="Q26" s="357">
        <v>9702064</v>
      </c>
      <c r="R26" s="51"/>
      <c r="S26" s="357">
        <v>25074768</v>
      </c>
      <c r="T26" s="358">
        <v>70.208404999999999</v>
      </c>
      <c r="U26" s="358">
        <v>65.460021999999995</v>
      </c>
      <c r="V26" s="87"/>
      <c r="W26" s="87"/>
      <c r="X26" s="87"/>
      <c r="Y26" s="358">
        <v>58.261870999999999</v>
      </c>
      <c r="Z26" s="359"/>
      <c r="AA26" s="359"/>
      <c r="AB26" s="32">
        <v>0</v>
      </c>
      <c r="AC26" s="32">
        <v>0</v>
      </c>
      <c r="AD26" s="33"/>
      <c r="AF26" s="30" t="str">
        <f t="shared" si="19"/>
        <v>·</v>
      </c>
      <c r="AG26" s="31">
        <f t="shared" si="20"/>
        <v>5.9290141394461688</v>
      </c>
      <c r="AH26" s="31">
        <f t="shared" si="21"/>
        <v>1.6540483939793853</v>
      </c>
      <c r="AI26" s="51"/>
      <c r="AJ26" s="31">
        <f t="shared" si="22"/>
        <v>4.2748511800999962</v>
      </c>
      <c r="AK26" s="31">
        <f t="shared" si="23"/>
        <v>10.330941816997907</v>
      </c>
      <c r="AL26" s="356">
        <v>3366344</v>
      </c>
      <c r="AM26" s="357">
        <v>34777504</v>
      </c>
      <c r="AN26" s="357">
        <v>9702064</v>
      </c>
      <c r="AO26" s="51"/>
      <c r="AP26" s="357">
        <v>25074768</v>
      </c>
      <c r="AQ26" s="358">
        <v>70.208404999999999</v>
      </c>
      <c r="AR26" s="358">
        <v>65.460021999999995</v>
      </c>
      <c r="AS26" s="87"/>
      <c r="AT26" s="87"/>
      <c r="AU26" s="87"/>
      <c r="AV26" s="358">
        <v>58.261870999999999</v>
      </c>
      <c r="AW26" s="359">
        <v>17.315999999999999</v>
      </c>
      <c r="AX26" s="359">
        <v>5.5890000000000004</v>
      </c>
      <c r="AY26" s="32">
        <v>0</v>
      </c>
      <c r="AZ26" s="32">
        <v>0</v>
      </c>
      <c r="BA26" s="33">
        <v>768</v>
      </c>
      <c r="BB26" s="281"/>
      <c r="BC26" s="65" t="e">
        <f t="shared" si="25"/>
        <v>#DIV/0!</v>
      </c>
      <c r="BD26" s="280" t="e">
        <f t="shared" si="26"/>
        <v>#DIV/0!</v>
      </c>
      <c r="BE26" s="57">
        <f t="shared" si="24"/>
        <v>0</v>
      </c>
      <c r="BF26" s="58"/>
      <c r="BH26" s="74"/>
      <c r="BI26" s="75"/>
      <c r="BJ26" s="87"/>
      <c r="BK26" s="87"/>
      <c r="BL26" s="87"/>
      <c r="BM26" s="76"/>
      <c r="BO26" s="74"/>
      <c r="BP26" s="75"/>
      <c r="BQ26" s="87"/>
      <c r="BR26" s="87"/>
      <c r="BS26" s="87"/>
      <c r="BT26" s="76"/>
      <c r="BV26" s="74"/>
      <c r="BW26" s="75"/>
      <c r="BX26" s="87"/>
      <c r="BY26" s="87"/>
      <c r="BZ26" s="87"/>
      <c r="CA26" s="76"/>
      <c r="CC26" s="74"/>
      <c r="CD26" s="75"/>
      <c r="CE26" s="87"/>
      <c r="CF26" s="87"/>
      <c r="CG26" s="87"/>
      <c r="CH26" s="76"/>
      <c r="CJ26" s="74"/>
      <c r="CK26" s="75"/>
      <c r="CL26" s="87"/>
      <c r="CM26" s="87"/>
      <c r="CN26" s="87"/>
      <c r="CO26" s="76"/>
      <c r="CQ26" s="74"/>
      <c r="CR26" s="75"/>
      <c r="CS26" s="87"/>
      <c r="CT26" s="87"/>
      <c r="CU26" s="87"/>
      <c r="CV26" s="76"/>
    </row>
    <row r="27" spans="1:100" s="1" customFormat="1" outlineLevel="1">
      <c r="A27" s="13"/>
      <c r="B27" s="295" t="s">
        <v>986</v>
      </c>
      <c r="C27" s="15" t="s">
        <v>135</v>
      </c>
      <c r="D27" s="459">
        <v>5865647</v>
      </c>
      <c r="E27" s="299">
        <v>19</v>
      </c>
      <c r="F27" s="299">
        <v>1</v>
      </c>
      <c r="G27" s="16"/>
      <c r="I27" s="30" t="str">
        <f t="shared" si="14"/>
        <v>·</v>
      </c>
      <c r="J27" s="31">
        <f t="shared" si="15"/>
        <v>14.342483275928469</v>
      </c>
      <c r="K27" s="31">
        <f t="shared" si="16"/>
        <v>5.8784648990980877</v>
      </c>
      <c r="L27" s="51"/>
      <c r="M27" s="31">
        <f t="shared" si="17"/>
        <v>8.4639010837167667</v>
      </c>
      <c r="N27" s="31">
        <f t="shared" si="18"/>
        <v>14.71606707388003</v>
      </c>
      <c r="O27" s="356">
        <v>5716741</v>
      </c>
      <c r="P27" s="357">
        <v>84127944</v>
      </c>
      <c r="Q27" s="357">
        <v>34481000</v>
      </c>
      <c r="R27" s="51"/>
      <c r="S27" s="357">
        <v>49646256</v>
      </c>
      <c r="T27" s="358">
        <v>82.137276</v>
      </c>
      <c r="U27" s="358">
        <v>77.501227999999998</v>
      </c>
      <c r="V27" s="87"/>
      <c r="W27" s="87"/>
      <c r="X27" s="87"/>
      <c r="Y27" s="358">
        <v>69.469345000000004</v>
      </c>
      <c r="Z27" s="359"/>
      <c r="AA27" s="359"/>
      <c r="AB27" s="32">
        <v>0</v>
      </c>
      <c r="AC27" s="32">
        <v>0</v>
      </c>
      <c r="AD27" s="33"/>
      <c r="AF27" s="30" t="str">
        <f t="shared" si="19"/>
        <v>·</v>
      </c>
      <c r="AG27" s="31">
        <f t="shared" si="20"/>
        <v>14.342483275928469</v>
      </c>
      <c r="AH27" s="31">
        <f t="shared" si="21"/>
        <v>5.8784648990980877</v>
      </c>
      <c r="AI27" s="51"/>
      <c r="AJ27" s="31">
        <f t="shared" si="22"/>
        <v>8.4639010837167667</v>
      </c>
      <c r="AK27" s="31">
        <f t="shared" si="23"/>
        <v>14.71606707388003</v>
      </c>
      <c r="AL27" s="356">
        <v>5716741</v>
      </c>
      <c r="AM27" s="357">
        <v>84127944</v>
      </c>
      <c r="AN27" s="357">
        <v>34481000</v>
      </c>
      <c r="AO27" s="51"/>
      <c r="AP27" s="357">
        <v>49646256</v>
      </c>
      <c r="AQ27" s="358">
        <v>82.137276</v>
      </c>
      <c r="AR27" s="358">
        <v>77.501227999999998</v>
      </c>
      <c r="AS27" s="87"/>
      <c r="AT27" s="87"/>
      <c r="AU27" s="87"/>
      <c r="AV27" s="358">
        <v>69.469345000000004</v>
      </c>
      <c r="AW27" s="359">
        <v>32.618000000000002</v>
      </c>
      <c r="AX27" s="359">
        <v>13.488</v>
      </c>
      <c r="AY27" s="32">
        <v>0</v>
      </c>
      <c r="AZ27" s="32">
        <v>0</v>
      </c>
      <c r="BA27" s="33">
        <v>48</v>
      </c>
      <c r="BB27" s="281"/>
      <c r="BC27" s="65" t="e">
        <f t="shared" si="25"/>
        <v>#DIV/0!</v>
      </c>
      <c r="BD27" s="280" t="e">
        <f t="shared" si="26"/>
        <v>#DIV/0!</v>
      </c>
      <c r="BE27" s="57">
        <f t="shared" si="24"/>
        <v>0</v>
      </c>
      <c r="BF27" s="58"/>
      <c r="BH27" s="74"/>
      <c r="BI27" s="75"/>
      <c r="BJ27" s="87"/>
      <c r="BK27" s="87"/>
      <c r="BL27" s="87"/>
      <c r="BM27" s="76"/>
      <c r="BO27" s="74"/>
      <c r="BP27" s="75"/>
      <c r="BQ27" s="87"/>
      <c r="BR27" s="87"/>
      <c r="BS27" s="87"/>
      <c r="BT27" s="76"/>
      <c r="BV27" s="74"/>
      <c r="BW27" s="75"/>
      <c r="BX27" s="87"/>
      <c r="BY27" s="87"/>
      <c r="BZ27" s="87"/>
      <c r="CA27" s="76"/>
      <c r="CC27" s="74"/>
      <c r="CD27" s="75"/>
      <c r="CE27" s="87"/>
      <c r="CF27" s="87"/>
      <c r="CG27" s="87"/>
      <c r="CH27" s="76"/>
      <c r="CJ27" s="74"/>
      <c r="CK27" s="75"/>
      <c r="CL27" s="87"/>
      <c r="CM27" s="87"/>
      <c r="CN27" s="87"/>
      <c r="CO27" s="76"/>
      <c r="CQ27" s="74"/>
      <c r="CR27" s="75"/>
      <c r="CS27" s="87"/>
      <c r="CT27" s="87"/>
      <c r="CU27" s="87"/>
      <c r="CV27" s="76"/>
    </row>
    <row r="28" spans="1:100" s="1" customFormat="1" ht="14.25" outlineLevel="1" thickBot="1">
      <c r="A28" s="13"/>
      <c r="B28" s="296" t="s">
        <v>986</v>
      </c>
      <c r="C28" s="22" t="s">
        <v>136</v>
      </c>
      <c r="D28" s="462">
        <v>5865647</v>
      </c>
      <c r="E28" s="306">
        <v>19</v>
      </c>
      <c r="F28" s="306">
        <v>1</v>
      </c>
      <c r="G28" s="23"/>
      <c r="I28" s="38" t="str">
        <f t="shared" si="14"/>
        <v>·</v>
      </c>
      <c r="J28" s="39">
        <f t="shared" si="15"/>
        <v>19.024767088779807</v>
      </c>
      <c r="K28" s="39">
        <f t="shared" si="16"/>
        <v>9.1088795490079786</v>
      </c>
      <c r="L28" s="54"/>
      <c r="M28" s="39">
        <f t="shared" si="17"/>
        <v>9.9157688827847981</v>
      </c>
      <c r="N28" s="39">
        <f t="shared" si="18"/>
        <v>19.036106358875315</v>
      </c>
      <c r="O28" s="360">
        <v>5862153</v>
      </c>
      <c r="P28" s="361">
        <v>111592568</v>
      </c>
      <c r="Q28" s="361">
        <v>53429472</v>
      </c>
      <c r="R28" s="54"/>
      <c r="S28" s="361">
        <v>58162400</v>
      </c>
      <c r="T28" s="362">
        <v>87.784180000000006</v>
      </c>
      <c r="U28" s="362">
        <v>83.521827999999999</v>
      </c>
      <c r="V28" s="88"/>
      <c r="W28" s="88"/>
      <c r="X28" s="88"/>
      <c r="Y28" s="362">
        <v>87.974365000000006</v>
      </c>
      <c r="Z28" s="363"/>
      <c r="AA28" s="363"/>
      <c r="AB28" s="36">
        <v>0</v>
      </c>
      <c r="AC28" s="36">
        <v>0</v>
      </c>
      <c r="AD28" s="37"/>
      <c r="AF28" s="38" t="str">
        <f t="shared" si="19"/>
        <v>·</v>
      </c>
      <c r="AG28" s="39">
        <f t="shared" si="20"/>
        <v>19.024767088779807</v>
      </c>
      <c r="AH28" s="39">
        <f t="shared" si="21"/>
        <v>9.1088795490079786</v>
      </c>
      <c r="AI28" s="54"/>
      <c r="AJ28" s="39">
        <f t="shared" si="22"/>
        <v>9.9157688827847981</v>
      </c>
      <c r="AK28" s="39">
        <f t="shared" si="23"/>
        <v>19.036106358875315</v>
      </c>
      <c r="AL28" s="360">
        <v>5862153</v>
      </c>
      <c r="AM28" s="361">
        <v>111592568</v>
      </c>
      <c r="AN28" s="361">
        <v>53429472</v>
      </c>
      <c r="AO28" s="54"/>
      <c r="AP28" s="361">
        <v>58162400</v>
      </c>
      <c r="AQ28" s="362">
        <v>87.784180000000006</v>
      </c>
      <c r="AR28" s="362">
        <v>83.521827999999999</v>
      </c>
      <c r="AS28" s="88"/>
      <c r="AT28" s="88"/>
      <c r="AU28" s="88"/>
      <c r="AV28" s="362">
        <v>87.974365000000006</v>
      </c>
      <c r="AW28" s="363">
        <v>39.192999999999998</v>
      </c>
      <c r="AX28" s="363">
        <v>16.087</v>
      </c>
      <c r="AY28" s="36">
        <v>0</v>
      </c>
      <c r="AZ28" s="36">
        <v>0</v>
      </c>
      <c r="BA28" s="37">
        <v>12</v>
      </c>
      <c r="BB28" s="281"/>
      <c r="BC28" s="65" t="e">
        <f t="shared" si="25"/>
        <v>#DIV/0!</v>
      </c>
      <c r="BD28" s="280" t="e">
        <f t="shared" si="26"/>
        <v>#DIV/0!</v>
      </c>
      <c r="BE28" s="63">
        <f t="shared" si="24"/>
        <v>0</v>
      </c>
      <c r="BF28" s="64"/>
      <c r="BH28" s="80"/>
      <c r="BI28" s="81"/>
      <c r="BJ28" s="89"/>
      <c r="BK28" s="89"/>
      <c r="BL28" s="89"/>
      <c r="BM28" s="82"/>
      <c r="BO28" s="80"/>
      <c r="BP28" s="81"/>
      <c r="BQ28" s="89"/>
      <c r="BR28" s="89"/>
      <c r="BS28" s="89"/>
      <c r="BT28" s="82"/>
      <c r="BV28" s="77"/>
      <c r="BW28" s="78"/>
      <c r="BX28" s="88"/>
      <c r="BY28" s="88"/>
      <c r="BZ28" s="88"/>
      <c r="CA28" s="79"/>
      <c r="CC28" s="80"/>
      <c r="CD28" s="81"/>
      <c r="CE28" s="89"/>
      <c r="CF28" s="89"/>
      <c r="CG28" s="89"/>
      <c r="CH28" s="82"/>
      <c r="CJ28" s="80"/>
      <c r="CK28" s="81"/>
      <c r="CL28" s="89"/>
      <c r="CM28" s="89"/>
      <c r="CN28" s="89"/>
      <c r="CO28" s="82"/>
      <c r="CQ28" s="80"/>
      <c r="CR28" s="81"/>
      <c r="CS28" s="89"/>
      <c r="CT28" s="89"/>
      <c r="CU28" s="89"/>
      <c r="CV28" s="82"/>
    </row>
    <row r="29" spans="1:100" s="1" customFormat="1">
      <c r="A29" s="13"/>
      <c r="B29" s="293" t="s">
        <v>1018</v>
      </c>
      <c r="C29" s="28" t="s">
        <v>131</v>
      </c>
      <c r="D29" s="463">
        <v>5538380</v>
      </c>
      <c r="E29" s="308">
        <v>19</v>
      </c>
      <c r="F29" s="308">
        <v>1</v>
      </c>
      <c r="G29" s="29"/>
      <c r="I29" s="46" t="str">
        <f t="shared" si="14"/>
        <v>·</v>
      </c>
      <c r="J29" s="47">
        <f t="shared" si="15"/>
        <v>8.6991502930459805E-2</v>
      </c>
      <c r="K29" s="47">
        <f t="shared" si="16"/>
        <v>3.2631924858893754E-2</v>
      </c>
      <c r="L29" s="50"/>
      <c r="M29" s="47">
        <f t="shared" si="17"/>
        <v>5.4238242951910126E-2</v>
      </c>
      <c r="N29" s="47">
        <f t="shared" si="18"/>
        <v>6.1807032623058076</v>
      </c>
      <c r="O29" s="352">
        <v>77951</v>
      </c>
      <c r="P29" s="353">
        <v>481792</v>
      </c>
      <c r="Q29" s="353">
        <v>180728</v>
      </c>
      <c r="R29" s="50"/>
      <c r="S29" s="353">
        <v>300392</v>
      </c>
      <c r="T29" s="354">
        <v>45.603825000000001</v>
      </c>
      <c r="U29" s="354">
        <v>41.400215000000003</v>
      </c>
      <c r="V29" s="87"/>
      <c r="W29" s="87"/>
      <c r="X29" s="87"/>
      <c r="Y29" s="354">
        <v>48.789164999999997</v>
      </c>
      <c r="Z29" s="355"/>
      <c r="AA29" s="355"/>
      <c r="AB29" s="48">
        <v>0</v>
      </c>
      <c r="AC29" s="48">
        <v>0</v>
      </c>
      <c r="AD29" s="49"/>
      <c r="AF29" s="46" t="str">
        <f t="shared" si="19"/>
        <v>·</v>
      </c>
      <c r="AG29" s="47">
        <f t="shared" si="20"/>
        <v>8.6991502930459805E-2</v>
      </c>
      <c r="AH29" s="47">
        <f t="shared" si="21"/>
        <v>3.2631924858893754E-2</v>
      </c>
      <c r="AI29" s="50"/>
      <c r="AJ29" s="47">
        <f t="shared" si="22"/>
        <v>5.4238242951910126E-2</v>
      </c>
      <c r="AK29" s="47">
        <f t="shared" si="23"/>
        <v>6.1807032623058076</v>
      </c>
      <c r="AL29" s="352">
        <v>77951</v>
      </c>
      <c r="AM29" s="353">
        <v>481792</v>
      </c>
      <c r="AN29" s="353">
        <v>180728</v>
      </c>
      <c r="AO29" s="50"/>
      <c r="AP29" s="353">
        <v>300392</v>
      </c>
      <c r="AQ29" s="354">
        <v>45.603825000000001</v>
      </c>
      <c r="AR29" s="354">
        <v>41.400215000000003</v>
      </c>
      <c r="AS29" s="87"/>
      <c r="AT29" s="87"/>
      <c r="AU29" s="87"/>
      <c r="AV29" s="354">
        <v>48.789164999999997</v>
      </c>
      <c r="AW29" s="355">
        <v>1.978</v>
      </c>
      <c r="AX29" s="355">
        <v>9.6000000000000002E-2</v>
      </c>
      <c r="AY29" s="48">
        <v>0</v>
      </c>
      <c r="AZ29" s="48">
        <v>0</v>
      </c>
      <c r="BA29" s="49">
        <v>195588</v>
      </c>
      <c r="BC29" s="65" t="e">
        <f>AY29/AB29</f>
        <v>#DIV/0!</v>
      </c>
      <c r="BD29" s="69" t="e">
        <f t="shared" si="26"/>
        <v>#DIV/0!</v>
      </c>
      <c r="BE29" s="69">
        <f t="shared" si="24"/>
        <v>0</v>
      </c>
      <c r="BF29" s="70">
        <f t="array" ref="BF29">AVERAGE(AN29:AN34/AM29:AM34) - AVERAGE(Q29:Q34/P29:P34)</f>
        <v>0</v>
      </c>
      <c r="BH29" s="224">
        <f>IF( OR(ISBLANK($Q29:$Q34),ISBLANK($AN29:$AN34), ISBLANK($T29:$T34),ISBLANK($AQ29:$AQ34)), "·", bdRateHermite( $Q29:$Q34,$T29:$T34, $AN29:$AN34,$AQ29:$AQ34))</f>
        <v>0</v>
      </c>
      <c r="BI29" s="225">
        <f>IF(OR(ISBLANK($Q29:$Q34),ISBLANK($AN29:$AN34),ISBLANK($U29:$U34),ISBLANK($AR29:$AR34)),"·",bdRateHermite($Q29:$Q34,$U29:$U34,$AN29:$AN34,$AR29:$AR34))</f>
        <v>0</v>
      </c>
      <c r="BJ29" s="90"/>
      <c r="BK29" s="90"/>
      <c r="BL29" s="90"/>
      <c r="BM29" s="226">
        <f>IF( OR(ISBLANK($S29:$S34),ISBLANK($AP29:$AP34), ISBLANK($Y29:$Y34),ISBLANK($AV29:$AV34)), "·", bdRateHermite($S29:$S34,$Y29:$Y34, $AP29:$AP34,$AV29:$AV34))</f>
        <v>0</v>
      </c>
      <c r="BO29" s="224">
        <f>IF( OR(ISBLANK($P29:$P34),ISBLANK($AM29:$AM34), ISBLANK($T29:$T34),ISBLANK($AQ29:$AQ34)), "·", bdRateHermite($P29:$P34,$T29:$T34, $AM29:$AM34,$AQ29:$AQ34))</f>
        <v>0</v>
      </c>
      <c r="BP29" s="225">
        <f>IF( OR(ISBLANK($P29:$P34),ISBLANK($AM29:$AM34), ISBLANK($U29:$U34),ISBLANK($AR29:$AR34)), "·", bdRateHermite( $P29:$P34,$U29:$U34, $AM29:$AM34,$AR29:$AR34))</f>
        <v>0</v>
      </c>
      <c r="BQ29" s="90"/>
      <c r="BR29" s="90"/>
      <c r="BS29" s="90"/>
      <c r="BT29" s="86">
        <f>IF( OR(ISBLANK($P29:$P34),ISBLANK($AM29:$AM34), ISBLANK($Y29:$Y34),ISBLANK($AV29:$AV34)), "·", bdRateHermite( $P29:$P34,$Y29:$Y34, $AM29:$AM34,$AV29:$AV34))</f>
        <v>0</v>
      </c>
      <c r="BV29" s="83">
        <f>IF( OR(ISBLANK($Q29:$Q33),ISBLANK($AN29:$AN33), ISBLANK($T29:$T33),ISBLANK($AQ29:$AQ33)), "·", bdRateHermite( $Q30:$Q34,$T30:$T34, $AN30:$AN34,$AQ30:$AQ34))</f>
        <v>0</v>
      </c>
      <c r="BW29" s="84">
        <f>IF(OR(ISBLANK($Q29:$Q34),ISBLANK($AN29:$AN34),ISBLANK($U29:$U34),ISBLANK($AR29:$AR34)),"·",bdRateHermite($Q30:$Q34,$U30:$U34,$AN30:$AN34,$AR30:$AR34))</f>
        <v>0</v>
      </c>
      <c r="BX29" s="92"/>
      <c r="BY29" s="92"/>
      <c r="BZ29" s="92"/>
      <c r="CA29" s="184">
        <f>IF( OR(ISBLANK($S29:$S34),ISBLANK($AP29:$AP34), ISBLANK($Y29:$Y34),ISBLANK($AV29:$AV34)), "·", bdRateHermite($S30:$S34,$Y30:$Y34, $AP30:$AP34,$AV30:$AV34))</f>
        <v>0</v>
      </c>
      <c r="CC29" s="224">
        <f>IF( OR(ISBLANK($P29:$P34),ISBLANK($AM29:$AM34), ISBLANK($T29:$T34),ISBLANK($AQ29:$AQ34)), "·", bdRateHermite($P30:$P34,$T30:$T34, $AM30:$AM34,$AQ30:$AQ34))</f>
        <v>0</v>
      </c>
      <c r="CD29" s="225">
        <f>IF( OR(ISBLANK($P29:$P34),ISBLANK($AM29:$AM34), ISBLANK($U29:$U34),ISBLANK($AR29:$AR34)), "·", bdRateHermite( $P30:$P34,$U30:$U34, $AM30:$AM34,$AR30:$AR34))</f>
        <v>0</v>
      </c>
      <c r="CE29" s="90"/>
      <c r="CF29" s="90"/>
      <c r="CG29" s="90"/>
      <c r="CH29" s="86">
        <f>IF( OR(ISBLANK($P29:$P34),ISBLANK($AM29:$AM34), ISBLANK($Y29:$Y34),ISBLANK($AV29:$AV34)), "·", bdRateHermite( $P30:$P34,$Y30:$Y34, $AM30:$AM34,$AV30:$AV34))</f>
        <v>0</v>
      </c>
      <c r="CJ29" s="224">
        <f>IF( OR(ISBLANK($Q29:$Q33),ISBLANK($AN29:$AN33), ISBLANK($T29:$T33),ISBLANK($AQ29:$AQ33)), "·", bdRateHermite( $Q29:$Q33,$T29:$T33, $AN29:$AN33,$AQ29:$AQ33))</f>
        <v>0</v>
      </c>
      <c r="CK29" s="225">
        <f>IF(OR(ISBLANK($Q29:$Q33),ISBLANK($AN29:$AN33),ISBLANK($U29:$U33),ISBLANK($AR29:$AR33)),"·",bdRateHermite($Q29:$Q33,$U29:$U33,$AN29:$AN33,$AR29:$AR33))</f>
        <v>0</v>
      </c>
      <c r="CL29" s="90"/>
      <c r="CM29" s="90"/>
      <c r="CN29" s="90"/>
      <c r="CO29" s="226">
        <f>IF( OR(ISBLANK($S29:$S33),ISBLANK($AP29:$AP33), ISBLANK($Y29:$Y33),ISBLANK($AV29:$AV33)), "·", bdRateHermite($S29:$S33,$Y29:$Y33, $AP29:$AP33,$AV29:$AV33))</f>
        <v>0</v>
      </c>
      <c r="CQ29" s="224">
        <f>IF( OR(ISBLANK($P29:$P33),ISBLANK($AM29:$AM33), ISBLANK($T29:$T33),ISBLANK($AQ29:$AQ33)), "·", bdRateHermite($P29:$P33,$T29:$T33, $AM29:$AM33,$AQ29:$AQ33))</f>
        <v>0</v>
      </c>
      <c r="CR29" s="225">
        <f>IF( OR(ISBLANK($P29:$P33),ISBLANK($AM29:$AM33), ISBLANK($U29:$U33),ISBLANK($AR29:$AR33)), "·", bdRateHermite( $P29:$P33,$U29:$U33, $AM29:$AM33,$AR29:$AR33))</f>
        <v>0</v>
      </c>
      <c r="CS29" s="90"/>
      <c r="CT29" s="90"/>
      <c r="CU29" s="90"/>
      <c r="CV29" s="86">
        <f>IF( OR(ISBLANK($P29:$P33),ISBLANK($AM29:$AM33), ISBLANK($Y29:$Y33),ISBLANK($AV29:$AV33)), "·", bdRateHermite( $P29:$P33,$Y29:$Y33, $AM29:$AM33,$AV29:$AV33))</f>
        <v>0</v>
      </c>
    </row>
    <row r="30" spans="1:100" s="1" customFormat="1" outlineLevel="1">
      <c r="A30" s="13"/>
      <c r="B30" s="291" t="s">
        <v>987</v>
      </c>
      <c r="C30" s="15" t="s">
        <v>132</v>
      </c>
      <c r="D30" s="459">
        <v>5538380</v>
      </c>
      <c r="E30" s="299">
        <v>19</v>
      </c>
      <c r="F30" s="299">
        <v>1</v>
      </c>
      <c r="G30" s="16"/>
      <c r="I30" s="30" t="str">
        <f t="shared" si="14"/>
        <v>·</v>
      </c>
      <c r="J30" s="31">
        <f t="shared" si="15"/>
        <v>0.35251752317464674</v>
      </c>
      <c r="K30" s="31">
        <f t="shared" si="16"/>
        <v>0.11324611167886639</v>
      </c>
      <c r="L30" s="51"/>
      <c r="M30" s="31">
        <f t="shared" si="17"/>
        <v>0.23915152084183461</v>
      </c>
      <c r="N30" s="31">
        <f t="shared" si="18"/>
        <v>7.4403155427678591</v>
      </c>
      <c r="O30" s="356">
        <v>262405</v>
      </c>
      <c r="P30" s="357">
        <v>1952376</v>
      </c>
      <c r="Q30" s="357">
        <v>627200</v>
      </c>
      <c r="R30" s="51"/>
      <c r="S30" s="357">
        <v>1324512</v>
      </c>
      <c r="T30" s="358">
        <v>52.493271</v>
      </c>
      <c r="U30" s="358">
        <v>47.420814999999997</v>
      </c>
      <c r="V30" s="87"/>
      <c r="W30" s="87"/>
      <c r="X30" s="87"/>
      <c r="Y30" s="358">
        <v>50.830257000000003</v>
      </c>
      <c r="Z30" s="359"/>
      <c r="AA30" s="359"/>
      <c r="AB30" s="32">
        <v>0</v>
      </c>
      <c r="AC30" s="32">
        <v>0</v>
      </c>
      <c r="AD30" s="33"/>
      <c r="AF30" s="30" t="str">
        <f t="shared" si="19"/>
        <v>·</v>
      </c>
      <c r="AG30" s="31">
        <f t="shared" si="20"/>
        <v>0.35251752317464674</v>
      </c>
      <c r="AH30" s="31">
        <f t="shared" si="21"/>
        <v>0.11324611167886639</v>
      </c>
      <c r="AI30" s="51"/>
      <c r="AJ30" s="31">
        <f t="shared" si="22"/>
        <v>0.23915152084183461</v>
      </c>
      <c r="AK30" s="31">
        <f t="shared" si="23"/>
        <v>7.4403155427678591</v>
      </c>
      <c r="AL30" s="356">
        <v>262405</v>
      </c>
      <c r="AM30" s="357">
        <v>1952376</v>
      </c>
      <c r="AN30" s="357">
        <v>627200</v>
      </c>
      <c r="AO30" s="51"/>
      <c r="AP30" s="357">
        <v>1324512</v>
      </c>
      <c r="AQ30" s="358">
        <v>52.493271</v>
      </c>
      <c r="AR30" s="358">
        <v>47.420814999999997</v>
      </c>
      <c r="AS30" s="87"/>
      <c r="AT30" s="87"/>
      <c r="AU30" s="87"/>
      <c r="AV30" s="358">
        <v>50.830257000000003</v>
      </c>
      <c r="AW30" s="359">
        <v>2.7890000000000001</v>
      </c>
      <c r="AX30" s="359">
        <v>0.33900000000000002</v>
      </c>
      <c r="AY30" s="32">
        <v>0</v>
      </c>
      <c r="AZ30" s="32">
        <v>0</v>
      </c>
      <c r="BA30" s="33">
        <v>48897</v>
      </c>
      <c r="BC30" s="65" t="e">
        <f t="shared" ref="BC30:BD82" si="27">AY30/AB30</f>
        <v>#DIV/0!</v>
      </c>
      <c r="BD30" s="57" t="e">
        <f t="shared" si="26"/>
        <v>#DIV/0!</v>
      </c>
      <c r="BE30" s="57">
        <f t="shared" si="24"/>
        <v>0</v>
      </c>
      <c r="BF30" s="58"/>
      <c r="BH30" s="74"/>
      <c r="BI30" s="75"/>
      <c r="BJ30" s="87"/>
      <c r="BK30" s="87"/>
      <c r="BL30" s="87"/>
      <c r="BM30" s="76"/>
      <c r="BO30" s="74"/>
      <c r="BP30" s="75"/>
      <c r="BQ30" s="87"/>
      <c r="BR30" s="87"/>
      <c r="BS30" s="87"/>
      <c r="BT30" s="76"/>
      <c r="BV30" s="74"/>
      <c r="BW30" s="75"/>
      <c r="BX30" s="87"/>
      <c r="BY30" s="87"/>
      <c r="BZ30" s="87"/>
      <c r="CA30" s="76"/>
      <c r="CC30" s="74"/>
      <c r="CD30" s="75"/>
      <c r="CE30" s="87"/>
      <c r="CF30" s="87"/>
      <c r="CG30" s="87"/>
      <c r="CH30" s="76"/>
      <c r="CJ30" s="74"/>
      <c r="CK30" s="75"/>
      <c r="CL30" s="87"/>
      <c r="CM30" s="87"/>
      <c r="CN30" s="87"/>
      <c r="CO30" s="76"/>
      <c r="CQ30" s="74"/>
      <c r="CR30" s="75"/>
      <c r="CS30" s="87"/>
      <c r="CT30" s="87"/>
      <c r="CU30" s="87"/>
      <c r="CV30" s="76"/>
    </row>
    <row r="31" spans="1:100" s="1" customFormat="1" outlineLevel="1">
      <c r="A31" s="13"/>
      <c r="B31" s="291" t="s">
        <v>987</v>
      </c>
      <c r="C31" s="15" t="s">
        <v>133</v>
      </c>
      <c r="D31" s="459">
        <v>5538380</v>
      </c>
      <c r="E31" s="299">
        <v>19</v>
      </c>
      <c r="F31" s="299">
        <v>1</v>
      </c>
      <c r="G31" s="16"/>
      <c r="I31" s="30" t="str">
        <f t="shared" si="14"/>
        <v>·</v>
      </c>
      <c r="J31" s="31">
        <f t="shared" si="15"/>
        <v>3.2785081558145164</v>
      </c>
      <c r="K31" s="31">
        <f t="shared" si="16"/>
        <v>1.2017449145779091</v>
      </c>
      <c r="L31" s="51"/>
      <c r="M31" s="31">
        <f t="shared" si="17"/>
        <v>2.0766375727198207</v>
      </c>
      <c r="N31" s="31">
        <f t="shared" si="18"/>
        <v>10.020708494986231</v>
      </c>
      <c r="O31" s="356">
        <v>1812010</v>
      </c>
      <c r="P31" s="357">
        <v>18157624</v>
      </c>
      <c r="Q31" s="357">
        <v>6655720</v>
      </c>
      <c r="R31" s="51"/>
      <c r="S31" s="357">
        <v>11501208</v>
      </c>
      <c r="T31" s="358">
        <v>64.209282000000002</v>
      </c>
      <c r="U31" s="358">
        <v>59.439425999999997</v>
      </c>
      <c r="V31" s="87"/>
      <c r="W31" s="87"/>
      <c r="X31" s="87"/>
      <c r="Y31" s="358">
        <v>54.275326</v>
      </c>
      <c r="Z31" s="359"/>
      <c r="AA31" s="359"/>
      <c r="AB31" s="32">
        <v>0</v>
      </c>
      <c r="AC31" s="32">
        <v>0</v>
      </c>
      <c r="AD31" s="33"/>
      <c r="AF31" s="30" t="str">
        <f t="shared" si="19"/>
        <v>·</v>
      </c>
      <c r="AG31" s="31">
        <f t="shared" si="20"/>
        <v>3.2785081558145164</v>
      </c>
      <c r="AH31" s="31">
        <f t="shared" si="21"/>
        <v>1.2017449145779091</v>
      </c>
      <c r="AI31" s="51"/>
      <c r="AJ31" s="31">
        <f t="shared" si="22"/>
        <v>2.0766375727198207</v>
      </c>
      <c r="AK31" s="31">
        <f t="shared" si="23"/>
        <v>10.020708494986231</v>
      </c>
      <c r="AL31" s="356">
        <v>1812010</v>
      </c>
      <c r="AM31" s="357">
        <v>18157624</v>
      </c>
      <c r="AN31" s="357">
        <v>6655720</v>
      </c>
      <c r="AO31" s="51"/>
      <c r="AP31" s="357">
        <v>11501208</v>
      </c>
      <c r="AQ31" s="358">
        <v>64.209282000000002</v>
      </c>
      <c r="AR31" s="358">
        <v>59.439425999999997</v>
      </c>
      <c r="AS31" s="87"/>
      <c r="AT31" s="87"/>
      <c r="AU31" s="87"/>
      <c r="AV31" s="358">
        <v>54.275326</v>
      </c>
      <c r="AW31" s="359">
        <v>10.013999999999999</v>
      </c>
      <c r="AX31" s="359">
        <v>3.101</v>
      </c>
      <c r="AY31" s="32">
        <v>0</v>
      </c>
      <c r="AZ31" s="32">
        <v>0</v>
      </c>
      <c r="BA31" s="33">
        <v>3072</v>
      </c>
      <c r="BC31" s="65" t="e">
        <f t="shared" si="27"/>
        <v>#DIV/0!</v>
      </c>
      <c r="BD31" s="57" t="e">
        <f t="shared" si="26"/>
        <v>#DIV/0!</v>
      </c>
      <c r="BE31" s="57">
        <f t="shared" si="24"/>
        <v>0</v>
      </c>
      <c r="BF31" s="58"/>
      <c r="BH31" s="74"/>
      <c r="BI31" s="75"/>
      <c r="BJ31" s="87"/>
      <c r="BK31" s="87"/>
      <c r="BL31" s="87"/>
      <c r="BM31" s="76"/>
      <c r="BO31" s="74"/>
      <c r="BP31" s="75"/>
      <c r="BQ31" s="87"/>
      <c r="BR31" s="87"/>
      <c r="BS31" s="87"/>
      <c r="BT31" s="76"/>
      <c r="BV31" s="74"/>
      <c r="BW31" s="75"/>
      <c r="BX31" s="87"/>
      <c r="BY31" s="87"/>
      <c r="BZ31" s="87"/>
      <c r="CA31" s="76"/>
      <c r="CC31" s="74"/>
      <c r="CD31" s="75"/>
      <c r="CE31" s="87"/>
      <c r="CF31" s="87"/>
      <c r="CG31" s="87"/>
      <c r="CH31" s="76"/>
      <c r="CJ31" s="74"/>
      <c r="CK31" s="75"/>
      <c r="CL31" s="87"/>
      <c r="CM31" s="87"/>
      <c r="CN31" s="87"/>
      <c r="CO31" s="76"/>
      <c r="CQ31" s="74"/>
      <c r="CR31" s="75"/>
      <c r="CS31" s="87"/>
      <c r="CT31" s="87"/>
      <c r="CU31" s="87"/>
      <c r="CV31" s="76"/>
    </row>
    <row r="32" spans="1:100" s="1" customFormat="1" outlineLevel="1">
      <c r="A32" s="13"/>
      <c r="B32" s="291" t="s">
        <v>987</v>
      </c>
      <c r="C32" s="15" t="s">
        <v>134</v>
      </c>
      <c r="D32" s="459">
        <v>5538380</v>
      </c>
      <c r="E32" s="299">
        <v>19</v>
      </c>
      <c r="F32" s="299">
        <v>1</v>
      </c>
      <c r="G32" s="16"/>
      <c r="I32" s="30" t="str">
        <f t="shared" si="14"/>
        <v>·</v>
      </c>
      <c r="J32" s="31">
        <f t="shared" si="15"/>
        <v>7.1637901335769669</v>
      </c>
      <c r="K32" s="31">
        <f t="shared" si="16"/>
        <v>2.7808810518599301</v>
      </c>
      <c r="L32" s="51"/>
      <c r="M32" s="31">
        <f t="shared" si="17"/>
        <v>4.3827834132002499</v>
      </c>
      <c r="N32" s="31">
        <f t="shared" si="18"/>
        <v>12.852352978333649</v>
      </c>
      <c r="O32" s="356">
        <v>3087045</v>
      </c>
      <c r="P32" s="357">
        <v>39675792</v>
      </c>
      <c r="Q32" s="357">
        <v>15401576</v>
      </c>
      <c r="R32" s="51"/>
      <c r="S32" s="357">
        <v>24273520</v>
      </c>
      <c r="T32" s="358">
        <v>70.220878999999996</v>
      </c>
      <c r="U32" s="358">
        <v>65.460021999999995</v>
      </c>
      <c r="V32" s="87"/>
      <c r="W32" s="87"/>
      <c r="X32" s="87"/>
      <c r="Y32" s="358">
        <v>57.18206</v>
      </c>
      <c r="Z32" s="359"/>
      <c r="AA32" s="359"/>
      <c r="AB32" s="32">
        <v>0</v>
      </c>
      <c r="AC32" s="32">
        <v>0</v>
      </c>
      <c r="AD32" s="33"/>
      <c r="AF32" s="30" t="str">
        <f t="shared" si="19"/>
        <v>·</v>
      </c>
      <c r="AG32" s="31">
        <f t="shared" si="20"/>
        <v>7.1637901335769669</v>
      </c>
      <c r="AH32" s="31">
        <f t="shared" si="21"/>
        <v>2.7808810518599301</v>
      </c>
      <c r="AI32" s="51"/>
      <c r="AJ32" s="31">
        <f t="shared" si="22"/>
        <v>4.3827834132002499</v>
      </c>
      <c r="AK32" s="31">
        <f t="shared" si="23"/>
        <v>12.852352978333649</v>
      </c>
      <c r="AL32" s="356">
        <v>3087045</v>
      </c>
      <c r="AM32" s="357">
        <v>39675792</v>
      </c>
      <c r="AN32" s="357">
        <v>15401576</v>
      </c>
      <c r="AO32" s="51"/>
      <c r="AP32" s="357">
        <v>24273520</v>
      </c>
      <c r="AQ32" s="358">
        <v>70.220878999999996</v>
      </c>
      <c r="AR32" s="358">
        <v>65.460021999999995</v>
      </c>
      <c r="AS32" s="87"/>
      <c r="AT32" s="87"/>
      <c r="AU32" s="87"/>
      <c r="AV32" s="358">
        <v>57.18206</v>
      </c>
      <c r="AW32" s="359">
        <v>17.175999999999998</v>
      </c>
      <c r="AX32" s="359">
        <v>6.2590000000000003</v>
      </c>
      <c r="AY32" s="32">
        <v>0</v>
      </c>
      <c r="AZ32" s="32">
        <v>0</v>
      </c>
      <c r="BA32" s="33">
        <v>768</v>
      </c>
      <c r="BC32" s="65" t="e">
        <f t="shared" si="27"/>
        <v>#DIV/0!</v>
      </c>
      <c r="BD32" s="57" t="e">
        <f t="shared" si="26"/>
        <v>#DIV/0!</v>
      </c>
      <c r="BE32" s="57">
        <f t="shared" si="24"/>
        <v>0</v>
      </c>
      <c r="BF32" s="58"/>
      <c r="BH32" s="74"/>
      <c r="BI32" s="75"/>
      <c r="BJ32" s="87"/>
      <c r="BK32" s="87"/>
      <c r="BL32" s="87"/>
      <c r="BM32" s="76"/>
      <c r="BO32" s="74"/>
      <c r="BP32" s="75"/>
      <c r="BQ32" s="87"/>
      <c r="BR32" s="87"/>
      <c r="BS32" s="87"/>
      <c r="BT32" s="76"/>
      <c r="BV32" s="74"/>
      <c r="BW32" s="75"/>
      <c r="BX32" s="87"/>
      <c r="BY32" s="87"/>
      <c r="BZ32" s="87"/>
      <c r="CA32" s="76"/>
      <c r="CC32" s="74"/>
      <c r="CD32" s="75"/>
      <c r="CE32" s="87"/>
      <c r="CF32" s="87"/>
      <c r="CG32" s="87"/>
      <c r="CH32" s="76"/>
      <c r="CJ32" s="74"/>
      <c r="CK32" s="75"/>
      <c r="CL32" s="87"/>
      <c r="CM32" s="87"/>
      <c r="CN32" s="87"/>
      <c r="CO32" s="76"/>
      <c r="CQ32" s="74"/>
      <c r="CR32" s="75"/>
      <c r="CS32" s="87"/>
      <c r="CT32" s="87"/>
      <c r="CU32" s="87"/>
      <c r="CV32" s="76"/>
    </row>
    <row r="33" spans="1:100" s="1" customFormat="1" outlineLevel="1">
      <c r="A33" s="13"/>
      <c r="B33" s="291" t="s">
        <v>987</v>
      </c>
      <c r="C33" s="15" t="s">
        <v>135</v>
      </c>
      <c r="D33" s="459">
        <v>5538380</v>
      </c>
      <c r="E33" s="299">
        <v>19</v>
      </c>
      <c r="F33" s="299">
        <v>1</v>
      </c>
      <c r="G33" s="16"/>
      <c r="I33" s="30" t="str">
        <f t="shared" si="14"/>
        <v>·</v>
      </c>
      <c r="J33" s="31">
        <f t="shared" si="15"/>
        <v>16.083796344779522</v>
      </c>
      <c r="K33" s="31">
        <f t="shared" si="16"/>
        <v>7.7293475709503499</v>
      </c>
      <c r="L33" s="51"/>
      <c r="M33" s="31">
        <f t="shared" si="17"/>
        <v>8.3543187719152527</v>
      </c>
      <c r="N33" s="31">
        <f t="shared" si="18"/>
        <v>16.891632497450939</v>
      </c>
      <c r="O33" s="356">
        <v>5273509</v>
      </c>
      <c r="P33" s="357">
        <v>89078176</v>
      </c>
      <c r="Q33" s="357">
        <v>42808064</v>
      </c>
      <c r="R33" s="51"/>
      <c r="S33" s="357">
        <v>46269392</v>
      </c>
      <c r="T33" s="358">
        <v>82.137360000000001</v>
      </c>
      <c r="U33" s="358">
        <v>77.501227999999998</v>
      </c>
      <c r="V33" s="87"/>
      <c r="W33" s="87"/>
      <c r="X33" s="87"/>
      <c r="Y33" s="358">
        <v>67.208022999999997</v>
      </c>
      <c r="Z33" s="359"/>
      <c r="AA33" s="359"/>
      <c r="AB33" s="32">
        <v>0</v>
      </c>
      <c r="AC33" s="32">
        <v>0</v>
      </c>
      <c r="AD33" s="33"/>
      <c r="AF33" s="30" t="str">
        <f t="shared" si="19"/>
        <v>·</v>
      </c>
      <c r="AG33" s="31">
        <f t="shared" si="20"/>
        <v>16.083796344779522</v>
      </c>
      <c r="AH33" s="31">
        <f t="shared" si="21"/>
        <v>7.7293475709503499</v>
      </c>
      <c r="AI33" s="51"/>
      <c r="AJ33" s="31">
        <f t="shared" si="22"/>
        <v>8.3543187719152527</v>
      </c>
      <c r="AK33" s="31">
        <f t="shared" si="23"/>
        <v>16.891632497450939</v>
      </c>
      <c r="AL33" s="356">
        <v>5273509</v>
      </c>
      <c r="AM33" s="357">
        <v>89078176</v>
      </c>
      <c r="AN33" s="357">
        <v>42808064</v>
      </c>
      <c r="AO33" s="51"/>
      <c r="AP33" s="357">
        <v>46269392</v>
      </c>
      <c r="AQ33" s="358">
        <v>82.137360000000001</v>
      </c>
      <c r="AR33" s="358">
        <v>77.501227999999998</v>
      </c>
      <c r="AS33" s="87"/>
      <c r="AT33" s="87"/>
      <c r="AU33" s="87"/>
      <c r="AV33" s="358">
        <v>67.208022999999997</v>
      </c>
      <c r="AW33" s="359">
        <v>28.837</v>
      </c>
      <c r="AX33" s="359">
        <v>12.573</v>
      </c>
      <c r="AY33" s="32">
        <v>0</v>
      </c>
      <c r="AZ33" s="32">
        <v>0</v>
      </c>
      <c r="BA33" s="33">
        <v>48</v>
      </c>
      <c r="BC33" s="65" t="e">
        <f t="shared" si="27"/>
        <v>#DIV/0!</v>
      </c>
      <c r="BD33" s="57" t="e">
        <f t="shared" si="26"/>
        <v>#DIV/0!</v>
      </c>
      <c r="BE33" s="57">
        <f t="shared" si="24"/>
        <v>0</v>
      </c>
      <c r="BF33" s="58"/>
      <c r="BH33" s="74"/>
      <c r="BI33" s="75"/>
      <c r="BJ33" s="87"/>
      <c r="BK33" s="87"/>
      <c r="BL33" s="87"/>
      <c r="BM33" s="76"/>
      <c r="BO33" s="74"/>
      <c r="BP33" s="75"/>
      <c r="BQ33" s="87"/>
      <c r="BR33" s="87"/>
      <c r="BS33" s="87"/>
      <c r="BT33" s="76"/>
      <c r="BV33" s="74"/>
      <c r="BW33" s="75"/>
      <c r="BX33" s="87"/>
      <c r="BY33" s="87"/>
      <c r="BZ33" s="87"/>
      <c r="CA33" s="76"/>
      <c r="CC33" s="74"/>
      <c r="CD33" s="75"/>
      <c r="CE33" s="87"/>
      <c r="CF33" s="87"/>
      <c r="CG33" s="87"/>
      <c r="CH33" s="76"/>
      <c r="CJ33" s="74"/>
      <c r="CK33" s="75"/>
      <c r="CL33" s="87"/>
      <c r="CM33" s="87"/>
      <c r="CN33" s="87"/>
      <c r="CO33" s="76"/>
      <c r="CQ33" s="74"/>
      <c r="CR33" s="75"/>
      <c r="CS33" s="87"/>
      <c r="CT33" s="87"/>
      <c r="CU33" s="87"/>
      <c r="CV33" s="76"/>
    </row>
    <row r="34" spans="1:100" s="1" customFormat="1" ht="14.25" outlineLevel="1" thickBot="1">
      <c r="A34" s="13"/>
      <c r="B34" s="292" t="s">
        <v>987</v>
      </c>
      <c r="C34" s="19" t="s">
        <v>136</v>
      </c>
      <c r="D34" s="460">
        <v>5538380</v>
      </c>
      <c r="E34" s="302">
        <v>19</v>
      </c>
      <c r="F34" s="302">
        <v>1</v>
      </c>
      <c r="G34" s="20"/>
      <c r="I34" s="34" t="str">
        <f t="shared" si="14"/>
        <v>·</v>
      </c>
      <c r="J34" s="35">
        <f t="shared" si="15"/>
        <v>20.774451734983877</v>
      </c>
      <c r="K34" s="35">
        <f t="shared" si="16"/>
        <v>10.826771727472654</v>
      </c>
      <c r="L34" s="52"/>
      <c r="M34" s="35">
        <f t="shared" si="17"/>
        <v>9.9475514500630151</v>
      </c>
      <c r="N34" s="35">
        <f t="shared" si="18"/>
        <v>20.870370471143637</v>
      </c>
      <c r="O34" s="360">
        <v>5512926</v>
      </c>
      <c r="P34" s="361">
        <v>115056808</v>
      </c>
      <c r="Q34" s="361">
        <v>59962776</v>
      </c>
      <c r="R34" s="52"/>
      <c r="S34" s="361">
        <v>55093320</v>
      </c>
      <c r="T34" s="362">
        <v>87.781433000000007</v>
      </c>
      <c r="U34" s="362">
        <v>83.521827999999999</v>
      </c>
      <c r="V34" s="89"/>
      <c r="W34" s="89"/>
      <c r="X34" s="89"/>
      <c r="Y34" s="362">
        <v>74.354393000000002</v>
      </c>
      <c r="Z34" s="363"/>
      <c r="AA34" s="363"/>
      <c r="AB34" s="36">
        <v>0</v>
      </c>
      <c r="AC34" s="36">
        <v>0</v>
      </c>
      <c r="AD34" s="37"/>
      <c r="AF34" s="34" t="str">
        <f t="shared" si="19"/>
        <v>·</v>
      </c>
      <c r="AG34" s="35">
        <f t="shared" si="20"/>
        <v>20.774451734983877</v>
      </c>
      <c r="AH34" s="35">
        <f t="shared" si="21"/>
        <v>10.826771727472654</v>
      </c>
      <c r="AI34" s="52"/>
      <c r="AJ34" s="35">
        <f t="shared" si="22"/>
        <v>9.9475514500630151</v>
      </c>
      <c r="AK34" s="35">
        <f t="shared" si="23"/>
        <v>20.870370471143637</v>
      </c>
      <c r="AL34" s="360">
        <v>5512926</v>
      </c>
      <c r="AM34" s="361">
        <v>115056808</v>
      </c>
      <c r="AN34" s="361">
        <v>59962776</v>
      </c>
      <c r="AO34" s="52"/>
      <c r="AP34" s="361">
        <v>55093320</v>
      </c>
      <c r="AQ34" s="362">
        <v>87.781433000000007</v>
      </c>
      <c r="AR34" s="362">
        <v>83.521827999999999</v>
      </c>
      <c r="AS34" s="89"/>
      <c r="AT34" s="89"/>
      <c r="AU34" s="89"/>
      <c r="AV34" s="362">
        <v>74.354393000000002</v>
      </c>
      <c r="AW34" s="363">
        <v>35.033999999999999</v>
      </c>
      <c r="AX34" s="363">
        <v>14.949</v>
      </c>
      <c r="AY34" s="36">
        <v>0</v>
      </c>
      <c r="AZ34" s="36">
        <v>0</v>
      </c>
      <c r="BA34" s="37">
        <v>12</v>
      </c>
      <c r="BC34" s="65" t="e">
        <f t="shared" si="27"/>
        <v>#DIV/0!</v>
      </c>
      <c r="BD34" s="60" t="e">
        <f t="shared" si="26"/>
        <v>#DIV/0!</v>
      </c>
      <c r="BE34" s="60">
        <f t="shared" si="24"/>
        <v>0</v>
      </c>
      <c r="BF34" s="61"/>
      <c r="BH34" s="77"/>
      <c r="BI34" s="78"/>
      <c r="BJ34" s="88"/>
      <c r="BK34" s="88"/>
      <c r="BL34" s="88"/>
      <c r="BM34" s="79"/>
      <c r="BO34" s="77"/>
      <c r="BP34" s="78"/>
      <c r="BQ34" s="88"/>
      <c r="BR34" s="88"/>
      <c r="BS34" s="88"/>
      <c r="BT34" s="79"/>
      <c r="BV34" s="77"/>
      <c r="BW34" s="78"/>
      <c r="BX34" s="88"/>
      <c r="BY34" s="88"/>
      <c r="BZ34" s="88"/>
      <c r="CA34" s="79"/>
      <c r="CC34" s="77"/>
      <c r="CD34" s="78"/>
      <c r="CE34" s="88"/>
      <c r="CF34" s="88"/>
      <c r="CG34" s="88"/>
      <c r="CH34" s="79"/>
      <c r="CJ34" s="77"/>
      <c r="CK34" s="78"/>
      <c r="CL34" s="88"/>
      <c r="CM34" s="88"/>
      <c r="CN34" s="88"/>
      <c r="CO34" s="79"/>
      <c r="CQ34" s="77"/>
      <c r="CR34" s="78"/>
      <c r="CS34" s="88"/>
      <c r="CT34" s="88"/>
      <c r="CU34" s="88"/>
      <c r="CV34" s="79"/>
    </row>
    <row r="35" spans="1:100" s="1" customFormat="1">
      <c r="A35" s="13"/>
      <c r="B35" s="294" t="s">
        <v>1021</v>
      </c>
      <c r="C35" s="25" t="s">
        <v>131</v>
      </c>
      <c r="D35" s="461">
        <v>7740280</v>
      </c>
      <c r="E35" s="304">
        <v>19</v>
      </c>
      <c r="F35" s="304">
        <v>1</v>
      </c>
      <c r="G35" s="26"/>
      <c r="I35" s="42" t="str">
        <f t="shared" si="14"/>
        <v>·</v>
      </c>
      <c r="J35" s="43">
        <f t="shared" si="15"/>
        <v>9.3420909837887006E-2</v>
      </c>
      <c r="K35" s="43">
        <f t="shared" si="16"/>
        <v>3.5910845602484663E-2</v>
      </c>
      <c r="L35" s="55"/>
      <c r="M35" s="43">
        <f t="shared" si="17"/>
        <v>5.7424279225040953E-2</v>
      </c>
      <c r="N35" s="43">
        <f t="shared" si="18"/>
        <v>6.4066910611604806</v>
      </c>
      <c r="O35" s="364">
        <v>112867</v>
      </c>
      <c r="P35" s="365">
        <v>723104</v>
      </c>
      <c r="Q35" s="365">
        <v>277960</v>
      </c>
      <c r="R35" s="55"/>
      <c r="S35" s="365">
        <v>444480</v>
      </c>
      <c r="T35" s="366">
        <v>46.067711000000003</v>
      </c>
      <c r="U35" s="366">
        <v>41.388927000000002</v>
      </c>
      <c r="V35" s="90"/>
      <c r="W35" s="90"/>
      <c r="X35" s="90"/>
      <c r="Y35" s="366">
        <v>49.037792000000003</v>
      </c>
      <c r="Z35" s="367"/>
      <c r="AA35" s="367"/>
      <c r="AB35" s="44">
        <v>0</v>
      </c>
      <c r="AC35" s="44">
        <v>0</v>
      </c>
      <c r="AD35" s="45"/>
      <c r="AF35" s="42" t="str">
        <f t="shared" si="19"/>
        <v>·</v>
      </c>
      <c r="AG35" s="43">
        <f t="shared" si="20"/>
        <v>9.3420909837887006E-2</v>
      </c>
      <c r="AH35" s="43">
        <f t="shared" si="21"/>
        <v>3.5910845602484663E-2</v>
      </c>
      <c r="AI35" s="55"/>
      <c r="AJ35" s="43">
        <f t="shared" si="22"/>
        <v>5.7424279225040953E-2</v>
      </c>
      <c r="AK35" s="43">
        <f t="shared" si="23"/>
        <v>6.4066910611604806</v>
      </c>
      <c r="AL35" s="364">
        <v>112867</v>
      </c>
      <c r="AM35" s="365">
        <v>723104</v>
      </c>
      <c r="AN35" s="365">
        <v>277960</v>
      </c>
      <c r="AO35" s="55"/>
      <c r="AP35" s="365">
        <v>444480</v>
      </c>
      <c r="AQ35" s="366">
        <v>46.067711000000003</v>
      </c>
      <c r="AR35" s="366">
        <v>41.388927000000002</v>
      </c>
      <c r="AS35" s="90"/>
      <c r="AT35" s="90"/>
      <c r="AU35" s="90"/>
      <c r="AV35" s="366">
        <v>49.037792000000003</v>
      </c>
      <c r="AW35" s="367">
        <v>2.7519999999999998</v>
      </c>
      <c r="AX35" s="367">
        <v>0.14199999999999999</v>
      </c>
      <c r="AY35" s="44">
        <v>0</v>
      </c>
      <c r="AZ35" s="44">
        <v>0</v>
      </c>
      <c r="BA35" s="45">
        <v>196097</v>
      </c>
      <c r="BC35" s="65" t="e">
        <f t="shared" si="27"/>
        <v>#DIV/0!</v>
      </c>
      <c r="BD35" s="66" t="e">
        <f t="shared" si="26"/>
        <v>#DIV/0!</v>
      </c>
      <c r="BE35" s="66">
        <f t="shared" si="24"/>
        <v>0</v>
      </c>
      <c r="BF35" s="67">
        <f t="array" ref="BF35">AVERAGE(AN35:AN40/AM35:AM40) - AVERAGE(Q35:Q40/P35:P40)</f>
        <v>0</v>
      </c>
      <c r="BH35" s="83">
        <f>IF( OR(ISBLANK($Q35:$Q40),ISBLANK($AN35:$AN40), ISBLANK($T35:$T40),ISBLANK($AQ35:$AQ40)), "·", bdRateHermite( $Q35:$Q40,$T35:$T40, $AN35:$AN40,$AQ35:$AQ40))</f>
        <v>0</v>
      </c>
      <c r="BI35" s="84">
        <f>IF(OR(ISBLANK($Q35:$Q40),ISBLANK($AN35:$AN40),ISBLANK($U35:$U40),ISBLANK($AR35:$AR40)),"·",bdRateHermite($Q35:$Q40,$U35:$U40,$AN35:$AN40,$AR35:$AR40))</f>
        <v>0</v>
      </c>
      <c r="BJ35" s="92"/>
      <c r="BK35" s="92"/>
      <c r="BL35" s="92"/>
      <c r="BM35" s="184">
        <f>IF( OR(ISBLANK($S35:$S40),ISBLANK($AP35:$AP40), ISBLANK($Y35:$Y40),ISBLANK($AV35:$AV40)), "·", bdRateHermite($S35:$S40,$Y35:$Y40, $AP35:$AP40,$AV35:$AV40))</f>
        <v>0</v>
      </c>
      <c r="BO35" s="83">
        <f>IF( OR(ISBLANK($P35:$P40),ISBLANK($AM35:$AM40), ISBLANK($T35:$T40),ISBLANK($AQ35:$AQ40)), "·", bdRateHermite($P35:$P40,$T35:$T40, $AM35:$AM40,$AQ35:$AQ40))</f>
        <v>0</v>
      </c>
      <c r="BP35" s="84">
        <f>IF( OR(ISBLANK($P35:$P40),ISBLANK($AM35:$AM40), ISBLANK($U35:$U40),ISBLANK($AR35:$AR40)), "·", bdRateHermite( $P35:$P40,$U35:$U40, $AM35:$AM40,$AR35:$AR40))</f>
        <v>0</v>
      </c>
      <c r="BQ35" s="92"/>
      <c r="BR35" s="92"/>
      <c r="BS35" s="92"/>
      <c r="BT35" s="85">
        <f>IF( OR(ISBLANK($P35:$P40),ISBLANK($AM35:$AM40), ISBLANK($Y35:$Y40),ISBLANK($AV35:$AV40)), "·", bdRateHermite( $P35:$P40,$Y35:$Y40, $AM35:$AM40,$AV35:$AV40))</f>
        <v>0</v>
      </c>
      <c r="BV35" s="83">
        <f>IF( OR(ISBLANK($Q35:$Q39),ISBLANK($AN35:$AN39), ISBLANK($T35:$T39),ISBLANK($AQ35:$AQ39)), "·", bdRateHermite( $Q36:$Q40,$T36:$T40, $AN36:$AN40,$AQ36:$AQ40))</f>
        <v>0</v>
      </c>
      <c r="BW35" s="84">
        <f>IF(OR(ISBLANK($Q35:$Q40),ISBLANK($AN35:$AN40),ISBLANK($U35:$U40),ISBLANK($AR35:$AR40)),"·",bdRateHermite($Q36:$Q40,$U36:$U40,$AN36:$AN40,$AR36:$AR40))</f>
        <v>0</v>
      </c>
      <c r="BX35" s="92"/>
      <c r="BY35" s="92"/>
      <c r="BZ35" s="92"/>
      <c r="CA35" s="184">
        <f>IF( OR(ISBLANK($S35:$S40),ISBLANK($AP35:$AP40), ISBLANK($Y35:$Y40),ISBLANK($AV35:$AV40)), "·", bdRateHermite($S36:$S40,$Y36:$Y40, $AP36:$AP40,$AV36:$AV40))</f>
        <v>0</v>
      </c>
      <c r="CC35" s="83">
        <f>IF( OR(ISBLANK($P35:$P40),ISBLANK($AM35:$AM40), ISBLANK($T35:$T40),ISBLANK($AQ35:$AQ40)), "·", bdRateHermite($P36:$P40,$T36:$T40, $AM36:$AM40,$AQ36:$AQ40))</f>
        <v>0</v>
      </c>
      <c r="CD35" s="84">
        <f>IF( OR(ISBLANK($P35:$P40),ISBLANK($AM35:$AM40), ISBLANK($U35:$U40),ISBLANK($AR35:$AR40)), "·", bdRateHermite( $P36:$P40,$U36:$U40, $AM36:$AM40,$AR36:$AR40))</f>
        <v>0</v>
      </c>
      <c r="CE35" s="92"/>
      <c r="CF35" s="92"/>
      <c r="CG35" s="92"/>
      <c r="CH35" s="85">
        <f>IF( OR(ISBLANK($P35:$P40),ISBLANK($AM35:$AM40), ISBLANK($Y35:$Y40),ISBLANK($AV35:$AV40)), "·", bdRateHermite( $P36:$P40,$Y36:$Y40, $AM36:$AM40,$AV36:$AV40))</f>
        <v>0</v>
      </c>
      <c r="CJ35" s="83">
        <f>IF( OR(ISBLANK($Q35:$Q39),ISBLANK($AN35:$AN39), ISBLANK($T35:$T39),ISBLANK($AQ35:$AQ39)), "·", bdRateHermite( $Q35:$Q39,$T35:$T39, $AN35:$AN39,$AQ35:$AQ39))</f>
        <v>0</v>
      </c>
      <c r="CK35" s="84">
        <f>IF(OR(ISBLANK($Q35:$Q39),ISBLANK($AN35:$AN39),ISBLANK($U35:$U39),ISBLANK($AR35:$AR39)),"·",bdRateHermite($Q35:$Q39,$U35:$U39,$AN35:$AN39,$AR35:$AR39))</f>
        <v>0</v>
      </c>
      <c r="CL35" s="92"/>
      <c r="CM35" s="92"/>
      <c r="CN35" s="92"/>
      <c r="CO35" s="184">
        <f>IF( OR(ISBLANK($S35:$S39),ISBLANK($AP35:$AP39), ISBLANK($Y35:$Y39),ISBLANK($AV35:$AV39)), "·", bdRateHermite($S35:$S39,$Y35:$Y39, $AP35:$AP39,$AV35:$AV39))</f>
        <v>0</v>
      </c>
      <c r="CQ35" s="83">
        <f>IF( OR(ISBLANK($P35:$P39),ISBLANK($AM35:$AM39), ISBLANK($T35:$T39),ISBLANK($AQ35:$AQ39)), "·", bdRateHermite($P35:$P39,$T35:$T39, $AM35:$AM39,$AQ35:$AQ39))</f>
        <v>0</v>
      </c>
      <c r="CR35" s="84">
        <f>IF( OR(ISBLANK($P35:$P39),ISBLANK($AM35:$AM39), ISBLANK($U35:$U39),ISBLANK($AR35:$AR39)), "·", bdRateHermite( $P35:$P39,$U35:$U39, $AM35:$AM39,$AR35:$AR39))</f>
        <v>0</v>
      </c>
      <c r="CS35" s="92"/>
      <c r="CT35" s="92"/>
      <c r="CU35" s="92"/>
      <c r="CV35" s="85">
        <f>IF( OR(ISBLANK($P35:$P39),ISBLANK($AM35:$AM39), ISBLANK($Y35:$Y39),ISBLANK($AV35:$AV39)), "·", bdRateHermite( $P35:$P39,$Y35:$Y39, $AM35:$AM39,$AV35:$AV39))</f>
        <v>0</v>
      </c>
    </row>
    <row r="36" spans="1:100" s="1" customFormat="1" outlineLevel="1">
      <c r="A36" s="13"/>
      <c r="B36" s="291" t="s">
        <v>989</v>
      </c>
      <c r="C36" s="15" t="s">
        <v>132</v>
      </c>
      <c r="D36" s="459">
        <v>7740280</v>
      </c>
      <c r="E36" s="299">
        <v>19</v>
      </c>
      <c r="F36" s="299">
        <v>1</v>
      </c>
      <c r="G36" s="16"/>
      <c r="I36" s="30" t="str">
        <f t="shared" si="14"/>
        <v>·</v>
      </c>
      <c r="J36" s="31">
        <f t="shared" si="15"/>
        <v>0.34485780876144018</v>
      </c>
      <c r="K36" s="31">
        <f t="shared" si="16"/>
        <v>0.12029332272217542</v>
      </c>
      <c r="L36" s="51"/>
      <c r="M36" s="31">
        <f t="shared" si="17"/>
        <v>0.22447870102890335</v>
      </c>
      <c r="N36" s="31">
        <f t="shared" si="18"/>
        <v>7.8305342302197527</v>
      </c>
      <c r="O36" s="356">
        <v>340883</v>
      </c>
      <c r="P36" s="357">
        <v>2669296</v>
      </c>
      <c r="Q36" s="357">
        <v>931104</v>
      </c>
      <c r="R36" s="51"/>
      <c r="S36" s="357">
        <v>1737528</v>
      </c>
      <c r="T36" s="358">
        <v>52.223773999999999</v>
      </c>
      <c r="U36" s="358">
        <v>47.398223999999999</v>
      </c>
      <c r="V36" s="87"/>
      <c r="W36" s="87"/>
      <c r="X36" s="87"/>
      <c r="Y36" s="358">
        <v>51.206977999999999</v>
      </c>
      <c r="Z36" s="359"/>
      <c r="AA36" s="359"/>
      <c r="AB36" s="32">
        <v>0</v>
      </c>
      <c r="AC36" s="32">
        <v>0</v>
      </c>
      <c r="AD36" s="33"/>
      <c r="AF36" s="30" t="str">
        <f t="shared" si="19"/>
        <v>·</v>
      </c>
      <c r="AG36" s="31">
        <f t="shared" si="20"/>
        <v>0.34485780876144018</v>
      </c>
      <c r="AH36" s="31">
        <f t="shared" si="21"/>
        <v>0.12029332272217542</v>
      </c>
      <c r="AI36" s="51"/>
      <c r="AJ36" s="31">
        <f t="shared" si="22"/>
        <v>0.22447870102890335</v>
      </c>
      <c r="AK36" s="31">
        <f t="shared" si="23"/>
        <v>7.8305342302197527</v>
      </c>
      <c r="AL36" s="356">
        <v>340883</v>
      </c>
      <c r="AM36" s="357">
        <v>2669296</v>
      </c>
      <c r="AN36" s="357">
        <v>931104</v>
      </c>
      <c r="AO36" s="51"/>
      <c r="AP36" s="357">
        <v>1737528</v>
      </c>
      <c r="AQ36" s="358">
        <v>52.223773999999999</v>
      </c>
      <c r="AR36" s="358">
        <v>47.398223999999999</v>
      </c>
      <c r="AS36" s="87"/>
      <c r="AT36" s="87"/>
      <c r="AU36" s="87"/>
      <c r="AV36" s="358">
        <v>51.206977999999999</v>
      </c>
      <c r="AW36" s="359">
        <v>3.88</v>
      </c>
      <c r="AX36" s="359">
        <v>0.45400000000000001</v>
      </c>
      <c r="AY36" s="32">
        <v>0</v>
      </c>
      <c r="AZ36" s="32">
        <v>0</v>
      </c>
      <c r="BA36" s="33">
        <v>49152</v>
      </c>
      <c r="BC36" s="56" t="e">
        <f t="shared" si="27"/>
        <v>#DIV/0!</v>
      </c>
      <c r="BD36" s="57" t="e">
        <f t="shared" si="26"/>
        <v>#DIV/0!</v>
      </c>
      <c r="BE36" s="57">
        <f t="shared" si="24"/>
        <v>0</v>
      </c>
      <c r="BF36" s="58"/>
      <c r="BH36" s="74"/>
      <c r="BI36" s="75"/>
      <c r="BJ36" s="87"/>
      <c r="BK36" s="87"/>
      <c r="BL36" s="87"/>
      <c r="BM36" s="76"/>
      <c r="BO36" s="74"/>
      <c r="BP36" s="75"/>
      <c r="BQ36" s="87"/>
      <c r="BR36" s="87"/>
      <c r="BS36" s="87"/>
      <c r="BT36" s="76"/>
      <c r="BV36" s="74"/>
      <c r="BW36" s="75"/>
      <c r="BX36" s="87"/>
      <c r="BY36" s="87"/>
      <c r="BZ36" s="87"/>
      <c r="CA36" s="76"/>
      <c r="CC36" s="74"/>
      <c r="CD36" s="75"/>
      <c r="CE36" s="87"/>
      <c r="CF36" s="87"/>
      <c r="CG36" s="87"/>
      <c r="CH36" s="76"/>
      <c r="CJ36" s="74"/>
      <c r="CK36" s="75"/>
      <c r="CL36" s="87"/>
      <c r="CM36" s="87"/>
      <c r="CN36" s="87"/>
      <c r="CO36" s="76"/>
      <c r="CQ36" s="74"/>
      <c r="CR36" s="75"/>
      <c r="CS36" s="87"/>
      <c r="CT36" s="87"/>
      <c r="CU36" s="87"/>
      <c r="CV36" s="76"/>
    </row>
    <row r="37" spans="1:100" s="1" customFormat="1" outlineLevel="1">
      <c r="A37" s="13"/>
      <c r="B37" s="291" t="s">
        <v>989</v>
      </c>
      <c r="C37" s="15" t="s">
        <v>133</v>
      </c>
      <c r="D37" s="459">
        <v>7740280</v>
      </c>
      <c r="E37" s="299">
        <v>19</v>
      </c>
      <c r="F37" s="299">
        <v>1</v>
      </c>
      <c r="G37" s="16"/>
      <c r="I37" s="30" t="str">
        <f t="shared" si="14"/>
        <v>·</v>
      </c>
      <c r="J37" s="31">
        <f t="shared" si="15"/>
        <v>2.366397081242539</v>
      </c>
      <c r="K37" s="31">
        <f t="shared" si="16"/>
        <v>0.92791992020960479</v>
      </c>
      <c r="L37" s="51"/>
      <c r="M37" s="31">
        <f t="shared" si="17"/>
        <v>1.4383882753595476</v>
      </c>
      <c r="N37" s="31">
        <f t="shared" si="18"/>
        <v>10.126508825033516</v>
      </c>
      <c r="O37" s="356">
        <v>1808775</v>
      </c>
      <c r="P37" s="357">
        <v>18316576</v>
      </c>
      <c r="Q37" s="357">
        <v>7182360</v>
      </c>
      <c r="R37" s="51"/>
      <c r="S37" s="357">
        <v>11133528</v>
      </c>
      <c r="T37" s="358">
        <v>64.173858999999993</v>
      </c>
      <c r="U37" s="358">
        <v>59.439425999999997</v>
      </c>
      <c r="V37" s="87"/>
      <c r="W37" s="87"/>
      <c r="X37" s="87"/>
      <c r="Y37" s="358">
        <v>54.177070999999998</v>
      </c>
      <c r="Z37" s="359"/>
      <c r="AA37" s="359"/>
      <c r="AB37" s="32">
        <v>0</v>
      </c>
      <c r="AC37" s="32">
        <v>0</v>
      </c>
      <c r="AD37" s="33"/>
      <c r="AF37" s="30" t="str">
        <f t="shared" si="19"/>
        <v>·</v>
      </c>
      <c r="AG37" s="31">
        <f t="shared" si="20"/>
        <v>2.366397081242539</v>
      </c>
      <c r="AH37" s="31">
        <f t="shared" si="21"/>
        <v>0.92791992020960479</v>
      </c>
      <c r="AI37" s="51"/>
      <c r="AJ37" s="31">
        <f t="shared" si="22"/>
        <v>1.4383882753595476</v>
      </c>
      <c r="AK37" s="31">
        <f t="shared" si="23"/>
        <v>10.126508825033516</v>
      </c>
      <c r="AL37" s="356">
        <v>1808775</v>
      </c>
      <c r="AM37" s="357">
        <v>18316576</v>
      </c>
      <c r="AN37" s="357">
        <v>7182360</v>
      </c>
      <c r="AO37" s="51"/>
      <c r="AP37" s="357">
        <v>11133528</v>
      </c>
      <c r="AQ37" s="358">
        <v>64.173858999999993</v>
      </c>
      <c r="AR37" s="358">
        <v>59.439425999999997</v>
      </c>
      <c r="AS37" s="87"/>
      <c r="AT37" s="87"/>
      <c r="AU37" s="87"/>
      <c r="AV37" s="358">
        <v>54.177070999999998</v>
      </c>
      <c r="AW37" s="359">
        <v>11.045</v>
      </c>
      <c r="AX37" s="359">
        <v>3.073</v>
      </c>
      <c r="AY37" s="32">
        <v>0</v>
      </c>
      <c r="AZ37" s="32">
        <v>0</v>
      </c>
      <c r="BA37" s="33">
        <v>3072</v>
      </c>
      <c r="BC37" s="56" t="e">
        <f t="shared" si="27"/>
        <v>#DIV/0!</v>
      </c>
      <c r="BD37" s="57" t="e">
        <f t="shared" si="26"/>
        <v>#DIV/0!</v>
      </c>
      <c r="BE37" s="57">
        <f t="shared" si="24"/>
        <v>0</v>
      </c>
      <c r="BF37" s="58"/>
      <c r="BH37" s="74"/>
      <c r="BI37" s="75"/>
      <c r="BJ37" s="87"/>
      <c r="BK37" s="87"/>
      <c r="BL37" s="87"/>
      <c r="BM37" s="76"/>
      <c r="BO37" s="74"/>
      <c r="BP37" s="75"/>
      <c r="BQ37" s="87"/>
      <c r="BR37" s="87"/>
      <c r="BS37" s="87"/>
      <c r="BT37" s="76"/>
      <c r="BV37" s="74"/>
      <c r="BW37" s="75"/>
      <c r="BX37" s="87"/>
      <c r="BY37" s="87"/>
      <c r="BZ37" s="87"/>
      <c r="CA37" s="76"/>
      <c r="CC37" s="74"/>
      <c r="CD37" s="75"/>
      <c r="CE37" s="87"/>
      <c r="CF37" s="87"/>
      <c r="CG37" s="87"/>
      <c r="CH37" s="76"/>
      <c r="CJ37" s="74"/>
      <c r="CK37" s="75"/>
      <c r="CL37" s="87"/>
      <c r="CM37" s="87"/>
      <c r="CN37" s="87"/>
      <c r="CO37" s="76"/>
      <c r="CQ37" s="74"/>
      <c r="CR37" s="75"/>
      <c r="CS37" s="87"/>
      <c r="CT37" s="87"/>
      <c r="CU37" s="87"/>
      <c r="CV37" s="76"/>
    </row>
    <row r="38" spans="1:100" s="1" customFormat="1" outlineLevel="1">
      <c r="A38" s="13"/>
      <c r="B38" s="291" t="s">
        <v>989</v>
      </c>
      <c r="C38" s="15" t="s">
        <v>134</v>
      </c>
      <c r="D38" s="459">
        <v>7740280</v>
      </c>
      <c r="E38" s="299">
        <v>19</v>
      </c>
      <c r="F38" s="299">
        <v>1</v>
      </c>
      <c r="G38" s="16"/>
      <c r="I38" s="30" t="str">
        <f t="shared" si="14"/>
        <v>·</v>
      </c>
      <c r="J38" s="31">
        <f t="shared" si="15"/>
        <v>5.2130114156077045</v>
      </c>
      <c r="K38" s="31">
        <f t="shared" si="16"/>
        <v>1.908941795387247</v>
      </c>
      <c r="L38" s="51"/>
      <c r="M38" s="31">
        <f t="shared" si="17"/>
        <v>3.3039807345470709</v>
      </c>
      <c r="N38" s="31">
        <f t="shared" si="18"/>
        <v>12.039115774637045</v>
      </c>
      <c r="O38" s="356">
        <v>3351589</v>
      </c>
      <c r="P38" s="357">
        <v>40350168</v>
      </c>
      <c r="Q38" s="357">
        <v>14775744</v>
      </c>
      <c r="R38" s="51"/>
      <c r="S38" s="357">
        <v>25573736</v>
      </c>
      <c r="T38" s="358">
        <v>70.234298999999993</v>
      </c>
      <c r="U38" s="358">
        <v>65.460021999999995</v>
      </c>
      <c r="V38" s="87"/>
      <c r="W38" s="87"/>
      <c r="X38" s="87"/>
      <c r="Y38" s="358">
        <v>56.181449999999998</v>
      </c>
      <c r="Z38" s="359"/>
      <c r="AA38" s="359"/>
      <c r="AB38" s="32">
        <v>0</v>
      </c>
      <c r="AC38" s="32">
        <v>0</v>
      </c>
      <c r="AD38" s="33"/>
      <c r="AF38" s="30" t="str">
        <f t="shared" si="19"/>
        <v>·</v>
      </c>
      <c r="AG38" s="31">
        <f t="shared" si="20"/>
        <v>5.2130114156077045</v>
      </c>
      <c r="AH38" s="31">
        <f t="shared" si="21"/>
        <v>1.908941795387247</v>
      </c>
      <c r="AI38" s="51"/>
      <c r="AJ38" s="31">
        <f t="shared" si="22"/>
        <v>3.3039807345470709</v>
      </c>
      <c r="AK38" s="31">
        <f t="shared" si="23"/>
        <v>12.039115774637045</v>
      </c>
      <c r="AL38" s="356">
        <v>3351589</v>
      </c>
      <c r="AM38" s="357">
        <v>40350168</v>
      </c>
      <c r="AN38" s="357">
        <v>14775744</v>
      </c>
      <c r="AO38" s="51"/>
      <c r="AP38" s="357">
        <v>25573736</v>
      </c>
      <c r="AQ38" s="358">
        <v>70.234298999999993</v>
      </c>
      <c r="AR38" s="358">
        <v>65.460021999999995</v>
      </c>
      <c r="AS38" s="87"/>
      <c r="AT38" s="87"/>
      <c r="AU38" s="87"/>
      <c r="AV38" s="358">
        <v>56.181449999999998</v>
      </c>
      <c r="AW38" s="359">
        <v>19.920999999999999</v>
      </c>
      <c r="AX38" s="359">
        <v>6.1429999999999998</v>
      </c>
      <c r="AY38" s="32">
        <v>0</v>
      </c>
      <c r="AZ38" s="32">
        <v>0</v>
      </c>
      <c r="BA38" s="33">
        <v>768</v>
      </c>
      <c r="BC38" s="56" t="e">
        <f t="shared" si="27"/>
        <v>#DIV/0!</v>
      </c>
      <c r="BD38" s="57" t="e">
        <f t="shared" si="26"/>
        <v>#DIV/0!</v>
      </c>
      <c r="BE38" s="57">
        <f t="shared" si="24"/>
        <v>0</v>
      </c>
      <c r="BF38" s="58"/>
      <c r="BH38" s="74"/>
      <c r="BI38" s="75"/>
      <c r="BJ38" s="87"/>
      <c r="BK38" s="87"/>
      <c r="BL38" s="87"/>
      <c r="BM38" s="76"/>
      <c r="BO38" s="74"/>
      <c r="BP38" s="75"/>
      <c r="BQ38" s="87"/>
      <c r="BR38" s="87"/>
      <c r="BS38" s="87"/>
      <c r="BT38" s="76"/>
      <c r="BV38" s="74"/>
      <c r="BW38" s="75"/>
      <c r="BX38" s="87"/>
      <c r="BY38" s="87"/>
      <c r="BZ38" s="87"/>
      <c r="CA38" s="76"/>
      <c r="CC38" s="74"/>
      <c r="CD38" s="75"/>
      <c r="CE38" s="87"/>
      <c r="CF38" s="87"/>
      <c r="CG38" s="87"/>
      <c r="CH38" s="76"/>
      <c r="CJ38" s="74"/>
      <c r="CK38" s="75"/>
      <c r="CL38" s="87"/>
      <c r="CM38" s="87"/>
      <c r="CN38" s="87"/>
      <c r="CO38" s="76"/>
      <c r="CQ38" s="74"/>
      <c r="CR38" s="75"/>
      <c r="CS38" s="87"/>
      <c r="CT38" s="87"/>
      <c r="CU38" s="87"/>
      <c r="CV38" s="76"/>
    </row>
    <row r="39" spans="1:100" s="1" customFormat="1" outlineLevel="1">
      <c r="A39" s="13"/>
      <c r="B39" s="291" t="s">
        <v>989</v>
      </c>
      <c r="C39" s="15" t="s">
        <v>135</v>
      </c>
      <c r="D39" s="459">
        <v>7740280</v>
      </c>
      <c r="E39" s="299">
        <v>19</v>
      </c>
      <c r="F39" s="299">
        <v>1</v>
      </c>
      <c r="G39" s="16"/>
      <c r="I39" s="30" t="str">
        <f t="shared" si="14"/>
        <v>·</v>
      </c>
      <c r="J39" s="31">
        <f t="shared" si="15"/>
        <v>14.202051605368281</v>
      </c>
      <c r="K39" s="31">
        <f t="shared" si="16"/>
        <v>6.1898194897342211</v>
      </c>
      <c r="L39" s="51"/>
      <c r="M39" s="31">
        <f t="shared" si="17"/>
        <v>8.0121411628519894</v>
      </c>
      <c r="N39" s="31">
        <f t="shared" si="18"/>
        <v>15.233809656120492</v>
      </c>
      <c r="O39" s="356">
        <v>7216045</v>
      </c>
      <c r="P39" s="357">
        <v>109927856</v>
      </c>
      <c r="Q39" s="357">
        <v>47910936</v>
      </c>
      <c r="R39" s="51"/>
      <c r="S39" s="357">
        <v>62016216</v>
      </c>
      <c r="T39" s="358">
        <v>82.141602000000006</v>
      </c>
      <c r="U39" s="358">
        <v>77.501227999999998</v>
      </c>
      <c r="V39" s="87"/>
      <c r="W39" s="87"/>
      <c r="X39" s="87"/>
      <c r="Y39" s="358">
        <v>64.782371999999995</v>
      </c>
      <c r="Z39" s="359"/>
      <c r="AA39" s="359"/>
      <c r="AB39" s="32">
        <v>0</v>
      </c>
      <c r="AC39" s="32">
        <v>0</v>
      </c>
      <c r="AD39" s="33"/>
      <c r="AF39" s="30" t="str">
        <f t="shared" si="19"/>
        <v>·</v>
      </c>
      <c r="AG39" s="31">
        <f t="shared" si="20"/>
        <v>14.202051605368281</v>
      </c>
      <c r="AH39" s="31">
        <f t="shared" si="21"/>
        <v>6.1898194897342211</v>
      </c>
      <c r="AI39" s="51"/>
      <c r="AJ39" s="31">
        <f t="shared" si="22"/>
        <v>8.0121411628519894</v>
      </c>
      <c r="AK39" s="31">
        <f t="shared" si="23"/>
        <v>15.233809656120492</v>
      </c>
      <c r="AL39" s="356">
        <v>7216045</v>
      </c>
      <c r="AM39" s="357">
        <v>109927856</v>
      </c>
      <c r="AN39" s="357">
        <v>47910936</v>
      </c>
      <c r="AO39" s="51"/>
      <c r="AP39" s="357">
        <v>62016216</v>
      </c>
      <c r="AQ39" s="358">
        <v>82.141602000000006</v>
      </c>
      <c r="AR39" s="358">
        <v>77.501227999999998</v>
      </c>
      <c r="AS39" s="87"/>
      <c r="AT39" s="87"/>
      <c r="AU39" s="87"/>
      <c r="AV39" s="358">
        <v>64.782371999999995</v>
      </c>
      <c r="AW39" s="359">
        <v>38.209000000000003</v>
      </c>
      <c r="AX39" s="359">
        <v>15.417999999999999</v>
      </c>
      <c r="AY39" s="32">
        <v>0</v>
      </c>
      <c r="AZ39" s="32">
        <v>0</v>
      </c>
      <c r="BA39" s="33">
        <v>48</v>
      </c>
      <c r="BC39" s="56" t="e">
        <f t="shared" si="27"/>
        <v>#DIV/0!</v>
      </c>
      <c r="BD39" s="57" t="e">
        <f t="shared" si="26"/>
        <v>#DIV/0!</v>
      </c>
      <c r="BE39" s="57">
        <f t="shared" si="24"/>
        <v>0</v>
      </c>
      <c r="BF39" s="58"/>
      <c r="BH39" s="74"/>
      <c r="BI39" s="75"/>
      <c r="BJ39" s="87"/>
      <c r="BK39" s="87"/>
      <c r="BL39" s="87"/>
      <c r="BM39" s="76"/>
      <c r="BO39" s="74"/>
      <c r="BP39" s="75"/>
      <c r="BQ39" s="87"/>
      <c r="BR39" s="87"/>
      <c r="BS39" s="87"/>
      <c r="BT39" s="76"/>
      <c r="BV39" s="74"/>
      <c r="BW39" s="75"/>
      <c r="BX39" s="87"/>
      <c r="BY39" s="87"/>
      <c r="BZ39" s="87"/>
      <c r="CA39" s="76"/>
      <c r="CC39" s="74"/>
      <c r="CD39" s="75"/>
      <c r="CE39" s="87"/>
      <c r="CF39" s="87"/>
      <c r="CG39" s="87"/>
      <c r="CH39" s="76"/>
      <c r="CJ39" s="74"/>
      <c r="CK39" s="75"/>
      <c r="CL39" s="87"/>
      <c r="CM39" s="87"/>
      <c r="CN39" s="87"/>
      <c r="CO39" s="76"/>
      <c r="CQ39" s="74"/>
      <c r="CR39" s="75"/>
      <c r="CS39" s="87"/>
      <c r="CT39" s="87"/>
      <c r="CU39" s="87"/>
      <c r="CV39" s="76"/>
    </row>
    <row r="40" spans="1:100" s="1" customFormat="1" ht="14.25" outlineLevel="1" thickBot="1">
      <c r="A40" s="17"/>
      <c r="B40" s="296" t="s">
        <v>989</v>
      </c>
      <c r="C40" s="19" t="s">
        <v>136</v>
      </c>
      <c r="D40" s="462">
        <v>7740280</v>
      </c>
      <c r="E40" s="306">
        <v>19</v>
      </c>
      <c r="F40" s="306">
        <v>1</v>
      </c>
      <c r="G40" s="20"/>
      <c r="I40" s="34" t="str">
        <f t="shared" si="14"/>
        <v>·</v>
      </c>
      <c r="J40" s="35">
        <f t="shared" si="15"/>
        <v>19.022070519412736</v>
      </c>
      <c r="K40" s="35">
        <f t="shared" si="16"/>
        <v>9.3067589286175689</v>
      </c>
      <c r="L40" s="52"/>
      <c r="M40" s="35">
        <f t="shared" si="17"/>
        <v>9.7152206380130952</v>
      </c>
      <c r="N40" s="35">
        <f t="shared" si="18"/>
        <v>19.175868302466725</v>
      </c>
      <c r="O40" s="360">
        <v>7678200</v>
      </c>
      <c r="P40" s="361">
        <v>147236152</v>
      </c>
      <c r="Q40" s="361">
        <v>72036920</v>
      </c>
      <c r="R40" s="52"/>
      <c r="S40" s="361">
        <v>75198528</v>
      </c>
      <c r="T40" s="362">
        <v>87.782616000000004</v>
      </c>
      <c r="U40" s="362">
        <v>83.521827999999999</v>
      </c>
      <c r="V40" s="88"/>
      <c r="W40" s="88"/>
      <c r="X40" s="88"/>
      <c r="Y40" s="362">
        <v>71.433609000000004</v>
      </c>
      <c r="Z40" s="363"/>
      <c r="AA40" s="363"/>
      <c r="AB40" s="36">
        <v>0</v>
      </c>
      <c r="AC40" s="36">
        <v>0</v>
      </c>
      <c r="AD40" s="37"/>
      <c r="AF40" s="34" t="str">
        <f t="shared" si="19"/>
        <v>·</v>
      </c>
      <c r="AG40" s="35">
        <f t="shared" si="20"/>
        <v>19.022070519412736</v>
      </c>
      <c r="AH40" s="35">
        <f t="shared" si="21"/>
        <v>9.3067589286175689</v>
      </c>
      <c r="AI40" s="52"/>
      <c r="AJ40" s="35">
        <f t="shared" si="22"/>
        <v>9.7152206380130952</v>
      </c>
      <c r="AK40" s="35">
        <f t="shared" si="23"/>
        <v>19.175868302466725</v>
      </c>
      <c r="AL40" s="360">
        <v>7678200</v>
      </c>
      <c r="AM40" s="361">
        <v>147236152</v>
      </c>
      <c r="AN40" s="361">
        <v>72036920</v>
      </c>
      <c r="AO40" s="52"/>
      <c r="AP40" s="361">
        <v>75198528</v>
      </c>
      <c r="AQ40" s="362">
        <v>87.782616000000004</v>
      </c>
      <c r="AR40" s="362">
        <v>83.521827999999999</v>
      </c>
      <c r="AS40" s="88"/>
      <c r="AT40" s="88"/>
      <c r="AU40" s="88"/>
      <c r="AV40" s="362">
        <v>71.433609000000004</v>
      </c>
      <c r="AW40" s="363">
        <v>47.484000000000002</v>
      </c>
      <c r="AX40" s="363">
        <v>20.347000000000001</v>
      </c>
      <c r="AY40" s="36">
        <v>0</v>
      </c>
      <c r="AZ40" s="36">
        <v>0</v>
      </c>
      <c r="BA40" s="37">
        <v>12</v>
      </c>
      <c r="BC40" s="59" t="e">
        <f t="shared" si="27"/>
        <v>#DIV/0!</v>
      </c>
      <c r="BD40" s="60" t="e">
        <f t="shared" si="26"/>
        <v>#DIV/0!</v>
      </c>
      <c r="BE40" s="60">
        <f t="shared" si="24"/>
        <v>0</v>
      </c>
      <c r="BF40" s="61"/>
      <c r="BH40" s="77"/>
      <c r="BI40" s="78"/>
      <c r="BJ40" s="88"/>
      <c r="BK40" s="88"/>
      <c r="BL40" s="88"/>
      <c r="BM40" s="79"/>
      <c r="BO40" s="77"/>
      <c r="BP40" s="78"/>
      <c r="BQ40" s="88"/>
      <c r="BR40" s="88"/>
      <c r="BS40" s="88"/>
      <c r="BT40" s="79"/>
      <c r="BV40" s="77"/>
      <c r="BW40" s="78"/>
      <c r="BX40" s="88"/>
      <c r="BY40" s="88"/>
      <c r="BZ40" s="88"/>
      <c r="CA40" s="79"/>
      <c r="CC40" s="77"/>
      <c r="CD40" s="78"/>
      <c r="CE40" s="88"/>
      <c r="CF40" s="88"/>
      <c r="CG40" s="88"/>
      <c r="CH40" s="79"/>
      <c r="CJ40" s="77"/>
      <c r="CK40" s="78"/>
      <c r="CL40" s="88"/>
      <c r="CM40" s="88"/>
      <c r="CN40" s="88"/>
      <c r="CO40" s="79"/>
      <c r="CQ40" s="77"/>
      <c r="CR40" s="78"/>
      <c r="CS40" s="88"/>
      <c r="CT40" s="88"/>
      <c r="CU40" s="88"/>
      <c r="CV40" s="79"/>
    </row>
    <row r="41" spans="1:100" s="1" customFormat="1">
      <c r="A41" s="96" t="s">
        <v>1123</v>
      </c>
      <c r="B41" s="27" t="s">
        <v>1116</v>
      </c>
      <c r="C41" s="28" t="s">
        <v>131</v>
      </c>
      <c r="D41" s="472">
        <v>47062018</v>
      </c>
      <c r="E41" s="28">
        <v>20</v>
      </c>
      <c r="F41" s="28">
        <v>1</v>
      </c>
      <c r="G41" s="26"/>
      <c r="I41" s="42" t="str">
        <f t="shared" si="14"/>
        <v>·</v>
      </c>
      <c r="J41" s="43">
        <f t="shared" si="15"/>
        <v>0.14331013174998147</v>
      </c>
      <c r="K41" s="43">
        <f t="shared" si="16"/>
        <v>7.5926705905386374E-2</v>
      </c>
      <c r="L41" s="43">
        <f>IF(R41="","·",R41/D41)</f>
        <v>6.7371696640802781E-2</v>
      </c>
      <c r="M41" s="55"/>
      <c r="N41" s="43">
        <f t="shared" si="18"/>
        <v>1.1453353297206128</v>
      </c>
      <c r="O41" s="352">
        <v>5888637</v>
      </c>
      <c r="P41" s="353">
        <v>6744464</v>
      </c>
      <c r="Q41" s="353">
        <v>3573264</v>
      </c>
      <c r="R41" s="207">
        <v>3170648</v>
      </c>
      <c r="S41" s="90"/>
      <c r="T41" s="354">
        <v>77.021300999999994</v>
      </c>
      <c r="U41" s="354">
        <v>72.247191999999998</v>
      </c>
      <c r="V41" s="354">
        <v>22.190232999999999</v>
      </c>
      <c r="W41" s="354">
        <v>27.639887000000002</v>
      </c>
      <c r="X41" s="354">
        <v>32.696925999999998</v>
      </c>
      <c r="Y41" s="90"/>
      <c r="Z41" s="355">
        <v>32.328000000000003</v>
      </c>
      <c r="AA41" s="355">
        <v>6.0659999999999998</v>
      </c>
      <c r="AB41" s="44">
        <v>0</v>
      </c>
      <c r="AC41" s="44">
        <v>0</v>
      </c>
      <c r="AD41" s="45"/>
      <c r="AF41" s="42" t="str">
        <f t="shared" si="19"/>
        <v>·</v>
      </c>
      <c r="AG41" s="43">
        <f t="shared" si="20"/>
        <v>0.13096199997203689</v>
      </c>
      <c r="AH41" s="43">
        <f t="shared" si="21"/>
        <v>7.5926705905386374E-2</v>
      </c>
      <c r="AI41" s="43">
        <f t="shared" ref="AI41:AI82" si="28">IF(AO41="","·",AO41/$D41)</f>
        <v>5.5023564862858199E-2</v>
      </c>
      <c r="AJ41" s="55"/>
      <c r="AK41" s="43">
        <f>IF(ISBLANK(AM41),"·",AM41/AL41)</f>
        <v>1.0466489953447631</v>
      </c>
      <c r="AL41" s="352">
        <v>5888637</v>
      </c>
      <c r="AM41" s="353">
        <v>6163336</v>
      </c>
      <c r="AN41" s="353">
        <v>3573264</v>
      </c>
      <c r="AO41" s="207">
        <v>2589520</v>
      </c>
      <c r="AP41" s="90"/>
      <c r="AQ41" s="354">
        <v>77.021300999999994</v>
      </c>
      <c r="AR41" s="354">
        <v>72.247191999999998</v>
      </c>
      <c r="AS41" s="354">
        <v>22.483809999999998</v>
      </c>
      <c r="AT41" s="354">
        <v>28.958385</v>
      </c>
      <c r="AU41" s="354">
        <v>31.097819999999999</v>
      </c>
      <c r="AV41" s="90"/>
      <c r="AW41" s="355">
        <v>52.767000000000003</v>
      </c>
      <c r="AX41" s="355">
        <v>12.44</v>
      </c>
      <c r="AY41" s="44">
        <v>0</v>
      </c>
      <c r="AZ41" s="44">
        <v>0</v>
      </c>
      <c r="BA41" s="45">
        <v>196608</v>
      </c>
      <c r="BC41" s="65" t="e">
        <f t="shared" si="27"/>
        <v>#DIV/0!</v>
      </c>
      <c r="BD41" s="66" t="e">
        <f t="shared" si="26"/>
        <v>#DIV/0!</v>
      </c>
      <c r="BE41" s="66">
        <f t="shared" si="24"/>
        <v>4.995438537675656E-2</v>
      </c>
      <c r="BF41" s="67">
        <f t="array" ref="BF41">AVERAGE(AN41:AN46/AM41:AM46) - AVERAGE(Q41:Q46/P41:P46)</f>
        <v>6.4365474215680396E-2</v>
      </c>
      <c r="BH41" s="83">
        <f>IF( OR(ISBLANK($Q41:$Q46),ISBLANK($AN41:$AN46), ISBLANK($T41:$T46),ISBLANK($AQ41:$AQ46)), "·", bdRateHermite( $Q41:$Q46,$T41:$T46, $AN41:$AN46,$AQ41:$AQ46))</f>
        <v>0</v>
      </c>
      <c r="BI41" s="225">
        <f>IF(OR(ISBLANK(Q41:Q46),ISBLANK(AN41:AN46),ISBLANK(U41:U46),ISBLANK(AR41:AR46)),"·",bdRateHermite(Q41:Q46,U41:U46,AN41:AN46,AR41:AR46))</f>
        <v>0</v>
      </c>
      <c r="BJ41" s="225">
        <f>IF(OR(ISBLANK($R41:$R46),ISBLANK($AO41:$AO46),ISBLANK($V41:$V46),ISBLANK($AS41:$AS46)),"·",bdRateHermite($R41:$R46,$V41:$V46,$AO41:$AO46,$AS41:$AS46))</f>
        <v>-0.37849557415961077</v>
      </c>
      <c r="BK41" s="225">
        <f>IF(OR(ISBLANK($R41:$R46),ISBLANK($AO41:$AO46),ISBLANK($W41:$W46),ISBLANK($AT41:$AT46)),"·",bdRateHermite($R41:$R46,$W41:$W46,$AO41:$AO46,$AT41:$AT46))</f>
        <v>-0.60687663899791766</v>
      </c>
      <c r="BL41" s="225">
        <f>IF(OR(ISBLANK($R41:$R46),ISBLANK($AO41:$AO46),ISBLANK($X41:$X46),ISBLANK($AU41:$AU46)),"·",bdRateHermite($R41:$R46,$X41:$X46,$AO41:$AO46,$AU41:$AU46))</f>
        <v>-0.47874132143263837</v>
      </c>
      <c r="BM41" s="92"/>
      <c r="BO41" s="83">
        <f>IF( OR(ISBLANK($P41:$P46),ISBLANK($AM41:$AM46), ISBLANK($T41:$T46),ISBLANK($AQ41:$AQ46)), "·", bdRateHermite($P41:$P46,$T41:$T46, $AM41:$AM46,$AQ41:$AQ46))</f>
        <v>-9.874980583618187E-2</v>
      </c>
      <c r="BP41" s="84">
        <f>IF( OR(ISBLANK($P41:$P46),ISBLANK($AM41:$AM46), ISBLANK(U41:U46),ISBLANK(AR41:AR46)), "·", bdRateHermite( $P41:$P46,U41:U46, $AM41:$AM46,AR41:AR46))</f>
        <v>-9.8318628765985627E-2</v>
      </c>
      <c r="BQ41" s="84">
        <f>IF( OR(ISBLANK($P41:$P46),ISBLANK($AM41:$AM46), ISBLANK(V41:V46),ISBLANK(AS41:AS46)), "·", bdRateHermite( $P41:$P46,V41:V46, $AM41:$AM46,AS41:AS46))</f>
        <v>-0.16166117332547436</v>
      </c>
      <c r="BR41" s="84">
        <f>IF( OR(ISBLANK($P41:$P46),ISBLANK($AM41:$AM46), ISBLANK(W41:W46),ISBLANK(AT41:AT46)), "·", bdRateHermite( $P41:$P46,W41:W46, $AM41:$AM46,AT41:AT46))</f>
        <v>-0.50452452524332303</v>
      </c>
      <c r="BS41" s="84">
        <f>IF( OR(ISBLANK($P41:$P46),ISBLANK($AM41:$AM46), ISBLANK(X41:X46),ISBLANK(AU41:AU46)), "·", bdRateHermite( $P41:$P46,X41:X46, $AM41:$AM46,AU41:AU46))</f>
        <v>-0.2574705342337168</v>
      </c>
      <c r="BT41" s="92"/>
      <c r="BV41" s="83">
        <f>IF( OR(ISBLANK($Q41:$Q46),ISBLANK($AN41:$AN46), ISBLANK(T42:T46),ISBLANK(AQ42:AQ46)), "·", bdRateHermite( $Q42:$Q46,T42:T46, $AN42:$AN46,AQ42:AQ46))</f>
        <v>0</v>
      </c>
      <c r="BW41" s="84">
        <f>IF(OR(ISBLANK($Q41:$Q46),ISBLANK($AN41:$AN46),ISBLANK(U41:U46),ISBLANK(AR41:AR46)),"·",bdRateHermite($Q42:$Q46,U42:U46,$AN42:$AN46,AR42:AR46))</f>
        <v>0</v>
      </c>
      <c r="BX41" s="225">
        <f>IF(OR(ISBLANK($R41:$R46),ISBLANK($AO41:$AO46),ISBLANK($V41:$V46),ISBLANK($AS41:$AS46)),"·",bdRateHermite($R42:$R46,$V42:$V46,$AO42:$AO46,$AS42:$AS46))</f>
        <v>-0.4011938704960617</v>
      </c>
      <c r="BY41" s="225">
        <f>IF(OR(ISBLANK($R41:$R46),ISBLANK($AO41:$AO46),ISBLANK($W41:$W46),ISBLANK($AT41:$AT46)),"·",bdRateHermite($R42:$R46,$W42:$W46,$AO42:$AO46,$AT42:$AT46))</f>
        <v>-0.55927599087648217</v>
      </c>
      <c r="BZ41" s="225">
        <f>IF(OR(ISBLANK($R41:$R46),ISBLANK($AO41:$AO46),ISBLANK($X41:$X46),ISBLANK($AU41:$AU46)),"·",bdRateHermite($R42:$R46,$X42:$X46,$AO42:$AO46,$AU42:$AU46))</f>
        <v>-0.51945957650978059</v>
      </c>
      <c r="CA41" s="92"/>
      <c r="CC41" s="83">
        <f>IF( OR(ISBLANK($P41:$P46),ISBLANK($AM41:$AM46), ISBLANK($T41:$T46),ISBLANK($AQ41:$AQ46)), "·", bdRateHermite($P42:$P46,$T42:$T46, $AM42:$AM46,$AQ42:$AQ46))</f>
        <v>-9.2711752322558794E-2</v>
      </c>
      <c r="CD41" s="84">
        <f>IF( OR(ISBLANK($P41:$P46),ISBLANK($AM41:$AM46), ISBLANK(U41:U46),ISBLANK(AR41:AR46)), "·", bdRateHermite( $P42:$P46,U42:U46, $AM42:$AM46,AR42:AR46))</f>
        <v>-9.2292025002289058E-2</v>
      </c>
      <c r="CE41" s="84">
        <f>IF( OR(ISBLANK($P41:$P46),ISBLANK($AM41:$AM46), ISBLANK(V41:V46),ISBLANK(AS41:AS46)), "·", bdRateHermite( $P42:$P46,V42:V46, $AM42:$AM46,AS42:AS46))</f>
        <v>-0.16327267587618477</v>
      </c>
      <c r="CF41" s="84">
        <f>IF( OR(ISBLANK($P41:$P46),ISBLANK($AM41:$AM46), ISBLANK(W41:W46),ISBLANK(AT41:AT46)), "·", bdRateHermite( $P42:$P46,W42:W46, $AM42:$AM46,AT42:AT46))</f>
        <v>-0.39783207612149452</v>
      </c>
      <c r="CG41" s="84">
        <f>IF( OR(ISBLANK($P41:$P46),ISBLANK($AM41:$AM46), ISBLANK(X41:X46),ISBLANK(AU41:AU46)), "·", bdRateHermite( $P42:$P46,X42:X46, $AM42:$AM46,AU42:AU46))</f>
        <v>-0.3043848544346921</v>
      </c>
      <c r="CH41" s="92"/>
      <c r="CJ41" s="83">
        <f>IF( OR(ISBLANK($Q41:$Q45),ISBLANK($AN41:$AN45), ISBLANK($T41:$T45),ISBLANK($AQ41:$AQ45)), "·", bdRateHermite( $Q41:$Q45,$T41:$T45, $AN41:$AN45,$AQ41:$AQ45))</f>
        <v>0</v>
      </c>
      <c r="CK41" s="84">
        <f>IF(OR(ISBLANK($Q41:$Q45),ISBLANK($AN41:$AN45),ISBLANK(U41:U45),ISBLANK(AR41:AR45)),"·",bdRateHermite($Q41:$Q45,U41:U45,$AN41:$AN45,AR41:AR45))</f>
        <v>0</v>
      </c>
      <c r="CL41" s="225">
        <f>IF(OR(ISBLANK($R41:$R46),ISBLANK($AO41:$AO46),ISBLANK($V41:$V46),ISBLANK($AS41:$AS46)),"·",bdRateHermite($R41:$R45,$V41:$V45,$AO41:$AO45,$AS41:$AS45))</f>
        <v>-0.4036169428983778</v>
      </c>
      <c r="CM41" s="225">
        <f>IF(OR(ISBLANK($R41:$R46),ISBLANK($AO41:$AO46),ISBLANK($W41:$W46),ISBLANK($AT41:$AT46)),"·",bdRateHermite($R41:$R45,$W41:$W45,$AO41:$AO45,$AT41:$AT45))</f>
        <v>-0.65611032029412186</v>
      </c>
      <c r="CN41" s="225">
        <f>IF(OR(ISBLANK($R41:$R46),ISBLANK($AO41:$AO46),ISBLANK($X41:$X46),ISBLANK($AU41:$AU46)),"·",bdRateHermite($R41:$R45,$X41:$X45,$AO41:$AO45,$AU41:$AU45))</f>
        <v>-0.50933319988267911</v>
      </c>
      <c r="CO41" s="92"/>
      <c r="CQ41" s="83">
        <f>IF( OR(ISBLANK($P41:$P45),ISBLANK($AM41:$AM45), ISBLANK($T41:$T45),ISBLANK($AQ41:$AQ45)), "·", bdRateHermite($P41:$P45,$T41:$T45, $AM41:$AM45,$AQ41:$AQ45))</f>
        <v>-0.10588552122238692</v>
      </c>
      <c r="CR41" s="84">
        <f>IF( OR(ISBLANK($P41:$P45),ISBLANK($AM41:$AM45), ISBLANK(U41:U45),ISBLANK(AR41:AR45)), "·", bdRateHermite( $P41:$P45,U41:U45, $AM41:$AM45,AR41:AR45))</f>
        <v>-0.10585161702143631</v>
      </c>
      <c r="CS41" s="84">
        <f>IF( OR(ISBLANK($P41:$P45),ISBLANK($AM41:$AM45), ISBLANK(V41:V45),ISBLANK(AS41:AS45)), "·", bdRateHermite( $P41:$P45,V41:V45, $AM41:$AM45,AS41:AS45))</f>
        <v>-0.17748051303931189</v>
      </c>
      <c r="CT41" s="84">
        <f>IF( OR(ISBLANK($P41:$P45),ISBLANK($AM41:$AM45), ISBLANK(W41:W45),ISBLANK(AT41:AT45)), "·", bdRateHermite( $P41:$P45,W41:W45, $AM41:$AM45,AT41:AT45))</f>
        <v>-0.57052265159215643</v>
      </c>
      <c r="CU41" s="84">
        <f>IF( OR(ISBLANK($P41:$P45),ISBLANK($AM41:$AM45), ISBLANK(X41:X45),ISBLANK(AU41:AU45)), "·", bdRateHermite( $P41:$P45,X41:X45, $AM41:$AM45,AU41:AU45))</f>
        <v>-0.2765660383236257</v>
      </c>
      <c r="CV41" s="92"/>
    </row>
    <row r="42" spans="1:100" s="1" customFormat="1" outlineLevel="1">
      <c r="A42" s="13"/>
      <c r="B42" s="14" t="s">
        <v>1116</v>
      </c>
      <c r="C42" s="15" t="s">
        <v>132</v>
      </c>
      <c r="D42" s="473">
        <v>47062018</v>
      </c>
      <c r="E42" s="15">
        <v>20</v>
      </c>
      <c r="F42" s="15">
        <v>1</v>
      </c>
      <c r="G42" s="16"/>
      <c r="I42" s="30" t="str">
        <f t="shared" si="14"/>
        <v>·</v>
      </c>
      <c r="J42" s="43">
        <f t="shared" si="15"/>
        <v>0.94705620145740455</v>
      </c>
      <c r="K42" s="43">
        <f t="shared" si="16"/>
        <v>0.51303571385315438</v>
      </c>
      <c r="L42" s="31">
        <f t="shared" ref="L42:L64" si="29">IF(R42="","·",R42/D42)</f>
        <v>0.43400875840045788</v>
      </c>
      <c r="M42" s="51"/>
      <c r="N42" s="31">
        <f t="shared" si="18"/>
        <v>2.2452841119354106</v>
      </c>
      <c r="O42" s="356">
        <v>19850662</v>
      </c>
      <c r="P42" s="357">
        <v>44570376</v>
      </c>
      <c r="Q42" s="357">
        <v>24144496</v>
      </c>
      <c r="R42" s="208">
        <v>20425328</v>
      </c>
      <c r="S42" s="87"/>
      <c r="T42" s="358">
        <v>83.043564000000003</v>
      </c>
      <c r="U42" s="358">
        <v>78.267792</v>
      </c>
      <c r="V42" s="358">
        <v>27.442955000000001</v>
      </c>
      <c r="W42" s="358">
        <v>29.630877999999999</v>
      </c>
      <c r="X42" s="358">
        <v>33.913544000000002</v>
      </c>
      <c r="Y42" s="87"/>
      <c r="Z42" s="359">
        <v>72.468000000000004</v>
      </c>
      <c r="AA42" s="359">
        <v>25.148</v>
      </c>
      <c r="AB42" s="32">
        <v>0</v>
      </c>
      <c r="AC42" s="32">
        <v>0</v>
      </c>
      <c r="AD42" s="33"/>
      <c r="AF42" s="30" t="str">
        <f t="shared" si="19"/>
        <v>·</v>
      </c>
      <c r="AG42" s="43">
        <f t="shared" si="20"/>
        <v>0.81736622513722212</v>
      </c>
      <c r="AH42" s="43">
        <f t="shared" si="21"/>
        <v>0.51303571385315438</v>
      </c>
      <c r="AI42" s="31">
        <f t="shared" si="28"/>
        <v>0.30431878208027546</v>
      </c>
      <c r="AJ42" s="51"/>
      <c r="AK42" s="31">
        <f t="shared" si="23"/>
        <v>1.9378146683470807</v>
      </c>
      <c r="AL42" s="356">
        <v>19850662</v>
      </c>
      <c r="AM42" s="357">
        <v>38466904</v>
      </c>
      <c r="AN42" s="357">
        <v>24144496</v>
      </c>
      <c r="AO42" s="208">
        <v>14321856</v>
      </c>
      <c r="AP42" s="87"/>
      <c r="AQ42" s="358">
        <v>83.043564000000003</v>
      </c>
      <c r="AR42" s="358">
        <v>78.267792</v>
      </c>
      <c r="AS42" s="358">
        <v>27.487867000000001</v>
      </c>
      <c r="AT42" s="358">
        <v>32.561610999999999</v>
      </c>
      <c r="AU42" s="358">
        <v>33.357582000000001</v>
      </c>
      <c r="AV42" s="87"/>
      <c r="AW42" s="359">
        <v>106.876</v>
      </c>
      <c r="AX42" s="359">
        <v>46.924999999999997</v>
      </c>
      <c r="AY42" s="32">
        <v>0</v>
      </c>
      <c r="AZ42" s="32">
        <v>0</v>
      </c>
      <c r="BA42" s="33">
        <v>49152</v>
      </c>
      <c r="BC42" s="56" t="e">
        <f t="shared" si="27"/>
        <v>#DIV/0!</v>
      </c>
      <c r="BD42" s="57" t="e">
        <f t="shared" si="26"/>
        <v>#DIV/0!</v>
      </c>
      <c r="BE42" s="57">
        <f t="shared" si="24"/>
        <v>8.5953104882753206E-2</v>
      </c>
      <c r="BF42" s="58"/>
      <c r="BH42" s="74"/>
      <c r="BI42" s="75"/>
      <c r="BJ42" s="75"/>
      <c r="BK42" s="75"/>
      <c r="BL42" s="75"/>
      <c r="BM42" s="87"/>
      <c r="BO42" s="74"/>
      <c r="BP42" s="75"/>
      <c r="BQ42" s="75"/>
      <c r="BR42" s="75"/>
      <c r="BS42" s="75"/>
      <c r="BT42" s="87"/>
      <c r="BV42" s="74"/>
      <c r="BW42" s="75"/>
      <c r="BX42" s="75"/>
      <c r="BY42" s="75"/>
      <c r="BZ42" s="75"/>
      <c r="CA42" s="87"/>
      <c r="CC42" s="74"/>
      <c r="CD42" s="75"/>
      <c r="CE42" s="75"/>
      <c r="CF42" s="75"/>
      <c r="CG42" s="75"/>
      <c r="CH42" s="87"/>
      <c r="CJ42" s="74"/>
      <c r="CK42" s="75"/>
      <c r="CL42" s="75"/>
      <c r="CM42" s="75"/>
      <c r="CN42" s="75"/>
      <c r="CO42" s="87"/>
      <c r="CQ42" s="74"/>
      <c r="CR42" s="75"/>
      <c r="CS42" s="75"/>
      <c r="CT42" s="75"/>
      <c r="CU42" s="75"/>
      <c r="CV42" s="87"/>
    </row>
    <row r="43" spans="1:100" s="1" customFormat="1" outlineLevel="1">
      <c r="A43" s="13"/>
      <c r="B43" s="14" t="s">
        <v>1116</v>
      </c>
      <c r="C43" s="15" t="s">
        <v>133</v>
      </c>
      <c r="D43" s="473">
        <v>47062018</v>
      </c>
      <c r="E43" s="15">
        <v>20</v>
      </c>
      <c r="F43" s="15">
        <v>1</v>
      </c>
      <c r="G43" s="16"/>
      <c r="I43" s="30" t="str">
        <f t="shared" si="14"/>
        <v>·</v>
      </c>
      <c r="J43" s="31">
        <f t="shared" si="15"/>
        <v>8.256107844759228</v>
      </c>
      <c r="K43" s="31">
        <f t="shared" si="16"/>
        <v>6.4090898949552058</v>
      </c>
      <c r="L43" s="31">
        <f t="shared" si="29"/>
        <v>1.8470057106348479</v>
      </c>
      <c r="M43" s="51"/>
      <c r="N43" s="31">
        <f t="shared" si="18"/>
        <v>8.7868285777683734</v>
      </c>
      <c r="O43" s="356">
        <v>44219492</v>
      </c>
      <c r="P43" s="357">
        <v>388549096</v>
      </c>
      <c r="Q43" s="357">
        <v>301624704</v>
      </c>
      <c r="R43" s="208">
        <v>86923816</v>
      </c>
      <c r="S43" s="87"/>
      <c r="T43" s="358">
        <v>95.078140000000005</v>
      </c>
      <c r="U43" s="358">
        <v>90.308989999999994</v>
      </c>
      <c r="V43" s="358">
        <v>34.816150999999998</v>
      </c>
      <c r="W43" s="358">
        <v>35.068294999999999</v>
      </c>
      <c r="X43" s="358">
        <v>37.141475999999997</v>
      </c>
      <c r="Y43" s="87"/>
      <c r="Z43" s="359">
        <v>220.708</v>
      </c>
      <c r="AA43" s="359">
        <v>101.07299999999999</v>
      </c>
      <c r="AB43" s="32">
        <v>0</v>
      </c>
      <c r="AC43" s="32">
        <v>0</v>
      </c>
      <c r="AD43" s="33"/>
      <c r="AF43" s="30" t="str">
        <f t="shared" si="19"/>
        <v>·</v>
      </c>
      <c r="AG43" s="31">
        <f t="shared" si="20"/>
        <v>7.496948388401024</v>
      </c>
      <c r="AH43" s="31">
        <f t="shared" si="21"/>
        <v>6.4090898949552058</v>
      </c>
      <c r="AI43" s="31">
        <f t="shared" si="28"/>
        <v>1.0878462542766441</v>
      </c>
      <c r="AJ43" s="51"/>
      <c r="AK43" s="31">
        <f t="shared" si="23"/>
        <v>7.9788686853299895</v>
      </c>
      <c r="AL43" s="356">
        <v>44219492</v>
      </c>
      <c r="AM43" s="357">
        <v>352821520</v>
      </c>
      <c r="AN43" s="357">
        <v>301624704</v>
      </c>
      <c r="AO43" s="208">
        <v>51196240</v>
      </c>
      <c r="AP43" s="87"/>
      <c r="AQ43" s="358">
        <v>95.078140000000005</v>
      </c>
      <c r="AR43" s="358">
        <v>90.308989999999994</v>
      </c>
      <c r="AS43" s="358">
        <v>35.743834999999997</v>
      </c>
      <c r="AT43" s="358">
        <v>38.367722000000001</v>
      </c>
      <c r="AU43" s="358">
        <v>39.408679999999997</v>
      </c>
      <c r="AV43" s="87"/>
      <c r="AW43" s="359">
        <v>331.779</v>
      </c>
      <c r="AX43" s="359">
        <v>198.22499999999999</v>
      </c>
      <c r="AY43" s="32">
        <v>0</v>
      </c>
      <c r="AZ43" s="32">
        <v>0</v>
      </c>
      <c r="BA43" s="33">
        <v>3072</v>
      </c>
      <c r="BC43" s="56" t="e">
        <f t="shared" si="27"/>
        <v>#DIV/0!</v>
      </c>
      <c r="BD43" s="57" t="e">
        <f t="shared" si="26"/>
        <v>#DIV/0!</v>
      </c>
      <c r="BE43" s="57">
        <f t="shared" si="24"/>
        <v>7.8608496700020569E-2</v>
      </c>
      <c r="BF43" s="58"/>
      <c r="BH43" s="74"/>
      <c r="BI43" s="75"/>
      <c r="BJ43" s="75"/>
      <c r="BK43" s="75"/>
      <c r="BL43" s="75"/>
      <c r="BM43" s="87"/>
      <c r="BO43" s="74"/>
      <c r="BP43" s="75"/>
      <c r="BQ43" s="75"/>
      <c r="BR43" s="75"/>
      <c r="BS43" s="75"/>
      <c r="BT43" s="87"/>
      <c r="BV43" s="74"/>
      <c r="BW43" s="75"/>
      <c r="BX43" s="75"/>
      <c r="BY43" s="75"/>
      <c r="BZ43" s="75"/>
      <c r="CA43" s="87"/>
      <c r="CC43" s="74"/>
      <c r="CD43" s="75"/>
      <c r="CE43" s="75"/>
      <c r="CF43" s="75"/>
      <c r="CG43" s="75"/>
      <c r="CH43" s="87"/>
      <c r="CJ43" s="74"/>
      <c r="CK43" s="75"/>
      <c r="CL43" s="75"/>
      <c r="CM43" s="75"/>
      <c r="CN43" s="75"/>
      <c r="CO43" s="87"/>
      <c r="CQ43" s="74"/>
      <c r="CR43" s="75"/>
      <c r="CS43" s="75"/>
      <c r="CT43" s="75"/>
      <c r="CU43" s="75"/>
      <c r="CV43" s="87"/>
    </row>
    <row r="44" spans="1:100" s="1" customFormat="1" outlineLevel="1">
      <c r="A44" s="13"/>
      <c r="B44" s="14" t="s">
        <v>1116</v>
      </c>
      <c r="C44" s="15" t="s">
        <v>134</v>
      </c>
      <c r="D44" s="473">
        <v>47062018</v>
      </c>
      <c r="E44" s="15">
        <v>20</v>
      </c>
      <c r="F44" s="15">
        <v>1</v>
      </c>
      <c r="G44" s="16"/>
      <c r="I44" s="30" t="str">
        <f t="shared" si="14"/>
        <v>·</v>
      </c>
      <c r="J44" s="31">
        <f t="shared" si="15"/>
        <v>12.948533741158316</v>
      </c>
      <c r="K44" s="31">
        <f t="shared" si="16"/>
        <v>9.5151912950269146</v>
      </c>
      <c r="L44" s="31">
        <f t="shared" si="29"/>
        <v>3.4333302069622258</v>
      </c>
      <c r="M44" s="51"/>
      <c r="N44" s="31">
        <f t="shared" si="18"/>
        <v>13.115755519048774</v>
      </c>
      <c r="O44" s="356">
        <v>46461992</v>
      </c>
      <c r="P44" s="357">
        <v>609384128</v>
      </c>
      <c r="Q44" s="357">
        <v>447804104</v>
      </c>
      <c r="R44" s="208">
        <v>161579448</v>
      </c>
      <c r="S44" s="87"/>
      <c r="T44" s="358">
        <v>101.08976</v>
      </c>
      <c r="U44" s="358">
        <v>96.329589999999996</v>
      </c>
      <c r="V44" s="358">
        <v>40.600292000000003</v>
      </c>
      <c r="W44" s="358">
        <v>40.793197999999997</v>
      </c>
      <c r="X44" s="358">
        <v>41.356673999999998</v>
      </c>
      <c r="Y44" s="87"/>
      <c r="Z44" s="359">
        <v>259.31200000000001</v>
      </c>
      <c r="AA44" s="359">
        <v>116.316</v>
      </c>
      <c r="AB44" s="32">
        <v>0</v>
      </c>
      <c r="AC44" s="32">
        <v>0</v>
      </c>
      <c r="AD44" s="33"/>
      <c r="AF44" s="30" t="str">
        <f t="shared" si="19"/>
        <v>·</v>
      </c>
      <c r="AG44" s="31">
        <f t="shared" si="20"/>
        <v>11.562836085779407</v>
      </c>
      <c r="AH44" s="31">
        <f t="shared" si="21"/>
        <v>9.5151912950269146</v>
      </c>
      <c r="AI44" s="31">
        <f t="shared" si="28"/>
        <v>2.0476325515833174</v>
      </c>
      <c r="AJ44" s="51"/>
      <c r="AK44" s="31">
        <f t="shared" si="23"/>
        <v>11.712162491870775</v>
      </c>
      <c r="AL44" s="356">
        <v>46461992</v>
      </c>
      <c r="AM44" s="357">
        <v>544170400</v>
      </c>
      <c r="AN44" s="357">
        <v>447804104</v>
      </c>
      <c r="AO44" s="208">
        <v>96365720</v>
      </c>
      <c r="AP44" s="87"/>
      <c r="AQ44" s="358">
        <v>101.08976</v>
      </c>
      <c r="AR44" s="358">
        <v>96.329589999999996</v>
      </c>
      <c r="AS44" s="358">
        <v>41.658653000000001</v>
      </c>
      <c r="AT44" s="358">
        <v>43.825684000000003</v>
      </c>
      <c r="AU44" s="358">
        <v>44.841971999999998</v>
      </c>
      <c r="AV44" s="87"/>
      <c r="AW44" s="359">
        <v>412.44499999999999</v>
      </c>
      <c r="AX44" s="359">
        <v>209.93799999999999</v>
      </c>
      <c r="AY44" s="32">
        <v>0</v>
      </c>
      <c r="AZ44" s="32">
        <v>0</v>
      </c>
      <c r="BA44" s="33">
        <v>768</v>
      </c>
      <c r="BC44" s="56" t="e">
        <f t="shared" si="27"/>
        <v>#DIV/0!</v>
      </c>
      <c r="BD44" s="57" t="e">
        <f t="shared" si="26"/>
        <v>#DIV/0!</v>
      </c>
      <c r="BE44" s="57">
        <f t="shared" si="24"/>
        <v>8.8064534544152751E-2</v>
      </c>
      <c r="BF44" s="58"/>
      <c r="BH44" s="74"/>
      <c r="BI44" s="75"/>
      <c r="BJ44" s="75"/>
      <c r="BK44" s="75"/>
      <c r="BL44" s="75"/>
      <c r="BM44" s="87"/>
      <c r="BO44" s="74"/>
      <c r="BP44" s="75"/>
      <c r="BQ44" s="75"/>
      <c r="BR44" s="75"/>
      <c r="BS44" s="75"/>
      <c r="BT44" s="87"/>
      <c r="BV44" s="74"/>
      <c r="BW44" s="75"/>
      <c r="BX44" s="75"/>
      <c r="BY44" s="75"/>
      <c r="BZ44" s="75"/>
      <c r="CA44" s="87"/>
      <c r="CC44" s="74"/>
      <c r="CD44" s="75"/>
      <c r="CE44" s="75"/>
      <c r="CF44" s="75"/>
      <c r="CG44" s="75"/>
      <c r="CH44" s="87"/>
      <c r="CJ44" s="74"/>
      <c r="CK44" s="75"/>
      <c r="CL44" s="75"/>
      <c r="CM44" s="75"/>
      <c r="CN44" s="75"/>
      <c r="CO44" s="87"/>
      <c r="CQ44" s="74"/>
      <c r="CR44" s="75"/>
      <c r="CS44" s="75"/>
      <c r="CT44" s="75"/>
      <c r="CU44" s="75"/>
      <c r="CV44" s="87"/>
    </row>
    <row r="45" spans="1:100" s="1" customFormat="1" outlineLevel="1">
      <c r="A45" s="13"/>
      <c r="B45" s="14" t="s">
        <v>1116</v>
      </c>
      <c r="C45" s="15" t="s">
        <v>135</v>
      </c>
      <c r="D45" s="473">
        <v>47062018</v>
      </c>
      <c r="E45" s="15">
        <v>20</v>
      </c>
      <c r="F45" s="15">
        <v>1</v>
      </c>
      <c r="G45" s="16"/>
      <c r="I45" s="30" t="str">
        <f t="shared" si="14"/>
        <v>·</v>
      </c>
      <c r="J45" s="31">
        <f t="shared" si="15"/>
        <v>20.917447781350983</v>
      </c>
      <c r="K45" s="31">
        <f t="shared" si="16"/>
        <v>15.413863978378489</v>
      </c>
      <c r="L45" s="31">
        <f t="shared" si="29"/>
        <v>5.5035720737687024</v>
      </c>
      <c r="M45" s="51"/>
      <c r="N45" s="31">
        <f t="shared" si="18"/>
        <v>20.917447781350983</v>
      </c>
      <c r="O45" s="356">
        <v>47062018</v>
      </c>
      <c r="P45" s="357">
        <v>984417304</v>
      </c>
      <c r="Q45" s="357">
        <v>725407544</v>
      </c>
      <c r="R45" s="208">
        <v>259009208</v>
      </c>
      <c r="S45" s="87"/>
      <c r="T45" s="358">
        <v>113.007149</v>
      </c>
      <c r="U45" s="358">
        <v>108.370789</v>
      </c>
      <c r="V45" s="358">
        <v>46.374039000000003</v>
      </c>
      <c r="W45" s="358">
        <v>46.196522000000002</v>
      </c>
      <c r="X45" s="358">
        <v>46.380329000000003</v>
      </c>
      <c r="Y45" s="87"/>
      <c r="Z45" s="359">
        <v>246.91200000000001</v>
      </c>
      <c r="AA45" s="359">
        <v>114.526</v>
      </c>
      <c r="AB45" s="32">
        <v>0</v>
      </c>
      <c r="AC45" s="32">
        <v>0</v>
      </c>
      <c r="AD45" s="33"/>
      <c r="AF45" s="30" t="str">
        <f t="shared" si="19"/>
        <v>·</v>
      </c>
      <c r="AG45" s="31">
        <f t="shared" si="20"/>
        <v>19.394922164196188</v>
      </c>
      <c r="AH45" s="31">
        <f t="shared" si="21"/>
        <v>15.413863978378489</v>
      </c>
      <c r="AI45" s="31">
        <f t="shared" si="28"/>
        <v>3.981046456613909</v>
      </c>
      <c r="AJ45" s="51"/>
      <c r="AK45" s="31">
        <f t="shared" si="23"/>
        <v>19.394922164196188</v>
      </c>
      <c r="AL45" s="356">
        <v>47062018</v>
      </c>
      <c r="AM45" s="357">
        <v>912764176</v>
      </c>
      <c r="AN45" s="357">
        <v>725407544</v>
      </c>
      <c r="AO45" s="208">
        <v>187356080</v>
      </c>
      <c r="AP45" s="87"/>
      <c r="AQ45" s="358">
        <v>113.007149</v>
      </c>
      <c r="AR45" s="358">
        <v>108.370789</v>
      </c>
      <c r="AS45" s="358">
        <v>46.972157000000003</v>
      </c>
      <c r="AT45" s="358">
        <v>48.481388000000003</v>
      </c>
      <c r="AU45" s="358">
        <v>48.942123000000002</v>
      </c>
      <c r="AV45" s="87"/>
      <c r="AW45" s="359">
        <v>396.29599999999999</v>
      </c>
      <c r="AX45" s="359">
        <v>201.19499999999999</v>
      </c>
      <c r="AY45" s="32">
        <v>0</v>
      </c>
      <c r="AZ45" s="32">
        <v>0</v>
      </c>
      <c r="BA45" s="33">
        <v>48</v>
      </c>
      <c r="BC45" s="56" t="e">
        <f t="shared" si="27"/>
        <v>#DIV/0!</v>
      </c>
      <c r="BD45" s="57" t="e">
        <f t="shared" si="26"/>
        <v>#DIV/0!</v>
      </c>
      <c r="BE45" s="57">
        <f t="shared" si="24"/>
        <v>5.7846807567406233E-2</v>
      </c>
      <c r="BF45" s="58"/>
      <c r="BH45" s="74"/>
      <c r="BI45" s="75"/>
      <c r="BJ45" s="75"/>
      <c r="BK45" s="75"/>
      <c r="BL45" s="75"/>
      <c r="BM45" s="87"/>
      <c r="BO45" s="74"/>
      <c r="BP45" s="75"/>
      <c r="BQ45" s="75"/>
      <c r="BR45" s="75"/>
      <c r="BS45" s="75"/>
      <c r="BT45" s="87"/>
      <c r="BV45" s="74"/>
      <c r="BW45" s="75"/>
      <c r="BX45" s="75"/>
      <c r="BY45" s="75"/>
      <c r="BZ45" s="75"/>
      <c r="CA45" s="87"/>
      <c r="CC45" s="74"/>
      <c r="CD45" s="75"/>
      <c r="CE45" s="75"/>
      <c r="CF45" s="75"/>
      <c r="CG45" s="75"/>
      <c r="CH45" s="87"/>
      <c r="CJ45" s="74"/>
      <c r="CK45" s="75"/>
      <c r="CL45" s="75"/>
      <c r="CM45" s="75"/>
      <c r="CN45" s="75"/>
      <c r="CO45" s="87"/>
      <c r="CQ45" s="74"/>
      <c r="CR45" s="75"/>
      <c r="CS45" s="75"/>
      <c r="CT45" s="75"/>
      <c r="CU45" s="75"/>
      <c r="CV45" s="87"/>
    </row>
    <row r="46" spans="1:100" s="1" customFormat="1" ht="14.25" outlineLevel="1" thickBot="1">
      <c r="A46" s="13"/>
      <c r="B46" s="18" t="s">
        <v>1116</v>
      </c>
      <c r="C46" s="19" t="s">
        <v>136</v>
      </c>
      <c r="D46" s="474">
        <v>47062018</v>
      </c>
      <c r="E46" s="19">
        <v>20</v>
      </c>
      <c r="F46" s="19">
        <v>1</v>
      </c>
      <c r="G46" s="23"/>
      <c r="I46" s="38" t="str">
        <f t="shared" si="14"/>
        <v>·</v>
      </c>
      <c r="J46" s="39">
        <f t="shared" si="15"/>
        <v>26.025742287549164</v>
      </c>
      <c r="K46" s="39">
        <f t="shared" si="16"/>
        <v>18.386919829914646</v>
      </c>
      <c r="L46" s="35">
        <f t="shared" si="29"/>
        <v>7.6388107284307276</v>
      </c>
      <c r="M46" s="52"/>
      <c r="N46" s="39">
        <f t="shared" si="18"/>
        <v>26.025742287549164</v>
      </c>
      <c r="O46" s="360">
        <v>47062018</v>
      </c>
      <c r="P46" s="361">
        <v>1224823952</v>
      </c>
      <c r="Q46" s="361">
        <v>865325552</v>
      </c>
      <c r="R46" s="209">
        <v>359497848</v>
      </c>
      <c r="S46" s="88"/>
      <c r="T46" s="362">
        <v>118.657082</v>
      </c>
      <c r="U46" s="362">
        <v>114.39138800000001</v>
      </c>
      <c r="V46" s="362">
        <v>51.145290000000003</v>
      </c>
      <c r="W46" s="362">
        <v>51.203353999999997</v>
      </c>
      <c r="X46" s="362">
        <v>51.743599000000003</v>
      </c>
      <c r="Y46" s="88"/>
      <c r="Z46" s="363">
        <v>247.233</v>
      </c>
      <c r="AA46" s="363">
        <v>114.563</v>
      </c>
      <c r="AB46" s="40">
        <v>0</v>
      </c>
      <c r="AC46" s="40">
        <v>0</v>
      </c>
      <c r="AD46" s="41"/>
      <c r="AF46" s="38" t="str">
        <f t="shared" si="19"/>
        <v>·</v>
      </c>
      <c r="AG46" s="39">
        <f t="shared" si="20"/>
        <v>25.109986911313491</v>
      </c>
      <c r="AH46" s="39">
        <f t="shared" si="21"/>
        <v>18.386919829914646</v>
      </c>
      <c r="AI46" s="35">
        <f t="shared" si="28"/>
        <v>6.7230553521950549</v>
      </c>
      <c r="AJ46" s="52"/>
      <c r="AK46" s="39">
        <f t="shared" si="23"/>
        <v>25.109986911313491</v>
      </c>
      <c r="AL46" s="360">
        <v>47062018</v>
      </c>
      <c r="AM46" s="361">
        <v>1181726656</v>
      </c>
      <c r="AN46" s="361">
        <v>865325552</v>
      </c>
      <c r="AO46" s="209">
        <v>316400552</v>
      </c>
      <c r="AP46" s="88"/>
      <c r="AQ46" s="362">
        <v>118.657082</v>
      </c>
      <c r="AR46" s="362">
        <v>114.39138800000001</v>
      </c>
      <c r="AS46" s="362">
        <v>51.366985</v>
      </c>
      <c r="AT46" s="362">
        <v>52.742637999999999</v>
      </c>
      <c r="AU46" s="362">
        <v>53.305210000000002</v>
      </c>
      <c r="AV46" s="88"/>
      <c r="AW46" s="363">
        <v>384.37299999999999</v>
      </c>
      <c r="AX46" s="363">
        <v>214.54900000000001</v>
      </c>
      <c r="AY46" s="40">
        <v>0</v>
      </c>
      <c r="AZ46" s="40">
        <v>0</v>
      </c>
      <c r="BA46" s="41">
        <v>12</v>
      </c>
      <c r="BC46" s="62" t="e">
        <f t="shared" si="27"/>
        <v>#DIV/0!</v>
      </c>
      <c r="BD46" s="63" t="e">
        <f t="shared" si="26"/>
        <v>#DIV/0!</v>
      </c>
      <c r="BE46" s="63">
        <f t="shared" si="24"/>
        <v>2.5765516222992835E-2</v>
      </c>
      <c r="BF46" s="64"/>
      <c r="BH46" s="80"/>
      <c r="BI46" s="81"/>
      <c r="BJ46" s="81"/>
      <c r="BK46" s="81"/>
      <c r="BL46" s="81"/>
      <c r="BM46" s="88"/>
      <c r="BO46" s="80"/>
      <c r="BP46" s="78"/>
      <c r="BQ46" s="78"/>
      <c r="BR46" s="78"/>
      <c r="BS46" s="78"/>
      <c r="BT46" s="88"/>
      <c r="BV46" s="77"/>
      <c r="BW46" s="78"/>
      <c r="BX46" s="78"/>
      <c r="BY46" s="78"/>
      <c r="BZ46" s="78"/>
      <c r="CA46" s="88"/>
      <c r="CC46" s="77"/>
      <c r="CD46" s="78"/>
      <c r="CE46" s="78"/>
      <c r="CF46" s="78"/>
      <c r="CG46" s="78"/>
      <c r="CH46" s="88"/>
      <c r="CJ46" s="77"/>
      <c r="CK46" s="78"/>
      <c r="CL46" s="78"/>
      <c r="CM46" s="78"/>
      <c r="CN46" s="78"/>
      <c r="CO46" s="88"/>
      <c r="CQ46" s="77"/>
      <c r="CR46" s="78"/>
      <c r="CS46" s="78"/>
      <c r="CT46" s="78"/>
      <c r="CU46" s="78"/>
      <c r="CV46" s="88"/>
    </row>
    <row r="47" spans="1:100" s="1" customFormat="1">
      <c r="A47" s="13"/>
      <c r="B47" s="24" t="s">
        <v>1117</v>
      </c>
      <c r="C47" s="25" t="s">
        <v>131</v>
      </c>
      <c r="D47" s="475">
        <v>43399207</v>
      </c>
      <c r="E47" s="28">
        <v>20</v>
      </c>
      <c r="F47" s="28">
        <v>1</v>
      </c>
      <c r="G47" s="29"/>
      <c r="I47" s="46" t="str">
        <f t="shared" si="14"/>
        <v>·</v>
      </c>
      <c r="J47" s="47">
        <f t="shared" si="15"/>
        <v>0.22330527836603098</v>
      </c>
      <c r="K47" s="47">
        <f t="shared" si="16"/>
        <v>0.11270583815045285</v>
      </c>
      <c r="L47" s="43">
        <f t="shared" si="29"/>
        <v>0.11058672108916645</v>
      </c>
      <c r="M47" s="55"/>
      <c r="N47" s="47">
        <f t="shared" si="18"/>
        <v>1.1526903759061526</v>
      </c>
      <c r="O47" s="352">
        <v>8407524</v>
      </c>
      <c r="P47" s="353">
        <v>9691272</v>
      </c>
      <c r="Q47" s="353">
        <v>4891344</v>
      </c>
      <c r="R47" s="207">
        <v>4799376</v>
      </c>
      <c r="S47" s="90"/>
      <c r="T47" s="354">
        <v>77.006927000000005</v>
      </c>
      <c r="U47" s="354">
        <v>72.258492000000004</v>
      </c>
      <c r="V47" s="354">
        <v>22.489832</v>
      </c>
      <c r="W47" s="354">
        <v>26.950776999999999</v>
      </c>
      <c r="X47" s="354">
        <v>29.632507</v>
      </c>
      <c r="Y47" s="90"/>
      <c r="Z47" s="355">
        <v>36.155000000000001</v>
      </c>
      <c r="AA47" s="355">
        <v>8.5890000000000004</v>
      </c>
      <c r="AB47" s="48">
        <v>0</v>
      </c>
      <c r="AC47" s="48">
        <v>0</v>
      </c>
      <c r="AD47" s="49"/>
      <c r="AF47" s="46" t="str">
        <f t="shared" si="19"/>
        <v>·</v>
      </c>
      <c r="AG47" s="47">
        <f t="shared" si="20"/>
        <v>0.19450843882930857</v>
      </c>
      <c r="AH47" s="47">
        <f t="shared" si="21"/>
        <v>0.11270583815045285</v>
      </c>
      <c r="AI47" s="43">
        <f t="shared" si="28"/>
        <v>8.178988155244403E-2</v>
      </c>
      <c r="AJ47" s="55"/>
      <c r="AK47" s="47">
        <f t="shared" si="23"/>
        <v>1.0040425694889483</v>
      </c>
      <c r="AL47" s="352">
        <v>8407524</v>
      </c>
      <c r="AM47" s="353">
        <v>8441512</v>
      </c>
      <c r="AN47" s="353">
        <v>4891344</v>
      </c>
      <c r="AO47" s="207">
        <v>3549616</v>
      </c>
      <c r="AP47" s="90"/>
      <c r="AQ47" s="354">
        <v>77.006927000000005</v>
      </c>
      <c r="AR47" s="354">
        <v>72.258492000000004</v>
      </c>
      <c r="AS47" s="354">
        <v>22.771163999999999</v>
      </c>
      <c r="AT47" s="354">
        <v>27.740003999999999</v>
      </c>
      <c r="AU47" s="354">
        <v>26.705431000000001</v>
      </c>
      <c r="AV47" s="90"/>
      <c r="AW47" s="355">
        <v>56.603000000000002</v>
      </c>
      <c r="AX47" s="355">
        <v>17.629000000000001</v>
      </c>
      <c r="AY47" s="48">
        <v>0</v>
      </c>
      <c r="AZ47" s="48">
        <v>0</v>
      </c>
      <c r="BA47" s="49">
        <v>196097</v>
      </c>
      <c r="BC47" s="68" t="e">
        <f t="shared" si="27"/>
        <v>#DIV/0!</v>
      </c>
      <c r="BD47" s="69" t="e">
        <f t="shared" si="26"/>
        <v>#DIV/0!</v>
      </c>
      <c r="BE47" s="69">
        <f t="shared" si="24"/>
        <v>7.4722914448470346E-2</v>
      </c>
      <c r="BF47" s="70">
        <f t="array" ref="BF47">AVERAGE(AN47:AN52/AM47:AM52) - AVERAGE(Q47:Q52/P47:P52)</f>
        <v>6.4399269385602587E-2</v>
      </c>
      <c r="BH47" s="224">
        <f>IF( OR(ISBLANK($Q47:$Q52),ISBLANK($AN47:$AN52), ISBLANK($T47:$T52),ISBLANK($AQ47:$AQ52)), "·", bdRateHermite( $Q47:$Q52,$T47:$T52, $AN47:$AN52,$AQ47:$AQ52))</f>
        <v>0</v>
      </c>
      <c r="BI47" s="225">
        <f>IF(OR(ISBLANK(Q47:Q52),ISBLANK(AN47:AN52),ISBLANK(U47:U52),ISBLANK(AR47:AR52)),"·",bdRateHermite(Q47:Q52,U47:U52,AN47:AN52,AR47:AR52))</f>
        <v>0</v>
      </c>
      <c r="BJ47" s="225">
        <f>IF(OR(ISBLANK($R47:$R52),ISBLANK($AO47:$AO52),ISBLANK(V47:V52),ISBLANK(AS47:AS52)),"·",bdRateHermite($R47:$R52,V47:V52,$AO47:$AO52,AS47:AS52))</f>
        <v>-0.3724681927315352</v>
      </c>
      <c r="BK47" s="225">
        <f>IF(OR(ISBLANK($R47:$R52),ISBLANK($AO47:$AO52),ISBLANK(W47:W52),ISBLANK(AT47:AT52)),"·",bdRateHermite($R47:$R52,W47:W52,$AO47:$AO52,AT47:AT52))</f>
        <v>-0.56861994899813473</v>
      </c>
      <c r="BL47" s="225">
        <f>IF(OR(ISBLANK($R47:$R52),ISBLANK($AO47:$AO52),ISBLANK(X47:X52),ISBLANK(AU47:AU52)),"·",bdRateHermite($R47:$R52,X47:X52,$AO47:$AO52,AU47:AU52))</f>
        <v>-0.40169889875761522</v>
      </c>
      <c r="BM47" s="92"/>
      <c r="BO47" s="224">
        <f>IF( OR(ISBLANK($P47:$P52),ISBLANK($AM47:$AM52), ISBLANK($T47:$T52),ISBLANK($AQ47:$AQ52)), "·", bdRateHermite($P47:$P52,$T47:$T52, $AM47:$AM52,$AQ47:$AQ52))</f>
        <v>-8.9951014837851506E-2</v>
      </c>
      <c r="BP47" s="84">
        <f>IF( OR(ISBLANK($P47:$P52),ISBLANK($AM47:$AM52), ISBLANK(U47:U52),ISBLANK(AR47:AR52)), "·", bdRateHermite( $P47:$P52,U47:U52, $AM47:$AM52,AR47:AR52))</f>
        <v>-8.9501101721089826E-2</v>
      </c>
      <c r="BQ47" s="84">
        <f>IF( OR(ISBLANK($P47:$P52),ISBLANK($AM47:$AM52), ISBLANK(V47:V52),ISBLANK(AS47:AS52)), "·", bdRateHermite( $P47:$P52,V47:V52, $AM47:$AM52,AS47:AS52))</f>
        <v>-0.15453475703989072</v>
      </c>
      <c r="BR47" s="84">
        <f>IF( OR(ISBLANK($P47:$P52),ISBLANK($AM47:$AM52), ISBLANK(W47:W52),ISBLANK(AT47:AT52)), "·", bdRateHermite( $P47:$P52,W47:W52, $AM47:$AM52,AT47:AT52))</f>
        <v>-0.45346743919299071</v>
      </c>
      <c r="BS47" s="84">
        <f>IF( OR(ISBLANK($P47:$P52),ISBLANK($AM47:$AM52), ISBLANK(X47:X52),ISBLANK(AU47:AU52)), "·", bdRateHermite( $P47:$P52,X47:X52, $AM47:$AM52,AU47:AU52))</f>
        <v>-0.15391620796339045</v>
      </c>
      <c r="BT47" s="90"/>
      <c r="BV47" s="83">
        <f>IF( OR(ISBLANK($Q47:$Q51),ISBLANK($AN47:$AN51), ISBLANK($T47:$T51),ISBLANK($AQ47:$AQ51)), "·", bdRateHermite( $Q48:$Q52,$T48:$T52, $AN48:$AN52,$AQ48:$AQ52))</f>
        <v>0</v>
      </c>
      <c r="BW47" s="84">
        <f>IF(OR(ISBLANK($Q47:$Q52),ISBLANK($AN47:$AN52),ISBLANK(U47:U52),ISBLANK(AR47:AR52)),"·",bdRateHermite($Q48:$Q52,U48:U52,$AN48:$AN52,AR48:AR52))</f>
        <v>0</v>
      </c>
      <c r="BX47" s="225">
        <f>IF(OR(ISBLANK($R47:$R52),ISBLANK($AO47:$AO52),ISBLANK($V47:$V52),ISBLANK($AS47:$AS52)),"·",bdRateHermite($R48:$R52,$V48:$V52,$AO48:$AO52,$AS48:$AS52))</f>
        <v>-0.38949274212978591</v>
      </c>
      <c r="BY47" s="225">
        <f>IF(OR(ISBLANK($R47:$R52),ISBLANK($AO47:$AO52),ISBLANK($W47:$W52),ISBLANK($AT47:$AT52)),"·",bdRateHermite($R48:$R52,$W48:$W52,$AO48:$AO52,$AT48:$AT52))</f>
        <v>-0.52673644372571582</v>
      </c>
      <c r="BZ47" s="225">
        <f>IF(OR(ISBLANK($R47:$R52),ISBLANK($AO47:$AO52),ISBLANK($X47:$X52),ISBLANK($AU47:$AU52)),"·",bdRateHermite($R48:$R52,$X48:$X52,$AO48:$AO52,$AU48:$AU52))</f>
        <v>-0.48428245018858851</v>
      </c>
      <c r="CA47" s="92"/>
      <c r="CC47" s="83">
        <f>IF( OR(ISBLANK($P47:$P52),ISBLANK($AM47:$AM52), ISBLANK($T47:$T52),ISBLANK($AQ47:$AQ52)), "·", bdRateHermite($P48:$P52,$T48:$T52, $AM48:$AM52,$AQ48:$AQ52))</f>
        <v>-8.3549110378684288E-2</v>
      </c>
      <c r="CD47" s="84">
        <f>IF( OR(ISBLANK($P47:$P52),ISBLANK($AM47:$AM52), ISBLANK(U47:U52),ISBLANK(AR47:AR52)), "·", bdRateHermite( $P48:$P52,U48:U52, $AM48:$AM52,AR48:AR52))</f>
        <v>-8.3145245154707448E-2</v>
      </c>
      <c r="CE47" s="84">
        <f>IF( OR(ISBLANK($P47:$P52),ISBLANK($AM47:$AM52), ISBLANK(V47:V52),ISBLANK(AS47:AS52)), "·", bdRateHermite( $P48:$P52,V48:V52, $AM48:$AM52,AS48:AS52))</f>
        <v>-0.15320157292138203</v>
      </c>
      <c r="CF47" s="84">
        <f>IF( OR(ISBLANK($P47:$P52),ISBLANK($AM47:$AM52), ISBLANK(W47:W52),ISBLANK(AT47:AT52)), "·", bdRateHermite( $P48:$P52,W48:W52, $AM48:$AM52,AT48:AT52))</f>
        <v>-0.34583782813232222</v>
      </c>
      <c r="CG47" s="84">
        <f>IF( OR(ISBLANK($P47:$P52),ISBLANK($AM47:$AM52), ISBLANK(X47:X52),ISBLANK(AU47:AU52)), "·", bdRateHermite( $P48:$P52,X48:X52, $AM48:$AM52,AU48:AU52))</f>
        <v>-0.25565553659397511</v>
      </c>
      <c r="CH47" s="92"/>
      <c r="CJ47" s="83">
        <f>IF( OR(ISBLANK($Q47:$Q51),ISBLANK($AN47:$AN51), ISBLANK($T47:$T51),ISBLANK($AQ47:$AQ51)), "·", bdRateHermite( $Q47:$Q51,$T47:$T51, $AN47:$AN51,$AQ47:$AQ51))</f>
        <v>0</v>
      </c>
      <c r="CK47" s="84">
        <f>IF(OR(ISBLANK($Q47:$Q51),ISBLANK($AN47:$AN51),ISBLANK(U47:U51),ISBLANK(AR47:AR51)),"·",bdRateHermite($Q47:$Q51,U47:U51,$AN47:$AN51,AR47:AR51))</f>
        <v>0</v>
      </c>
      <c r="CL47" s="225">
        <f>IF(OR(ISBLANK($R47:$R52),ISBLANK($AO47:$AO52),ISBLANK($V47:$V52),ISBLANK($AS47:$AS52)),"·",bdRateHermite($R47:$R51,$V47:$V51,$AO47:$AO51,$AS47:$AS51))</f>
        <v>-0.40125628012742065</v>
      </c>
      <c r="CM47" s="225">
        <f>IF(OR(ISBLANK($R47:$R52),ISBLANK($AO47:$AO52),ISBLANK($W47:$W52),ISBLANK($AT47:$AT52)),"·",bdRateHermite($R47:$R51,$W47:$W51,$AO47:$AO51,$AT47:$AT51))</f>
        <v>-0.6165627335851066</v>
      </c>
      <c r="CN47" s="225">
        <f>IF(OR(ISBLANK($R47:$R52),ISBLANK($AO47:$AO52),ISBLANK($X47:$X52),ISBLANK($AU47:$AU52)),"·",bdRateHermite($R47:$R51,$X47:$X51,$AO47:$AO51,$AU47:$AU51))</f>
        <v>-0.42144017896365349</v>
      </c>
      <c r="CO47" s="92"/>
      <c r="CQ47" s="83">
        <f>IF( OR(ISBLANK($P47:$P51),ISBLANK($AM47:$AM51), ISBLANK($T47:$T51),ISBLANK($AQ47:$AQ51)), "·", bdRateHermite($P47:$P51,$T47:$T51, $AM47:$AM51,$AQ47:$AQ51))</f>
        <v>-9.6652461749975438E-2</v>
      </c>
      <c r="CR47" s="84">
        <f>IF( OR(ISBLANK($P47:$P51),ISBLANK($AM47:$AM51), ISBLANK(U47:U51),ISBLANK(AR47:AR51)), "·", bdRateHermite( $P47:$P51,U47:U51, $AM47:$AM51,AR47:AR51))</f>
        <v>-9.6594232584626405E-2</v>
      </c>
      <c r="CS47" s="84">
        <f>IF( OR(ISBLANK($P47:$P51),ISBLANK($AM47:$AM51), ISBLANK(V47:V51),ISBLANK(AS47:AS51)), "·", bdRateHermite( $P47:$P51,V47:V51, $AM47:$AM51,AS47:AS51))</f>
        <v>-0.17132989149082645</v>
      </c>
      <c r="CT47" s="84">
        <f>IF( OR(ISBLANK($P47:$P51),ISBLANK($AM47:$AM51), ISBLANK(W47:W51),ISBLANK(AT47:AT51)), "·", bdRateHermite( $P47:$P51,W47:W51, $AM47:$AM51,AT47:AT51))</f>
        <v>-0.51376687023474443</v>
      </c>
      <c r="CU47" s="84">
        <f>IF( OR(ISBLANK($P47:$P51),ISBLANK($AM47:$AM51), ISBLANK(X47:X51),ISBLANK(AU47:AU51)), "·", bdRateHermite( $P47:$P51,X47:X51, $AM47:$AM51,AU47:AU51))</f>
        <v>-0.15145591766029309</v>
      </c>
      <c r="CV47" s="92"/>
    </row>
    <row r="48" spans="1:100" s="1" customFormat="1" outlineLevel="1">
      <c r="A48" s="13"/>
      <c r="B48" s="14" t="s">
        <v>1117</v>
      </c>
      <c r="C48" s="15" t="s">
        <v>132</v>
      </c>
      <c r="D48" s="476">
        <v>43399207</v>
      </c>
      <c r="E48" s="15">
        <v>20</v>
      </c>
      <c r="F48" s="15">
        <v>1</v>
      </c>
      <c r="G48" s="16"/>
      <c r="I48" s="30" t="str">
        <f t="shared" si="14"/>
        <v>·</v>
      </c>
      <c r="J48" s="31">
        <f t="shared" si="15"/>
        <v>1.6316677860035553</v>
      </c>
      <c r="K48" s="31">
        <f t="shared" si="16"/>
        <v>1.034492081848408</v>
      </c>
      <c r="L48" s="31">
        <f t="shared" si="29"/>
        <v>0.59716298502873566</v>
      </c>
      <c r="M48" s="51"/>
      <c r="N48" s="31">
        <f t="shared" si="18"/>
        <v>2.9211300406787055</v>
      </c>
      <c r="O48" s="356">
        <v>24241676</v>
      </c>
      <c r="P48" s="357">
        <v>70813088</v>
      </c>
      <c r="Q48" s="357">
        <v>44896136</v>
      </c>
      <c r="R48" s="208">
        <v>25916400</v>
      </c>
      <c r="S48" s="87"/>
      <c r="T48" s="358">
        <v>83.044715999999994</v>
      </c>
      <c r="U48" s="358">
        <v>78.267792</v>
      </c>
      <c r="V48" s="358">
        <v>28.076025000000001</v>
      </c>
      <c r="W48" s="358">
        <v>29.656756999999999</v>
      </c>
      <c r="X48" s="358">
        <v>33.894587999999999</v>
      </c>
      <c r="Y48" s="87"/>
      <c r="Z48" s="359">
        <v>85.405000000000001</v>
      </c>
      <c r="AA48" s="359">
        <v>32.540999999999997</v>
      </c>
      <c r="AB48" s="32">
        <v>0</v>
      </c>
      <c r="AC48" s="32">
        <v>0</v>
      </c>
      <c r="AD48" s="33"/>
      <c r="AF48" s="30" t="str">
        <f t="shared" si="19"/>
        <v>·</v>
      </c>
      <c r="AG48" s="31">
        <f t="shared" si="20"/>
        <v>1.4447441862244166</v>
      </c>
      <c r="AH48" s="31">
        <f t="shared" si="21"/>
        <v>1.034492081848408</v>
      </c>
      <c r="AI48" s="31">
        <f t="shared" si="28"/>
        <v>0.41023938524959686</v>
      </c>
      <c r="AJ48" s="51"/>
      <c r="AK48" s="31">
        <f t="shared" si="23"/>
        <v>2.5864858518858185</v>
      </c>
      <c r="AL48" s="356">
        <v>24241676</v>
      </c>
      <c r="AM48" s="357">
        <v>62700752</v>
      </c>
      <c r="AN48" s="357">
        <v>44896136</v>
      </c>
      <c r="AO48" s="208">
        <v>17804064</v>
      </c>
      <c r="AP48" s="87"/>
      <c r="AQ48" s="358">
        <v>83.044715999999994</v>
      </c>
      <c r="AR48" s="358">
        <v>78.267792</v>
      </c>
      <c r="AS48" s="358">
        <v>28.187442999999998</v>
      </c>
      <c r="AT48" s="358">
        <v>32.584899999999998</v>
      </c>
      <c r="AU48" s="358">
        <v>33.391177999999996</v>
      </c>
      <c r="AV48" s="87"/>
      <c r="AW48" s="359">
        <v>138.80099999999999</v>
      </c>
      <c r="AX48" s="359">
        <v>62.241999999999997</v>
      </c>
      <c r="AY48" s="32">
        <v>0</v>
      </c>
      <c r="AZ48" s="32">
        <v>0</v>
      </c>
      <c r="BA48" s="33">
        <v>49152</v>
      </c>
      <c r="BC48" s="56" t="e">
        <f t="shared" si="27"/>
        <v>#DIV/0!</v>
      </c>
      <c r="BD48" s="57" t="e">
        <f t="shared" si="26"/>
        <v>#DIV/0!</v>
      </c>
      <c r="BE48" s="57">
        <f t="shared" si="24"/>
        <v>8.2029225694232211E-2</v>
      </c>
      <c r="BF48" s="58"/>
      <c r="BH48" s="74"/>
      <c r="BI48" s="75"/>
      <c r="BJ48" s="75"/>
      <c r="BK48" s="75"/>
      <c r="BL48" s="75"/>
      <c r="BM48" s="87"/>
      <c r="BO48" s="74"/>
      <c r="BP48" s="75"/>
      <c r="BQ48" s="75"/>
      <c r="BR48" s="75"/>
      <c r="BS48" s="75"/>
      <c r="BT48" s="87"/>
      <c r="BV48" s="74"/>
      <c r="BW48" s="75"/>
      <c r="BX48" s="75"/>
      <c r="BY48" s="75"/>
      <c r="BZ48" s="75"/>
      <c r="CA48" s="87"/>
      <c r="CC48" s="74"/>
      <c r="CD48" s="75"/>
      <c r="CE48" s="75"/>
      <c r="CF48" s="75"/>
      <c r="CG48" s="75"/>
      <c r="CH48" s="87"/>
      <c r="CJ48" s="74"/>
      <c r="CK48" s="75"/>
      <c r="CL48" s="75"/>
      <c r="CM48" s="75"/>
      <c r="CN48" s="75"/>
      <c r="CO48" s="87"/>
      <c r="CQ48" s="74"/>
      <c r="CR48" s="75"/>
      <c r="CS48" s="75"/>
      <c r="CT48" s="75"/>
      <c r="CU48" s="75"/>
      <c r="CV48" s="87"/>
    </row>
    <row r="49" spans="1:100" s="1" customFormat="1" outlineLevel="1">
      <c r="A49" s="13"/>
      <c r="B49" s="14" t="s">
        <v>1117</v>
      </c>
      <c r="C49" s="15" t="s">
        <v>133</v>
      </c>
      <c r="D49" s="476">
        <v>43399207</v>
      </c>
      <c r="E49" s="15">
        <v>20</v>
      </c>
      <c r="F49" s="15">
        <v>1</v>
      </c>
      <c r="G49" s="16"/>
      <c r="I49" s="30" t="str">
        <f t="shared" si="14"/>
        <v>·</v>
      </c>
      <c r="J49" s="31">
        <f t="shared" si="15"/>
        <v>9.6414895322856928</v>
      </c>
      <c r="K49" s="31">
        <f t="shared" si="16"/>
        <v>7.6008640434374755</v>
      </c>
      <c r="L49" s="31">
        <f t="shared" si="29"/>
        <v>2.0406124010514755</v>
      </c>
      <c r="M49" s="51"/>
      <c r="N49" s="31">
        <f t="shared" si="18"/>
        <v>10.002402873427375</v>
      </c>
      <c r="O49" s="356">
        <v>41833248</v>
      </c>
      <c r="P49" s="357">
        <v>418433000</v>
      </c>
      <c r="Q49" s="357">
        <v>329871472</v>
      </c>
      <c r="R49" s="208">
        <v>88560960</v>
      </c>
      <c r="S49" s="87"/>
      <c r="T49" s="358">
        <v>95.077515000000005</v>
      </c>
      <c r="U49" s="358">
        <v>90.308989999999994</v>
      </c>
      <c r="V49" s="358">
        <v>34.849373</v>
      </c>
      <c r="W49" s="358">
        <v>34.849364999999999</v>
      </c>
      <c r="X49" s="358">
        <v>37.400063000000003</v>
      </c>
      <c r="Y49" s="87"/>
      <c r="Z49" s="359">
        <v>198.76</v>
      </c>
      <c r="AA49" s="359">
        <v>98.094999999999999</v>
      </c>
      <c r="AB49" s="32">
        <v>0</v>
      </c>
      <c r="AC49" s="32">
        <v>0</v>
      </c>
      <c r="AD49" s="33"/>
      <c r="AF49" s="30" t="str">
        <f t="shared" si="19"/>
        <v>·</v>
      </c>
      <c r="AG49" s="31">
        <f t="shared" si="20"/>
        <v>8.8122139190239128</v>
      </c>
      <c r="AH49" s="31">
        <f t="shared" si="21"/>
        <v>7.6008640434374755</v>
      </c>
      <c r="AI49" s="31">
        <f t="shared" si="28"/>
        <v>1.2113367877896939</v>
      </c>
      <c r="AJ49" s="51"/>
      <c r="AK49" s="31">
        <f t="shared" si="23"/>
        <v>9.1420846882364959</v>
      </c>
      <c r="AL49" s="356">
        <v>41833248</v>
      </c>
      <c r="AM49" s="357">
        <v>382443096</v>
      </c>
      <c r="AN49" s="357">
        <v>329871472</v>
      </c>
      <c r="AO49" s="208">
        <v>52571056</v>
      </c>
      <c r="AP49" s="87"/>
      <c r="AQ49" s="358">
        <v>95.077515000000005</v>
      </c>
      <c r="AR49" s="358">
        <v>90.308989999999994</v>
      </c>
      <c r="AS49" s="358">
        <v>35.950068999999999</v>
      </c>
      <c r="AT49" s="358">
        <v>38.148803999999998</v>
      </c>
      <c r="AU49" s="358">
        <v>39.310394000000002</v>
      </c>
      <c r="AV49" s="87"/>
      <c r="AW49" s="359">
        <v>301.11599999999999</v>
      </c>
      <c r="AX49" s="359">
        <v>181.82</v>
      </c>
      <c r="AY49" s="32">
        <v>0</v>
      </c>
      <c r="AZ49" s="32">
        <v>0</v>
      </c>
      <c r="BA49" s="33">
        <v>3072</v>
      </c>
      <c r="BC49" s="56" t="e">
        <f t="shared" si="27"/>
        <v>#DIV/0!</v>
      </c>
      <c r="BD49" s="57" t="e">
        <f t="shared" si="26"/>
        <v>#DIV/0!</v>
      </c>
      <c r="BE49" s="57">
        <f t="shared" si="24"/>
        <v>7.4187834289086485E-2</v>
      </c>
      <c r="BF49" s="58"/>
      <c r="BH49" s="74"/>
      <c r="BI49" s="75"/>
      <c r="BJ49" s="75"/>
      <c r="BK49" s="75"/>
      <c r="BL49" s="75"/>
      <c r="BM49" s="87"/>
      <c r="BO49" s="74"/>
      <c r="BP49" s="75"/>
      <c r="BQ49" s="75"/>
      <c r="BR49" s="75"/>
      <c r="BS49" s="75"/>
      <c r="BT49" s="87"/>
      <c r="BV49" s="74"/>
      <c r="BW49" s="75"/>
      <c r="BX49" s="75"/>
      <c r="BY49" s="75"/>
      <c r="BZ49" s="75"/>
      <c r="CA49" s="87"/>
      <c r="CC49" s="74"/>
      <c r="CD49" s="75"/>
      <c r="CE49" s="75"/>
      <c r="CF49" s="75"/>
      <c r="CG49" s="75"/>
      <c r="CH49" s="87"/>
      <c r="CJ49" s="74"/>
      <c r="CK49" s="75"/>
      <c r="CL49" s="75"/>
      <c r="CM49" s="75"/>
      <c r="CN49" s="75"/>
      <c r="CO49" s="87"/>
      <c r="CQ49" s="74"/>
      <c r="CR49" s="75"/>
      <c r="CS49" s="75"/>
      <c r="CT49" s="75"/>
      <c r="CU49" s="75"/>
      <c r="CV49" s="87"/>
    </row>
    <row r="50" spans="1:100" s="1" customFormat="1" outlineLevel="1">
      <c r="A50" s="13"/>
      <c r="B50" s="14" t="s">
        <v>1117</v>
      </c>
      <c r="C50" s="15" t="s">
        <v>134</v>
      </c>
      <c r="D50" s="476">
        <v>43399207</v>
      </c>
      <c r="E50" s="15">
        <v>20</v>
      </c>
      <c r="F50" s="15">
        <v>1</v>
      </c>
      <c r="G50" s="16"/>
      <c r="I50" s="30" t="str">
        <f t="shared" si="14"/>
        <v>·</v>
      </c>
      <c r="J50" s="31">
        <f t="shared" si="15"/>
        <v>14.290029953773118</v>
      </c>
      <c r="K50" s="31">
        <f t="shared" si="16"/>
        <v>10.597793641713315</v>
      </c>
      <c r="L50" s="31">
        <f t="shared" si="29"/>
        <v>3.6922232242630608</v>
      </c>
      <c r="M50" s="51"/>
      <c r="N50" s="31">
        <f t="shared" si="18"/>
        <v>14.400584999414619</v>
      </c>
      <c r="O50" s="356">
        <v>43066026</v>
      </c>
      <c r="P50" s="357">
        <v>620175968</v>
      </c>
      <c r="Q50" s="357">
        <v>459935840</v>
      </c>
      <c r="R50" s="208">
        <v>160239560</v>
      </c>
      <c r="S50" s="87"/>
      <c r="T50" s="358">
        <v>101.08657100000001</v>
      </c>
      <c r="U50" s="358">
        <v>96.329589999999996</v>
      </c>
      <c r="V50" s="358">
        <v>40.640490999999997</v>
      </c>
      <c r="W50" s="358">
        <v>40.876854000000002</v>
      </c>
      <c r="X50" s="358">
        <v>41.077007000000002</v>
      </c>
      <c r="Y50" s="87"/>
      <c r="Z50" s="359">
        <v>211.00299999999999</v>
      </c>
      <c r="AA50" s="359">
        <v>103.446</v>
      </c>
      <c r="AB50" s="32">
        <v>0</v>
      </c>
      <c r="AC50" s="32">
        <v>0</v>
      </c>
      <c r="AD50" s="33"/>
      <c r="AF50" s="30" t="str">
        <f t="shared" si="19"/>
        <v>·</v>
      </c>
      <c r="AG50" s="31">
        <f t="shared" si="20"/>
        <v>12.89208348899094</v>
      </c>
      <c r="AH50" s="31">
        <f t="shared" si="21"/>
        <v>10.597793641713315</v>
      </c>
      <c r="AI50" s="31">
        <f t="shared" si="28"/>
        <v>2.2942767594808817</v>
      </c>
      <c r="AJ50" s="51"/>
      <c r="AK50" s="31">
        <f t="shared" si="23"/>
        <v>12.991823299414717</v>
      </c>
      <c r="AL50" s="356">
        <v>43066026</v>
      </c>
      <c r="AM50" s="357">
        <v>559506200</v>
      </c>
      <c r="AN50" s="357">
        <v>459935840</v>
      </c>
      <c r="AO50" s="208">
        <v>99569792</v>
      </c>
      <c r="AP50" s="87"/>
      <c r="AQ50" s="358">
        <v>101.08657100000001</v>
      </c>
      <c r="AR50" s="358">
        <v>96.329589999999996</v>
      </c>
      <c r="AS50" s="358">
        <v>41.607525000000003</v>
      </c>
      <c r="AT50" s="358">
        <v>43.603366999999999</v>
      </c>
      <c r="AU50" s="358">
        <v>44.420741999999997</v>
      </c>
      <c r="AV50" s="87"/>
      <c r="AW50" s="359">
        <v>349.61500000000001</v>
      </c>
      <c r="AX50" s="359">
        <v>185.947</v>
      </c>
      <c r="AY50" s="32">
        <v>0</v>
      </c>
      <c r="AZ50" s="32">
        <v>0</v>
      </c>
      <c r="BA50" s="33">
        <v>768</v>
      </c>
      <c r="BC50" s="56" t="e">
        <f t="shared" si="27"/>
        <v>#DIV/0!</v>
      </c>
      <c r="BD50" s="57" t="e">
        <f t="shared" si="26"/>
        <v>#DIV/0!</v>
      </c>
      <c r="BE50" s="57">
        <f t="shared" si="24"/>
        <v>8.0417348664694632E-2</v>
      </c>
      <c r="BF50" s="58"/>
      <c r="BH50" s="74"/>
      <c r="BI50" s="75"/>
      <c r="BJ50" s="75"/>
      <c r="BK50" s="75"/>
      <c r="BL50" s="75"/>
      <c r="BM50" s="87"/>
      <c r="BO50" s="74"/>
      <c r="BP50" s="75"/>
      <c r="BQ50" s="75"/>
      <c r="BR50" s="75"/>
      <c r="BS50" s="75"/>
      <c r="BT50" s="87"/>
      <c r="BV50" s="74"/>
      <c r="BW50" s="75"/>
      <c r="BX50" s="75"/>
      <c r="BY50" s="75"/>
      <c r="BZ50" s="75"/>
      <c r="CA50" s="87"/>
      <c r="CC50" s="74"/>
      <c r="CD50" s="75"/>
      <c r="CE50" s="75"/>
      <c r="CF50" s="75"/>
      <c r="CG50" s="75"/>
      <c r="CH50" s="87"/>
      <c r="CJ50" s="74"/>
      <c r="CK50" s="75"/>
      <c r="CL50" s="75"/>
      <c r="CM50" s="75"/>
      <c r="CN50" s="75"/>
      <c r="CO50" s="87"/>
      <c r="CQ50" s="74"/>
      <c r="CR50" s="75"/>
      <c r="CS50" s="75"/>
      <c r="CT50" s="75"/>
      <c r="CU50" s="75"/>
      <c r="CV50" s="87"/>
    </row>
    <row r="51" spans="1:100" s="1" customFormat="1" outlineLevel="1">
      <c r="A51" s="13"/>
      <c r="B51" s="14" t="s">
        <v>1117</v>
      </c>
      <c r="C51" s="15" t="s">
        <v>135</v>
      </c>
      <c r="D51" s="476">
        <v>43399207</v>
      </c>
      <c r="E51" s="15">
        <v>20</v>
      </c>
      <c r="F51" s="15">
        <v>1</v>
      </c>
      <c r="G51" s="16"/>
      <c r="I51" s="30" t="str">
        <f t="shared" si="14"/>
        <v>·</v>
      </c>
      <c r="J51" s="31">
        <f t="shared" si="15"/>
        <v>22.256605932914859</v>
      </c>
      <c r="K51" s="31">
        <f t="shared" si="16"/>
        <v>16.503661737413772</v>
      </c>
      <c r="L51" s="31">
        <f t="shared" si="29"/>
        <v>5.7529312920395066</v>
      </c>
      <c r="M51" s="51"/>
      <c r="N51" s="31">
        <f t="shared" si="18"/>
        <v>22.256605932914859</v>
      </c>
      <c r="O51" s="356">
        <v>43399207</v>
      </c>
      <c r="P51" s="357">
        <v>965919048</v>
      </c>
      <c r="Q51" s="357">
        <v>716245832</v>
      </c>
      <c r="R51" s="208">
        <v>249672656</v>
      </c>
      <c r="S51" s="87"/>
      <c r="T51" s="358">
        <v>113.006905</v>
      </c>
      <c r="U51" s="358">
        <v>108.370789</v>
      </c>
      <c r="V51" s="358">
        <v>46.383183000000002</v>
      </c>
      <c r="W51" s="358">
        <v>46.142403000000002</v>
      </c>
      <c r="X51" s="358">
        <v>46.529881000000003</v>
      </c>
      <c r="Y51" s="87"/>
      <c r="Z51" s="359">
        <v>212.46899999999999</v>
      </c>
      <c r="AA51" s="359">
        <v>101.953</v>
      </c>
      <c r="AB51" s="32">
        <v>0</v>
      </c>
      <c r="AC51" s="32">
        <v>0</v>
      </c>
      <c r="AD51" s="33"/>
      <c r="AF51" s="30" t="str">
        <f t="shared" si="19"/>
        <v>·</v>
      </c>
      <c r="AG51" s="31">
        <f t="shared" si="20"/>
        <v>20.82152478039518</v>
      </c>
      <c r="AH51" s="31">
        <f t="shared" si="21"/>
        <v>16.503661737413772</v>
      </c>
      <c r="AI51" s="31">
        <f t="shared" si="28"/>
        <v>4.3178501395198303</v>
      </c>
      <c r="AJ51" s="51"/>
      <c r="AK51" s="31">
        <f t="shared" si="23"/>
        <v>20.82152478039518</v>
      </c>
      <c r="AL51" s="356">
        <v>43399207</v>
      </c>
      <c r="AM51" s="357">
        <v>903637664</v>
      </c>
      <c r="AN51" s="357">
        <v>716245832</v>
      </c>
      <c r="AO51" s="208">
        <v>187391272</v>
      </c>
      <c r="AP51" s="87"/>
      <c r="AQ51" s="358">
        <v>113.006905</v>
      </c>
      <c r="AR51" s="358">
        <v>108.370789</v>
      </c>
      <c r="AS51" s="358">
        <v>46.881371000000001</v>
      </c>
      <c r="AT51" s="358">
        <v>48.314259</v>
      </c>
      <c r="AU51" s="358">
        <v>48.717154999999998</v>
      </c>
      <c r="AV51" s="87"/>
      <c r="AW51" s="359">
        <v>355.35700000000003</v>
      </c>
      <c r="AX51" s="359">
        <v>192.00800000000001</v>
      </c>
      <c r="AY51" s="32">
        <v>0</v>
      </c>
      <c r="AZ51" s="32">
        <v>0</v>
      </c>
      <c r="BA51" s="33">
        <v>48</v>
      </c>
      <c r="BC51" s="56" t="e">
        <f t="shared" si="27"/>
        <v>#DIV/0!</v>
      </c>
      <c r="BD51" s="57" t="e">
        <f t="shared" si="26"/>
        <v>#DIV/0!</v>
      </c>
      <c r="BE51" s="57">
        <f t="shared" si="24"/>
        <v>5.1107578905791318E-2</v>
      </c>
      <c r="BF51" s="58"/>
      <c r="BH51" s="74"/>
      <c r="BI51" s="75"/>
      <c r="BJ51" s="75"/>
      <c r="BK51" s="75"/>
      <c r="BL51" s="75"/>
      <c r="BM51" s="87"/>
      <c r="BO51" s="74"/>
      <c r="BP51" s="75"/>
      <c r="BQ51" s="75"/>
      <c r="BR51" s="75"/>
      <c r="BS51" s="75"/>
      <c r="BT51" s="87"/>
      <c r="BV51" s="74"/>
      <c r="BW51" s="75"/>
      <c r="BX51" s="75"/>
      <c r="BY51" s="75"/>
      <c r="BZ51" s="75"/>
      <c r="CA51" s="87"/>
      <c r="CC51" s="74"/>
      <c r="CD51" s="75"/>
      <c r="CE51" s="75"/>
      <c r="CF51" s="75"/>
      <c r="CG51" s="75"/>
      <c r="CH51" s="87"/>
      <c r="CJ51" s="74"/>
      <c r="CK51" s="75"/>
      <c r="CL51" s="75"/>
      <c r="CM51" s="75"/>
      <c r="CN51" s="75"/>
      <c r="CO51" s="87"/>
      <c r="CQ51" s="74"/>
      <c r="CR51" s="75"/>
      <c r="CS51" s="75"/>
      <c r="CT51" s="75"/>
      <c r="CU51" s="75"/>
      <c r="CV51" s="87"/>
    </row>
    <row r="52" spans="1:100" s="1" customFormat="1" ht="14.25" outlineLevel="1" thickBot="1">
      <c r="A52" s="13"/>
      <c r="B52" s="18" t="s">
        <v>1117</v>
      </c>
      <c r="C52" s="19" t="s">
        <v>136</v>
      </c>
      <c r="D52" s="477">
        <v>43399207</v>
      </c>
      <c r="E52" s="19">
        <v>20</v>
      </c>
      <c r="F52" s="19">
        <v>1</v>
      </c>
      <c r="G52" s="20"/>
      <c r="I52" s="34" t="str">
        <f t="shared" si="14"/>
        <v>·</v>
      </c>
      <c r="J52" s="35">
        <f t="shared" si="15"/>
        <v>27.464535008669628</v>
      </c>
      <c r="K52" s="35">
        <f t="shared" si="16"/>
        <v>19.486824448197869</v>
      </c>
      <c r="L52" s="35">
        <f t="shared" si="29"/>
        <v>7.977697657010185</v>
      </c>
      <c r="M52" s="52"/>
      <c r="N52" s="35">
        <f t="shared" si="18"/>
        <v>27.464535008669628</v>
      </c>
      <c r="O52" s="360">
        <v>43399207</v>
      </c>
      <c r="P52" s="361">
        <v>1191939040</v>
      </c>
      <c r="Q52" s="361">
        <v>845712728</v>
      </c>
      <c r="R52" s="209">
        <v>346225752</v>
      </c>
      <c r="S52" s="88"/>
      <c r="T52" s="362">
        <v>118.635818</v>
      </c>
      <c r="U52" s="362">
        <v>114.39138800000001</v>
      </c>
      <c r="V52" s="362">
        <v>51.150322000000003</v>
      </c>
      <c r="W52" s="362">
        <v>51.257323999999997</v>
      </c>
      <c r="X52" s="362">
        <v>51.60313</v>
      </c>
      <c r="Y52" s="88"/>
      <c r="Z52" s="363">
        <v>214.917</v>
      </c>
      <c r="AA52" s="363">
        <v>104.79900000000001</v>
      </c>
      <c r="AB52" s="36">
        <v>0</v>
      </c>
      <c r="AC52" s="36">
        <v>0</v>
      </c>
      <c r="AD52" s="37"/>
      <c r="AF52" s="34" t="str">
        <f t="shared" si="19"/>
        <v>·</v>
      </c>
      <c r="AG52" s="35">
        <f t="shared" si="20"/>
        <v>26.568442321999111</v>
      </c>
      <c r="AH52" s="35">
        <f t="shared" si="21"/>
        <v>19.486824448197869</v>
      </c>
      <c r="AI52" s="35">
        <f t="shared" si="28"/>
        <v>7.0816049703396651</v>
      </c>
      <c r="AJ52" s="52"/>
      <c r="AK52" s="35">
        <f t="shared" si="23"/>
        <v>26.568442321999111</v>
      </c>
      <c r="AL52" s="360">
        <v>43399207</v>
      </c>
      <c r="AM52" s="361">
        <v>1153049328</v>
      </c>
      <c r="AN52" s="361">
        <v>845712728</v>
      </c>
      <c r="AO52" s="209">
        <v>307336040</v>
      </c>
      <c r="AP52" s="88"/>
      <c r="AQ52" s="362">
        <v>118.635818</v>
      </c>
      <c r="AR52" s="362">
        <v>114.39138800000001</v>
      </c>
      <c r="AS52" s="362">
        <v>51.341220999999997</v>
      </c>
      <c r="AT52" s="362">
        <v>52.603630000000003</v>
      </c>
      <c r="AU52" s="362">
        <v>53.080635000000001</v>
      </c>
      <c r="AV52" s="88"/>
      <c r="AW52" s="363">
        <v>342.19099999999997</v>
      </c>
      <c r="AX52" s="363">
        <v>201.07400000000001</v>
      </c>
      <c r="AY52" s="36">
        <v>0</v>
      </c>
      <c r="AZ52" s="36">
        <v>0</v>
      </c>
      <c r="BA52" s="37">
        <v>12</v>
      </c>
      <c r="BC52" s="59" t="e">
        <f t="shared" si="27"/>
        <v>#DIV/0!</v>
      </c>
      <c r="BD52" s="60" t="e">
        <f t="shared" si="26"/>
        <v>#DIV/0!</v>
      </c>
      <c r="BE52" s="60">
        <f t="shared" si="24"/>
        <v>2.3930714311340973E-2</v>
      </c>
      <c r="BF52" s="61"/>
      <c r="BH52" s="80"/>
      <c r="BI52" s="81"/>
      <c r="BJ52" s="81"/>
      <c r="BK52" s="81"/>
      <c r="BL52" s="81"/>
      <c r="BM52" s="88"/>
      <c r="BO52" s="77"/>
      <c r="BP52" s="78"/>
      <c r="BQ52" s="78"/>
      <c r="BR52" s="78"/>
      <c r="BS52" s="78"/>
      <c r="BT52" s="88"/>
      <c r="BV52" s="77"/>
      <c r="BW52" s="78"/>
      <c r="BX52" s="78"/>
      <c r="BY52" s="78"/>
      <c r="BZ52" s="78"/>
      <c r="CA52" s="88"/>
      <c r="CC52" s="77"/>
      <c r="CD52" s="78"/>
      <c r="CE52" s="78"/>
      <c r="CF52" s="78"/>
      <c r="CG52" s="78"/>
      <c r="CH52" s="88"/>
      <c r="CJ52" s="77"/>
      <c r="CK52" s="78"/>
      <c r="CL52" s="78"/>
      <c r="CM52" s="78"/>
      <c r="CN52" s="78"/>
      <c r="CO52" s="88"/>
      <c r="CQ52" s="77"/>
      <c r="CR52" s="78"/>
      <c r="CS52" s="78"/>
      <c r="CT52" s="78"/>
      <c r="CU52" s="78"/>
      <c r="CV52" s="88"/>
    </row>
    <row r="53" spans="1:100" s="1" customFormat="1">
      <c r="A53" s="13"/>
      <c r="B53" s="27" t="s">
        <v>1118</v>
      </c>
      <c r="C53" s="25" t="s">
        <v>131</v>
      </c>
      <c r="D53" s="475">
        <v>67599953</v>
      </c>
      <c r="E53" s="28">
        <v>16</v>
      </c>
      <c r="F53" s="28">
        <v>1</v>
      </c>
      <c r="G53" s="29"/>
      <c r="I53" s="42" t="str">
        <f t="shared" si="14"/>
        <v>·</v>
      </c>
      <c r="J53" s="43">
        <f t="shared" si="15"/>
        <v>6.9763362113580167E-4</v>
      </c>
      <c r="K53" s="43">
        <f t="shared" si="16"/>
        <v>2.5538479294504837E-4</v>
      </c>
      <c r="L53" s="43">
        <f t="shared" si="29"/>
        <v>4.3195296304421988E-4</v>
      </c>
      <c r="M53" s="55"/>
      <c r="N53" s="43">
        <f t="shared" si="18"/>
        <v>2.6294954000557569</v>
      </c>
      <c r="O53" s="352">
        <v>17935</v>
      </c>
      <c r="P53" s="353">
        <v>47160</v>
      </c>
      <c r="Q53" s="353">
        <v>17264</v>
      </c>
      <c r="R53" s="207">
        <v>29200</v>
      </c>
      <c r="S53" s="90"/>
      <c r="T53" s="354">
        <v>52.800426000000002</v>
      </c>
      <c r="U53" s="354">
        <v>48.164664999999999</v>
      </c>
      <c r="V53" s="354">
        <v>18.190207999999998</v>
      </c>
      <c r="W53" s="354">
        <v>25.630507000000001</v>
      </c>
      <c r="X53" s="354">
        <v>22.202036</v>
      </c>
      <c r="Y53" s="90"/>
      <c r="Z53" s="355">
        <v>22.707999999999998</v>
      </c>
      <c r="AA53" s="355">
        <v>4.2999999999999997E-2</v>
      </c>
      <c r="AB53" s="44">
        <v>0</v>
      </c>
      <c r="AC53" s="44">
        <v>0</v>
      </c>
      <c r="AD53" s="45"/>
      <c r="AF53" s="42" t="str">
        <f t="shared" si="19"/>
        <v>·</v>
      </c>
      <c r="AG53" s="43">
        <f t="shared" si="20"/>
        <v>5.4568085276627339E-4</v>
      </c>
      <c r="AH53" s="43">
        <f t="shared" si="21"/>
        <v>2.5538479294504837E-4</v>
      </c>
      <c r="AI53" s="43">
        <f t="shared" si="28"/>
        <v>2.8000019467469154E-4</v>
      </c>
      <c r="AJ53" s="55"/>
      <c r="AK53" s="43">
        <f t="shared" si="23"/>
        <v>2.0567605241148592</v>
      </c>
      <c r="AL53" s="352">
        <v>17935</v>
      </c>
      <c r="AM53" s="353">
        <v>36888</v>
      </c>
      <c r="AN53" s="353">
        <v>17264</v>
      </c>
      <c r="AO53" s="207">
        <v>18928</v>
      </c>
      <c r="AP53" s="90"/>
      <c r="AQ53" s="354">
        <v>52.800426000000002</v>
      </c>
      <c r="AR53" s="354">
        <v>48.164664999999999</v>
      </c>
      <c r="AS53" s="354">
        <v>18.186596000000002</v>
      </c>
      <c r="AT53" s="354">
        <v>25.660426999999999</v>
      </c>
      <c r="AU53" s="354">
        <v>25.708639000000002</v>
      </c>
      <c r="AV53" s="90"/>
      <c r="AW53" s="355">
        <v>19.931000000000001</v>
      </c>
      <c r="AX53" s="355">
        <v>3.4000000000000002E-2</v>
      </c>
      <c r="AY53" s="44">
        <v>0</v>
      </c>
      <c r="AZ53" s="44">
        <v>0</v>
      </c>
      <c r="BA53" s="45">
        <v>196608</v>
      </c>
      <c r="BC53" s="65" t="e">
        <f t="shared" si="27"/>
        <v>#DIV/0!</v>
      </c>
      <c r="BD53" s="66" t="e">
        <f t="shared" si="26"/>
        <v>#DIV/0!</v>
      </c>
      <c r="BE53" s="66">
        <f t="shared" si="24"/>
        <v>0.10193833420799803</v>
      </c>
      <c r="BF53" s="67">
        <f t="array" ref="BF53">AVERAGE(AN53:AN58/AM53:AM58) - AVERAGE(Q53:Q58/P53:P58)</f>
        <v>5.5322067401733316E-2</v>
      </c>
      <c r="BH53" s="224">
        <f>IF( OR(ISBLANK($Q53:$Q58),ISBLANK($AN53:$AN58), ISBLANK($T53:$T58),ISBLANK($AQ53:$AQ58)), "·", bdRateHermite( $Q53:$Q58,$T53:$T58, $AN53:$AN58,$AQ53:$AQ58))</f>
        <v>0</v>
      </c>
      <c r="BI53" s="225">
        <f>IF(OR(ISBLANK(Q53:Q58),ISBLANK(AN53:AN58),ISBLANK(U53:U58),ISBLANK(AR53:AR58)),"·",bdRateHermite(Q53:Q58,U53:U58,AN53:AN58,AR53:AR58))</f>
        <v>0</v>
      </c>
      <c r="BJ53" s="225">
        <f>IF(OR(ISBLANK($R53:$R58),ISBLANK($AO53:$AO58),ISBLANK(V53:V58),ISBLANK(AS53:AS58)),"·",bdRateHermite($R53:$R58,V53:V58,$AO53:$AO58,AS53:AS58))</f>
        <v>-0.22551188599786842</v>
      </c>
      <c r="BK53" s="225">
        <f>IF(OR(ISBLANK($R53:$R58),ISBLANK($AO53:$AO58),ISBLANK(W53:W58),ISBLANK(AT53:AT58)),"·",bdRateHermite($R53:$R58,W53:W58,$AO53:$AO58,AT53:AT58))</f>
        <v>-0.58406835463035045</v>
      </c>
      <c r="BL53" s="225">
        <f>IF(OR(ISBLANK($R53:$R58),ISBLANK($AO53:$AO58),ISBLANK(X53:X58),ISBLANK(AU53:AU58)),"·",bdRateHermite($R53:$R58,X53:X58,$AO53:$AO58,AU53:AU58))</f>
        <v>-0.44630569192838698</v>
      </c>
      <c r="BM53" s="92"/>
      <c r="BO53" s="83">
        <f>IF( OR(ISBLANK($P53:$P58),ISBLANK($AM53:$AM58), ISBLANK($T53:$T58),ISBLANK($AQ53:$AQ58)), "·", bdRateHermite($P53:$P58,$T53:$T58, $AM53:$AM58,$AQ53:$AQ58))</f>
        <v>-0.2013102702845998</v>
      </c>
      <c r="BP53" s="84">
        <f>IF( OR(ISBLANK($P53:$P58),ISBLANK($AM53:$AM58), ISBLANK(U53:U58),ISBLANK(AR53:AR58)), "·", bdRateHermite( $P53:$P58,U53:U58, $AM53:$AM58,AR53:AR58))</f>
        <v>-0.19956799231110967</v>
      </c>
      <c r="BQ53" s="84">
        <f>IF( OR(ISBLANK($P53:$P58),ISBLANK($AM53:$AM58), ISBLANK(V53:V58),ISBLANK(AS53:AS58)), "·", bdRateHermite( $P53:$P58,V53:V58, $AM53:$AM58,AS53:AS58))</f>
        <v>-0.17576071911261526</v>
      </c>
      <c r="BR53" s="84">
        <f>IF( OR(ISBLANK($P53:$P58),ISBLANK($AM53:$AM58), ISBLANK(W53:W58),ISBLANK(AT53:AT58)), "·", bdRateHermite( $P53:$P58,W53:W58, $AM53:$AM58,AT53:AT58))</f>
        <v>-0.53927050669159604</v>
      </c>
      <c r="BS53" s="84">
        <f>IF( OR(ISBLANK($P53:$P58),ISBLANK($AM53:$AM58), ISBLANK(X53:X58),ISBLANK(AU53:AU58)), "·", bdRateHermite( $P53:$P58,X53:X58, $AM53:$AM58,AU53:AU58))</f>
        <v>-0.3986583902792975</v>
      </c>
      <c r="BT53" s="90"/>
      <c r="BV53" s="83">
        <f>IF( OR(ISBLANK($Q53:$Q57),ISBLANK($AN53:$AN57), ISBLANK($T53:$T57),ISBLANK($AQ53:$AQ57)), "·", bdRateHermite( $Q54:$Q58,$T54:$T58, $AN54:$AN58,$AQ54:$AQ58))</f>
        <v>0</v>
      </c>
      <c r="BW53" s="84">
        <f>IF(OR(ISBLANK($Q53:$Q58),ISBLANK($AN53:$AN58),ISBLANK(U53:U58),ISBLANK(AR53:AR58)),"·",bdRateHermite($Q54:$Q58,U54:U58,$AN54:$AN58,AR54:AR58))</f>
        <v>0</v>
      </c>
      <c r="BX53" s="225">
        <f>IF(OR(ISBLANK($R53:$R58),ISBLANK($AO53:$AO58),ISBLANK($V53:$V58),ISBLANK($AS53:$AS58)),"·",bdRateHermite($R54:$R58,$V54:$V58,$AO54:$AO58,$AS54:$AS58))</f>
        <v>-0.19615178520343168</v>
      </c>
      <c r="BY53" s="225">
        <f>IF(OR(ISBLANK($R53:$R58),ISBLANK($AO53:$AO58),ISBLANK($W53:$W58),ISBLANK($AT53:$AT58)),"·",bdRateHermite($R54:$R58,$W54:$W58,$AO54:$AO58,$AT54:$AT58))</f>
        <v>-0.40528703531043497</v>
      </c>
      <c r="BZ53" s="225">
        <f>IF(OR(ISBLANK($R53:$R58),ISBLANK($AO53:$AO58),ISBLANK($X53:$X58),ISBLANK($AU53:$AU58)),"·",bdRateHermite($R54:$R58,$X54:$X58,$AO54:$AO58,$AU54:$AU58))</f>
        <v>-0.33666251152604298</v>
      </c>
      <c r="CA53" s="92"/>
      <c r="CC53" s="83">
        <f>IF( OR(ISBLANK($P53:$P58),ISBLANK($AM53:$AM58), ISBLANK($T53:$T58),ISBLANK($AQ53:$AQ58)), "·", bdRateHermite($P54:$P58,$T54:$T58, $AM54:$AM58,$AQ54:$AQ58))</f>
        <v>-0.18394659794449897</v>
      </c>
      <c r="CD53" s="84">
        <f>IF( OR(ISBLANK($P53:$P58),ISBLANK($AM53:$AM58), ISBLANK(U53:U58),ISBLANK(AR53:AR58)), "·", bdRateHermite( $P54:$P58,U54:U58, $AM54:$AM58,AR54:AR58))</f>
        <v>-0.1825194384885751</v>
      </c>
      <c r="CE53" s="84">
        <f>IF( OR(ISBLANK($P53:$P58),ISBLANK($AM53:$AM58), ISBLANK(V53:V58),ISBLANK(AS53:AS58)), "·", bdRateHermite( $P54:$P58,V54:V58, $AM54:$AM58,AS54:AS58))</f>
        <v>-0.1573555397569194</v>
      </c>
      <c r="CF53" s="84">
        <f>IF( OR(ISBLANK($P53:$P58),ISBLANK($AM53:$AM58), ISBLANK(W53:W58),ISBLANK(AT53:AT58)), "·", bdRateHermite( $P54:$P58,W54:W58, $AM54:$AM58,AT54:AT58))</f>
        <v>-0.37023409193328494</v>
      </c>
      <c r="CG53" s="84">
        <f>IF( OR(ISBLANK($P53:$P58),ISBLANK($AM53:$AM58), ISBLANK(X53:X58),ISBLANK(AU53:AU58)), "·", bdRateHermite( $P54:$P58,X54:X58, $AM54:$AM58,AU54:AU58))</f>
        <v>-0.30111540998822794</v>
      </c>
      <c r="CH53" s="92"/>
      <c r="CJ53" s="83">
        <f>IF( OR(ISBLANK($Q53:$Q57),ISBLANK($AN53:$AN57), ISBLANK($T53:$T57),ISBLANK($AQ53:$AQ57)), "·", bdRateHermite( $Q53:$Q57,$T53:$T57, $AN53:$AN57,$AQ53:$AQ57))</f>
        <v>0</v>
      </c>
      <c r="CK53" s="84">
        <f>IF(OR(ISBLANK($Q53:$Q57),ISBLANK($AN53:$AN57),ISBLANK(U53:U57),ISBLANK(AR53:AR57)),"·",bdRateHermite($Q53:$Q57,U53:U57,$AN53:$AN57,AR53:AR57))</f>
        <v>0</v>
      </c>
      <c r="CL53" s="225">
        <f>IF(OR(ISBLANK($R53:$R58),ISBLANK($AO53:$AO58),ISBLANK($V53:$V58),ISBLANK($AS53:$AS58)),"·",bdRateHermite($R53:$R57,$V53:$V57,$AO53:$AO57,$AS53:$AS57))</f>
        <v>-0.26414713847712379</v>
      </c>
      <c r="CM53" s="225">
        <f>IF(OR(ISBLANK($R53:$R58),ISBLANK($AO53:$AO58),ISBLANK($W53:$W58),ISBLANK($AT53:$AT58)),"·",bdRateHermite($R53:$R57,$W53:$W57,$AO53:$AO57,$AT53:$AT57))</f>
        <v>-0.675597398746276</v>
      </c>
      <c r="CN53" s="225">
        <f>IF(OR(ISBLANK($R53:$R58),ISBLANK($AO53:$AO58),ISBLANK($X53:$X58),ISBLANK($AU53:$AU58)),"·",bdRateHermite($R53:$R57,$X53:$X57,$AO53:$AO57,$AU53:$AU57))</f>
        <v>-0.52506132119206073</v>
      </c>
      <c r="CO53" s="92"/>
      <c r="CQ53" s="83">
        <f>IF( OR(ISBLANK($P53:$P57),ISBLANK($AM53:$AM57), ISBLANK($T53:$T57),ISBLANK($AQ53:$AQ57)), "·", bdRateHermite($P53:$P57,$T53:$T57, $AM53:$AM57,$AQ53:$AQ57))</f>
        <v>-0.2188077909989008</v>
      </c>
      <c r="CR53" s="84">
        <f>IF( OR(ISBLANK($P53:$P57),ISBLANK($AM53:$AM57), ISBLANK(U53:U57),ISBLANK(AR53:AR57)), "·", bdRateHermite( $P53:$P57,U53:U57, $AM53:$AM57,AR53:AR57))</f>
        <v>-0.2179529871273167</v>
      </c>
      <c r="CS53" s="84">
        <f>IF( OR(ISBLANK($P53:$P57),ISBLANK($AM53:$AM57), ISBLANK(V53:V57),ISBLANK(AS53:AS57)), "·", bdRateHermite( $P53:$P57,V53:V57, $AM53:$AM57,AS53:AS57))</f>
        <v>-0.20831904533989132</v>
      </c>
      <c r="CT53" s="84">
        <f>IF( OR(ISBLANK($P53:$P57),ISBLANK($AM53:$AM57), ISBLANK(W53:W57),ISBLANK(AT53:AT57)), "·", bdRateHermite( $P53:$P57,W53:W57, $AM53:$AM57,AT53:AT57))</f>
        <v>-0.63346468405762291</v>
      </c>
      <c r="CU53" s="84">
        <f>IF( OR(ISBLANK($P53:$P57),ISBLANK($AM53:$AM57), ISBLANK(X53:X57),ISBLANK(AU53:AU57)), "·", bdRateHermite( $P53:$P57,X53:X57, $AM53:$AM57,AU53:AU57))</f>
        <v>-0.4760445439958001</v>
      </c>
      <c r="CV53" s="92"/>
    </row>
    <row r="54" spans="1:100" s="1" customFormat="1" outlineLevel="1">
      <c r="A54" s="13"/>
      <c r="B54" s="14" t="s">
        <v>1118</v>
      </c>
      <c r="C54" s="15" t="s">
        <v>132</v>
      </c>
      <c r="D54" s="476">
        <v>67599953</v>
      </c>
      <c r="E54" s="15">
        <v>16</v>
      </c>
      <c r="F54" s="15">
        <v>1</v>
      </c>
      <c r="G54" s="16"/>
      <c r="I54" s="30" t="str">
        <f t="shared" si="14"/>
        <v>·</v>
      </c>
      <c r="J54" s="31">
        <f t="shared" si="15"/>
        <v>3.8874583241204326E-3</v>
      </c>
      <c r="K54" s="31">
        <f t="shared" si="16"/>
        <v>8.958586110259574E-4</v>
      </c>
      <c r="L54" s="31">
        <f t="shared" si="29"/>
        <v>2.9813038479479417E-3</v>
      </c>
      <c r="M54" s="51"/>
      <c r="N54" s="31">
        <f t="shared" si="18"/>
        <v>3.8433368433368433</v>
      </c>
      <c r="O54" s="356">
        <v>68376</v>
      </c>
      <c r="P54" s="357">
        <v>262792</v>
      </c>
      <c r="Q54" s="357">
        <v>60560</v>
      </c>
      <c r="R54" s="208">
        <v>201536</v>
      </c>
      <c r="S54" s="87"/>
      <c r="T54" s="358">
        <v>58.987087000000002</v>
      </c>
      <c r="U54" s="358">
        <v>54.185268000000001</v>
      </c>
      <c r="V54" s="358">
        <v>21.090803000000001</v>
      </c>
      <c r="W54" s="358">
        <v>27.111509000000002</v>
      </c>
      <c r="X54" s="358">
        <v>27.006430000000002</v>
      </c>
      <c r="Y54" s="87"/>
      <c r="Z54" s="359">
        <v>12.211</v>
      </c>
      <c r="AA54" s="359">
        <v>0.08</v>
      </c>
      <c r="AB54" s="32">
        <v>0</v>
      </c>
      <c r="AC54" s="32">
        <v>0</v>
      </c>
      <c r="AD54" s="33"/>
      <c r="AF54" s="30" t="str">
        <f t="shared" si="19"/>
        <v>·</v>
      </c>
      <c r="AG54" s="31">
        <f t="shared" si="20"/>
        <v>2.6885225792982431E-3</v>
      </c>
      <c r="AH54" s="31">
        <f t="shared" si="21"/>
        <v>8.958586110259574E-4</v>
      </c>
      <c r="AI54" s="31">
        <f t="shared" si="28"/>
        <v>1.7823681031257522E-3</v>
      </c>
      <c r="AJ54" s="51"/>
      <c r="AK54" s="31">
        <f t="shared" si="23"/>
        <v>2.6580086580086579</v>
      </c>
      <c r="AL54" s="356">
        <v>68376</v>
      </c>
      <c r="AM54" s="357">
        <v>181744</v>
      </c>
      <c r="AN54" s="357">
        <v>60560</v>
      </c>
      <c r="AO54" s="208">
        <v>120488</v>
      </c>
      <c r="AP54" s="87"/>
      <c r="AQ54" s="358">
        <v>58.987087000000002</v>
      </c>
      <c r="AR54" s="358">
        <v>54.185268000000001</v>
      </c>
      <c r="AS54" s="358">
        <v>21.097553000000001</v>
      </c>
      <c r="AT54" s="358">
        <v>30.535298999999998</v>
      </c>
      <c r="AU54" s="358">
        <v>28.8948</v>
      </c>
      <c r="AV54" s="87"/>
      <c r="AW54" s="359">
        <v>20.731999999999999</v>
      </c>
      <c r="AX54" s="359">
        <v>0.13400000000000001</v>
      </c>
      <c r="AY54" s="32">
        <v>0</v>
      </c>
      <c r="AZ54" s="32">
        <v>0</v>
      </c>
      <c r="BA54" s="33">
        <v>49152</v>
      </c>
      <c r="BC54" s="56" t="e">
        <f t="shared" si="27"/>
        <v>#DIV/0!</v>
      </c>
      <c r="BD54" s="57" t="e">
        <f t="shared" si="26"/>
        <v>#DIV/0!</v>
      </c>
      <c r="BE54" s="57">
        <f t="shared" si="24"/>
        <v>0.10276753663158122</v>
      </c>
      <c r="BF54" s="58"/>
      <c r="BH54" s="74"/>
      <c r="BI54" s="75"/>
      <c r="BJ54" s="75"/>
      <c r="BK54" s="75"/>
      <c r="BL54" s="75"/>
      <c r="BM54" s="87"/>
      <c r="BO54" s="74"/>
      <c r="BP54" s="75"/>
      <c r="BQ54" s="75"/>
      <c r="BR54" s="75"/>
      <c r="BS54" s="75"/>
      <c r="BT54" s="87"/>
      <c r="BV54" s="74"/>
      <c r="BW54" s="75"/>
      <c r="BX54" s="75"/>
      <c r="BY54" s="75"/>
      <c r="BZ54" s="75"/>
      <c r="CA54" s="87"/>
      <c r="CC54" s="74"/>
      <c r="CD54" s="75"/>
      <c r="CE54" s="75"/>
      <c r="CF54" s="75"/>
      <c r="CG54" s="75"/>
      <c r="CH54" s="87"/>
      <c r="CJ54" s="74"/>
      <c r="CK54" s="75"/>
      <c r="CL54" s="75"/>
      <c r="CM54" s="75"/>
      <c r="CN54" s="75"/>
      <c r="CO54" s="87"/>
      <c r="CQ54" s="74"/>
      <c r="CR54" s="75"/>
      <c r="CS54" s="75"/>
      <c r="CT54" s="75"/>
      <c r="CU54" s="75"/>
      <c r="CV54" s="87"/>
    </row>
    <row r="55" spans="1:100" s="1" customFormat="1" outlineLevel="1">
      <c r="A55" s="13"/>
      <c r="B55" s="14" t="s">
        <v>1118</v>
      </c>
      <c r="C55" s="15" t="s">
        <v>133</v>
      </c>
      <c r="D55" s="476">
        <v>67599953</v>
      </c>
      <c r="E55" s="15">
        <v>16</v>
      </c>
      <c r="F55" s="15">
        <v>1</v>
      </c>
      <c r="G55" s="16"/>
      <c r="I55" s="30" t="str">
        <f t="shared" si="14"/>
        <v>·</v>
      </c>
      <c r="J55" s="31">
        <f t="shared" si="15"/>
        <v>6.3879571040530159E-2</v>
      </c>
      <c r="K55" s="31">
        <f t="shared" si="16"/>
        <v>1.2504505735381206E-2</v>
      </c>
      <c r="L55" s="31">
        <f t="shared" si="29"/>
        <v>5.1364296066892239E-2</v>
      </c>
      <c r="M55" s="51"/>
      <c r="N55" s="31">
        <f t="shared" si="18"/>
        <v>4.0398988868951502</v>
      </c>
      <c r="O55" s="356">
        <v>1068902</v>
      </c>
      <c r="P55" s="357">
        <v>4318256</v>
      </c>
      <c r="Q55" s="357">
        <v>845304</v>
      </c>
      <c r="R55" s="208">
        <v>3472224</v>
      </c>
      <c r="S55" s="87"/>
      <c r="T55" s="358">
        <v>71.057250999999994</v>
      </c>
      <c r="U55" s="358">
        <v>66.226462999999995</v>
      </c>
      <c r="V55" s="358">
        <v>25.538618</v>
      </c>
      <c r="W55" s="358">
        <v>33.144745</v>
      </c>
      <c r="X55" s="358">
        <v>32.493431000000001</v>
      </c>
      <c r="Y55" s="87"/>
      <c r="Z55" s="359">
        <v>16.832999999999998</v>
      </c>
      <c r="AA55" s="359">
        <v>1.0269999999999999</v>
      </c>
      <c r="AB55" s="32">
        <v>0</v>
      </c>
      <c r="AC55" s="32">
        <v>0</v>
      </c>
      <c r="AD55" s="33"/>
      <c r="AF55" s="30" t="str">
        <f t="shared" si="19"/>
        <v>·</v>
      </c>
      <c r="AG55" s="31">
        <f t="shared" si="20"/>
        <v>4.967340731730982E-2</v>
      </c>
      <c r="AH55" s="31">
        <f t="shared" si="21"/>
        <v>1.2504505735381206E-2</v>
      </c>
      <c r="AI55" s="31">
        <f t="shared" si="28"/>
        <v>3.7158132343671893E-2</v>
      </c>
      <c r="AJ55" s="51"/>
      <c r="AK55" s="31">
        <f t="shared" si="23"/>
        <v>3.1414666639224178</v>
      </c>
      <c r="AL55" s="356">
        <v>1068902</v>
      </c>
      <c r="AM55" s="357">
        <v>3357920</v>
      </c>
      <c r="AN55" s="357">
        <v>845304</v>
      </c>
      <c r="AO55" s="208">
        <v>2511888</v>
      </c>
      <c r="AP55" s="87"/>
      <c r="AQ55" s="358">
        <v>71.057250999999994</v>
      </c>
      <c r="AR55" s="358">
        <v>66.226462999999995</v>
      </c>
      <c r="AS55" s="358">
        <v>25.544401000000001</v>
      </c>
      <c r="AT55" s="358">
        <v>34.280211999999999</v>
      </c>
      <c r="AU55" s="358">
        <v>33.036372999999998</v>
      </c>
      <c r="AV55" s="87"/>
      <c r="AW55" s="359">
        <v>28.666</v>
      </c>
      <c r="AX55" s="359">
        <v>2.1160000000000001</v>
      </c>
      <c r="AY55" s="32">
        <v>0</v>
      </c>
      <c r="AZ55" s="32">
        <v>0</v>
      </c>
      <c r="BA55" s="33">
        <v>3072</v>
      </c>
      <c r="BC55" s="56" t="e">
        <f t="shared" si="27"/>
        <v>#DIV/0!</v>
      </c>
      <c r="BD55" s="57" t="e">
        <f t="shared" si="26"/>
        <v>#DIV/0!</v>
      </c>
      <c r="BE55" s="57">
        <f t="shared" si="24"/>
        <v>5.5983159287931933E-2</v>
      </c>
      <c r="BF55" s="58"/>
      <c r="BH55" s="74"/>
      <c r="BI55" s="75"/>
      <c r="BJ55" s="75"/>
      <c r="BK55" s="75"/>
      <c r="BL55" s="75"/>
      <c r="BM55" s="87"/>
      <c r="BO55" s="74"/>
      <c r="BP55" s="75"/>
      <c r="BQ55" s="75"/>
      <c r="BR55" s="75"/>
      <c r="BS55" s="75"/>
      <c r="BT55" s="87"/>
      <c r="BV55" s="74"/>
      <c r="BW55" s="75"/>
      <c r="BX55" s="75"/>
      <c r="BY55" s="75"/>
      <c r="BZ55" s="75"/>
      <c r="CA55" s="87"/>
      <c r="CC55" s="74"/>
      <c r="CD55" s="75"/>
      <c r="CE55" s="75"/>
      <c r="CF55" s="75"/>
      <c r="CG55" s="75"/>
      <c r="CH55" s="87"/>
      <c r="CJ55" s="74"/>
      <c r="CK55" s="75"/>
      <c r="CL55" s="75"/>
      <c r="CM55" s="75"/>
      <c r="CN55" s="75"/>
      <c r="CO55" s="87"/>
      <c r="CQ55" s="74"/>
      <c r="CR55" s="75"/>
      <c r="CS55" s="75"/>
      <c r="CT55" s="75"/>
      <c r="CU55" s="75"/>
      <c r="CV55" s="87"/>
    </row>
    <row r="56" spans="1:100" s="1" customFormat="1" outlineLevel="1">
      <c r="A56" s="13"/>
      <c r="B56" s="14" t="s">
        <v>1118</v>
      </c>
      <c r="C56" s="15" t="s">
        <v>134</v>
      </c>
      <c r="D56" s="476">
        <v>67599953</v>
      </c>
      <c r="E56" s="15">
        <v>16</v>
      </c>
      <c r="F56" s="15">
        <v>1</v>
      </c>
      <c r="G56" s="16"/>
      <c r="I56" s="30" t="str">
        <f t="shared" si="14"/>
        <v>·</v>
      </c>
      <c r="J56" s="31">
        <f t="shared" si="15"/>
        <v>0.3180880318067677</v>
      </c>
      <c r="K56" s="31">
        <f t="shared" si="16"/>
        <v>4.5517664782991789E-2</v>
      </c>
      <c r="L56" s="31">
        <f t="shared" si="29"/>
        <v>0.27255959778551919</v>
      </c>
      <c r="M56" s="51"/>
      <c r="N56" s="31">
        <f t="shared" si="18"/>
        <v>5.3405578161040301</v>
      </c>
      <c r="O56" s="356">
        <v>4026309</v>
      </c>
      <c r="P56" s="357">
        <v>21502736</v>
      </c>
      <c r="Q56" s="357">
        <v>3076992</v>
      </c>
      <c r="R56" s="208">
        <v>18425016</v>
      </c>
      <c r="S56" s="87"/>
      <c r="T56" s="358">
        <v>77.089759999999998</v>
      </c>
      <c r="U56" s="358">
        <v>72.247062999999997</v>
      </c>
      <c r="V56" s="358">
        <v>28.167299</v>
      </c>
      <c r="W56" s="358">
        <v>36.543185999999999</v>
      </c>
      <c r="X56" s="358">
        <v>35.900196000000001</v>
      </c>
      <c r="Y56" s="87"/>
      <c r="Z56" s="359">
        <v>27.407</v>
      </c>
      <c r="AA56" s="359">
        <v>4.2839999999999998</v>
      </c>
      <c r="AB56" s="32">
        <v>0</v>
      </c>
      <c r="AC56" s="32">
        <v>0</v>
      </c>
      <c r="AD56" s="33"/>
      <c r="AF56" s="30" t="str">
        <f t="shared" si="19"/>
        <v>·</v>
      </c>
      <c r="AG56" s="31">
        <f t="shared" si="20"/>
        <v>0.26261899915817988</v>
      </c>
      <c r="AH56" s="31">
        <f t="shared" si="21"/>
        <v>4.5517664782991789E-2</v>
      </c>
      <c r="AI56" s="31">
        <f t="shared" si="28"/>
        <v>0.2170905651369314</v>
      </c>
      <c r="AJ56" s="51"/>
      <c r="AK56" s="31">
        <f t="shared" si="23"/>
        <v>4.409257212995823</v>
      </c>
      <c r="AL56" s="356">
        <v>4026309</v>
      </c>
      <c r="AM56" s="357">
        <v>17753032</v>
      </c>
      <c r="AN56" s="357">
        <v>3076992</v>
      </c>
      <c r="AO56" s="208">
        <v>14675312</v>
      </c>
      <c r="AP56" s="87"/>
      <c r="AQ56" s="358">
        <v>77.089759999999998</v>
      </c>
      <c r="AR56" s="358">
        <v>72.247062999999997</v>
      </c>
      <c r="AS56" s="358">
        <v>28.172926</v>
      </c>
      <c r="AT56" s="358">
        <v>37.035865999999999</v>
      </c>
      <c r="AU56" s="358">
        <v>36.247127999999996</v>
      </c>
      <c r="AV56" s="87"/>
      <c r="AW56" s="359">
        <v>43.362000000000002</v>
      </c>
      <c r="AX56" s="359">
        <v>8.2319999999999993</v>
      </c>
      <c r="AY56" s="32">
        <v>0</v>
      </c>
      <c r="AZ56" s="32">
        <v>0</v>
      </c>
      <c r="BA56" s="33">
        <v>768</v>
      </c>
      <c r="BC56" s="56" t="e">
        <f t="shared" si="27"/>
        <v>#DIV/0!</v>
      </c>
      <c r="BD56" s="57" t="e">
        <f t="shared" si="26"/>
        <v>#DIV/0!</v>
      </c>
      <c r="BE56" s="57">
        <f t="shared" si="24"/>
        <v>3.0224358672499313E-2</v>
      </c>
      <c r="BF56" s="58"/>
      <c r="BH56" s="74"/>
      <c r="BI56" s="75"/>
      <c r="BJ56" s="75"/>
      <c r="BK56" s="75"/>
      <c r="BL56" s="75"/>
      <c r="BM56" s="87"/>
      <c r="BO56" s="74"/>
      <c r="BP56" s="75"/>
      <c r="BQ56" s="75"/>
      <c r="BR56" s="75"/>
      <c r="BS56" s="75"/>
      <c r="BT56" s="87"/>
      <c r="BV56" s="74"/>
      <c r="BW56" s="75"/>
      <c r="BX56" s="75"/>
      <c r="BY56" s="75"/>
      <c r="BZ56" s="75"/>
      <c r="CA56" s="87"/>
      <c r="CC56" s="74"/>
      <c r="CD56" s="75"/>
      <c r="CE56" s="75"/>
      <c r="CF56" s="75"/>
      <c r="CG56" s="75"/>
      <c r="CH56" s="87"/>
      <c r="CJ56" s="74"/>
      <c r="CK56" s="75"/>
      <c r="CL56" s="75"/>
      <c r="CM56" s="75"/>
      <c r="CN56" s="75"/>
      <c r="CO56" s="87"/>
      <c r="CQ56" s="74"/>
      <c r="CR56" s="75"/>
      <c r="CS56" s="75"/>
      <c r="CT56" s="75"/>
      <c r="CU56" s="75"/>
      <c r="CV56" s="87"/>
    </row>
    <row r="57" spans="1:100" s="1" customFormat="1" outlineLevel="1">
      <c r="A57" s="13"/>
      <c r="B57" s="14" t="s">
        <v>1118</v>
      </c>
      <c r="C57" s="15" t="s">
        <v>135</v>
      </c>
      <c r="D57" s="476">
        <v>67599953</v>
      </c>
      <c r="E57" s="15">
        <v>16</v>
      </c>
      <c r="F57" s="15">
        <v>1</v>
      </c>
      <c r="G57" s="16"/>
      <c r="I57" s="30" t="str">
        <f t="shared" si="14"/>
        <v>·</v>
      </c>
      <c r="J57" s="31">
        <f t="shared" si="15"/>
        <v>5.2816429620890419</v>
      </c>
      <c r="K57" s="31">
        <f t="shared" si="16"/>
        <v>0.7456511693136828</v>
      </c>
      <c r="L57" s="31">
        <f t="shared" si="29"/>
        <v>4.5359806685072694</v>
      </c>
      <c r="M57" s="51"/>
      <c r="N57" s="31">
        <f t="shared" si="18"/>
        <v>7.2362920463170433</v>
      </c>
      <c r="O57" s="356">
        <v>49340023</v>
      </c>
      <c r="P57" s="357">
        <v>357038816</v>
      </c>
      <c r="Q57" s="357">
        <v>50405984</v>
      </c>
      <c r="R57" s="208">
        <v>306632080</v>
      </c>
      <c r="S57" s="87"/>
      <c r="T57" s="358">
        <v>88.925788999999995</v>
      </c>
      <c r="U57" s="358">
        <v>84.288269</v>
      </c>
      <c r="V57" s="358">
        <v>35.144835999999998</v>
      </c>
      <c r="W57" s="358">
        <v>42.645316999999999</v>
      </c>
      <c r="X57" s="358">
        <v>42.516621000000001</v>
      </c>
      <c r="Y57" s="87"/>
      <c r="Z57" s="359">
        <v>168.143</v>
      </c>
      <c r="AA57" s="359">
        <v>60.411999999999999</v>
      </c>
      <c r="AB57" s="32">
        <v>0</v>
      </c>
      <c r="AC57" s="32">
        <v>0</v>
      </c>
      <c r="AD57" s="33"/>
      <c r="AF57" s="30" t="str">
        <f t="shared" si="19"/>
        <v>·</v>
      </c>
      <c r="AG57" s="31">
        <f t="shared" si="20"/>
        <v>4.7914422662394456</v>
      </c>
      <c r="AH57" s="31">
        <f t="shared" si="21"/>
        <v>0.7456511693136828</v>
      </c>
      <c r="AI57" s="31">
        <f t="shared" si="28"/>
        <v>4.0457799726576731</v>
      </c>
      <c r="AJ57" s="51"/>
      <c r="AK57" s="31">
        <f t="shared" si="23"/>
        <v>6.5646761453678284</v>
      </c>
      <c r="AL57" s="356">
        <v>49340023</v>
      </c>
      <c r="AM57" s="357">
        <v>323901272</v>
      </c>
      <c r="AN57" s="357">
        <v>50405984</v>
      </c>
      <c r="AO57" s="208">
        <v>273494536</v>
      </c>
      <c r="AP57" s="87"/>
      <c r="AQ57" s="358">
        <v>88.925788999999995</v>
      </c>
      <c r="AR57" s="358">
        <v>84.288269</v>
      </c>
      <c r="AS57" s="358">
        <v>35.143833000000001</v>
      </c>
      <c r="AT57" s="358">
        <v>42.649120000000003</v>
      </c>
      <c r="AU57" s="358">
        <v>42.576759000000003</v>
      </c>
      <c r="AV57" s="87"/>
      <c r="AW57" s="359">
        <v>239.00399999999999</v>
      </c>
      <c r="AX57" s="359">
        <v>140.78800000000001</v>
      </c>
      <c r="AY57" s="32">
        <v>0</v>
      </c>
      <c r="AZ57" s="32">
        <v>0</v>
      </c>
      <c r="BA57" s="33">
        <v>48</v>
      </c>
      <c r="BC57" s="56" t="e">
        <f t="shared" si="27"/>
        <v>#DIV/0!</v>
      </c>
      <c r="BD57" s="57" t="e">
        <f t="shared" si="26"/>
        <v>#DIV/0!</v>
      </c>
      <c r="BE57" s="57">
        <f t="shared" si="24"/>
        <v>1.4443562580225527E-2</v>
      </c>
      <c r="BF57" s="58"/>
      <c r="BH57" s="74"/>
      <c r="BI57" s="75"/>
      <c r="BJ57" s="75"/>
      <c r="BK57" s="75"/>
      <c r="BL57" s="75"/>
      <c r="BM57" s="87"/>
      <c r="BO57" s="74"/>
      <c r="BP57" s="75"/>
      <c r="BQ57" s="75"/>
      <c r="BR57" s="75"/>
      <c r="BS57" s="75"/>
      <c r="BT57" s="87"/>
      <c r="BV57" s="74"/>
      <c r="BW57" s="75"/>
      <c r="BX57" s="75"/>
      <c r="BY57" s="75"/>
      <c r="BZ57" s="75"/>
      <c r="CA57" s="87"/>
      <c r="CC57" s="74"/>
      <c r="CD57" s="75"/>
      <c r="CE57" s="75"/>
      <c r="CF57" s="75"/>
      <c r="CG57" s="75"/>
      <c r="CH57" s="87"/>
      <c r="CJ57" s="74"/>
      <c r="CK57" s="75"/>
      <c r="CL57" s="75"/>
      <c r="CM57" s="75"/>
      <c r="CN57" s="75"/>
      <c r="CO57" s="87"/>
      <c r="CQ57" s="74"/>
      <c r="CR57" s="75"/>
      <c r="CS57" s="75"/>
      <c r="CT57" s="75"/>
      <c r="CU57" s="75"/>
      <c r="CV57" s="87"/>
    </row>
    <row r="58" spans="1:100" s="1" customFormat="1" ht="14.25" outlineLevel="1" thickBot="1">
      <c r="A58" s="215"/>
      <c r="B58" s="18" t="s">
        <v>1118</v>
      </c>
      <c r="C58" s="19" t="s">
        <v>136</v>
      </c>
      <c r="D58" s="477">
        <v>67599953</v>
      </c>
      <c r="E58" s="19">
        <v>16</v>
      </c>
      <c r="F58" s="19">
        <v>1</v>
      </c>
      <c r="G58" s="20"/>
      <c r="I58" s="34" t="str">
        <f t="shared" si="14"/>
        <v>·</v>
      </c>
      <c r="J58" s="35">
        <f t="shared" si="15"/>
        <v>13.439233130827768</v>
      </c>
      <c r="K58" s="35">
        <f t="shared" si="16"/>
        <v>4.2330356058087792</v>
      </c>
      <c r="L58" s="35">
        <f t="shared" si="29"/>
        <v>9.2061864007508998</v>
      </c>
      <c r="M58" s="52"/>
      <c r="N58" s="35">
        <f t="shared" si="18"/>
        <v>13.938700200786663</v>
      </c>
      <c r="O58" s="360">
        <v>65177636</v>
      </c>
      <c r="P58" s="361">
        <v>908491528</v>
      </c>
      <c r="Q58" s="361">
        <v>286153008</v>
      </c>
      <c r="R58" s="209">
        <v>622337768</v>
      </c>
      <c r="S58" s="88"/>
      <c r="T58" s="362">
        <v>94.574066000000002</v>
      </c>
      <c r="U58" s="362">
        <v>90.308868000000004</v>
      </c>
      <c r="V58" s="362">
        <v>41.367542</v>
      </c>
      <c r="W58" s="362">
        <v>48.402424000000003</v>
      </c>
      <c r="X58" s="362">
        <v>48.027954000000001</v>
      </c>
      <c r="Y58" s="88"/>
      <c r="Z58" s="363">
        <v>357.21699999999998</v>
      </c>
      <c r="AA58" s="363">
        <v>138.34700000000001</v>
      </c>
      <c r="AB58" s="36">
        <v>0</v>
      </c>
      <c r="AC58" s="36">
        <v>0</v>
      </c>
      <c r="AD58" s="37"/>
      <c r="AF58" s="34" t="str">
        <f t="shared" si="19"/>
        <v>·</v>
      </c>
      <c r="AG58" s="35">
        <f t="shared" si="20"/>
        <v>12.393552522144505</v>
      </c>
      <c r="AH58" s="35">
        <f t="shared" si="21"/>
        <v>4.2330356058087792</v>
      </c>
      <c r="AI58" s="35">
        <f t="shared" si="28"/>
        <v>8.1605057920676369</v>
      </c>
      <c r="AJ58" s="52"/>
      <c r="AK58" s="35">
        <f t="shared" si="23"/>
        <v>12.854157030181334</v>
      </c>
      <c r="AL58" s="360">
        <v>65177636</v>
      </c>
      <c r="AM58" s="361">
        <v>837803568</v>
      </c>
      <c r="AN58" s="361">
        <v>286153008</v>
      </c>
      <c r="AO58" s="209">
        <v>551649808</v>
      </c>
      <c r="AP58" s="88"/>
      <c r="AQ58" s="362">
        <v>94.574066000000002</v>
      </c>
      <c r="AR58" s="362">
        <v>90.308868000000004</v>
      </c>
      <c r="AS58" s="362">
        <v>41.369469000000002</v>
      </c>
      <c r="AT58" s="362">
        <v>48.348747000000003</v>
      </c>
      <c r="AU58" s="362">
        <v>47.996482999999998</v>
      </c>
      <c r="AV58" s="88"/>
      <c r="AW58" s="363">
        <v>493.84899999999999</v>
      </c>
      <c r="AX58" s="363">
        <v>284.27300000000002</v>
      </c>
      <c r="AY58" s="36">
        <v>0</v>
      </c>
      <c r="AZ58" s="36">
        <v>0</v>
      </c>
      <c r="BA58" s="37">
        <v>12</v>
      </c>
      <c r="BC58" s="59" t="e">
        <f t="shared" si="27"/>
        <v>#DIV/0!</v>
      </c>
      <c r="BD58" s="60" t="e">
        <f t="shared" si="26"/>
        <v>#DIV/0!</v>
      </c>
      <c r="BE58" s="60">
        <f t="shared" si="24"/>
        <v>2.6575453030163954E-2</v>
      </c>
      <c r="BF58" s="61"/>
      <c r="BH58" s="77"/>
      <c r="BI58" s="78"/>
      <c r="BJ58" s="78"/>
      <c r="BK58" s="78"/>
      <c r="BL58" s="78"/>
      <c r="BM58" s="88"/>
      <c r="BO58" s="77"/>
      <c r="BP58" s="78"/>
      <c r="BQ58" s="78"/>
      <c r="BR58" s="78"/>
      <c r="BS58" s="78"/>
      <c r="BT58" s="88"/>
      <c r="BV58" s="77"/>
      <c r="BW58" s="78"/>
      <c r="BX58" s="78"/>
      <c r="BY58" s="78"/>
      <c r="BZ58" s="78"/>
      <c r="CA58" s="88"/>
      <c r="CC58" s="77"/>
      <c r="CD58" s="78"/>
      <c r="CE58" s="78"/>
      <c r="CF58" s="78"/>
      <c r="CG58" s="78"/>
      <c r="CH58" s="88"/>
      <c r="CJ58" s="77"/>
      <c r="CK58" s="78"/>
      <c r="CL58" s="78"/>
      <c r="CM58" s="78"/>
      <c r="CN58" s="78"/>
      <c r="CO58" s="88"/>
      <c r="CQ58" s="77"/>
      <c r="CR58" s="78"/>
      <c r="CS58" s="78"/>
      <c r="CT58" s="78"/>
      <c r="CU58" s="78"/>
      <c r="CV58" s="88"/>
    </row>
    <row r="59" spans="1:100" s="1" customFormat="1">
      <c r="A59" s="13"/>
      <c r="B59" s="27" t="s">
        <v>1119</v>
      </c>
      <c r="C59" s="25" t="s">
        <v>131</v>
      </c>
      <c r="D59" s="475">
        <v>59136574</v>
      </c>
      <c r="E59" s="28">
        <v>16</v>
      </c>
      <c r="F59" s="28">
        <v>1</v>
      </c>
      <c r="G59" s="29"/>
      <c r="I59" s="42" t="str">
        <f t="shared" si="14"/>
        <v>·</v>
      </c>
      <c r="J59" s="43">
        <f t="shared" si="15"/>
        <v>9.3546169921849035E-4</v>
      </c>
      <c r="K59" s="43">
        <f t="shared" si="16"/>
        <v>4.8267929758663396E-4</v>
      </c>
      <c r="L59" s="43">
        <f t="shared" si="29"/>
        <v>4.415541556397907E-4</v>
      </c>
      <c r="M59" s="55"/>
      <c r="N59" s="43">
        <f t="shared" si="18"/>
        <v>2.7013037745983692</v>
      </c>
      <c r="O59" s="352">
        <v>20479</v>
      </c>
      <c r="P59" s="353">
        <v>55320</v>
      </c>
      <c r="Q59" s="353">
        <v>28544</v>
      </c>
      <c r="R59" s="207">
        <v>26112</v>
      </c>
      <c r="S59" s="90"/>
      <c r="T59" s="354">
        <v>53.023235</v>
      </c>
      <c r="U59" s="354">
        <v>48.164664999999999</v>
      </c>
      <c r="V59" s="354">
        <v>18.382995999999999</v>
      </c>
      <c r="W59" s="354">
        <v>24.267354999999998</v>
      </c>
      <c r="X59" s="354">
        <v>27.933261999999999</v>
      </c>
      <c r="Y59" s="90"/>
      <c r="Z59" s="355">
        <v>10.332000000000001</v>
      </c>
      <c r="AA59" s="355">
        <v>4.2000000000000003E-2</v>
      </c>
      <c r="AB59" s="44">
        <v>0</v>
      </c>
      <c r="AC59" s="44">
        <v>0</v>
      </c>
      <c r="AD59" s="45"/>
      <c r="AF59" s="42" t="str">
        <f t="shared" si="19"/>
        <v>·</v>
      </c>
      <c r="AG59" s="43">
        <f t="shared" si="20"/>
        <v>8.6538662182222457E-4</v>
      </c>
      <c r="AH59" s="43">
        <f t="shared" ref="AH59:AH64" si="30">IF(AN59="","·",AN59/$D59)</f>
        <v>4.8267929758663396E-4</v>
      </c>
      <c r="AI59" s="43">
        <f t="shared" si="28"/>
        <v>3.7147907824352491E-4</v>
      </c>
      <c r="AJ59" s="55"/>
      <c r="AK59" s="43">
        <f t="shared" si="23"/>
        <v>2.4989501440500024</v>
      </c>
      <c r="AL59" s="352">
        <v>20479</v>
      </c>
      <c r="AM59" s="353">
        <v>51176</v>
      </c>
      <c r="AN59" s="353">
        <v>28544</v>
      </c>
      <c r="AO59" s="207">
        <v>21968</v>
      </c>
      <c r="AP59" s="90"/>
      <c r="AQ59" s="354">
        <v>53.023235</v>
      </c>
      <c r="AR59" s="354">
        <v>48.164664999999999</v>
      </c>
      <c r="AS59" s="354">
        <v>18.463153999999999</v>
      </c>
      <c r="AT59" s="354">
        <v>27.310818000000001</v>
      </c>
      <c r="AU59" s="354">
        <v>28.280930000000001</v>
      </c>
      <c r="AV59" s="90"/>
      <c r="AW59" s="355">
        <v>17.14</v>
      </c>
      <c r="AX59" s="355">
        <v>4.2000000000000003E-2</v>
      </c>
      <c r="AY59" s="44">
        <v>0</v>
      </c>
      <c r="AZ59" s="44">
        <v>0</v>
      </c>
      <c r="BA59" s="45">
        <v>196608</v>
      </c>
      <c r="BC59" s="65" t="e">
        <f t="shared" si="27"/>
        <v>#DIV/0!</v>
      </c>
      <c r="BD59" s="66" t="e">
        <f t="shared" si="26"/>
        <v>#DIV/0!</v>
      </c>
      <c r="BE59" s="66">
        <f t="shared" si="24"/>
        <v>4.1781696522377954E-2</v>
      </c>
      <c r="BF59" s="67">
        <f t="array" ref="BF59">AVERAGE(AN59:AN64/AM59:AM64) - AVERAGE(Q59:Q64/P59:P64)</f>
        <v>6.2944002350941552E-2</v>
      </c>
      <c r="BH59" s="83">
        <f>IF( OR(ISBLANK($Q59:$Q64),ISBLANK($AN59:$AN64), ISBLANK($T59:$T64),ISBLANK($AQ59:$AQ64)), "·", bdRateHermite( $Q59:$Q64,$T59:$T64, $AN59:$AN64,$AQ59:$AQ64))</f>
        <v>0</v>
      </c>
      <c r="BI59" s="225">
        <f>IF(OR(ISBLANK(Q59:Q64),ISBLANK(AN59:AN64),ISBLANK(U59:U64),ISBLANK(AR59:AR64)),"·",bdRateHermite(Q59:Q64,U59:U64,AN59:AN64,AR59:AR64))</f>
        <v>0</v>
      </c>
      <c r="BJ59" s="225">
        <f>IF(OR(ISBLANK($R59:$R64),ISBLANK($AO59:$AO64),ISBLANK(V59:V64),ISBLANK(AS59:AS64)),"·",bdRateHermite($R59:$R64,V59:V64,$AO59:$AO64,AS59:AS64))</f>
        <v>-0.25664462167566748</v>
      </c>
      <c r="BK59" s="225">
        <f>IF(OR(ISBLANK($R59:$R64),ISBLANK($AO59:$AO64),ISBLANK(W59:W64),ISBLANK(AT59:AT64)),"·",bdRateHermite($R59:$R64,W59:W64,$AO59:$AO64,AT59:AT64))</f>
        <v>-0.64951934989102844</v>
      </c>
      <c r="BL59" s="225">
        <f>IF(OR(ISBLANK($R59:$R64),ISBLANK($AO59:$AO64),ISBLANK(X59:X64),ISBLANK(AU59:AU64)),"·",bdRateHermite($R59:$R64,X59:X64,$AO59:$AO64,AU59:AU64))</f>
        <v>-0.68456967984323103</v>
      </c>
      <c r="BM59" s="92"/>
      <c r="BO59" s="83">
        <f>IF( OR(ISBLANK($P59:$P64),ISBLANK($AM59:$AM64), ISBLANK($T59:$T64),ISBLANK($AQ59:$AQ64)), "·", bdRateHermite($P59:$P64,$T59:$T64, $AM59:$AM64,$AQ59:$AQ64))</f>
        <v>-0.20739559791285034</v>
      </c>
      <c r="BP59" s="84">
        <f>IF( OR(ISBLANK($P59:$P64),ISBLANK($AM59:$AM64), ISBLANK(U59:U64),ISBLANK(AR59:AR64)), "·", bdRateHermite( $P59:$P64,U59:U64, $AM59:$AM64,AR59:AR64))</f>
        <v>-0.20610212504057346</v>
      </c>
      <c r="BQ59" s="84">
        <f>IF( OR(ISBLANK($P59:$P64),ISBLANK($AM59:$AM64), ISBLANK(V59:V64),ISBLANK(AS59:AS64)), "·", bdRateHermite( $P59:$P64,V59:V64, $AM59:$AM64,AS59:AS64))</f>
        <v>-0.18354086342399112</v>
      </c>
      <c r="BR59" s="84">
        <f>IF( OR(ISBLANK($P59:$P64),ISBLANK($AM59:$AM64), ISBLANK(W59:W64),ISBLANK(AT59:AT64)), "·", bdRateHermite( $P59:$P64,W59:W64, $AM59:$AM64,AT59:AT64))</f>
        <v>-0.59607562453700602</v>
      </c>
      <c r="BS59" s="84">
        <f>IF( OR(ISBLANK($P59:$P64),ISBLANK($AM59:$AM64), ISBLANK(X59:X64),ISBLANK(AU59:AU64)), "·", bdRateHermite( $P59:$P64,X59:X64, $AM59:$AM64,AU59:AU64))</f>
        <v>-0.6357111550759702</v>
      </c>
      <c r="BT59" s="92"/>
      <c r="BV59" s="83">
        <f>IF( OR(ISBLANK($Q59:$Q63),ISBLANK($AN59:$AN63), ISBLANK($T59:$T63),ISBLANK($AQ59:$AQ63)), "·", bdRateHermite( $Q60:$Q64,$T60:$T64, $AN60:$AN64,$AQ60:$AQ64))</f>
        <v>0</v>
      </c>
      <c r="BW59" s="84">
        <f>IF(OR(ISBLANK($Q59:$Q64),ISBLANK($AN59:$AN64),ISBLANK(U59:U64),ISBLANK(AR59:AR64)),"·",bdRateHermite($Q60:$Q64,U60:U64,$AN60:$AN64,AR60:AR64))</f>
        <v>0</v>
      </c>
      <c r="BX59" s="225">
        <f>IF(OR(ISBLANK($R59:$R64),ISBLANK($AO59:$AO64),ISBLANK($V59:$V64),ISBLANK($AS59:$AS64)),"·",bdRateHermite($R60:$R64,$V60:$V64,$AO60:$AO64,$AS60:$AS64))</f>
        <v>-0.24958476707237753</v>
      </c>
      <c r="BY59" s="225">
        <f>IF(OR(ISBLANK($R59:$R64),ISBLANK($AO59:$AO64),ISBLANK($W59:$W64),ISBLANK($AT59:$AT64)),"·",bdRateHermite($R60:$R64,$W60:$W64,$AO60:$AO64,$AT60:$AT64))</f>
        <v>-0.58365218730608692</v>
      </c>
      <c r="BZ59" s="225">
        <f>IF(OR(ISBLANK($R59:$R64),ISBLANK($AO59:$AO64),ISBLANK($X59:$X64),ISBLANK($AU59:$AU64)),"·",bdRateHermite($R60:$R64,$X60:$X64,$AO60:$AO64,$AU60:$AU64))</f>
        <v>-0.61337951731205376</v>
      </c>
      <c r="CA59" s="92"/>
      <c r="CC59" s="83">
        <f>IF( OR(ISBLANK($P59:$P64),ISBLANK($AM59:$AM64), ISBLANK($T59:$T64),ISBLANK($AQ59:$AQ64)), "·", bdRateHermite($P60:$P64,$T60:$T64, $AM60:$AM64,$AQ60:$AQ64))</f>
        <v>-0.21099171745621426</v>
      </c>
      <c r="CD59" s="84">
        <f>IF( OR(ISBLANK($P59:$P64),ISBLANK($AM59:$AM64), ISBLANK(U59:U64),ISBLANK(AR59:AR64)), "·", bdRateHermite( $P60:$P64,U60:U64, $AM60:$AM64,AR60:AR64))</f>
        <v>-0.20956665651627537</v>
      </c>
      <c r="CE59" s="84">
        <f>IF( OR(ISBLANK($P59:$P64),ISBLANK($AM59:$AM64), ISBLANK(V59:V64),ISBLANK(AS59:AS64)), "·", bdRateHermite( $P60:$P64,V60:V64, $AM60:$AM64,AS60:AS64))</f>
        <v>-0.18192017890732537</v>
      </c>
      <c r="CF59" s="84">
        <f>IF( OR(ISBLANK($P59:$P64),ISBLANK($AM59:$AM64), ISBLANK(W59:W64),ISBLANK(AT59:AT64)), "·", bdRateHermite( $P60:$P64,W60:W64, $AM60:$AM64,AT60:AT64))</f>
        <v>-0.53417030290149747</v>
      </c>
      <c r="CG59" s="84">
        <f>IF( OR(ISBLANK($P59:$P64),ISBLANK($AM59:$AM64), ISBLANK(X59:X64),ISBLANK(AU59:AU64)), "·", bdRateHermite( $P60:$P64,X60:X64, $AM60:$AM64,AU60:AU64))</f>
        <v>-0.56690718098152315</v>
      </c>
      <c r="CH59" s="92"/>
      <c r="CJ59" s="83">
        <f>IF( OR(ISBLANK($Q59:$Q63),ISBLANK($AN59:$AN63), ISBLANK($T59:$T63),ISBLANK($AQ59:$AQ63)), "·", bdRateHermite( $Q59:$Q63,$T59:$T63, $AN59:$AN63,$AQ59:$AQ63))</f>
        <v>0</v>
      </c>
      <c r="CK59" s="84">
        <f>IF(OR(ISBLANK($Q59:$Q63),ISBLANK($AN59:$AN63),ISBLANK(U59:U63),ISBLANK(AR59:AR63)),"·",bdRateHermite($Q59:$Q63,U59:U63,$AN59:$AN63,AR59:AR63))</f>
        <v>0</v>
      </c>
      <c r="CL59" s="225">
        <f>IF(OR(ISBLANK($R59:$R64),ISBLANK($AO59:$AO64),ISBLANK($V59:$V64),ISBLANK($AS59:$AS64)),"·",bdRateHermite($R59:$R63,$V59:$V63,$AO59:$AO63,$AS59:$AS63))</f>
        <v>-0.30868473538870544</v>
      </c>
      <c r="CM59" s="225">
        <f>IF(OR(ISBLANK($R59:$R64),ISBLANK($AO59:$AO64),ISBLANK($W59:$W64),ISBLANK($AT59:$AT64)),"·",bdRateHermite($R59:$R63,$W59:$W63,$AO59:$AO63,$AT59:$AT63))</f>
        <v>-0.73601461531088619</v>
      </c>
      <c r="CN59" s="225">
        <f>IF(OR(ISBLANK($R59:$R64),ISBLANK($AO59:$AO64),ISBLANK($X59:$X64),ISBLANK($AU59:$AU64)),"·",bdRateHermite($R59:$R63,$X59:$X63,$AO59:$AO63,$AU59:$AU63))</f>
        <v>-0.773456887772771</v>
      </c>
      <c r="CO59" s="92"/>
      <c r="CQ59" s="83">
        <f>IF( OR(ISBLANK($P59:$P63),ISBLANK($AM59:$AM63), ISBLANK($T59:$T63),ISBLANK($AQ59:$AQ63)), "·", bdRateHermite($P59:$P63,$T59:$T63, $AM59:$AM63,$AQ59:$AQ63))</f>
        <v>-0.2257531569397504</v>
      </c>
      <c r="CR59" s="84">
        <f>IF( OR(ISBLANK($P59:$P63),ISBLANK($AM59:$AM63), ISBLANK(U59:U63),ISBLANK(AR59:AR63)), "·", bdRateHermite( $P59:$P63,U59:U63, $AM59:$AM63,AR59:AR63))</f>
        <v>-0.22540497540458582</v>
      </c>
      <c r="CS59" s="84">
        <f>IF( OR(ISBLANK($P59:$P63),ISBLANK($AM59:$AM63), ISBLANK(V59:V63),ISBLANK(AS59:AS63)), "·", bdRateHermite( $P59:$P63,V59:V63, $AM59:$AM63,AS59:AS63))</f>
        <v>-0.22617724111223003</v>
      </c>
      <c r="CT59" s="84">
        <f>IF( OR(ISBLANK($P59:$P63),ISBLANK($AM59:$AM63), ISBLANK(W59:W63),ISBLANK(AT59:AT63)), "·", bdRateHermite( $P59:$P63,W59:W63, $AM59:$AM63,AT59:AT63))</f>
        <v>-0.68598532113640354</v>
      </c>
      <c r="CU59" s="84">
        <f>IF( OR(ISBLANK($P59:$P63),ISBLANK($AM59:$AM63), ISBLANK(X59:X63),ISBLANK(AU59:AU63)), "·", bdRateHermite( $P59:$P63,X59:X63, $AM59:$AM63,AU59:AU63))</f>
        <v>-0.7292622440631531</v>
      </c>
      <c r="CV59" s="92"/>
    </row>
    <row r="60" spans="1:100" s="1" customFormat="1" outlineLevel="1">
      <c r="A60" s="13"/>
      <c r="B60" s="14" t="s">
        <v>1119</v>
      </c>
      <c r="C60" s="15" t="s">
        <v>132</v>
      </c>
      <c r="D60" s="476">
        <v>59136574</v>
      </c>
      <c r="E60" s="15">
        <v>16</v>
      </c>
      <c r="F60" s="15">
        <v>1</v>
      </c>
      <c r="G60" s="16"/>
      <c r="I60" s="30" t="str">
        <f t="shared" si="14"/>
        <v>·</v>
      </c>
      <c r="J60" s="31">
        <f t="shared" si="15"/>
        <v>5.1622875549063767E-3</v>
      </c>
      <c r="K60" s="31">
        <f t="shared" si="16"/>
        <v>1.7042583494945108E-3</v>
      </c>
      <c r="L60" s="31">
        <f t="shared" si="29"/>
        <v>3.4466656793476066E-3</v>
      </c>
      <c r="M60" s="51"/>
      <c r="N60" s="31">
        <f t="shared" si="18"/>
        <v>3.8323834392025913</v>
      </c>
      <c r="O60" s="356">
        <v>79658</v>
      </c>
      <c r="P60" s="357">
        <v>305280</v>
      </c>
      <c r="Q60" s="357">
        <v>100784</v>
      </c>
      <c r="R60" s="208">
        <v>203824</v>
      </c>
      <c r="S60" s="87"/>
      <c r="T60" s="358">
        <v>58.939529</v>
      </c>
      <c r="U60" s="358">
        <v>54.185268000000001</v>
      </c>
      <c r="V60" s="358">
        <v>21.539494999999999</v>
      </c>
      <c r="W60" s="358">
        <v>27.455062999999999</v>
      </c>
      <c r="X60" s="358">
        <v>28.896286</v>
      </c>
      <c r="Y60" s="87"/>
      <c r="Z60" s="359">
        <v>10.891999999999999</v>
      </c>
      <c r="AA60" s="359">
        <v>0.126</v>
      </c>
      <c r="AB60" s="32">
        <v>0</v>
      </c>
      <c r="AC60" s="32">
        <v>0</v>
      </c>
      <c r="AD60" s="33"/>
      <c r="AF60" s="30" t="str">
        <f t="shared" si="19"/>
        <v>·</v>
      </c>
      <c r="AG60" s="31">
        <f t="shared" si="20"/>
        <v>3.897283599824366E-3</v>
      </c>
      <c r="AH60" s="31">
        <f t="shared" si="30"/>
        <v>1.7042583494945108E-3</v>
      </c>
      <c r="AI60" s="31">
        <f t="shared" si="28"/>
        <v>2.181661724265596E-3</v>
      </c>
      <c r="AJ60" s="51"/>
      <c r="AK60" s="31">
        <f t="shared" si="23"/>
        <v>2.8932687237942205</v>
      </c>
      <c r="AL60" s="356">
        <v>79658</v>
      </c>
      <c r="AM60" s="357">
        <v>230472</v>
      </c>
      <c r="AN60" s="357">
        <v>100784</v>
      </c>
      <c r="AO60" s="208">
        <v>129016</v>
      </c>
      <c r="AP60" s="87"/>
      <c r="AQ60" s="358">
        <v>58.939529</v>
      </c>
      <c r="AR60" s="358">
        <v>54.185268000000001</v>
      </c>
      <c r="AS60" s="358">
        <v>21.562194999999999</v>
      </c>
      <c r="AT60" s="358">
        <v>30.563580000000002</v>
      </c>
      <c r="AU60" s="358">
        <v>31.683005999999999</v>
      </c>
      <c r="AV60" s="87"/>
      <c r="AW60" s="359">
        <v>17.876999999999999</v>
      </c>
      <c r="AX60" s="359">
        <v>0.17499999999999999</v>
      </c>
      <c r="AY60" s="32">
        <v>0</v>
      </c>
      <c r="AZ60" s="32">
        <v>0</v>
      </c>
      <c r="BA60" s="33">
        <v>49152</v>
      </c>
      <c r="BC60" s="56" t="e">
        <f t="shared" si="27"/>
        <v>#DIV/0!</v>
      </c>
      <c r="BD60" s="57" t="e">
        <f t="shared" si="26"/>
        <v>#DIV/0!</v>
      </c>
      <c r="BE60" s="57">
        <f t="shared" si="24"/>
        <v>0.10715763286761149</v>
      </c>
      <c r="BF60" s="58"/>
      <c r="BH60" s="74"/>
      <c r="BI60" s="75"/>
      <c r="BJ60" s="75"/>
      <c r="BK60" s="75"/>
      <c r="BL60" s="75"/>
      <c r="BM60" s="87"/>
      <c r="BO60" s="74"/>
      <c r="BP60" s="75"/>
      <c r="BQ60" s="75"/>
      <c r="BR60" s="75"/>
      <c r="BS60" s="75"/>
      <c r="BT60" s="87"/>
      <c r="BV60" s="74"/>
      <c r="BW60" s="75"/>
      <c r="BX60" s="75"/>
      <c r="BY60" s="75"/>
      <c r="BZ60" s="75"/>
      <c r="CA60" s="87"/>
      <c r="CC60" s="74"/>
      <c r="CD60" s="75"/>
      <c r="CE60" s="75"/>
      <c r="CF60" s="75"/>
      <c r="CG60" s="75"/>
      <c r="CH60" s="87"/>
      <c r="CJ60" s="74"/>
      <c r="CK60" s="75"/>
      <c r="CL60" s="75"/>
      <c r="CM60" s="75"/>
      <c r="CN60" s="75"/>
      <c r="CO60" s="87"/>
      <c r="CQ60" s="74"/>
      <c r="CR60" s="75"/>
      <c r="CS60" s="75"/>
      <c r="CT60" s="75"/>
      <c r="CU60" s="75"/>
      <c r="CV60" s="87"/>
    </row>
    <row r="61" spans="1:100" s="1" customFormat="1" outlineLevel="1">
      <c r="A61" s="13"/>
      <c r="B61" s="14" t="s">
        <v>1119</v>
      </c>
      <c r="C61" s="15" t="s">
        <v>133</v>
      </c>
      <c r="D61" s="476">
        <v>59136574</v>
      </c>
      <c r="E61" s="15">
        <v>16</v>
      </c>
      <c r="F61" s="15">
        <v>1</v>
      </c>
      <c r="G61" s="16"/>
      <c r="I61" s="30" t="str">
        <f t="shared" si="14"/>
        <v>·</v>
      </c>
      <c r="J61" s="31">
        <f t="shared" si="15"/>
        <v>8.0658849124401424E-2</v>
      </c>
      <c r="K61" s="31">
        <f t="shared" si="16"/>
        <v>2.176886337717163E-2</v>
      </c>
      <c r="L61" s="31">
        <f t="shared" si="29"/>
        <v>5.8878216380948957E-2</v>
      </c>
      <c r="M61" s="51"/>
      <c r="N61" s="31">
        <f t="shared" si="18"/>
        <v>3.9565253094996162</v>
      </c>
      <c r="O61" s="356">
        <v>1205575</v>
      </c>
      <c r="P61" s="357">
        <v>4769888</v>
      </c>
      <c r="Q61" s="357">
        <v>1287336</v>
      </c>
      <c r="R61" s="208">
        <v>3481856</v>
      </c>
      <c r="S61" s="87"/>
      <c r="T61" s="358">
        <v>70.965805000000003</v>
      </c>
      <c r="U61" s="358">
        <v>66.226462999999995</v>
      </c>
      <c r="V61" s="358">
        <v>26.391825000000001</v>
      </c>
      <c r="W61" s="358">
        <v>33.781143</v>
      </c>
      <c r="X61" s="358">
        <v>33.569572000000001</v>
      </c>
      <c r="Y61" s="87"/>
      <c r="Z61" s="359">
        <v>15.942</v>
      </c>
      <c r="AA61" s="359">
        <v>1.3919999999999999</v>
      </c>
      <c r="AB61" s="32">
        <v>0</v>
      </c>
      <c r="AC61" s="32">
        <v>0</v>
      </c>
      <c r="AD61" s="33"/>
      <c r="AF61" s="30" t="str">
        <f t="shared" si="19"/>
        <v>·</v>
      </c>
      <c r="AG61" s="31">
        <f t="shared" si="20"/>
        <v>5.8365640187407544E-2</v>
      </c>
      <c r="AH61" s="31">
        <f t="shared" si="30"/>
        <v>2.176886337717163E-2</v>
      </c>
      <c r="AI61" s="31">
        <f t="shared" si="28"/>
        <v>3.658500744395507E-2</v>
      </c>
      <c r="AJ61" s="51"/>
      <c r="AK61" s="31">
        <f t="shared" si="23"/>
        <v>2.8629857122120148</v>
      </c>
      <c r="AL61" s="356">
        <v>1205575</v>
      </c>
      <c r="AM61" s="357">
        <v>3451544</v>
      </c>
      <c r="AN61" s="357">
        <v>1287336</v>
      </c>
      <c r="AO61" s="208">
        <v>2163512</v>
      </c>
      <c r="AP61" s="87"/>
      <c r="AQ61" s="358">
        <v>70.965805000000003</v>
      </c>
      <c r="AR61" s="358">
        <v>66.226462999999995</v>
      </c>
      <c r="AS61" s="358">
        <v>26.432037000000001</v>
      </c>
      <c r="AT61" s="358">
        <v>36.020695000000003</v>
      </c>
      <c r="AU61" s="358">
        <v>36.568657000000002</v>
      </c>
      <c r="AV61" s="87"/>
      <c r="AW61" s="359">
        <v>26.052</v>
      </c>
      <c r="AX61" s="359">
        <v>2.78</v>
      </c>
      <c r="AY61" s="32">
        <v>0</v>
      </c>
      <c r="AZ61" s="32">
        <v>0</v>
      </c>
      <c r="BA61" s="33">
        <v>3072</v>
      </c>
      <c r="BC61" s="56" t="e">
        <f t="shared" si="27"/>
        <v>#DIV/0!</v>
      </c>
      <c r="BD61" s="57" t="e">
        <f t="shared" si="26"/>
        <v>#DIV/0!</v>
      </c>
      <c r="BE61" s="57">
        <f t="shared" si="24"/>
        <v>0.10308585220748745</v>
      </c>
      <c r="BF61" s="58"/>
      <c r="BH61" s="74"/>
      <c r="BI61" s="75"/>
      <c r="BJ61" s="75"/>
      <c r="BK61" s="75"/>
      <c r="BL61" s="75"/>
      <c r="BM61" s="87"/>
      <c r="BO61" s="74"/>
      <c r="BP61" s="75"/>
      <c r="BQ61" s="75"/>
      <c r="BR61" s="75"/>
      <c r="BS61" s="75"/>
      <c r="BT61" s="87"/>
      <c r="BV61" s="74"/>
      <c r="BW61" s="75"/>
      <c r="BX61" s="75"/>
      <c r="BY61" s="75"/>
      <c r="BZ61" s="75"/>
      <c r="CA61" s="87"/>
      <c r="CC61" s="74"/>
      <c r="CD61" s="75"/>
      <c r="CE61" s="75"/>
      <c r="CF61" s="75"/>
      <c r="CG61" s="75"/>
      <c r="CH61" s="87"/>
      <c r="CJ61" s="74"/>
      <c r="CK61" s="75"/>
      <c r="CL61" s="75"/>
      <c r="CM61" s="75"/>
      <c r="CN61" s="75"/>
      <c r="CO61" s="87"/>
      <c r="CQ61" s="74"/>
      <c r="CR61" s="75"/>
      <c r="CS61" s="75"/>
      <c r="CT61" s="75"/>
      <c r="CU61" s="75"/>
      <c r="CV61" s="87"/>
    </row>
    <row r="62" spans="1:100" s="1" customFormat="1" outlineLevel="1">
      <c r="A62" s="13"/>
      <c r="B62" s="14" t="s">
        <v>1119</v>
      </c>
      <c r="C62" s="15" t="s">
        <v>134</v>
      </c>
      <c r="D62" s="476">
        <v>59136574</v>
      </c>
      <c r="E62" s="15">
        <v>16</v>
      </c>
      <c r="F62" s="15">
        <v>1</v>
      </c>
      <c r="G62" s="16"/>
      <c r="I62" s="30" t="str">
        <f t="shared" si="14"/>
        <v>·</v>
      </c>
      <c r="J62" s="31">
        <f t="shared" si="15"/>
        <v>0.3984502720769722</v>
      </c>
      <c r="K62" s="31">
        <f t="shared" si="16"/>
        <v>8.1334843645152657E-2</v>
      </c>
      <c r="L62" s="31">
        <f t="shared" si="29"/>
        <v>0.31710365906553872</v>
      </c>
      <c r="M62" s="51"/>
      <c r="N62" s="31">
        <f t="shared" si="18"/>
        <v>5.1276838317140161</v>
      </c>
      <c r="O62" s="356">
        <v>4595249</v>
      </c>
      <c r="P62" s="357">
        <v>23562984</v>
      </c>
      <c r="Q62" s="357">
        <v>4809864</v>
      </c>
      <c r="R62" s="208">
        <v>18752424</v>
      </c>
      <c r="S62" s="87"/>
      <c r="T62" s="358">
        <v>77.002876000000001</v>
      </c>
      <c r="U62" s="358">
        <v>72.247062999999997</v>
      </c>
      <c r="V62" s="358">
        <v>29.0105</v>
      </c>
      <c r="W62" s="358">
        <v>38.360942999999999</v>
      </c>
      <c r="X62" s="358">
        <v>38.658188000000003</v>
      </c>
      <c r="Y62" s="87"/>
      <c r="Z62" s="359">
        <v>28.108000000000001</v>
      </c>
      <c r="AA62" s="359">
        <v>5.7039999999999997</v>
      </c>
      <c r="AB62" s="32">
        <v>0</v>
      </c>
      <c r="AC62" s="32">
        <v>0</v>
      </c>
      <c r="AD62" s="33"/>
      <c r="AF62" s="30" t="str">
        <f t="shared" si="19"/>
        <v>·</v>
      </c>
      <c r="AG62" s="31">
        <f t="shared" si="20"/>
        <v>0.30460256287420373</v>
      </c>
      <c r="AH62" s="31">
        <f t="shared" si="30"/>
        <v>8.1334843645152657E-2</v>
      </c>
      <c r="AI62" s="31">
        <f t="shared" si="28"/>
        <v>0.2232559498627702</v>
      </c>
      <c r="AJ62" s="51"/>
      <c r="AK62" s="31">
        <f t="shared" si="23"/>
        <v>3.9199512365924023</v>
      </c>
      <c r="AL62" s="356">
        <v>4595249</v>
      </c>
      <c r="AM62" s="357">
        <v>18013152</v>
      </c>
      <c r="AN62" s="357">
        <v>4809864</v>
      </c>
      <c r="AO62" s="208">
        <v>13202592</v>
      </c>
      <c r="AP62" s="87"/>
      <c r="AQ62" s="358">
        <v>77.002876000000001</v>
      </c>
      <c r="AR62" s="358">
        <v>72.247062999999997</v>
      </c>
      <c r="AS62" s="358">
        <v>29.023565000000001</v>
      </c>
      <c r="AT62" s="358">
        <v>39.7682</v>
      </c>
      <c r="AU62" s="358">
        <v>40.039616000000002</v>
      </c>
      <c r="AV62" s="87"/>
      <c r="AW62" s="359">
        <v>45.24</v>
      </c>
      <c r="AX62" s="359">
        <v>10.782</v>
      </c>
      <c r="AY62" s="32">
        <v>0</v>
      </c>
      <c r="AZ62" s="32">
        <v>0</v>
      </c>
      <c r="BA62" s="33">
        <v>768</v>
      </c>
      <c r="BC62" s="56" t="e">
        <f t="shared" si="27"/>
        <v>#DIV/0!</v>
      </c>
      <c r="BD62" s="57" t="e">
        <f t="shared" si="26"/>
        <v>#DIV/0!</v>
      </c>
      <c r="BE62" s="57">
        <f t="shared" si="24"/>
        <v>6.2891598236273688E-2</v>
      </c>
      <c r="BF62" s="58"/>
      <c r="BH62" s="74"/>
      <c r="BI62" s="75"/>
      <c r="BJ62" s="75"/>
      <c r="BK62" s="75"/>
      <c r="BL62" s="75"/>
      <c r="BM62" s="87"/>
      <c r="BO62" s="74"/>
      <c r="BP62" s="75"/>
      <c r="BQ62" s="75"/>
      <c r="BR62" s="75"/>
      <c r="BS62" s="75"/>
      <c r="BT62" s="87"/>
      <c r="BV62" s="74"/>
      <c r="BW62" s="75"/>
      <c r="BX62" s="75"/>
      <c r="BY62" s="75"/>
      <c r="BZ62" s="75"/>
      <c r="CA62" s="87"/>
      <c r="CC62" s="74"/>
      <c r="CD62" s="75"/>
      <c r="CE62" s="75"/>
      <c r="CF62" s="75"/>
      <c r="CG62" s="75"/>
      <c r="CH62" s="87"/>
      <c r="CJ62" s="74"/>
      <c r="CK62" s="75"/>
      <c r="CL62" s="75"/>
      <c r="CM62" s="75"/>
      <c r="CN62" s="75"/>
      <c r="CO62" s="87"/>
      <c r="CQ62" s="74"/>
      <c r="CR62" s="75"/>
      <c r="CS62" s="75"/>
      <c r="CT62" s="75"/>
      <c r="CU62" s="75"/>
      <c r="CV62" s="87"/>
    </row>
    <row r="63" spans="1:100" s="1" customFormat="1" outlineLevel="1">
      <c r="A63" s="13"/>
      <c r="B63" s="14" t="s">
        <v>1119</v>
      </c>
      <c r="C63" s="15" t="s">
        <v>135</v>
      </c>
      <c r="D63" s="476">
        <v>59136574</v>
      </c>
      <c r="E63" s="15">
        <v>16</v>
      </c>
      <c r="F63" s="15">
        <v>1</v>
      </c>
      <c r="G63" s="16"/>
      <c r="I63" s="30" t="str">
        <f t="shared" si="14"/>
        <v>·</v>
      </c>
      <c r="J63" s="31">
        <f t="shared" si="15"/>
        <v>6.1097998676757976</v>
      </c>
      <c r="K63" s="31">
        <f t="shared" si="16"/>
        <v>1.5873190083686619</v>
      </c>
      <c r="L63" s="31">
        <f t="shared" si="29"/>
        <v>4.5224686841006383</v>
      </c>
      <c r="M63" s="51"/>
      <c r="N63" s="31">
        <f t="shared" si="18"/>
        <v>7.936471611576783</v>
      </c>
      <c r="O63" s="356">
        <v>45525600</v>
      </c>
      <c r="P63" s="357">
        <v>361312632</v>
      </c>
      <c r="Q63" s="357">
        <v>93868608</v>
      </c>
      <c r="R63" s="208">
        <v>267443304</v>
      </c>
      <c r="S63" s="87"/>
      <c r="T63" s="358">
        <v>88.930076999999997</v>
      </c>
      <c r="U63" s="358">
        <v>84.288269</v>
      </c>
      <c r="V63" s="358">
        <v>35.786181999999997</v>
      </c>
      <c r="W63" s="358">
        <v>44.652026999999997</v>
      </c>
      <c r="X63" s="358">
        <v>44.729197999999997</v>
      </c>
      <c r="Y63" s="87"/>
      <c r="Z63" s="359">
        <v>184.89</v>
      </c>
      <c r="AA63" s="359">
        <v>76.483000000000004</v>
      </c>
      <c r="AB63" s="32">
        <v>0</v>
      </c>
      <c r="AC63" s="32">
        <v>0</v>
      </c>
      <c r="AD63" s="33"/>
      <c r="AF63" s="30" t="str">
        <f t="shared" si="19"/>
        <v>·</v>
      </c>
      <c r="AG63" s="31">
        <f t="shared" si="20"/>
        <v>5.4302561389504911</v>
      </c>
      <c r="AH63" s="31">
        <f t="shared" si="30"/>
        <v>1.5873190083686619</v>
      </c>
      <c r="AI63" s="31">
        <f t="shared" si="28"/>
        <v>3.8429249553753317</v>
      </c>
      <c r="AJ63" s="51"/>
      <c r="AK63" s="31">
        <f t="shared" si="23"/>
        <v>7.0537619273551586</v>
      </c>
      <c r="AL63" s="356">
        <v>45525600</v>
      </c>
      <c r="AM63" s="357">
        <v>321126744</v>
      </c>
      <c r="AN63" s="357">
        <v>93868608</v>
      </c>
      <c r="AO63" s="208">
        <v>227257416</v>
      </c>
      <c r="AP63" s="87"/>
      <c r="AQ63" s="358">
        <v>88.930076999999997</v>
      </c>
      <c r="AR63" s="358">
        <v>84.288269</v>
      </c>
      <c r="AS63" s="358">
        <v>35.784011999999997</v>
      </c>
      <c r="AT63" s="358">
        <v>45.056950000000001</v>
      </c>
      <c r="AU63" s="358">
        <v>45.068950999999998</v>
      </c>
      <c r="AV63" s="87"/>
      <c r="AW63" s="359">
        <v>324.18</v>
      </c>
      <c r="AX63" s="359">
        <v>140.803</v>
      </c>
      <c r="AY63" s="32">
        <v>0</v>
      </c>
      <c r="AZ63" s="32">
        <v>0</v>
      </c>
      <c r="BA63" s="33">
        <v>48</v>
      </c>
      <c r="BC63" s="56" t="e">
        <f t="shared" si="27"/>
        <v>#DIV/0!</v>
      </c>
      <c r="BD63" s="57" t="e">
        <f t="shared" si="26"/>
        <v>#DIV/0!</v>
      </c>
      <c r="BE63" s="57">
        <f t="shared" si="24"/>
        <v>3.2511299275271466E-2</v>
      </c>
      <c r="BF63" s="58"/>
      <c r="BH63" s="74"/>
      <c r="BI63" s="75"/>
      <c r="BJ63" s="75"/>
      <c r="BK63" s="75"/>
      <c r="BL63" s="75"/>
      <c r="BM63" s="87"/>
      <c r="BO63" s="74"/>
      <c r="BP63" s="75"/>
      <c r="BQ63" s="75"/>
      <c r="BR63" s="75"/>
      <c r="BS63" s="75"/>
      <c r="BT63" s="87"/>
      <c r="BV63" s="74"/>
      <c r="BW63" s="75"/>
      <c r="BX63" s="75"/>
      <c r="BY63" s="75"/>
      <c r="BZ63" s="75"/>
      <c r="CA63" s="87"/>
      <c r="CC63" s="74"/>
      <c r="CD63" s="75"/>
      <c r="CE63" s="75"/>
      <c r="CF63" s="75"/>
      <c r="CG63" s="75"/>
      <c r="CH63" s="87"/>
      <c r="CJ63" s="74"/>
      <c r="CK63" s="75"/>
      <c r="CL63" s="75"/>
      <c r="CM63" s="75"/>
      <c r="CN63" s="75"/>
      <c r="CO63" s="87"/>
      <c r="CQ63" s="74"/>
      <c r="CR63" s="75"/>
      <c r="CS63" s="75"/>
      <c r="CT63" s="75"/>
      <c r="CU63" s="75"/>
      <c r="CV63" s="87"/>
    </row>
    <row r="64" spans="1:100" s="1" customFormat="1" ht="14.25" outlineLevel="1" thickBot="1">
      <c r="A64" s="13"/>
      <c r="B64" s="18" t="s">
        <v>1119</v>
      </c>
      <c r="C64" s="19" t="s">
        <v>136</v>
      </c>
      <c r="D64" s="477">
        <v>59136574</v>
      </c>
      <c r="E64" s="19">
        <v>16</v>
      </c>
      <c r="F64" s="19">
        <v>1</v>
      </c>
      <c r="G64" s="20"/>
      <c r="I64" s="34" t="str">
        <f t="shared" si="14"/>
        <v>·</v>
      </c>
      <c r="J64" s="35">
        <f t="shared" si="15"/>
        <v>14.09473304963524</v>
      </c>
      <c r="K64" s="35">
        <f t="shared" si="16"/>
        <v>5.3317702171924939</v>
      </c>
      <c r="L64" s="35">
        <f t="shared" si="29"/>
        <v>8.7629505219561761</v>
      </c>
      <c r="M64" s="52"/>
      <c r="N64" s="35">
        <f t="shared" si="18"/>
        <v>14.263405785463796</v>
      </c>
      <c r="O64" s="360">
        <v>58437251</v>
      </c>
      <c r="P64" s="361">
        <v>833514224</v>
      </c>
      <c r="Q64" s="361">
        <v>315302624</v>
      </c>
      <c r="R64" s="209">
        <v>518210872</v>
      </c>
      <c r="S64" s="88"/>
      <c r="T64" s="362">
        <v>94.567154000000002</v>
      </c>
      <c r="U64" s="362">
        <v>90.308868000000004</v>
      </c>
      <c r="V64" s="362">
        <v>43.753203999999997</v>
      </c>
      <c r="W64" s="362">
        <v>50.369892</v>
      </c>
      <c r="X64" s="362">
        <v>50.424515</v>
      </c>
      <c r="Y64" s="88"/>
      <c r="Z64" s="363">
        <v>317.45</v>
      </c>
      <c r="AA64" s="363">
        <v>148.47499999999999</v>
      </c>
      <c r="AB64" s="36">
        <v>0</v>
      </c>
      <c r="AC64" s="36">
        <v>0</v>
      </c>
      <c r="AD64" s="37"/>
      <c r="AF64" s="34" t="str">
        <f t="shared" si="19"/>
        <v>·</v>
      </c>
      <c r="AG64" s="35">
        <f t="shared" si="20"/>
        <v>13.051526860517825</v>
      </c>
      <c r="AH64" s="35">
        <f t="shared" si="30"/>
        <v>5.3317702171924939</v>
      </c>
      <c r="AI64" s="35">
        <f t="shared" si="28"/>
        <v>7.7197443328387605</v>
      </c>
      <c r="AJ64" s="52"/>
      <c r="AK64" s="35">
        <f t="shared" si="23"/>
        <v>13.207715469025057</v>
      </c>
      <c r="AL64" s="360">
        <v>58437251</v>
      </c>
      <c r="AM64" s="361">
        <v>771822584</v>
      </c>
      <c r="AN64" s="361">
        <v>315302624</v>
      </c>
      <c r="AO64" s="209">
        <v>456519232</v>
      </c>
      <c r="AP64" s="88"/>
      <c r="AQ64" s="362">
        <v>94.567154000000002</v>
      </c>
      <c r="AR64" s="362">
        <v>90.308868000000004</v>
      </c>
      <c r="AS64" s="362">
        <v>43.737712999999999</v>
      </c>
      <c r="AT64" s="362">
        <v>50.395622000000003</v>
      </c>
      <c r="AU64" s="362">
        <v>50.439284999999998</v>
      </c>
      <c r="AV64" s="88"/>
      <c r="AW64" s="363">
        <v>496.88400000000001</v>
      </c>
      <c r="AX64" s="363">
        <v>264.36799999999999</v>
      </c>
      <c r="AY64" s="36">
        <v>0</v>
      </c>
      <c r="AZ64" s="36">
        <v>0</v>
      </c>
      <c r="BA64" s="37">
        <v>12</v>
      </c>
      <c r="BC64" s="59" t="e">
        <f t="shared" si="27"/>
        <v>#DIV/0!</v>
      </c>
      <c r="BD64" s="60" t="e">
        <f t="shared" si="26"/>
        <v>#DIV/0!</v>
      </c>
      <c r="BE64" s="60">
        <f t="shared" si="24"/>
        <v>3.0235934996627245E-2</v>
      </c>
      <c r="BF64" s="61"/>
      <c r="BH64" s="77"/>
      <c r="BI64" s="78"/>
      <c r="BJ64" s="78"/>
      <c r="BK64" s="78"/>
      <c r="BL64" s="78"/>
      <c r="BM64" s="88"/>
      <c r="BO64" s="77"/>
      <c r="BP64" s="78"/>
      <c r="BQ64" s="78"/>
      <c r="BR64" s="78"/>
      <c r="BS64" s="78"/>
      <c r="BT64" s="88"/>
      <c r="BV64" s="77"/>
      <c r="BW64" s="78"/>
      <c r="BX64" s="78"/>
      <c r="BY64" s="78"/>
      <c r="BZ64" s="78"/>
      <c r="CA64" s="88"/>
      <c r="CC64" s="77"/>
      <c r="CD64" s="78"/>
      <c r="CE64" s="78"/>
      <c r="CF64" s="78"/>
      <c r="CG64" s="78"/>
      <c r="CH64" s="88"/>
      <c r="CJ64" s="77"/>
      <c r="CK64" s="78"/>
      <c r="CL64" s="78"/>
      <c r="CM64" s="78"/>
      <c r="CN64" s="78"/>
      <c r="CO64" s="88"/>
      <c r="CQ64" s="77"/>
      <c r="CR64" s="78"/>
      <c r="CS64" s="78"/>
      <c r="CT64" s="78"/>
      <c r="CU64" s="78"/>
      <c r="CV64" s="88"/>
    </row>
    <row r="65" spans="1:100" s="1" customFormat="1">
      <c r="A65" s="91"/>
      <c r="B65" s="27" t="s">
        <v>1120</v>
      </c>
      <c r="C65" s="28" t="s">
        <v>131</v>
      </c>
      <c r="D65" s="475">
        <v>4649702</v>
      </c>
      <c r="E65" s="28">
        <v>11</v>
      </c>
      <c r="F65" s="28">
        <v>1</v>
      </c>
      <c r="G65" s="29"/>
      <c r="I65" s="46" t="str">
        <f t="shared" si="14"/>
        <v>·</v>
      </c>
      <c r="J65" s="47">
        <f t="shared" si="15"/>
        <v>1.5362704964748279E-2</v>
      </c>
      <c r="K65" s="47">
        <f t="shared" si="16"/>
        <v>9.1033790982733946E-3</v>
      </c>
      <c r="L65" s="43">
        <f t="shared" ref="L65:L82" si="31">IF(R65="","·",R65/D65)</f>
        <v>6.1492112827875849E-3</v>
      </c>
      <c r="M65" s="55"/>
      <c r="N65" s="47">
        <f t="shared" si="18"/>
        <v>2.1192665994185012</v>
      </c>
      <c r="O65" s="352">
        <v>33706</v>
      </c>
      <c r="P65" s="353">
        <v>71432</v>
      </c>
      <c r="Q65" s="353">
        <v>42328</v>
      </c>
      <c r="R65" s="207">
        <v>28592</v>
      </c>
      <c r="S65" s="90"/>
      <c r="T65" s="354">
        <v>52.996338000000002</v>
      </c>
      <c r="U65" s="354">
        <v>48.160556999999997</v>
      </c>
      <c r="V65" s="354">
        <v>21.287047999999999</v>
      </c>
      <c r="W65" s="354">
        <v>22.998995000000001</v>
      </c>
      <c r="X65" s="354">
        <v>28.533909000000001</v>
      </c>
      <c r="Y65" s="90"/>
      <c r="Z65" s="355">
        <v>1.2110000000000001</v>
      </c>
      <c r="AA65" s="355">
        <v>3.5000000000000003E-2</v>
      </c>
      <c r="AB65" s="48">
        <v>0</v>
      </c>
      <c r="AC65" s="48">
        <v>0</v>
      </c>
      <c r="AD65" s="49"/>
      <c r="AF65" s="46" t="str">
        <f t="shared" si="19"/>
        <v>·</v>
      </c>
      <c r="AG65" s="47">
        <f t="shared" si="20"/>
        <v>1.3540652712797509E-2</v>
      </c>
      <c r="AH65" s="47">
        <f t="shared" ref="AH65:AH76" si="32">IF(AN65="","·",AN65/D65)</f>
        <v>9.1033790982733946E-3</v>
      </c>
      <c r="AI65" s="43">
        <f t="shared" si="28"/>
        <v>4.3271590308368146E-3</v>
      </c>
      <c r="AJ65" s="55"/>
      <c r="AK65" s="47">
        <f t="shared" si="23"/>
        <v>1.867916691390257</v>
      </c>
      <c r="AL65" s="352">
        <v>33706</v>
      </c>
      <c r="AM65" s="353">
        <v>62960</v>
      </c>
      <c r="AN65" s="353">
        <v>42328</v>
      </c>
      <c r="AO65" s="207">
        <v>20120</v>
      </c>
      <c r="AP65" s="90"/>
      <c r="AQ65" s="354">
        <v>52.996338000000002</v>
      </c>
      <c r="AR65" s="354">
        <v>48.160556999999997</v>
      </c>
      <c r="AS65" s="354">
        <v>21.124966000000001</v>
      </c>
      <c r="AT65" s="354">
        <v>25.772327000000001</v>
      </c>
      <c r="AU65" s="354">
        <v>27.884007</v>
      </c>
      <c r="AV65" s="90"/>
      <c r="AW65" s="355">
        <v>1.796</v>
      </c>
      <c r="AX65" s="355">
        <v>5.1999999999999998E-2</v>
      </c>
      <c r="AY65" s="48">
        <v>0</v>
      </c>
      <c r="AZ65" s="48">
        <v>0</v>
      </c>
      <c r="BA65" s="49">
        <v>192</v>
      </c>
      <c r="BC65" s="68" t="e">
        <f t="shared" si="27"/>
        <v>#DIV/0!</v>
      </c>
      <c r="BD65" s="69" t="e">
        <f t="shared" si="26"/>
        <v>#DIV/0!</v>
      </c>
      <c r="BE65" s="69">
        <f t="shared" si="24"/>
        <v>7.9736315985930561E-2</v>
      </c>
      <c r="BF65" s="70">
        <f t="array" ref="BF65">AVERAGE(AN65:AN70/AM65:AM70) - AVERAGE(Q65:Q70/P65:P70)</f>
        <v>7.2541090639560879E-2</v>
      </c>
      <c r="BH65" s="224">
        <f>IF( OR(ISBLANK($Q65:$Q70),ISBLANK($AN65:$AN70), ISBLANK($T65:$T70),ISBLANK($AQ65:$AQ70)), "·", bdRateHermite( $Q65:$Q70,$T65:$T70, $AN65:$AN70,$AQ65:$AQ70))</f>
        <v>0</v>
      </c>
      <c r="BI65" s="225">
        <f>IF(OR(ISBLANK(Q65:Q70),ISBLANK(AN65:AN70),ISBLANK(U65:U70),ISBLANK(AR65:AR70)),"·",bdRateHermite(Q65:Q70,U65:U70,AN65:AN70,AR65:AR70))</f>
        <v>0</v>
      </c>
      <c r="BJ65" s="225">
        <f>IF(OR(ISBLANK($R65:$R70),ISBLANK($AO65:$AO70),ISBLANK(V65:V70),ISBLANK(AS65:AS70)),"·",bdRateHermite($R65:$R70,V65:V70,$AO65:$AO70,AS65:AS70))</f>
        <v>-0.27674187171731013</v>
      </c>
      <c r="BK65" s="225">
        <f>IF(OR(ISBLANK($R65:$R70),ISBLANK($AO65:$AO70),ISBLANK(W65:W70),ISBLANK(AT65:AT70)),"·",bdRateHermite($R65:$R70,W65:W70,$AO65:$AO70,AT65:AT70))</f>
        <v>-0.61258706348271685</v>
      </c>
      <c r="BL65" s="225">
        <f>IF(OR(ISBLANK($R65:$R70),ISBLANK($AO65:$AO70),ISBLANK(X65:X70),ISBLANK(AU65:AU70)),"·",bdRateHermite($R65:$R70,X65:X70,$AO65:$AO70,AU65:AU70))</f>
        <v>-0.63317717227557568</v>
      </c>
      <c r="BM65" s="92"/>
      <c r="BO65" s="224">
        <f>IF( OR(ISBLANK($P65:$P70),ISBLANK($AM65:$AM70), ISBLANK($T65:$T70),ISBLANK($AQ65:$AQ70)), "·", bdRateHermite($P65:$P70,$T65:$T70, $AM65:$AM70,$AQ65:$AQ70))</f>
        <v>-0.21996159597600073</v>
      </c>
      <c r="BP65" s="84">
        <f>IF( OR(ISBLANK($P65:$P70),ISBLANK($AM65:$AM70), ISBLANK(U65:U70),ISBLANK(AR65:AR70)), "·", bdRateHermite( $P65:$P70,U65:U70, $AM65:$AM70,AR65:AR70))</f>
        <v>-0.23172061453475279</v>
      </c>
      <c r="BQ65" s="84">
        <f>IF( OR(ISBLANK($P65:$P70),ISBLANK($AM65:$AM70), ISBLANK(V65:V70),ISBLANK(AS65:AS70)), "·", bdRateHermite( $P65:$P70,V65:V70, $AM65:$AM70,AS65:AS70))</f>
        <v>-0.17788716866826426</v>
      </c>
      <c r="BR65" s="84">
        <f>IF( OR(ISBLANK($P65:$P70),ISBLANK($AM65:$AM70), ISBLANK(W65:W70),ISBLANK(AT65:AT70)), "·", bdRateHermite( $P65:$P70,W65:W70, $AM65:$AM70,AT65:AT70))</f>
        <v>-0.51414618384043886</v>
      </c>
      <c r="BS65" s="84">
        <f>IF( OR(ISBLANK($P65:$P70),ISBLANK($AM65:$AM70), ISBLANK(X65:X70),ISBLANK(AU65:AU70)), "·", bdRateHermite( $P65:$P70,X65:X70, $AM65:$AM70,AU65:AU70))</f>
        <v>-0.54772278605210811</v>
      </c>
      <c r="BT65" s="90"/>
      <c r="BV65" s="83">
        <f>IF( OR(ISBLANK($Q65:$Q69),ISBLANK($AN65:$AN69), ISBLANK($T65:$T69),ISBLANK($AQ65:$AQ69)), "·", bdRateHermite( $Q66:$Q70,$T66:$T70, $AN66:$AN70,$AQ66:$AQ70))</f>
        <v>0</v>
      </c>
      <c r="BW65" s="84">
        <f>IF(OR(ISBLANK($Q65:$Q70),ISBLANK($AN65:$AN70),ISBLANK(U65:U70),ISBLANK(AR65:AR70)),"·",bdRateHermite($Q66:$Q70,U66:U70,$AN66:$AN70,AR66:AR70))</f>
        <v>0</v>
      </c>
      <c r="BX65" s="225">
        <f>IF(OR(ISBLANK($R65:$R70),ISBLANK($AO65:$AO70),ISBLANK($V65:$V70),ISBLANK($AS65:$AS70)),"·",bdRateHermite($R66:$R70,$V66:$V70,$AO66:$AO70,$AS66:$AS70))</f>
        <v>-0.23481232464618029</v>
      </c>
      <c r="BY65" s="225">
        <f>IF(OR(ISBLANK($R65:$R70),ISBLANK($AO65:$AO70),ISBLANK($W65:$W70),ISBLANK($AT65:$AT70)),"·",bdRateHermite($R66:$R70,$W66:$W70,$AO66:$AO70,$AT66:$AT70))</f>
        <v>-0.47924433169443104</v>
      </c>
      <c r="BZ65" s="225">
        <f>IF(OR(ISBLANK($R65:$R70),ISBLANK($AO65:$AO70),ISBLANK($X65:$X70),ISBLANK($AU65:$AU70)),"·",bdRateHermite($R66:$R70,$X66:$X70,$AO66:$AO70,$AU66:$AU70))</f>
        <v>-0.52358563259693747</v>
      </c>
      <c r="CA65" s="92"/>
      <c r="CC65" s="83">
        <f>IF( OR(ISBLANK($P65:$P70),ISBLANK($AM65:$AM70), ISBLANK($T65:$T70),ISBLANK($AQ65:$AQ70)), "·", bdRateHermite($P66:$P70,$T66:$T70, $AM66:$AM70,$AQ66:$AQ70))</f>
        <v>-0.21682365672811421</v>
      </c>
      <c r="CD65" s="84">
        <f>IF( OR(ISBLANK($P65:$P70),ISBLANK($AM65:$AM70), ISBLANK(U65:U70),ISBLANK(AR65:AR70)), "·", bdRateHermite( $P66:$P70,U66:U70, $AM66:$AM70,AR66:AR70))</f>
        <v>-0.23206026551691816</v>
      </c>
      <c r="CE65" s="84">
        <f>IF( OR(ISBLANK($P65:$P70),ISBLANK($AM65:$AM70), ISBLANK(V65:V70),ISBLANK(AS65:AS70)), "·", bdRateHermite( $P66:$P70,V66:V70, $AM66:$AM70,AS66:AS70))</f>
        <v>-0.16651036087524973</v>
      </c>
      <c r="CF65" s="84">
        <f>IF( OR(ISBLANK($P65:$P70),ISBLANK($AM65:$AM70), ISBLANK(W65:W70),ISBLANK(AT65:AT70)), "·", bdRateHermite( $P66:$P70,W66:W70, $AM66:$AM70,AT66:AT70))</f>
        <v>-0.4058544290254601</v>
      </c>
      <c r="CG65" s="84">
        <f>IF( OR(ISBLANK($P65:$P70),ISBLANK($AM65:$AM70), ISBLANK(X65:X70),ISBLANK(AU65:AU70)), "·", bdRateHermite( $P66:$P70,X66:X70, $AM66:$AM70,AU66:AU70))</f>
        <v>-0.45533563466249705</v>
      </c>
      <c r="CH65" s="92"/>
      <c r="CJ65" s="83">
        <f>IF( OR(ISBLANK($Q65:$Q69),ISBLANK($AN65:$AN69), ISBLANK($T65:$T69),ISBLANK($AQ65:$AQ69)), "·", bdRateHermite( $Q65:$Q69,$T65:$T69, $AN65:$AN69,$AQ65:$AQ69))</f>
        <v>0</v>
      </c>
      <c r="CK65" s="84">
        <f>IF(OR(ISBLANK($Q65:$Q69),ISBLANK($AN65:$AN69),ISBLANK(U65:U69),ISBLANK(AR65:AR69)),"·",bdRateHermite($Q65:$Q69,U65:U69,$AN65:$AN69,AR65:AR69))</f>
        <v>0</v>
      </c>
      <c r="CL65" s="225">
        <f>IF(OR(ISBLANK($R65:$R70),ISBLANK($AO65:$AO70),ISBLANK($V65:$V70),ISBLANK($AS65:$AS70)),"·",bdRateHermite($R65:$R69,$V65:$V69,$AO65:$AO69,$AS65:$AS69))</f>
        <v>-0.32100417298264172</v>
      </c>
      <c r="CM65" s="225">
        <f>IF(OR(ISBLANK($R65:$R70),ISBLANK($AO65:$AO70),ISBLANK($W65:$W70),ISBLANK($AT65:$AT70)),"·",bdRateHermite($R65:$R69,$W65:$W69,$AO65:$AO69,$AT65:$AT69))</f>
        <v>-0.67987182334442897</v>
      </c>
      <c r="CN65" s="225">
        <f>IF(OR(ISBLANK($R65:$R70),ISBLANK($AO65:$AO70),ISBLANK($X65:$X70),ISBLANK($AU65:$AU70)),"·",bdRateHermite($R65:$R69,$X65:$X69,$AO65:$AO69,$AU65:$AU69))</f>
        <v>-0.709681923153201</v>
      </c>
      <c r="CO65" s="92"/>
      <c r="CQ65" s="83">
        <f>IF( OR(ISBLANK($P65:$P69),ISBLANK($AM65:$AM69), ISBLANK($T65:$T69),ISBLANK($AQ65:$AQ69)), "·", bdRateHermite($P65:$P69,$T65:$T69, $AM65:$AM69,$AQ65:$AQ69))</f>
        <v>-0.23096521403783132</v>
      </c>
      <c r="CR65" s="84">
        <f>IF( OR(ISBLANK($P65:$P69),ISBLANK($AM65:$AM69), ISBLANK(U65:U69),ISBLANK(AR65:AR69)), "·", bdRateHermite( $P65:$P69,U65:U69, $AM65:$AM69,AR65:AR69))</f>
        <v>-0.24089872364639398</v>
      </c>
      <c r="CS65" s="84">
        <f>IF( OR(ISBLANK($P65:$P69),ISBLANK($AM65:$AM69), ISBLANK(V65:V69),ISBLANK(AS65:AS69)), "·", bdRateHermite( $P65:$P69,V65:V69, $AM65:$AM69,AS65:AS69))</f>
        <v>-0.20522105662225043</v>
      </c>
      <c r="CT65" s="84">
        <f>IF( OR(ISBLANK($P65:$P69),ISBLANK($AM65:$AM69), ISBLANK(W65:W69),ISBLANK(AT65:AT69)), "·", bdRateHermite( $P65:$P69,W65:W69, $AM65:$AM69,AT65:AT69))</f>
        <v>-0.57943669150927413</v>
      </c>
      <c r="CU65" s="84">
        <f>IF( OR(ISBLANK($P65:$P69),ISBLANK($AM65:$AM69), ISBLANK(X65:X69),ISBLANK(AU65:AU69)), "·", bdRateHermite( $P65:$P69,X65:X69, $AM65:$AM69,AU65:AU69))</f>
        <v>-0.62427425298911254</v>
      </c>
      <c r="CV65" s="92"/>
    </row>
    <row r="66" spans="1:100" s="1" customFormat="1" outlineLevel="1">
      <c r="A66" s="13"/>
      <c r="B66" s="14" t="s">
        <v>1120</v>
      </c>
      <c r="C66" s="15" t="s">
        <v>132</v>
      </c>
      <c r="D66" s="476">
        <v>4649702</v>
      </c>
      <c r="E66" s="15">
        <v>11</v>
      </c>
      <c r="F66" s="15">
        <v>1</v>
      </c>
      <c r="G66" s="16"/>
      <c r="I66" s="30" t="str">
        <f t="shared" si="14"/>
        <v>·</v>
      </c>
      <c r="J66" s="31">
        <f t="shared" si="15"/>
        <v>8.9280560345587734E-2</v>
      </c>
      <c r="K66" s="31">
        <f t="shared" si="16"/>
        <v>3.4042611763076429E-2</v>
      </c>
      <c r="L66" s="31">
        <f t="shared" si="31"/>
        <v>5.5127833998824011E-2</v>
      </c>
      <c r="M66" s="51"/>
      <c r="N66" s="31">
        <f t="shared" si="18"/>
        <v>3.0781231462806975</v>
      </c>
      <c r="O66" s="356">
        <v>134864</v>
      </c>
      <c r="P66" s="357">
        <v>415128</v>
      </c>
      <c r="Q66" s="357">
        <v>158288</v>
      </c>
      <c r="R66" s="208">
        <v>256328</v>
      </c>
      <c r="S66" s="87"/>
      <c r="T66" s="358">
        <v>58.874374000000003</v>
      </c>
      <c r="U66" s="358">
        <v>54.181156000000001</v>
      </c>
      <c r="V66" s="358">
        <v>24.561985</v>
      </c>
      <c r="W66" s="358">
        <v>27.870031000000001</v>
      </c>
      <c r="X66" s="358">
        <v>29.292750999999999</v>
      </c>
      <c r="Y66" s="87"/>
      <c r="Z66" s="359">
        <v>1.526</v>
      </c>
      <c r="AA66" s="359">
        <v>0.104</v>
      </c>
      <c r="AB66" s="32">
        <v>0</v>
      </c>
      <c r="AC66" s="32">
        <v>0</v>
      </c>
      <c r="AD66" s="33"/>
      <c r="AF66" s="30" t="str">
        <f t="shared" si="19"/>
        <v>·</v>
      </c>
      <c r="AG66" s="31">
        <f t="shared" si="20"/>
        <v>6.2467659217730516E-2</v>
      </c>
      <c r="AH66" s="31">
        <f t="shared" si="32"/>
        <v>3.4042611763076429E-2</v>
      </c>
      <c r="AI66" s="31">
        <f t="shared" si="28"/>
        <v>2.8314932870966786E-2</v>
      </c>
      <c r="AJ66" s="51"/>
      <c r="AK66" s="31">
        <f t="shared" si="23"/>
        <v>2.1536955748012812</v>
      </c>
      <c r="AL66" s="356">
        <v>134864</v>
      </c>
      <c r="AM66" s="357">
        <v>290456</v>
      </c>
      <c r="AN66" s="357">
        <v>158288</v>
      </c>
      <c r="AO66" s="208">
        <v>131656</v>
      </c>
      <c r="AP66" s="87"/>
      <c r="AQ66" s="358">
        <v>58.874374000000003</v>
      </c>
      <c r="AR66" s="358">
        <v>54.181156000000001</v>
      </c>
      <c r="AS66" s="358">
        <v>24.590342</v>
      </c>
      <c r="AT66" s="358">
        <v>31.122267000000001</v>
      </c>
      <c r="AU66" s="358">
        <v>32.476875</v>
      </c>
      <c r="AV66" s="87"/>
      <c r="AW66" s="359">
        <v>2.2879999999999998</v>
      </c>
      <c r="AX66" s="359">
        <v>0.216</v>
      </c>
      <c r="AY66" s="32">
        <v>0</v>
      </c>
      <c r="AZ66" s="32">
        <v>0</v>
      </c>
      <c r="BA66" s="33">
        <v>48</v>
      </c>
      <c r="BC66" s="56" t="e">
        <f t="shared" si="27"/>
        <v>#DIV/0!</v>
      </c>
      <c r="BD66" s="57" t="e">
        <f t="shared" si="26"/>
        <v>#DIV/0!</v>
      </c>
      <c r="BE66" s="57">
        <f t="shared" si="24"/>
        <v>0.16366451917464869</v>
      </c>
      <c r="BF66" s="58"/>
      <c r="BH66" s="74"/>
      <c r="BI66" s="75"/>
      <c r="BJ66" s="75"/>
      <c r="BK66" s="75"/>
      <c r="BL66" s="75"/>
      <c r="BM66" s="87"/>
      <c r="BO66" s="74"/>
      <c r="BP66" s="75"/>
      <c r="BQ66" s="75"/>
      <c r="BR66" s="75"/>
      <c r="BS66" s="75"/>
      <c r="BT66" s="87"/>
      <c r="BV66" s="74"/>
      <c r="BW66" s="75"/>
      <c r="BX66" s="75"/>
      <c r="BY66" s="75"/>
      <c r="BZ66" s="75"/>
      <c r="CA66" s="87"/>
      <c r="CC66" s="74"/>
      <c r="CD66" s="75"/>
      <c r="CE66" s="75"/>
      <c r="CF66" s="75"/>
      <c r="CG66" s="75"/>
      <c r="CH66" s="87"/>
      <c r="CJ66" s="74"/>
      <c r="CK66" s="75"/>
      <c r="CL66" s="75"/>
      <c r="CM66" s="75"/>
      <c r="CN66" s="75"/>
      <c r="CO66" s="87"/>
      <c r="CQ66" s="74"/>
      <c r="CR66" s="75"/>
      <c r="CS66" s="75"/>
      <c r="CT66" s="75"/>
      <c r="CU66" s="75"/>
      <c r="CV66" s="87"/>
    </row>
    <row r="67" spans="1:100" s="1" customFormat="1" outlineLevel="1">
      <c r="A67" s="13"/>
      <c r="B67" s="14" t="s">
        <v>1120</v>
      </c>
      <c r="C67" s="15" t="s">
        <v>133</v>
      </c>
      <c r="D67" s="476">
        <v>4649702</v>
      </c>
      <c r="E67" s="15">
        <v>11</v>
      </c>
      <c r="F67" s="15">
        <v>1</v>
      </c>
      <c r="G67" s="16"/>
      <c r="I67" s="30" t="str">
        <f t="shared" si="14"/>
        <v>·</v>
      </c>
      <c r="J67" s="31">
        <f t="shared" si="15"/>
        <v>0.48594253997352949</v>
      </c>
      <c r="K67" s="31">
        <f t="shared" si="16"/>
        <v>0.13003844117321928</v>
      </c>
      <c r="L67" s="31">
        <f t="shared" si="31"/>
        <v>0.35579226367625277</v>
      </c>
      <c r="M67" s="51"/>
      <c r="N67" s="31">
        <f t="shared" si="18"/>
        <v>4.2206282315669927</v>
      </c>
      <c r="O67" s="356">
        <v>535344</v>
      </c>
      <c r="P67" s="357">
        <v>2259488</v>
      </c>
      <c r="Q67" s="357">
        <v>604640</v>
      </c>
      <c r="R67" s="208">
        <v>1654328</v>
      </c>
      <c r="S67" s="87"/>
      <c r="T67" s="358">
        <v>64.457237000000006</v>
      </c>
      <c r="U67" s="358">
        <v>60.201756000000003</v>
      </c>
      <c r="V67" s="358">
        <v>27.164027999999998</v>
      </c>
      <c r="W67" s="358">
        <v>33.779308</v>
      </c>
      <c r="X67" s="358">
        <v>34.400505000000003</v>
      </c>
      <c r="Y67" s="87"/>
      <c r="Z67" s="359">
        <v>2.5640000000000001</v>
      </c>
      <c r="AA67" s="359">
        <v>0.40799999999999997</v>
      </c>
      <c r="AB67" s="32">
        <v>0</v>
      </c>
      <c r="AC67" s="32">
        <v>0</v>
      </c>
      <c r="AD67" s="33"/>
      <c r="AF67" s="30" t="str">
        <f t="shared" si="19"/>
        <v>·</v>
      </c>
      <c r="AG67" s="31">
        <f t="shared" si="20"/>
        <v>0.33886214643433066</v>
      </c>
      <c r="AH67" s="31">
        <f t="shared" si="32"/>
        <v>0.13003844117321928</v>
      </c>
      <c r="AI67" s="31">
        <f t="shared" si="28"/>
        <v>0.20871187013705395</v>
      </c>
      <c r="AJ67" s="51"/>
      <c r="AK67" s="31">
        <f t="shared" si="23"/>
        <v>2.9431692519202608</v>
      </c>
      <c r="AL67" s="356">
        <v>535344</v>
      </c>
      <c r="AM67" s="357">
        <v>1575608</v>
      </c>
      <c r="AN67" s="357">
        <v>604640</v>
      </c>
      <c r="AO67" s="208">
        <v>970448</v>
      </c>
      <c r="AP67" s="87"/>
      <c r="AQ67" s="358">
        <v>64.457237000000006</v>
      </c>
      <c r="AR67" s="358">
        <v>60.201756000000003</v>
      </c>
      <c r="AS67" s="358">
        <v>27.164767999999999</v>
      </c>
      <c r="AT67" s="358">
        <v>35.634788999999998</v>
      </c>
      <c r="AU67" s="358">
        <v>36.755375000000001</v>
      </c>
      <c r="AV67" s="87"/>
      <c r="AW67" s="359">
        <v>3.8029999999999999</v>
      </c>
      <c r="AX67" s="359">
        <v>0.86199999999999999</v>
      </c>
      <c r="AY67" s="32">
        <v>0</v>
      </c>
      <c r="AZ67" s="32">
        <v>0</v>
      </c>
      <c r="BA67" s="33">
        <v>12</v>
      </c>
      <c r="BC67" s="56" t="e">
        <f t="shared" si="27"/>
        <v>#DIV/0!</v>
      </c>
      <c r="BD67" s="57" t="e">
        <f t="shared" si="26"/>
        <v>#DIV/0!</v>
      </c>
      <c r="BE67" s="57">
        <f t="shared" si="24"/>
        <v>0.11614982537550411</v>
      </c>
      <c r="BF67" s="58"/>
      <c r="BH67" s="74"/>
      <c r="BI67" s="75"/>
      <c r="BJ67" s="75"/>
      <c r="BK67" s="75"/>
      <c r="BL67" s="75"/>
      <c r="BM67" s="87"/>
      <c r="BO67" s="74"/>
      <c r="BP67" s="75"/>
      <c r="BQ67" s="75"/>
      <c r="BR67" s="75"/>
      <c r="BS67" s="75"/>
      <c r="BT67" s="87"/>
      <c r="BV67" s="74"/>
      <c r="BW67" s="75"/>
      <c r="BX67" s="75"/>
      <c r="BY67" s="75"/>
      <c r="BZ67" s="75"/>
      <c r="CA67" s="87"/>
      <c r="CC67" s="74"/>
      <c r="CD67" s="75"/>
      <c r="CE67" s="75"/>
      <c r="CF67" s="75"/>
      <c r="CG67" s="75"/>
      <c r="CH67" s="87"/>
      <c r="CJ67" s="74"/>
      <c r="CK67" s="75"/>
      <c r="CL67" s="75"/>
      <c r="CM67" s="75"/>
      <c r="CN67" s="75"/>
      <c r="CO67" s="87"/>
      <c r="CQ67" s="74"/>
      <c r="CR67" s="75"/>
      <c r="CS67" s="75"/>
      <c r="CT67" s="75"/>
      <c r="CU67" s="75"/>
      <c r="CV67" s="87"/>
    </row>
    <row r="68" spans="1:100" s="1" customFormat="1" outlineLevel="1">
      <c r="A68" s="13"/>
      <c r="B68" s="14" t="s">
        <v>1120</v>
      </c>
      <c r="C68" s="15" t="s">
        <v>134</v>
      </c>
      <c r="D68" s="476">
        <v>4649702</v>
      </c>
      <c r="E68" s="15">
        <v>11</v>
      </c>
      <c r="F68" s="15">
        <v>1</v>
      </c>
      <c r="G68" s="16"/>
      <c r="I68" s="30" t="str">
        <f t="shared" si="14"/>
        <v>·</v>
      </c>
      <c r="J68" s="31">
        <f t="shared" si="15"/>
        <v>2.6305840675380918</v>
      </c>
      <c r="K68" s="31">
        <f t="shared" si="16"/>
        <v>0.55710064860070607</v>
      </c>
      <c r="L68" s="31">
        <f t="shared" si="31"/>
        <v>2.0733681427325878</v>
      </c>
      <c r="M68" s="51"/>
      <c r="N68" s="31">
        <f t="shared" si="18"/>
        <v>6.0717775815312489</v>
      </c>
      <c r="O68" s="356">
        <v>2014473</v>
      </c>
      <c r="P68" s="357">
        <v>12231432</v>
      </c>
      <c r="Q68" s="357">
        <v>2590352</v>
      </c>
      <c r="R68" s="208">
        <v>9640544</v>
      </c>
      <c r="S68" s="87"/>
      <c r="T68" s="358">
        <v>69.191811000000001</v>
      </c>
      <c r="U68" s="358">
        <v>66.222358999999997</v>
      </c>
      <c r="V68" s="358">
        <v>29.090537999999999</v>
      </c>
      <c r="W68" s="358">
        <v>38.907654000000001</v>
      </c>
      <c r="X68" s="358">
        <v>39.617415999999999</v>
      </c>
      <c r="Y68" s="87"/>
      <c r="Z68" s="359">
        <v>5.5469999999999997</v>
      </c>
      <c r="AA68" s="359">
        <v>1.6879999999999999</v>
      </c>
      <c r="AB68" s="32">
        <v>0</v>
      </c>
      <c r="AC68" s="32">
        <v>0</v>
      </c>
      <c r="AD68" s="33"/>
      <c r="AF68" s="30" t="str">
        <f t="shared" si="19"/>
        <v>·</v>
      </c>
      <c r="AG68" s="31">
        <f t="shared" si="20"/>
        <v>2.203088283937336</v>
      </c>
      <c r="AH68" s="31">
        <f t="shared" si="32"/>
        <v>0.55710064860070607</v>
      </c>
      <c r="AI68" s="31">
        <f t="shared" si="28"/>
        <v>1.6458723591318325</v>
      </c>
      <c r="AJ68" s="51"/>
      <c r="AK68" s="31">
        <f t="shared" si="23"/>
        <v>5.0850540066806555</v>
      </c>
      <c r="AL68" s="356">
        <v>2014473</v>
      </c>
      <c r="AM68" s="357">
        <v>10243704</v>
      </c>
      <c r="AN68" s="357">
        <v>2590352</v>
      </c>
      <c r="AO68" s="208">
        <v>7652816</v>
      </c>
      <c r="AP68" s="87"/>
      <c r="AQ68" s="358">
        <v>69.191811000000001</v>
      </c>
      <c r="AR68" s="358">
        <v>66.222358999999997</v>
      </c>
      <c r="AS68" s="358">
        <v>29.083781999999999</v>
      </c>
      <c r="AT68" s="358">
        <v>39.094082</v>
      </c>
      <c r="AU68" s="358">
        <v>40.184738000000003</v>
      </c>
      <c r="AV68" s="87"/>
      <c r="AW68" s="359">
        <v>8.4629999999999992</v>
      </c>
      <c r="AX68" s="359">
        <v>3.53</v>
      </c>
      <c r="AY68" s="32">
        <v>0</v>
      </c>
      <c r="AZ68" s="32">
        <v>0</v>
      </c>
      <c r="BA68" s="33">
        <v>3</v>
      </c>
      <c r="BC68" s="56" t="e">
        <f t="shared" si="27"/>
        <v>#DIV/0!</v>
      </c>
      <c r="BD68" s="57" t="e">
        <f t="shared" si="26"/>
        <v>#DIV/0!</v>
      </c>
      <c r="BE68" s="57">
        <f t="shared" si="24"/>
        <v>4.1094283564881845E-2</v>
      </c>
      <c r="BF68" s="58"/>
      <c r="BH68" s="74"/>
      <c r="BI68" s="75"/>
      <c r="BJ68" s="75"/>
      <c r="BK68" s="75"/>
      <c r="BL68" s="75"/>
      <c r="BM68" s="87"/>
      <c r="BO68" s="74"/>
      <c r="BP68" s="75"/>
      <c r="BQ68" s="75"/>
      <c r="BR68" s="75"/>
      <c r="BS68" s="75"/>
      <c r="BT68" s="87"/>
      <c r="BV68" s="74"/>
      <c r="BW68" s="75"/>
      <c r="BX68" s="75"/>
      <c r="BY68" s="75"/>
      <c r="BZ68" s="75"/>
      <c r="CA68" s="87"/>
      <c r="CC68" s="74"/>
      <c r="CD68" s="75"/>
      <c r="CE68" s="75"/>
      <c r="CF68" s="75"/>
      <c r="CG68" s="75"/>
      <c r="CH68" s="87"/>
      <c r="CJ68" s="74"/>
      <c r="CK68" s="75"/>
      <c r="CL68" s="75"/>
      <c r="CM68" s="75"/>
      <c r="CN68" s="75"/>
      <c r="CO68" s="87"/>
      <c r="CQ68" s="74"/>
      <c r="CR68" s="75"/>
      <c r="CS68" s="75"/>
      <c r="CT68" s="75"/>
      <c r="CU68" s="75"/>
      <c r="CV68" s="87"/>
    </row>
    <row r="69" spans="1:100" s="1" customFormat="1" outlineLevel="1">
      <c r="A69" s="13"/>
      <c r="B69" s="14" t="s">
        <v>1120</v>
      </c>
      <c r="C69" s="15" t="s">
        <v>135</v>
      </c>
      <c r="D69" s="476">
        <v>4649702</v>
      </c>
      <c r="E69" s="15">
        <v>11</v>
      </c>
      <c r="F69" s="15">
        <v>1</v>
      </c>
      <c r="G69" s="16"/>
      <c r="I69" s="30" t="str">
        <f t="shared" si="14"/>
        <v>·</v>
      </c>
      <c r="J69" s="31">
        <f t="shared" si="15"/>
        <v>7.062635842038909</v>
      </c>
      <c r="K69" s="31">
        <f t="shared" si="16"/>
        <v>1.6996960235301102</v>
      </c>
      <c r="L69" s="31">
        <f t="shared" si="31"/>
        <v>5.3628228217636309</v>
      </c>
      <c r="M69" s="51"/>
      <c r="N69" s="31">
        <f t="shared" si="18"/>
        <v>9.5981369079230223</v>
      </c>
      <c r="O69" s="356">
        <v>3421409</v>
      </c>
      <c r="P69" s="357">
        <v>32839152</v>
      </c>
      <c r="Q69" s="357">
        <v>7903080</v>
      </c>
      <c r="R69" s="208">
        <v>24935528</v>
      </c>
      <c r="S69" s="87"/>
      <c r="T69" s="358">
        <v>74.014458000000005</v>
      </c>
      <c r="U69" s="358">
        <v>69.749465999999998</v>
      </c>
      <c r="V69" s="358">
        <v>33.766899000000002</v>
      </c>
      <c r="W69" s="358">
        <v>42.786484000000002</v>
      </c>
      <c r="X69" s="358">
        <v>43.684238000000001</v>
      </c>
      <c r="Y69" s="87"/>
      <c r="Z69" s="359">
        <v>8.3719999999999999</v>
      </c>
      <c r="AA69" s="359">
        <v>3.3620000000000001</v>
      </c>
      <c r="AB69" s="32">
        <v>0</v>
      </c>
      <c r="AC69" s="32">
        <v>0</v>
      </c>
      <c r="AD69" s="33"/>
      <c r="AF69" s="30" t="str">
        <f t="shared" si="19"/>
        <v>·</v>
      </c>
      <c r="AG69" s="31">
        <f t="shared" si="20"/>
        <v>6.4931989189844854</v>
      </c>
      <c r="AH69" s="31">
        <f t="shared" si="32"/>
        <v>1.6996960235301102</v>
      </c>
      <c r="AI69" s="31">
        <f t="shared" si="28"/>
        <v>4.7933858987092073</v>
      </c>
      <c r="AJ69" s="51"/>
      <c r="AK69" s="31">
        <f t="shared" si="23"/>
        <v>8.8242709363306169</v>
      </c>
      <c r="AL69" s="356">
        <v>3421409</v>
      </c>
      <c r="AM69" s="357">
        <v>30191440</v>
      </c>
      <c r="AN69" s="357">
        <v>7903080</v>
      </c>
      <c r="AO69" s="208">
        <v>22287816</v>
      </c>
      <c r="AP69" s="87"/>
      <c r="AQ69" s="358">
        <v>74.014458000000005</v>
      </c>
      <c r="AR69" s="358">
        <v>69.749465999999998</v>
      </c>
      <c r="AS69" s="358">
        <v>33.768017</v>
      </c>
      <c r="AT69" s="358">
        <v>42.887664999999998</v>
      </c>
      <c r="AU69" s="358">
        <v>43.808151000000002</v>
      </c>
      <c r="AV69" s="87"/>
      <c r="AW69" s="359">
        <v>13.605</v>
      </c>
      <c r="AX69" s="359">
        <v>6.8179999999999996</v>
      </c>
      <c r="AY69" s="32">
        <v>0</v>
      </c>
      <c r="AZ69" s="32">
        <v>0</v>
      </c>
      <c r="BA69" s="33">
        <v>1.331712</v>
      </c>
      <c r="BC69" s="56" t="e">
        <f t="shared" si="27"/>
        <v>#DIV/0!</v>
      </c>
      <c r="BD69" s="57" t="e">
        <f t="shared" si="26"/>
        <v>#DIV/0!</v>
      </c>
      <c r="BE69" s="57">
        <f t="shared" si="24"/>
        <v>2.1105291776759266E-2</v>
      </c>
      <c r="BF69" s="58"/>
      <c r="BH69" s="74"/>
      <c r="BI69" s="75"/>
      <c r="BJ69" s="75"/>
      <c r="BK69" s="75"/>
      <c r="BL69" s="75"/>
      <c r="BM69" s="87"/>
      <c r="BO69" s="74"/>
      <c r="BP69" s="75"/>
      <c r="BQ69" s="75"/>
      <c r="BR69" s="75"/>
      <c r="BS69" s="75"/>
      <c r="BT69" s="87"/>
      <c r="BV69" s="74"/>
      <c r="BW69" s="75"/>
      <c r="BX69" s="75"/>
      <c r="BY69" s="75"/>
      <c r="BZ69" s="75"/>
      <c r="CA69" s="87"/>
      <c r="CC69" s="74"/>
      <c r="CD69" s="75"/>
      <c r="CE69" s="75"/>
      <c r="CF69" s="75"/>
      <c r="CG69" s="75"/>
      <c r="CH69" s="87"/>
      <c r="CJ69" s="74"/>
      <c r="CK69" s="75"/>
      <c r="CL69" s="75"/>
      <c r="CM69" s="75"/>
      <c r="CN69" s="75"/>
      <c r="CO69" s="87"/>
      <c r="CQ69" s="74"/>
      <c r="CR69" s="75"/>
      <c r="CS69" s="75"/>
      <c r="CT69" s="75"/>
      <c r="CU69" s="75"/>
      <c r="CV69" s="87"/>
    </row>
    <row r="70" spans="1:100" s="1" customFormat="1" ht="14.25" outlineLevel="1" thickBot="1">
      <c r="A70" s="13"/>
      <c r="B70" s="18" t="s">
        <v>1120</v>
      </c>
      <c r="C70" s="19" t="s">
        <v>136</v>
      </c>
      <c r="D70" s="477">
        <v>4649702</v>
      </c>
      <c r="E70" s="19">
        <v>11</v>
      </c>
      <c r="F70" s="19">
        <v>1</v>
      </c>
      <c r="G70" s="20"/>
      <c r="I70" s="34" t="str">
        <f t="shared" si="14"/>
        <v>·</v>
      </c>
      <c r="J70" s="35">
        <f t="shared" si="15"/>
        <v>11.384380332330975</v>
      </c>
      <c r="K70" s="35">
        <f t="shared" si="16"/>
        <v>2.3633342523886478</v>
      </c>
      <c r="L70" s="35">
        <f t="shared" si="31"/>
        <v>9.0209308037375298</v>
      </c>
      <c r="M70" s="52"/>
      <c r="N70" s="35">
        <f t="shared" si="18"/>
        <v>12.97891899340388</v>
      </c>
      <c r="O70" s="360">
        <v>4078458</v>
      </c>
      <c r="P70" s="361">
        <v>52933976</v>
      </c>
      <c r="Q70" s="361">
        <v>10988800</v>
      </c>
      <c r="R70" s="209">
        <v>41944640</v>
      </c>
      <c r="S70" s="88"/>
      <c r="T70" s="362">
        <v>75.786011000000002</v>
      </c>
      <c r="U70" s="362">
        <v>71.089554000000007</v>
      </c>
      <c r="V70" s="362">
        <v>37.294646999999998</v>
      </c>
      <c r="W70" s="362">
        <v>46.758960999999999</v>
      </c>
      <c r="X70" s="362">
        <v>47.684029000000002</v>
      </c>
      <c r="Y70" s="88"/>
      <c r="Z70" s="363">
        <v>9.9320000000000004</v>
      </c>
      <c r="AA70" s="363">
        <v>4.4989999999999997</v>
      </c>
      <c r="AB70" s="36">
        <v>0</v>
      </c>
      <c r="AC70" s="36">
        <v>0</v>
      </c>
      <c r="AD70" s="37"/>
      <c r="AF70" s="34" t="str">
        <f t="shared" si="19"/>
        <v>·</v>
      </c>
      <c r="AG70" s="35">
        <f t="shared" si="20"/>
        <v>10.689429989276732</v>
      </c>
      <c r="AH70" s="35">
        <f t="shared" si="32"/>
        <v>2.3633342523886478</v>
      </c>
      <c r="AI70" s="35">
        <f t="shared" si="28"/>
        <v>8.3259804606832866</v>
      </c>
      <c r="AJ70" s="52"/>
      <c r="AK70" s="35">
        <f t="shared" si="23"/>
        <v>12.186631319974364</v>
      </c>
      <c r="AL70" s="360">
        <v>4078458</v>
      </c>
      <c r="AM70" s="361">
        <v>49702664</v>
      </c>
      <c r="AN70" s="361">
        <v>10988800</v>
      </c>
      <c r="AO70" s="209">
        <v>38713328</v>
      </c>
      <c r="AP70" s="88"/>
      <c r="AQ70" s="362">
        <v>75.786011000000002</v>
      </c>
      <c r="AR70" s="362">
        <v>71.089554000000007</v>
      </c>
      <c r="AS70" s="362">
        <v>37.295470999999999</v>
      </c>
      <c r="AT70" s="362">
        <v>46.772339000000002</v>
      </c>
      <c r="AU70" s="362">
        <v>47.682053000000003</v>
      </c>
      <c r="AV70" s="88"/>
      <c r="AW70" s="363">
        <v>16.3</v>
      </c>
      <c r="AX70" s="363">
        <v>8.9320000000000004</v>
      </c>
      <c r="AY70" s="36">
        <v>0</v>
      </c>
      <c r="AZ70" s="36">
        <v>0</v>
      </c>
      <c r="BA70" s="37">
        <v>0.97814199999999996</v>
      </c>
      <c r="BC70" s="59" t="e">
        <f t="shared" si="27"/>
        <v>#DIV/0!</v>
      </c>
      <c r="BD70" s="60" t="e">
        <f t="shared" si="26"/>
        <v>#DIV/0!</v>
      </c>
      <c r="BE70" s="60">
        <f t="shared" si="24"/>
        <v>1.3496307959640741E-2</v>
      </c>
      <c r="BF70" s="61"/>
      <c r="BH70" s="80"/>
      <c r="BI70" s="81"/>
      <c r="BJ70" s="81"/>
      <c r="BK70" s="81"/>
      <c r="BL70" s="81"/>
      <c r="BM70" s="88"/>
      <c r="BO70" s="77"/>
      <c r="BP70" s="78"/>
      <c r="BQ70" s="78"/>
      <c r="BR70" s="78"/>
      <c r="BS70" s="78"/>
      <c r="BT70" s="88"/>
      <c r="BV70" s="77"/>
      <c r="BW70" s="78"/>
      <c r="BX70" s="78"/>
      <c r="BY70" s="78"/>
      <c r="BZ70" s="78"/>
      <c r="CA70" s="88"/>
      <c r="CC70" s="77"/>
      <c r="CD70" s="78"/>
      <c r="CE70" s="78"/>
      <c r="CF70" s="78"/>
      <c r="CG70" s="78"/>
      <c r="CH70" s="88"/>
      <c r="CJ70" s="77"/>
      <c r="CK70" s="78"/>
      <c r="CL70" s="78"/>
      <c r="CM70" s="78"/>
      <c r="CN70" s="78"/>
      <c r="CO70" s="88"/>
      <c r="CQ70" s="77"/>
      <c r="CR70" s="78"/>
      <c r="CS70" s="78"/>
      <c r="CT70" s="78"/>
      <c r="CU70" s="78"/>
      <c r="CV70" s="88"/>
    </row>
    <row r="71" spans="1:100" s="1" customFormat="1">
      <c r="A71" s="13"/>
      <c r="B71" s="27" t="s">
        <v>1121</v>
      </c>
      <c r="C71" s="25" t="s">
        <v>131</v>
      </c>
      <c r="D71" s="475">
        <v>2096385</v>
      </c>
      <c r="E71" s="28">
        <v>15</v>
      </c>
      <c r="F71" s="28">
        <v>1</v>
      </c>
      <c r="G71" s="29"/>
      <c r="I71" s="42" t="str">
        <f t="shared" si="14"/>
        <v>·</v>
      </c>
      <c r="J71" s="43">
        <f t="shared" si="15"/>
        <v>6.6934270184150334E-3</v>
      </c>
      <c r="K71" s="43">
        <f t="shared" si="16"/>
        <v>3.7931963832979151E-3</v>
      </c>
      <c r="L71" s="43">
        <f t="shared" si="31"/>
        <v>2.5720466421959706E-3</v>
      </c>
      <c r="M71" s="55"/>
      <c r="N71" s="43">
        <f t="shared" si="18"/>
        <v>2.4892673407841048</v>
      </c>
      <c r="O71" s="352">
        <v>5637</v>
      </c>
      <c r="P71" s="353">
        <v>14032</v>
      </c>
      <c r="Q71" s="353">
        <v>7952</v>
      </c>
      <c r="R71" s="207">
        <v>5392</v>
      </c>
      <c r="S71" s="90"/>
      <c r="T71" s="354">
        <v>46.894753000000001</v>
      </c>
      <c r="U71" s="354">
        <v>42.177886999999998</v>
      </c>
      <c r="V71" s="354">
        <v>20.381610999999999</v>
      </c>
      <c r="W71" s="354">
        <v>27.114298000000002</v>
      </c>
      <c r="X71" s="354">
        <v>28.429283000000002</v>
      </c>
      <c r="Y71" s="90"/>
      <c r="Z71" s="355">
        <v>0.66</v>
      </c>
      <c r="AA71" s="355">
        <v>1.6E-2</v>
      </c>
      <c r="AB71" s="44">
        <v>0</v>
      </c>
      <c r="AC71" s="44">
        <v>0</v>
      </c>
      <c r="AD71" s="45"/>
      <c r="AF71" s="42" t="str">
        <f t="shared" si="19"/>
        <v>·</v>
      </c>
      <c r="AG71" s="43">
        <f t="shared" si="20"/>
        <v>6.2660246090293532E-3</v>
      </c>
      <c r="AH71" s="43">
        <f t="shared" si="32"/>
        <v>3.7931963832979151E-3</v>
      </c>
      <c r="AI71" s="43">
        <f t="shared" si="28"/>
        <v>2.1446442328102899E-3</v>
      </c>
      <c r="AJ71" s="55"/>
      <c r="AK71" s="43">
        <f t="shared" si="23"/>
        <v>2.33031754479333</v>
      </c>
      <c r="AL71" s="352">
        <v>5637</v>
      </c>
      <c r="AM71" s="353">
        <v>13136</v>
      </c>
      <c r="AN71" s="353">
        <v>7952</v>
      </c>
      <c r="AO71" s="207">
        <v>4496</v>
      </c>
      <c r="AP71" s="90"/>
      <c r="AQ71" s="354">
        <v>46.894753000000001</v>
      </c>
      <c r="AR71" s="354">
        <v>42.177886999999998</v>
      </c>
      <c r="AS71" s="354">
        <v>20.652350999999999</v>
      </c>
      <c r="AT71" s="354">
        <v>27.458454</v>
      </c>
      <c r="AU71" s="354">
        <v>26.667898000000001</v>
      </c>
      <c r="AV71" s="90"/>
      <c r="AW71" s="355">
        <v>0.871</v>
      </c>
      <c r="AX71" s="355">
        <v>8.9999999999999993E-3</v>
      </c>
      <c r="AY71" s="44">
        <v>0</v>
      </c>
      <c r="AZ71" s="44">
        <v>0</v>
      </c>
      <c r="BA71" s="45">
        <v>195077</v>
      </c>
      <c r="BC71" s="65" t="e">
        <f t="shared" si="27"/>
        <v>#DIV/0!</v>
      </c>
      <c r="BD71" s="66" t="e">
        <f t="shared" si="26"/>
        <v>#DIV/0!</v>
      </c>
      <c r="BE71" s="66">
        <f t="shared" si="24"/>
        <v>3.8654642876487566E-2</v>
      </c>
      <c r="BF71" s="67">
        <f t="array" ref="BF71">AVERAGE(AN71:AN76/AM71:AM76) - AVERAGE(Q71:Q76/P71:P76)</f>
        <v>0.10719408712088929</v>
      </c>
      <c r="BH71" s="224">
        <f>IF( OR(ISBLANK($Q71:$Q76),ISBLANK($AN71:$AN76), ISBLANK($T71:$T76),ISBLANK($AQ71:$AQ76)), "·", bdRateHermite( $Q71:$Q76,$T71:$T76, $AN71:$AN76,$AQ71:$AQ76))</f>
        <v>0</v>
      </c>
      <c r="BI71" s="225">
        <f>IF(OR(ISBLANK(Q71:Q76),ISBLANK(AN71:AN76),ISBLANK(U71:U76),ISBLANK(AR71:AR76)),"·",bdRateHermite(Q71:Q76,U71:U76,AN71:AN76,AR71:AR76))</f>
        <v>0</v>
      </c>
      <c r="BJ71" s="225">
        <f>IF(OR(ISBLANK($R71:$R76),ISBLANK($AO71:$AO76),ISBLANK(V71:V76),ISBLANK(AS71:AS76)),"·",bdRateHermite($R71:$R76,V71:V76,$AO71:$AO76,AS71:AS76))</f>
        <v>-0.46845866061540697</v>
      </c>
      <c r="BK71" s="225">
        <f>IF(OR(ISBLANK($R71:$R76),ISBLANK($AO71:$AO76),ISBLANK(W71:W76),ISBLANK(AT71:AT76)),"·",bdRateHermite($R71:$R76,W71:W76,$AO71:$AO76,AT71:AT76))</f>
        <v>-0.79502868520136838</v>
      </c>
      <c r="BL71" s="225">
        <f>IF(OR(ISBLANK($R71:$R76),ISBLANK($AO71:$AO76),ISBLANK(X71:X76),ISBLANK(AU71:AU76)),"·",bdRateHermite($R71:$R76,X71:X76,$AO71:$AO76,AU71:AU76))</f>
        <v>-0.78987804634473524</v>
      </c>
      <c r="BM71" s="92"/>
      <c r="BO71" s="83">
        <f>IF( OR(ISBLANK($P71:$P76),ISBLANK($AM71:$AM76), ISBLANK($T71:$T76),ISBLANK($AQ71:$AQ76)), "·", bdRateHermite($P71:$P76,$T71:$T76, $AM71:$AM76,$AQ71:$AQ76))</f>
        <v>-0.21471404373591474</v>
      </c>
      <c r="BP71" s="84">
        <f>IF( OR(ISBLANK($P71:$P76),ISBLANK($AM71:$AM76), ISBLANK(U71:U76),ISBLANK(AR71:AR76)), "·", bdRateHermite( $P71:$P76,U71:U76, $AM71:$AM76,AR71:AR76))</f>
        <v>-0.21385833077734551</v>
      </c>
      <c r="BQ71" s="84">
        <f>IF( OR(ISBLANK($P71:$P76),ISBLANK($AM71:$AM76), ISBLANK(V71:V76),ISBLANK(AS71:AS76)), "·", bdRateHermite( $P71:$P76,V71:V76, $AM71:$AM76,AS71:AS76))</f>
        <v>-0.26059177218475627</v>
      </c>
      <c r="BR71" s="84">
        <f>IF( OR(ISBLANK($P71:$P76),ISBLANK($AM71:$AM76), ISBLANK(W71:W76),ISBLANK(AT71:AT76)), "·", bdRateHermite( $P71:$P76,W71:W76, $AM71:$AM76,AT71:AT76))</f>
        <v>-0.73687109938930206</v>
      </c>
      <c r="BS71" s="84">
        <f>IF( OR(ISBLANK($P71:$P76),ISBLANK($AM71:$AM76), ISBLANK(X71:X76),ISBLANK(AU71:AU76)), "·", bdRateHermite( $P71:$P76,X71:X76, $AM71:$AM76,AU71:AU76))</f>
        <v>-0.72818519670677895</v>
      </c>
      <c r="BT71" s="90"/>
      <c r="BV71" s="83">
        <f>IF( OR(ISBLANK($Q71:$Q75),ISBLANK($AN71:$AN75), ISBLANK($T71:$T75),ISBLANK($AQ71:$AQ75)), "·", bdRateHermite( $Q72:$Q76,$T72:$T76, $AN72:$AN76,$AQ72:$AQ76))</f>
        <v>0</v>
      </c>
      <c r="BW71" s="84">
        <f>IF(OR(ISBLANK($Q71:$Q76),ISBLANK($AN71:$AN76),ISBLANK(U71:U76),ISBLANK(AR71:AR76)),"·",bdRateHermite($Q72:$Q76,U72:U76,$AN72:$AN76,AR72:AR76))</f>
        <v>0</v>
      </c>
      <c r="BX71" s="225">
        <f>IF(OR(ISBLANK($R71:$R76),ISBLANK($AO71:$AO76),ISBLANK($V71:$V76),ISBLANK($AS71:$AS76)),"·",bdRateHermite($R72:$R76,$V72:$V76,$AO72:$AO76,$AS72:$AS76))</f>
        <v>-0.4900603961451252</v>
      </c>
      <c r="BY71" s="225">
        <f>IF(OR(ISBLANK($R71:$R76),ISBLANK($AO71:$AO76),ISBLANK($W71:$W76),ISBLANK($AT71:$AT76)),"·",bdRateHermite($R72:$R76,$W72:$W76,$AO72:$AO76,$AT72:$AT76))</f>
        <v>-0.77974434502520784</v>
      </c>
      <c r="BZ71" s="225">
        <f>IF(OR(ISBLANK($R71:$R76),ISBLANK($AO71:$AO76),ISBLANK($X71:$X76),ISBLANK($AU71:$AU76)),"·",bdRateHermite($R72:$R76,$X72:$X76,$AO72:$AO76,$AU72:$AU76))</f>
        <v>-0.80338583950060549</v>
      </c>
      <c r="CA71" s="92"/>
      <c r="CC71" s="83">
        <f>IF( OR(ISBLANK($P71:$P76),ISBLANK($AM71:$AM76), ISBLANK($T71:$T76),ISBLANK($AQ71:$AQ76)), "·", bdRateHermite($P72:$P76,$T72:$T76, $AM72:$AM76,$AQ72:$AQ76))</f>
        <v>-0.22146570579822467</v>
      </c>
      <c r="CD71" s="84">
        <f>IF( OR(ISBLANK($P71:$P76),ISBLANK($AM71:$AM76), ISBLANK(U71:U76),ISBLANK(AR71:AR76)), "·", bdRateHermite( $P72:$P76,U72:U76, $AM72:$AM76,AR72:AR76))</f>
        <v>-0.22052507508693953</v>
      </c>
      <c r="CE71" s="84">
        <f>IF( OR(ISBLANK($P71:$P76),ISBLANK($AM71:$AM76), ISBLANK(V71:V76),ISBLANK(AS71:AS76)), "·", bdRateHermite( $P72:$P76,V72:V76, $AM72:$AM76,AS72:AS76))</f>
        <v>-0.27260832404368673</v>
      </c>
      <c r="CF71" s="84">
        <f>IF( OR(ISBLANK($P71:$P76),ISBLANK($AM71:$AM76), ISBLANK(W71:W76),ISBLANK(AT71:AT76)), "·", bdRateHermite( $P72:$P76,W72:W76, $AM72:$AM76,AT72:AT76))</f>
        <v>-0.71727176292772077</v>
      </c>
      <c r="CG71" s="84">
        <f>IF( OR(ISBLANK($P71:$P76),ISBLANK($AM71:$AM76), ISBLANK(X71:X76),ISBLANK(AU71:AU76)), "·", bdRateHermite( $P72:$P76,X72:X76, $AM72:$AM76,AU72:AU76))</f>
        <v>-0.74294930769113954</v>
      </c>
      <c r="CH71" s="92"/>
      <c r="CJ71" s="83">
        <f>IF( OR(ISBLANK($Q71:$Q75),ISBLANK($AN71:$AN75), ISBLANK($T71:$T75),ISBLANK($AQ71:$AQ75)), "·", bdRateHermite( $Q71:$Q75,$T71:$T75, $AN71:$AN75,$AQ71:$AQ75))</f>
        <v>0</v>
      </c>
      <c r="CK71" s="84">
        <f>IF(OR(ISBLANK($Q71:$Q75),ISBLANK($AN71:$AN75),ISBLANK(U71:U75),ISBLANK(AR71:AR75)),"·",bdRateHermite($Q71:$Q75,U71:U75,$AN71:$AN75,AR71:AR75))</f>
        <v>0</v>
      </c>
      <c r="CL71" s="225">
        <f>IF(OR(ISBLANK($R71:$R76),ISBLANK($AO71:$AO76),ISBLANK($V71:$V76),ISBLANK($AS71:$AS76)),"·",bdRateHermite($R71:$R75,$V71:$V75,$AO71:$AO75,$AS71:$AS75))</f>
        <v>-0.47754775334429578</v>
      </c>
      <c r="CM71" s="225">
        <f>IF(OR(ISBLANK($R71:$R76),ISBLANK($AO71:$AO76),ISBLANK($W71:$W76),ISBLANK($AT71:$AT76)),"·",bdRateHermite($R71:$R75,$W71:$W75,$AO71:$AO75,$AT71:$AT75))</f>
        <v>-0.8166164852817257</v>
      </c>
      <c r="CN71" s="225">
        <f>IF(OR(ISBLANK($R71:$R76),ISBLANK($AO71:$AO76),ISBLANK($X71:$X76),ISBLANK($AU71:$AU76)),"·",bdRateHermite($R71:$R75,$X71:$X75,$AO71:$AO75,$AU71:$AU75))</f>
        <v>-0.80933036228310296</v>
      </c>
      <c r="CO71" s="92"/>
      <c r="CQ71" s="83">
        <f>IF( OR(ISBLANK($P71:$P75),ISBLANK($AM71:$AM75), ISBLANK($T71:$T75),ISBLANK($AQ71:$AQ75)), "·", bdRateHermite($P71:$P75,$T71:$T75, $AM71:$AM75,$AQ71:$AQ75))</f>
        <v>-0.24854311968913578</v>
      </c>
      <c r="CR71" s="84">
        <f>IF( OR(ISBLANK($P71:$P75),ISBLANK($AM71:$AM75), ISBLANK(U71:U75),ISBLANK(AR71:AR75)), "·", bdRateHermite( $P71:$P75,U71:U75, $AM71:$AM75,AR71:AR75))</f>
        <v>-0.24920990112164287</v>
      </c>
      <c r="CS71" s="84">
        <f>IF( OR(ISBLANK($P71:$P75),ISBLANK($AM71:$AM75), ISBLANK(V71:V75),ISBLANK(AS71:AS75)), "·", bdRateHermite( $P71:$P75,V71:V75, $AM71:$AM75,AS71:AS75))</f>
        <v>-0.29496510181728242</v>
      </c>
      <c r="CT71" s="84">
        <f>IF( OR(ISBLANK($P71:$P75),ISBLANK($AM71:$AM75), ISBLANK(W71:W75),ISBLANK(AT71:AT75)), "·", bdRateHermite( $P71:$P75,W71:W75, $AM71:$AM75,AT71:AT75))</f>
        <v>-0.77006228827877621</v>
      </c>
      <c r="CU71" s="84">
        <f>IF( OR(ISBLANK($P71:$P75),ISBLANK($AM71:$AM75), ISBLANK(X71:X75),ISBLANK(AU71:AU75)), "·", bdRateHermite( $P71:$P75,X71:X75, $AM71:$AM75,AU71:AU75))</f>
        <v>-0.75842116595332743</v>
      </c>
      <c r="CV71" s="92"/>
    </row>
    <row r="72" spans="1:100" s="1" customFormat="1" outlineLevel="1">
      <c r="A72" s="13"/>
      <c r="B72" s="14" t="s">
        <v>1121</v>
      </c>
      <c r="C72" s="15" t="s">
        <v>132</v>
      </c>
      <c r="D72" s="476">
        <v>2096385</v>
      </c>
      <c r="E72" s="15">
        <v>15</v>
      </c>
      <c r="F72" s="15">
        <v>1</v>
      </c>
      <c r="G72" s="16"/>
      <c r="I72" s="30" t="str">
        <f t="shared" si="14"/>
        <v>·</v>
      </c>
      <c r="J72" s="31">
        <f t="shared" si="15"/>
        <v>2.8246719948864355E-2</v>
      </c>
      <c r="K72" s="31">
        <f t="shared" si="16"/>
        <v>1.4344693365006905E-2</v>
      </c>
      <c r="L72" s="31">
        <f t="shared" si="31"/>
        <v>1.3566210405054416E-2</v>
      </c>
      <c r="M72" s="51"/>
      <c r="N72" s="31">
        <f t="shared" si="18"/>
        <v>2.6849240535026073</v>
      </c>
      <c r="O72" s="356">
        <v>22055</v>
      </c>
      <c r="P72" s="357">
        <v>59216</v>
      </c>
      <c r="Q72" s="357">
        <v>30072</v>
      </c>
      <c r="R72" s="208">
        <v>28440</v>
      </c>
      <c r="S72" s="87"/>
      <c r="T72" s="358">
        <v>52.946823000000002</v>
      </c>
      <c r="U72" s="358">
        <v>48.232478999999998</v>
      </c>
      <c r="V72" s="358">
        <v>24.785288000000001</v>
      </c>
      <c r="W72" s="358">
        <v>28.414915000000001</v>
      </c>
      <c r="X72" s="358">
        <v>29.583373999999999</v>
      </c>
      <c r="Y72" s="87"/>
      <c r="Z72" s="359">
        <v>0.71099999999999997</v>
      </c>
      <c r="AA72" s="359">
        <v>0.03</v>
      </c>
      <c r="AB72" s="32">
        <v>0</v>
      </c>
      <c r="AC72" s="32">
        <v>0</v>
      </c>
      <c r="AD72" s="33"/>
      <c r="AF72" s="30" t="str">
        <f t="shared" si="19"/>
        <v>·</v>
      </c>
      <c r="AG72" s="31">
        <f t="shared" si="20"/>
        <v>2.4327592498515301E-2</v>
      </c>
      <c r="AH72" s="31">
        <f t="shared" si="32"/>
        <v>1.4344693365006905E-2</v>
      </c>
      <c r="AI72" s="31">
        <f t="shared" si="28"/>
        <v>9.6470829547053612E-3</v>
      </c>
      <c r="AJ72" s="51"/>
      <c r="AK72" s="31">
        <f t="shared" si="23"/>
        <v>2.3124008161414644</v>
      </c>
      <c r="AL72" s="356">
        <v>22055</v>
      </c>
      <c r="AM72" s="357">
        <v>51000</v>
      </c>
      <c r="AN72" s="357">
        <v>30072</v>
      </c>
      <c r="AO72" s="208">
        <v>20224</v>
      </c>
      <c r="AP72" s="87"/>
      <c r="AQ72" s="358">
        <v>52.946823000000002</v>
      </c>
      <c r="AR72" s="358">
        <v>48.232478999999998</v>
      </c>
      <c r="AS72" s="358">
        <v>24.890131</v>
      </c>
      <c r="AT72" s="358">
        <v>31.764800999999999</v>
      </c>
      <c r="AU72" s="358">
        <v>30.768204000000001</v>
      </c>
      <c r="AV72" s="87"/>
      <c r="AW72" s="359">
        <v>0.98899999999999999</v>
      </c>
      <c r="AX72" s="359">
        <v>3.7999999999999999E-2</v>
      </c>
      <c r="AY72" s="32">
        <v>0</v>
      </c>
      <c r="AZ72" s="32">
        <v>0</v>
      </c>
      <c r="BA72" s="33">
        <v>48389</v>
      </c>
      <c r="BC72" s="56" t="e">
        <f t="shared" si="27"/>
        <v>#DIV/0!</v>
      </c>
      <c r="BD72" s="57" t="e">
        <f t="shared" si="26"/>
        <v>#DIV/0!</v>
      </c>
      <c r="BE72" s="57">
        <f t="shared" si="24"/>
        <v>8.1811338747874163E-2</v>
      </c>
      <c r="BF72" s="58"/>
      <c r="BH72" s="74"/>
      <c r="BI72" s="75"/>
      <c r="BJ72" s="75"/>
      <c r="BK72" s="75"/>
      <c r="BL72" s="75"/>
      <c r="BM72" s="87"/>
      <c r="BO72" s="74"/>
      <c r="BP72" s="75"/>
      <c r="BQ72" s="75"/>
      <c r="BR72" s="75"/>
      <c r="BS72" s="75"/>
      <c r="BT72" s="87"/>
      <c r="BV72" s="74"/>
      <c r="BW72" s="75"/>
      <c r="BX72" s="75"/>
      <c r="BY72" s="75"/>
      <c r="BZ72" s="75"/>
      <c r="CA72" s="87"/>
      <c r="CC72" s="74"/>
      <c r="CD72" s="75"/>
      <c r="CE72" s="75"/>
      <c r="CF72" s="75"/>
      <c r="CG72" s="75"/>
      <c r="CH72" s="87"/>
      <c r="CJ72" s="74"/>
      <c r="CK72" s="75"/>
      <c r="CL72" s="75"/>
      <c r="CM72" s="75"/>
      <c r="CN72" s="75"/>
      <c r="CO72" s="87"/>
      <c r="CQ72" s="74"/>
      <c r="CR72" s="75"/>
      <c r="CS72" s="75"/>
      <c r="CT72" s="75"/>
      <c r="CU72" s="75"/>
      <c r="CV72" s="87"/>
    </row>
    <row r="73" spans="1:100" s="1" customFormat="1" outlineLevel="1">
      <c r="A73" s="13"/>
      <c r="B73" s="14" t="s">
        <v>1121</v>
      </c>
      <c r="C73" s="15" t="s">
        <v>133</v>
      </c>
      <c r="D73" s="476">
        <v>2096385</v>
      </c>
      <c r="E73" s="15">
        <v>15</v>
      </c>
      <c r="F73" s="15">
        <v>1</v>
      </c>
      <c r="G73" s="16"/>
      <c r="I73" s="30" t="str">
        <f t="shared" si="14"/>
        <v>·</v>
      </c>
      <c r="J73" s="31">
        <f t="shared" si="15"/>
        <v>0.36355535839075359</v>
      </c>
      <c r="K73" s="31">
        <f t="shared" si="16"/>
        <v>0.19470469403282317</v>
      </c>
      <c r="L73" s="31">
        <f t="shared" si="31"/>
        <v>0.16850721599324553</v>
      </c>
      <c r="M73" s="51"/>
      <c r="N73" s="31">
        <f t="shared" si="18"/>
        <v>2.3898729731678943</v>
      </c>
      <c r="O73" s="356">
        <v>318909</v>
      </c>
      <c r="P73" s="357">
        <v>762152</v>
      </c>
      <c r="Q73" s="357">
        <v>408176</v>
      </c>
      <c r="R73" s="208">
        <v>353256</v>
      </c>
      <c r="S73" s="87"/>
      <c r="T73" s="358">
        <v>64.974898999999994</v>
      </c>
      <c r="U73" s="358">
        <v>60.205734</v>
      </c>
      <c r="V73" s="358">
        <v>32.404758000000001</v>
      </c>
      <c r="W73" s="358">
        <v>35.918182000000002</v>
      </c>
      <c r="X73" s="358">
        <v>34.657578000000001</v>
      </c>
      <c r="Y73" s="87"/>
      <c r="Z73" s="359">
        <v>1.512</v>
      </c>
      <c r="AA73" s="359">
        <v>0.28299999999999997</v>
      </c>
      <c r="AB73" s="32">
        <v>0</v>
      </c>
      <c r="AC73" s="32">
        <v>0</v>
      </c>
      <c r="AD73" s="33"/>
      <c r="AF73" s="30" t="str">
        <f t="shared" si="19"/>
        <v>·</v>
      </c>
      <c r="AG73" s="31">
        <f t="shared" si="20"/>
        <v>0.29549152469608397</v>
      </c>
      <c r="AH73" s="31">
        <f t="shared" si="32"/>
        <v>0.19470469403282317</v>
      </c>
      <c r="AI73" s="31">
        <f t="shared" si="28"/>
        <v>0.10044338229857588</v>
      </c>
      <c r="AJ73" s="51"/>
      <c r="AK73" s="31">
        <f t="shared" si="23"/>
        <v>1.9424475320545986</v>
      </c>
      <c r="AL73" s="356">
        <v>318909</v>
      </c>
      <c r="AM73" s="357">
        <v>619464</v>
      </c>
      <c r="AN73" s="357">
        <v>408176</v>
      </c>
      <c r="AO73" s="208">
        <v>210568</v>
      </c>
      <c r="AP73" s="87"/>
      <c r="AQ73" s="358">
        <v>64.974898999999994</v>
      </c>
      <c r="AR73" s="358">
        <v>60.205734</v>
      </c>
      <c r="AS73" s="358">
        <v>32.637507999999997</v>
      </c>
      <c r="AT73" s="358">
        <v>37.294269999999997</v>
      </c>
      <c r="AU73" s="358">
        <v>36.938113999999999</v>
      </c>
      <c r="AV73" s="87"/>
      <c r="AW73" s="359">
        <v>2.218</v>
      </c>
      <c r="AX73" s="359">
        <v>0.57799999999999996</v>
      </c>
      <c r="AY73" s="32">
        <v>0</v>
      </c>
      <c r="AZ73" s="32">
        <v>0</v>
      </c>
      <c r="BA73" s="33">
        <v>3072</v>
      </c>
      <c r="BC73" s="56" t="e">
        <f t="shared" si="27"/>
        <v>#DIV/0!</v>
      </c>
      <c r="BD73" s="57" t="e">
        <f t="shared" si="26"/>
        <v>#DIV/0!</v>
      </c>
      <c r="BE73" s="57">
        <f t="shared" si="24"/>
        <v>0.12336082067865428</v>
      </c>
      <c r="BF73" s="58"/>
      <c r="BH73" s="74"/>
      <c r="BI73" s="75"/>
      <c r="BJ73" s="75"/>
      <c r="BK73" s="75"/>
      <c r="BL73" s="75"/>
      <c r="BM73" s="87"/>
      <c r="BO73" s="74"/>
      <c r="BP73" s="75"/>
      <c r="BQ73" s="75"/>
      <c r="BR73" s="75"/>
      <c r="BS73" s="75"/>
      <c r="BT73" s="87"/>
      <c r="BV73" s="74"/>
      <c r="BW73" s="75"/>
      <c r="BX73" s="75"/>
      <c r="BY73" s="75"/>
      <c r="BZ73" s="75"/>
      <c r="CA73" s="87"/>
      <c r="CC73" s="74"/>
      <c r="CD73" s="75"/>
      <c r="CE73" s="75"/>
      <c r="CF73" s="75"/>
      <c r="CG73" s="75"/>
      <c r="CH73" s="87"/>
      <c r="CJ73" s="74"/>
      <c r="CK73" s="75"/>
      <c r="CL73" s="75"/>
      <c r="CM73" s="75"/>
      <c r="CN73" s="75"/>
      <c r="CO73" s="87"/>
      <c r="CQ73" s="74"/>
      <c r="CR73" s="75"/>
      <c r="CS73" s="75"/>
      <c r="CT73" s="75"/>
      <c r="CU73" s="75"/>
      <c r="CV73" s="87"/>
    </row>
    <row r="74" spans="1:100" s="1" customFormat="1" outlineLevel="1">
      <c r="A74" s="13"/>
      <c r="B74" s="14" t="s">
        <v>1121</v>
      </c>
      <c r="C74" s="15" t="s">
        <v>134</v>
      </c>
      <c r="D74" s="476">
        <v>2096385</v>
      </c>
      <c r="E74" s="15">
        <v>15</v>
      </c>
      <c r="F74" s="15">
        <v>1</v>
      </c>
      <c r="G74" s="16"/>
      <c r="I74" s="30" t="str">
        <f t="shared" si="14"/>
        <v>·</v>
      </c>
      <c r="J74" s="31">
        <f t="shared" si="15"/>
        <v>2.2952119958881601</v>
      </c>
      <c r="K74" s="31">
        <f t="shared" si="16"/>
        <v>0.7770557411925767</v>
      </c>
      <c r="L74" s="31">
        <f t="shared" si="31"/>
        <v>1.5178128063308982</v>
      </c>
      <c r="M74" s="51"/>
      <c r="N74" s="31">
        <f t="shared" si="18"/>
        <v>4.5676921309766669</v>
      </c>
      <c r="O74" s="356">
        <v>1053409</v>
      </c>
      <c r="P74" s="357">
        <v>4811648</v>
      </c>
      <c r="Q74" s="357">
        <v>1629008</v>
      </c>
      <c r="R74" s="208">
        <v>3181920</v>
      </c>
      <c r="S74" s="87"/>
      <c r="T74" s="358">
        <v>70.988747000000004</v>
      </c>
      <c r="U74" s="358">
        <v>66.226333999999994</v>
      </c>
      <c r="V74" s="358">
        <v>37.276848000000001</v>
      </c>
      <c r="W74" s="358">
        <v>38.814239999999998</v>
      </c>
      <c r="X74" s="358">
        <v>38.604069000000003</v>
      </c>
      <c r="Y74" s="87"/>
      <c r="Z74" s="359">
        <v>3.085</v>
      </c>
      <c r="AA74" s="359">
        <v>1.071</v>
      </c>
      <c r="AB74" s="32">
        <v>0</v>
      </c>
      <c r="AC74" s="32">
        <v>0</v>
      </c>
      <c r="AD74" s="33"/>
      <c r="AF74" s="30" t="str">
        <f t="shared" si="19"/>
        <v>·</v>
      </c>
      <c r="AG74" s="31">
        <f t="shared" si="20"/>
        <v>1.3175366166042974</v>
      </c>
      <c r="AH74" s="31">
        <f t="shared" si="32"/>
        <v>0.7770557411925767</v>
      </c>
      <c r="AI74" s="31">
        <f t="shared" si="28"/>
        <v>0.54013742704703571</v>
      </c>
      <c r="AJ74" s="51"/>
      <c r="AK74" s="31">
        <f t="shared" si="23"/>
        <v>2.6220243039503175</v>
      </c>
      <c r="AL74" s="356">
        <v>1053409</v>
      </c>
      <c r="AM74" s="357">
        <v>2762064</v>
      </c>
      <c r="AN74" s="357">
        <v>1629008</v>
      </c>
      <c r="AO74" s="208">
        <v>1132336</v>
      </c>
      <c r="AP74" s="87"/>
      <c r="AQ74" s="358">
        <v>70.988747000000004</v>
      </c>
      <c r="AR74" s="358">
        <v>66.226333999999994</v>
      </c>
      <c r="AS74" s="358">
        <v>37.433551999999999</v>
      </c>
      <c r="AT74" s="358">
        <v>44.410786000000002</v>
      </c>
      <c r="AU74" s="358">
        <v>44.898327000000002</v>
      </c>
      <c r="AV74" s="87"/>
      <c r="AW74" s="359">
        <v>4.8159999999999998</v>
      </c>
      <c r="AX74" s="359">
        <v>2.0659999999999998</v>
      </c>
      <c r="AY74" s="32">
        <v>0</v>
      </c>
      <c r="AZ74" s="32">
        <v>0</v>
      </c>
      <c r="BA74" s="33">
        <v>768</v>
      </c>
      <c r="BC74" s="56" t="e">
        <f t="shared" si="27"/>
        <v>#DIV/0!</v>
      </c>
      <c r="BD74" s="57" t="e">
        <f t="shared" si="26"/>
        <v>#DIV/0!</v>
      </c>
      <c r="BE74" s="57">
        <f t="shared" si="24"/>
        <v>0.25122413128024468</v>
      </c>
      <c r="BF74" s="58"/>
      <c r="BH74" s="74"/>
      <c r="BI74" s="75"/>
      <c r="BJ74" s="75"/>
      <c r="BK74" s="75"/>
      <c r="BL74" s="75"/>
      <c r="BM74" s="87"/>
      <c r="BO74" s="74"/>
      <c r="BP74" s="75"/>
      <c r="BQ74" s="75"/>
      <c r="BR74" s="75"/>
      <c r="BS74" s="75"/>
      <c r="BT74" s="87"/>
      <c r="BV74" s="74"/>
      <c r="BW74" s="75"/>
      <c r="BX74" s="75"/>
      <c r="BY74" s="75"/>
      <c r="BZ74" s="75"/>
      <c r="CA74" s="87"/>
      <c r="CC74" s="74"/>
      <c r="CD74" s="75"/>
      <c r="CE74" s="75"/>
      <c r="CF74" s="75"/>
      <c r="CG74" s="75"/>
      <c r="CH74" s="87"/>
      <c r="CJ74" s="74"/>
      <c r="CK74" s="75"/>
      <c r="CL74" s="75"/>
      <c r="CM74" s="75"/>
      <c r="CN74" s="75"/>
      <c r="CO74" s="87"/>
      <c r="CQ74" s="74"/>
      <c r="CR74" s="75"/>
      <c r="CS74" s="75"/>
      <c r="CT74" s="75"/>
      <c r="CU74" s="75"/>
      <c r="CV74" s="87"/>
    </row>
    <row r="75" spans="1:100" s="1" customFormat="1" outlineLevel="1">
      <c r="A75" s="13"/>
      <c r="B75" s="14" t="s">
        <v>1121</v>
      </c>
      <c r="C75" s="15" t="s">
        <v>135</v>
      </c>
      <c r="D75" s="476">
        <v>2096385</v>
      </c>
      <c r="E75" s="15">
        <v>15</v>
      </c>
      <c r="F75" s="15">
        <v>1</v>
      </c>
      <c r="G75" s="16"/>
      <c r="I75" s="30" t="str">
        <f t="shared" si="14"/>
        <v>·</v>
      </c>
      <c r="J75" s="31">
        <f t="shared" si="15"/>
        <v>11.317982145455153</v>
      </c>
      <c r="K75" s="31">
        <f t="shared" si="16"/>
        <v>7.4214535975023672</v>
      </c>
      <c r="L75" s="31">
        <f t="shared" si="31"/>
        <v>3.8961774674022185</v>
      </c>
      <c r="M75" s="51"/>
      <c r="N75" s="31">
        <f t="shared" si="18"/>
        <v>11.333779484041514</v>
      </c>
      <c r="O75" s="356">
        <v>2093463</v>
      </c>
      <c r="P75" s="357">
        <v>23726848</v>
      </c>
      <c r="Q75" s="357">
        <v>15558224</v>
      </c>
      <c r="R75" s="208">
        <v>8167888</v>
      </c>
      <c r="S75" s="87"/>
      <c r="T75" s="358">
        <v>82.905715999999998</v>
      </c>
      <c r="U75" s="358">
        <v>78.267532000000003</v>
      </c>
      <c r="V75" s="358">
        <v>46.321849999999998</v>
      </c>
      <c r="W75" s="358">
        <v>46.937496000000003</v>
      </c>
      <c r="X75" s="358">
        <v>47.165874000000002</v>
      </c>
      <c r="Y75" s="87"/>
      <c r="Z75" s="359">
        <v>8.2050000000000001</v>
      </c>
      <c r="AA75" s="359">
        <v>4.2290000000000001</v>
      </c>
      <c r="AB75" s="32">
        <v>0</v>
      </c>
      <c r="AC75" s="32">
        <v>0</v>
      </c>
      <c r="AD75" s="33"/>
      <c r="AF75" s="30" t="str">
        <f t="shared" si="19"/>
        <v>·</v>
      </c>
      <c r="AG75" s="31">
        <f t="shared" si="20"/>
        <v>9.5862773297843678</v>
      </c>
      <c r="AH75" s="31">
        <f t="shared" si="32"/>
        <v>7.4214535975023672</v>
      </c>
      <c r="AI75" s="31">
        <f t="shared" si="28"/>
        <v>2.1644726517314328</v>
      </c>
      <c r="AJ75" s="51"/>
      <c r="AK75" s="31">
        <f t="shared" si="23"/>
        <v>9.599657600826955</v>
      </c>
      <c r="AL75" s="356">
        <v>2093463</v>
      </c>
      <c r="AM75" s="357">
        <v>20096528</v>
      </c>
      <c r="AN75" s="357">
        <v>15558224</v>
      </c>
      <c r="AO75" s="208">
        <v>4537568</v>
      </c>
      <c r="AP75" s="87"/>
      <c r="AQ75" s="358">
        <v>82.905715999999998</v>
      </c>
      <c r="AR75" s="358">
        <v>78.267532000000003</v>
      </c>
      <c r="AS75" s="358">
        <v>46.711353000000003</v>
      </c>
      <c r="AT75" s="358">
        <v>50.547882000000001</v>
      </c>
      <c r="AU75" s="358">
        <v>50.583576000000001</v>
      </c>
      <c r="AV75" s="87"/>
      <c r="AW75" s="359">
        <v>12.632999999999999</v>
      </c>
      <c r="AX75" s="359">
        <v>7.34</v>
      </c>
      <c r="AY75" s="32">
        <v>0</v>
      </c>
      <c r="AZ75" s="32">
        <v>0</v>
      </c>
      <c r="BA75" s="33">
        <v>48</v>
      </c>
      <c r="BC75" s="56" t="e">
        <f t="shared" si="27"/>
        <v>#DIV/0!</v>
      </c>
      <c r="BD75" s="57" t="e">
        <f t="shared" si="26"/>
        <v>#DIV/0!</v>
      </c>
      <c r="BE75" s="57">
        <f t="shared" si="24"/>
        <v>0.11845239539713637</v>
      </c>
      <c r="BF75" s="58"/>
      <c r="BH75" s="74"/>
      <c r="BI75" s="75"/>
      <c r="BJ75" s="75"/>
      <c r="BK75" s="75"/>
      <c r="BL75" s="75"/>
      <c r="BM75" s="87"/>
      <c r="BO75" s="74"/>
      <c r="BP75" s="75"/>
      <c r="BQ75" s="75"/>
      <c r="BR75" s="75"/>
      <c r="BS75" s="75"/>
      <c r="BT75" s="87"/>
      <c r="BV75" s="74"/>
      <c r="BW75" s="75"/>
      <c r="BX75" s="75"/>
      <c r="BY75" s="75"/>
      <c r="BZ75" s="75"/>
      <c r="CA75" s="87"/>
      <c r="CC75" s="74"/>
      <c r="CD75" s="75"/>
      <c r="CE75" s="75"/>
      <c r="CF75" s="75"/>
      <c r="CG75" s="75"/>
      <c r="CH75" s="87"/>
      <c r="CJ75" s="74"/>
      <c r="CK75" s="75"/>
      <c r="CL75" s="75"/>
      <c r="CM75" s="75"/>
      <c r="CN75" s="75"/>
      <c r="CO75" s="87"/>
      <c r="CQ75" s="74"/>
      <c r="CR75" s="75"/>
      <c r="CS75" s="75"/>
      <c r="CT75" s="75"/>
      <c r="CU75" s="75"/>
      <c r="CV75" s="87"/>
    </row>
    <row r="76" spans="1:100" s="1" customFormat="1" ht="14.25" outlineLevel="1" thickBot="1">
      <c r="A76" s="215"/>
      <c r="B76" s="18" t="s">
        <v>1121</v>
      </c>
      <c r="C76" s="19" t="s">
        <v>136</v>
      </c>
      <c r="D76" s="477">
        <v>2096385</v>
      </c>
      <c r="E76" s="19">
        <v>15</v>
      </c>
      <c r="F76" s="19">
        <v>1</v>
      </c>
      <c r="G76" s="20"/>
      <c r="I76" s="34" t="str">
        <f t="shared" si="14"/>
        <v>·</v>
      </c>
      <c r="J76" s="35">
        <f t="shared" si="15"/>
        <v>17.422612735733178</v>
      </c>
      <c r="K76" s="35">
        <f t="shared" si="16"/>
        <v>11.107059056423319</v>
      </c>
      <c r="L76" s="35">
        <f t="shared" si="31"/>
        <v>6.3151987826663518</v>
      </c>
      <c r="M76" s="52"/>
      <c r="N76" s="35">
        <f t="shared" si="18"/>
        <v>17.423393984899999</v>
      </c>
      <c r="O76" s="360">
        <v>2096291</v>
      </c>
      <c r="P76" s="361">
        <v>36524504</v>
      </c>
      <c r="Q76" s="361">
        <v>23284672</v>
      </c>
      <c r="R76" s="209">
        <v>13239088</v>
      </c>
      <c r="S76" s="88"/>
      <c r="T76" s="362">
        <v>88.548316999999997</v>
      </c>
      <c r="U76" s="362">
        <v>84.288132000000004</v>
      </c>
      <c r="V76" s="362">
        <v>51.013367000000002</v>
      </c>
      <c r="W76" s="362">
        <v>51.343837999999998</v>
      </c>
      <c r="X76" s="362">
        <v>51.132603000000003</v>
      </c>
      <c r="Y76" s="88"/>
      <c r="Z76" s="363">
        <v>8.9390000000000001</v>
      </c>
      <c r="AA76" s="363">
        <v>4.8209999999999997</v>
      </c>
      <c r="AB76" s="36">
        <v>0</v>
      </c>
      <c r="AC76" s="36">
        <v>0</v>
      </c>
      <c r="AD76" s="37"/>
      <c r="AF76" s="34" t="str">
        <f t="shared" si="19"/>
        <v>·</v>
      </c>
      <c r="AG76" s="35">
        <f t="shared" si="20"/>
        <v>16.648033638859275</v>
      </c>
      <c r="AH76" s="35">
        <f t="shared" si="32"/>
        <v>11.107059056423319</v>
      </c>
      <c r="AI76" s="35">
        <f t="shared" si="28"/>
        <v>5.5406196857924472</v>
      </c>
      <c r="AJ76" s="52"/>
      <c r="AK76" s="35">
        <f t="shared" si="23"/>
        <v>16.648780155045269</v>
      </c>
      <c r="AL76" s="360">
        <v>2096291</v>
      </c>
      <c r="AM76" s="361">
        <v>34900688</v>
      </c>
      <c r="AN76" s="361">
        <v>23284672</v>
      </c>
      <c r="AO76" s="209">
        <v>11615272</v>
      </c>
      <c r="AP76" s="88"/>
      <c r="AQ76" s="362">
        <v>88.548316999999997</v>
      </c>
      <c r="AR76" s="362">
        <v>84.288132000000004</v>
      </c>
      <c r="AS76" s="362">
        <v>51.328499000000001</v>
      </c>
      <c r="AT76" s="362">
        <v>51.969261000000003</v>
      </c>
      <c r="AU76" s="362">
        <v>51.874535000000002</v>
      </c>
      <c r="AV76" s="88"/>
      <c r="AW76" s="363">
        <v>13.275</v>
      </c>
      <c r="AX76" s="363">
        <v>8.4849999999999994</v>
      </c>
      <c r="AY76" s="36">
        <v>0</v>
      </c>
      <c r="AZ76" s="36">
        <v>0</v>
      </c>
      <c r="BA76" s="37">
        <v>12</v>
      </c>
      <c r="BC76" s="59" t="e">
        <f t="shared" si="27"/>
        <v>#DIV/0!</v>
      </c>
      <c r="BD76" s="60" t="e">
        <f t="shared" si="26"/>
        <v>#DIV/0!</v>
      </c>
      <c r="BE76" s="60">
        <f t="shared" si="24"/>
        <v>2.9661193744938363E-2</v>
      </c>
      <c r="BF76" s="61"/>
      <c r="BH76" s="77"/>
      <c r="BI76" s="78"/>
      <c r="BJ76" s="78"/>
      <c r="BK76" s="78"/>
      <c r="BL76" s="78"/>
      <c r="BM76" s="88"/>
      <c r="BO76" s="77"/>
      <c r="BP76" s="78"/>
      <c r="BQ76" s="78"/>
      <c r="BR76" s="78"/>
      <c r="BS76" s="78"/>
      <c r="BT76" s="88"/>
      <c r="BV76" s="77"/>
      <c r="BW76" s="78"/>
      <c r="BX76" s="78"/>
      <c r="BY76" s="78"/>
      <c r="BZ76" s="78"/>
      <c r="CA76" s="88"/>
      <c r="CC76" s="77"/>
      <c r="CD76" s="78"/>
      <c r="CE76" s="78"/>
      <c r="CF76" s="78"/>
      <c r="CG76" s="78"/>
      <c r="CH76" s="88"/>
      <c r="CJ76" s="77"/>
      <c r="CK76" s="78"/>
      <c r="CL76" s="78"/>
      <c r="CM76" s="78"/>
      <c r="CN76" s="78"/>
      <c r="CO76" s="88"/>
      <c r="CQ76" s="77"/>
      <c r="CR76" s="78"/>
      <c r="CS76" s="78"/>
      <c r="CT76" s="78"/>
      <c r="CU76" s="78"/>
      <c r="CV76" s="88"/>
    </row>
    <row r="77" spans="1:100" s="1" customFormat="1">
      <c r="A77" s="13"/>
      <c r="B77" s="27" t="s">
        <v>1122</v>
      </c>
      <c r="C77" s="28" t="s">
        <v>131</v>
      </c>
      <c r="D77" s="478">
        <v>8046105</v>
      </c>
      <c r="E77" s="28">
        <v>15</v>
      </c>
      <c r="F77" s="28">
        <v>1</v>
      </c>
      <c r="G77" s="29"/>
      <c r="I77" s="42" t="str">
        <f t="shared" si="14"/>
        <v>·</v>
      </c>
      <c r="J77" s="43">
        <f t="shared" si="15"/>
        <v>2.3663623579359207E-4</v>
      </c>
      <c r="K77" s="43">
        <f t="shared" si="16"/>
        <v>8.1530131659977097E-5</v>
      </c>
      <c r="L77" s="43">
        <f t="shared" si="31"/>
        <v>7.1587432677053058E-5</v>
      </c>
      <c r="M77" s="55"/>
      <c r="N77" s="43">
        <f t="shared" si="18"/>
        <v>5.44</v>
      </c>
      <c r="O77" s="352">
        <v>350</v>
      </c>
      <c r="P77" s="353">
        <v>1904</v>
      </c>
      <c r="Q77" s="353">
        <v>656</v>
      </c>
      <c r="R77" s="207">
        <v>576</v>
      </c>
      <c r="S77" s="90"/>
      <c r="T77" s="354">
        <v>47.284027000000002</v>
      </c>
      <c r="U77" s="354">
        <v>42.189053000000001</v>
      </c>
      <c r="V77" s="354">
        <v>15.679442999999999</v>
      </c>
      <c r="W77" s="354">
        <v>25.272789</v>
      </c>
      <c r="X77" s="354">
        <v>26.235082999999999</v>
      </c>
      <c r="Y77" s="90"/>
      <c r="Z77" s="355">
        <v>1.623</v>
      </c>
      <c r="AA77" s="355">
        <v>1.4E-2</v>
      </c>
      <c r="AB77" s="44">
        <v>0</v>
      </c>
      <c r="AC77" s="44">
        <v>0</v>
      </c>
      <c r="AD77" s="45"/>
      <c r="AF77" s="42" t="str">
        <f t="shared" si="19"/>
        <v>·</v>
      </c>
      <c r="AG77" s="43">
        <f t="shared" si="20"/>
        <v>2.3067061640383763E-4</v>
      </c>
      <c r="AH77" s="43">
        <f t="shared" ref="AH77:AH82" si="33">IF(AN77="","·",AN77/$D77)</f>
        <v>8.1530131659977097E-5</v>
      </c>
      <c r="AI77" s="43">
        <f>IF(AO77="","·",AO77/$D77)</f>
        <v>6.5621813287298632E-5</v>
      </c>
      <c r="AJ77" s="55"/>
      <c r="AK77" s="43">
        <f t="shared" si="23"/>
        <v>5.3028571428571425</v>
      </c>
      <c r="AL77" s="352">
        <v>350</v>
      </c>
      <c r="AM77" s="353">
        <v>1856</v>
      </c>
      <c r="AN77" s="353">
        <v>656</v>
      </c>
      <c r="AO77" s="207">
        <v>528</v>
      </c>
      <c r="AP77" s="90"/>
      <c r="AQ77" s="354">
        <v>47.284027000000002</v>
      </c>
      <c r="AR77" s="354">
        <v>42.189053000000001</v>
      </c>
      <c r="AS77" s="354">
        <v>15.809733</v>
      </c>
      <c r="AT77" s="354">
        <v>25.272789</v>
      </c>
      <c r="AU77" s="354">
        <v>26.235082999999999</v>
      </c>
      <c r="AV77" s="90"/>
      <c r="AW77" s="355">
        <v>2.3620000000000001</v>
      </c>
      <c r="AX77" s="355">
        <v>1E-3</v>
      </c>
      <c r="AY77" s="44">
        <v>0</v>
      </c>
      <c r="AZ77" s="44">
        <v>0</v>
      </c>
      <c r="BA77" s="45">
        <v>194576</v>
      </c>
      <c r="BC77" s="65" t="e">
        <f t="shared" si="27"/>
        <v>#DIV/0!</v>
      </c>
      <c r="BD77" s="66" t="e">
        <f t="shared" si="26"/>
        <v>#DIV/0!</v>
      </c>
      <c r="BE77" s="66">
        <f t="shared" si="24"/>
        <v>8.9104607360185328E-3</v>
      </c>
      <c r="BF77" s="67">
        <f t="array" ref="BF77">AVERAGE(AN77:AN82/AM77:AM82) - AVERAGE(Q77:Q82/P77:P82)</f>
        <v>2.974851910300938E-2</v>
      </c>
      <c r="BH77" s="83">
        <f>IF( OR(ISBLANK($Q77:$Q82),ISBLANK($AN77:$AN82), ISBLANK($T77:$T82),ISBLANK($AQ77:$AQ82)), "·", bdRateHermite( $Q77:$Q82,$T77:$T82, $AN77:$AN82,$AQ77:$AQ82))</f>
        <v>0</v>
      </c>
      <c r="BI77" s="225">
        <f>IF(OR(ISBLANK(Q77:Q82),ISBLANK(AN77:AN82),ISBLANK(U77:U82),ISBLANK(AR77:AR82)),"·",bdRateHermite(Q77:Q82,U77:U82,AN77:AN82,AR77:AR82))</f>
        <v>0</v>
      </c>
      <c r="BJ77" s="225">
        <f>IF(OR(ISBLANK($R77:$R82),ISBLANK($AO77:$AO82),ISBLANK(V77:V82),ISBLANK(AS77:AS82)),"·",bdRateHermite($R77:$R82,V77:V82,$AO77:$AO82,AS77:AS82))</f>
        <v>-0.2231877437254508</v>
      </c>
      <c r="BK77" s="225">
        <f>IF(OR(ISBLANK($R77:$R82),ISBLANK($AO77:$AO82),ISBLANK(W77:W82),ISBLANK(AT77:AT82)),"·",bdRateHermite($R77:$R82,W77:W82,$AO77:$AO82,AT77:AT82))</f>
        <v>-0.5898256833762372</v>
      </c>
      <c r="BL77" s="225">
        <f>IF(OR(ISBLANK($R77:$R82),ISBLANK($AO77:$AO82),ISBLANK(X77:X82),ISBLANK(AU77:AU82)),"·",bdRateHermite($R77:$R82,X77:X82,$AO77:$AO82,AU77:AU82))</f>
        <v>-0.51363103994775194</v>
      </c>
      <c r="BM77" s="92"/>
      <c r="BO77" s="83">
        <f>IF( OR(ISBLANK($P77:$P82),ISBLANK($AM77:$AM82), ISBLANK($T77:$T82),ISBLANK($AQ77:$AQ82)), "·", bdRateHermite($P77:$P82,$T77:$T82, $AM77:$AM82,$AQ77:$AQ82))</f>
        <v>-0.14732066233151431</v>
      </c>
      <c r="BP77" s="84">
        <f>IF( OR(ISBLANK($P77:$P82),ISBLANK($AM77:$AM82), ISBLANK(U77:U82),ISBLANK(AR77:AR82)), "·", bdRateHermite( $P77:$P82,U77:U82, $AM77:$AM82,AR77:AR82))</f>
        <v>-0.14605098602464761</v>
      </c>
      <c r="BQ77" s="84">
        <f>IF( OR(ISBLANK($P77:$P82),ISBLANK($AM77:$AM82), ISBLANK(V77:V82),ISBLANK(AS77:AS82)), "·", bdRateHermite( $P77:$P82,V77:V82, $AM77:$AM82,AS77:AS82))</f>
        <v>-0.15956801919232466</v>
      </c>
      <c r="BR77" s="84">
        <f>IF( OR(ISBLANK($P77:$P82),ISBLANK($AM77:$AM82), ISBLANK(W77:W82),ISBLANK(AT77:AT82)), "·", bdRateHermite( $P77:$P82,W77:W82, $AM77:$AM82,AT77:AT82))</f>
        <v>-0.51634657222035529</v>
      </c>
      <c r="BS77" s="84">
        <f>IF( OR(ISBLANK($P77:$P82),ISBLANK($AM77:$AM82), ISBLANK(X77:X82),ISBLANK(AU77:AU82)), "·", bdRateHermite( $P77:$P82,X77:X82, $AM77:$AM82,AU77:AU82))</f>
        <v>-0.45102561168297728</v>
      </c>
      <c r="BT77" s="92"/>
      <c r="BV77" s="83">
        <f>IF( OR(ISBLANK($Q77:$Q81),ISBLANK($AN77:$AN81), ISBLANK($T77:$T81),ISBLANK($AQ77:$AQ81)), "·", bdRateHermite( $Q78:$Q82,$T78:$T82, $AN78:$AN82,$AQ78:$AQ82))</f>
        <v>0</v>
      </c>
      <c r="BW77" s="84">
        <f>IF(OR(ISBLANK($Q77:$Q82),ISBLANK($AN77:$AN82),ISBLANK(U77:U82),ISBLANK(AR77:AR82)),"·",bdRateHermite($Q78:$Q82,U78:U82,$AN78:$AN82,AR78:AR82))</f>
        <v>0</v>
      </c>
      <c r="BX77" s="225">
        <f>IF(OR(ISBLANK($R77:$R82),ISBLANK($AO77:$AO82),ISBLANK($V77:$V82),ISBLANK($AS77:$AS82)),"·",bdRateHermite($R78:$R82,$V78:$V82,$AO78:$AO82,$AS78:$AS82))</f>
        <v>-0.19768214316074839</v>
      </c>
      <c r="BY77" s="225">
        <f>IF(OR(ISBLANK($R77:$R82),ISBLANK($AO77:$AO82),ISBLANK($W77:$W82),ISBLANK($AT77:$AT82)),"·",bdRateHermite($R78:$R82,$W78:$W82,$AO78:$AO82,$AT78:$AT82))</f>
        <v>-0.47555174253541277</v>
      </c>
      <c r="BZ77" s="225">
        <f>IF(OR(ISBLANK($R77:$R82),ISBLANK($AO77:$AO82),ISBLANK($X77:$X82),ISBLANK($AU77:$AU82)),"·",bdRateHermite($R78:$R82,$X78:$X82,$AO78:$AO82,$AU78:$AU82))</f>
        <v>-0.41391903717214373</v>
      </c>
      <c r="CA77" s="92"/>
      <c r="CC77" s="83">
        <f>IF( OR(ISBLANK($P77:$P82),ISBLANK($AM77:$AM82), ISBLANK($T77:$T82),ISBLANK($AQ77:$AQ82)), "·", bdRateHermite($P78:$P82,$T78:$T82, $AM78:$AM82,$AQ78:$AQ82))</f>
        <v>-0.14851171536431806</v>
      </c>
      <c r="CD77" s="84">
        <f>IF( OR(ISBLANK($P77:$P82),ISBLANK($AM77:$AM82), ISBLANK(U77:U82),ISBLANK(AR77:AR82)), "·", bdRateHermite( $P78:$P82,U78:U82, $AM78:$AM82,AR78:AR82))</f>
        <v>-0.14751243238620215</v>
      </c>
      <c r="CE77" s="84">
        <f>IF( OR(ISBLANK($P77:$P82),ISBLANK($AM77:$AM82), ISBLANK(V77:V82),ISBLANK(AS77:AS82)), "·", bdRateHermite( $P78:$P82,V78:V82, $AM78:$AM82,AS78:AS82))</f>
        <v>-0.1494523788110379</v>
      </c>
      <c r="CF77" s="84">
        <f>IF( OR(ISBLANK($P77:$P82),ISBLANK($AM77:$AM82), ISBLANK(W77:W82),ISBLANK(AT77:AT82)), "·", bdRateHermite( $P78:$P82,W78:W82, $AM78:$AM82,AT78:AT82))</f>
        <v>-0.42892880762839647</v>
      </c>
      <c r="CG77" s="84">
        <f>IF( OR(ISBLANK($P77:$P82),ISBLANK($AM77:$AM82), ISBLANK(X77:X82),ISBLANK(AU77:AU82)), "·", bdRateHermite( $P78:$P82,X78:X82, $AM78:$AM82,AU78:AU82))</f>
        <v>-0.36879412363338104</v>
      </c>
      <c r="CH77" s="92"/>
      <c r="CJ77" s="83">
        <f>IF( OR(ISBLANK($Q77:$Q81),ISBLANK($AN77:$AN81), ISBLANK($T77:$T81),ISBLANK($AQ77:$AQ81)), "·", bdRateHermite( $Q77:$Q81,$T77:$T81, $AN77:$AN81,$AQ77:$AQ81))</f>
        <v>0</v>
      </c>
      <c r="CK77" s="84">
        <f>IF(OR(ISBLANK($Q77:$Q81),ISBLANK($AN77:$AN81),ISBLANK(U77:U81),ISBLANK(AR77:AR81)),"·",bdRateHermite($Q77:$Q81,U77:U81,$AN77:$AN81,AR77:AR81))</f>
        <v>0</v>
      </c>
      <c r="CL77" s="225">
        <f>IF(OR(ISBLANK($R77:$R82),ISBLANK($AO77:$AO82),ISBLANK($V77:$V82),ISBLANK($AS77:$AS82)),"·",bdRateHermite($R77:$R81,$V77:$V81,$AO77:$AO81,$AS77:$AS81))</f>
        <v>-0.25587697174887403</v>
      </c>
      <c r="CM77" s="225">
        <f>IF(OR(ISBLANK($R77:$R82),ISBLANK($AO77:$AO82),ISBLANK($W77:$W82),ISBLANK($AT77:$AT82)),"·",bdRateHermite($R77:$R81,$W77:$W81,$AO77:$AO81,$AT77:$AT81))</f>
        <v>-0.64786955578859728</v>
      </c>
      <c r="CN77" s="225">
        <f>IF(OR(ISBLANK($R77:$R82),ISBLANK($AO77:$AO82),ISBLANK($X77:$X82),ISBLANK($AU77:$AU82)),"·",bdRateHermite($R77:$R81,$X77:$X81,$AO77:$AO81,$AU77:$AU81))</f>
        <v>-0.58468792011737614</v>
      </c>
      <c r="CO77" s="92"/>
      <c r="CQ77" s="83">
        <f>IF( OR(ISBLANK($P77:$P81),ISBLANK($AM77:$AM81), ISBLANK($T77:$T81),ISBLANK($AQ77:$AQ81)), "·", bdRateHermite($P77:$P81,$T77:$T81, $AM77:$AM81,$AQ77:$AQ81))</f>
        <v>-0.15905262894162209</v>
      </c>
      <c r="CR77" s="84">
        <f>IF( OR(ISBLANK($P77:$P81),ISBLANK($AM77:$AM81), ISBLANK(U77:U81),ISBLANK(AR77:AR81)), "·", bdRateHermite( $P77:$P81,U77:U81, $AM77:$AM81,AR77:AR81))</f>
        <v>-0.1582156222829969</v>
      </c>
      <c r="CS77" s="84">
        <f>IF( OR(ISBLANK($P77:$P81),ISBLANK($AM77:$AM81), ISBLANK(V77:V81),ISBLANK(AS77:AS81)), "·", bdRateHermite( $P77:$P81,V77:V81, $AM77:$AM81,AS77:AS81))</f>
        <v>-0.18121630724226179</v>
      </c>
      <c r="CT77" s="84">
        <f>IF( OR(ISBLANK($P77:$P81),ISBLANK($AM77:$AM81), ISBLANK(W77:W81),ISBLANK(AT77:AT81)), "·", bdRateHermite( $P77:$P81,W77:W81, $AM77:$AM81,AT77:AT81))</f>
        <v>-0.57247627877631535</v>
      </c>
      <c r="CU77" s="84">
        <f>IF( OR(ISBLANK($P77:$P81),ISBLANK($AM77:$AM81), ISBLANK(X77:X81),ISBLANK(AU77:AU81)), "·", bdRateHermite( $P77:$P81,X77:X81, $AM77:$AM81,AU77:AU81))</f>
        <v>-0.51834084732675556</v>
      </c>
      <c r="CV77" s="92"/>
    </row>
    <row r="78" spans="1:100" s="1" customFormat="1" outlineLevel="1">
      <c r="A78" s="13"/>
      <c r="B78" s="14" t="s">
        <v>1122</v>
      </c>
      <c r="C78" s="15" t="s">
        <v>132</v>
      </c>
      <c r="D78" s="479">
        <v>8046105</v>
      </c>
      <c r="E78" s="15">
        <v>15</v>
      </c>
      <c r="F78" s="15">
        <v>1</v>
      </c>
      <c r="G78" s="16"/>
      <c r="I78" s="30" t="str">
        <f t="shared" si="14"/>
        <v>·</v>
      </c>
      <c r="J78" s="31">
        <f t="shared" si="15"/>
        <v>1.0062011370719124E-3</v>
      </c>
      <c r="K78" s="31">
        <f t="shared" si="16"/>
        <v>2.9629242969113627E-4</v>
      </c>
      <c r="L78" s="31">
        <f t="shared" si="31"/>
        <v>6.2539576602592189E-4</v>
      </c>
      <c r="M78" s="51"/>
      <c r="N78" s="31">
        <f t="shared" si="18"/>
        <v>5.5528120713305897</v>
      </c>
      <c r="O78" s="356">
        <v>1458</v>
      </c>
      <c r="P78" s="357">
        <v>8096</v>
      </c>
      <c r="Q78" s="357">
        <v>2384</v>
      </c>
      <c r="R78" s="208">
        <v>5032</v>
      </c>
      <c r="S78" s="87"/>
      <c r="T78" s="358">
        <v>52.845157999999998</v>
      </c>
      <c r="U78" s="358">
        <v>48.187122000000002</v>
      </c>
      <c r="V78" s="358">
        <v>17.537374</v>
      </c>
      <c r="W78" s="358">
        <v>26.701878000000001</v>
      </c>
      <c r="X78" s="358">
        <v>26.779684</v>
      </c>
      <c r="Y78" s="87"/>
      <c r="Z78" s="359">
        <v>1.6080000000000001</v>
      </c>
      <c r="AA78" s="359">
        <v>1.4E-2</v>
      </c>
      <c r="AB78" s="32">
        <v>0</v>
      </c>
      <c r="AC78" s="32">
        <v>0</v>
      </c>
      <c r="AD78" s="33"/>
      <c r="AF78" s="30" t="str">
        <f t="shared" si="19"/>
        <v>·</v>
      </c>
      <c r="AG78" s="31">
        <f t="shared" si="20"/>
        <v>8.2424974568440256E-4</v>
      </c>
      <c r="AH78" s="31">
        <f t="shared" si="33"/>
        <v>2.9629242969113627E-4</v>
      </c>
      <c r="AI78" s="31">
        <f t="shared" si="28"/>
        <v>4.4344437463841201E-4</v>
      </c>
      <c r="AJ78" s="51"/>
      <c r="AK78" s="31">
        <f t="shared" si="23"/>
        <v>4.5486968449931409</v>
      </c>
      <c r="AL78" s="356">
        <v>1458</v>
      </c>
      <c r="AM78" s="357">
        <v>6632</v>
      </c>
      <c r="AN78" s="357">
        <v>2384</v>
      </c>
      <c r="AO78" s="208">
        <v>3568</v>
      </c>
      <c r="AP78" s="87"/>
      <c r="AQ78" s="358">
        <v>52.845157999999998</v>
      </c>
      <c r="AR78" s="358">
        <v>48.187122000000002</v>
      </c>
      <c r="AS78" s="358">
        <v>17.606172999999998</v>
      </c>
      <c r="AT78" s="358">
        <v>28.921161999999999</v>
      </c>
      <c r="AU78" s="358">
        <v>28.239414</v>
      </c>
      <c r="AV78" s="87"/>
      <c r="AW78" s="359">
        <v>2.4590000000000001</v>
      </c>
      <c r="AX78" s="359">
        <v>3.0000000000000001E-3</v>
      </c>
      <c r="AY78" s="32">
        <v>0</v>
      </c>
      <c r="AZ78" s="32">
        <v>0</v>
      </c>
      <c r="BA78" s="33">
        <v>48897</v>
      </c>
      <c r="BC78" s="56" t="e">
        <f t="shared" si="27"/>
        <v>#DIV/0!</v>
      </c>
      <c r="BD78" s="57" t="e">
        <f t="shared" si="26"/>
        <v>#DIV/0!</v>
      </c>
      <c r="BE78" s="57">
        <f t="shared" si="24"/>
        <v>6.500283688619557E-2</v>
      </c>
      <c r="BF78" s="58"/>
      <c r="BH78" s="74"/>
      <c r="BI78" s="75"/>
      <c r="BJ78" s="75"/>
      <c r="BK78" s="75"/>
      <c r="BL78" s="75"/>
      <c r="BM78" s="87"/>
      <c r="BO78" s="74"/>
      <c r="BP78" s="75"/>
      <c r="BQ78" s="75"/>
      <c r="BR78" s="75"/>
      <c r="BS78" s="75"/>
      <c r="BT78" s="87"/>
      <c r="BV78" s="74"/>
      <c r="BW78" s="75"/>
      <c r="BX78" s="75"/>
      <c r="BY78" s="75"/>
      <c r="BZ78" s="75"/>
      <c r="CA78" s="87"/>
      <c r="CC78" s="74"/>
      <c r="CD78" s="75"/>
      <c r="CE78" s="75"/>
      <c r="CF78" s="75"/>
      <c r="CG78" s="75"/>
      <c r="CH78" s="87"/>
      <c r="CJ78" s="74"/>
      <c r="CK78" s="75"/>
      <c r="CL78" s="75"/>
      <c r="CM78" s="75"/>
      <c r="CN78" s="75"/>
      <c r="CO78" s="87"/>
      <c r="CQ78" s="74"/>
      <c r="CR78" s="75"/>
      <c r="CS78" s="75"/>
      <c r="CT78" s="75"/>
      <c r="CU78" s="75"/>
      <c r="CV78" s="87"/>
    </row>
    <row r="79" spans="1:100" s="1" customFormat="1" outlineLevel="1">
      <c r="A79" s="13"/>
      <c r="B79" s="14" t="s">
        <v>1122</v>
      </c>
      <c r="C79" s="15" t="s">
        <v>133</v>
      </c>
      <c r="D79" s="479">
        <v>8046105</v>
      </c>
      <c r="E79" s="15">
        <v>15</v>
      </c>
      <c r="F79" s="15">
        <v>1</v>
      </c>
      <c r="G79" s="16"/>
      <c r="I79" s="30" t="str">
        <f t="shared" si="14"/>
        <v>·</v>
      </c>
      <c r="J79" s="31">
        <f t="shared" si="15"/>
        <v>1.3293388540169437E-2</v>
      </c>
      <c r="K79" s="31">
        <f t="shared" si="16"/>
        <v>3.2472854878229903E-3</v>
      </c>
      <c r="L79" s="31">
        <f t="shared" si="31"/>
        <v>9.9586073012967145E-3</v>
      </c>
      <c r="M79" s="51"/>
      <c r="N79" s="31">
        <f t="shared" si="18"/>
        <v>5.1998055420515312</v>
      </c>
      <c r="O79" s="356">
        <v>20570</v>
      </c>
      <c r="P79" s="357">
        <v>106960</v>
      </c>
      <c r="Q79" s="357">
        <v>26128</v>
      </c>
      <c r="R79" s="208">
        <v>80128</v>
      </c>
      <c r="S79" s="87"/>
      <c r="T79" s="358">
        <v>64.872756999999993</v>
      </c>
      <c r="U79" s="358">
        <v>60.205734</v>
      </c>
      <c r="V79" s="358">
        <v>20.156883000000001</v>
      </c>
      <c r="W79" s="358">
        <v>31.716532000000001</v>
      </c>
      <c r="X79" s="358">
        <v>31.328970000000002</v>
      </c>
      <c r="Y79" s="87"/>
      <c r="Z79" s="359">
        <v>1.7709999999999999</v>
      </c>
      <c r="AA79" s="359">
        <v>0.03</v>
      </c>
      <c r="AB79" s="32">
        <v>0</v>
      </c>
      <c r="AC79" s="32">
        <v>0</v>
      </c>
      <c r="AD79" s="33"/>
      <c r="AF79" s="30" t="str">
        <f t="shared" si="19"/>
        <v>·</v>
      </c>
      <c r="AG79" s="31">
        <f t="shared" si="20"/>
        <v>1.083356481179403E-2</v>
      </c>
      <c r="AH79" s="31">
        <f t="shared" si="33"/>
        <v>3.2472854878229903E-3</v>
      </c>
      <c r="AI79" s="31">
        <f t="shared" si="28"/>
        <v>7.4987835729213078E-3</v>
      </c>
      <c r="AJ79" s="51"/>
      <c r="AK79" s="31">
        <f t="shared" si="23"/>
        <v>4.2376276130286827</v>
      </c>
      <c r="AL79" s="356">
        <v>20570</v>
      </c>
      <c r="AM79" s="357">
        <v>87168</v>
      </c>
      <c r="AN79" s="357">
        <v>26128</v>
      </c>
      <c r="AO79" s="208">
        <v>60336</v>
      </c>
      <c r="AP79" s="87"/>
      <c r="AQ79" s="358">
        <v>64.872756999999993</v>
      </c>
      <c r="AR79" s="358">
        <v>60.205734</v>
      </c>
      <c r="AS79" s="358">
        <v>20.160326000000001</v>
      </c>
      <c r="AT79" s="358">
        <v>32.584187</v>
      </c>
      <c r="AU79" s="358">
        <v>32.106354000000003</v>
      </c>
      <c r="AV79" s="87"/>
      <c r="AW79" s="359">
        <v>2.6349999999999998</v>
      </c>
      <c r="AX79" s="359">
        <v>3.7999999999999999E-2</v>
      </c>
      <c r="AY79" s="32">
        <v>0</v>
      </c>
      <c r="AZ79" s="32">
        <v>0</v>
      </c>
      <c r="BA79" s="33">
        <v>3072</v>
      </c>
      <c r="BC79" s="56" t="e">
        <f t="shared" si="27"/>
        <v>#DIV/0!</v>
      </c>
      <c r="BD79" s="57" t="e">
        <f t="shared" si="26"/>
        <v>#DIV/0!</v>
      </c>
      <c r="BE79" s="57">
        <f t="shared" si="24"/>
        <v>5.5464790109138212E-2</v>
      </c>
      <c r="BF79" s="58"/>
      <c r="BH79" s="74"/>
      <c r="BI79" s="75"/>
      <c r="BJ79" s="75"/>
      <c r="BK79" s="75"/>
      <c r="BL79" s="75"/>
      <c r="BM79" s="87"/>
      <c r="BO79" s="74"/>
      <c r="BP79" s="75"/>
      <c r="BQ79" s="75"/>
      <c r="BR79" s="75"/>
      <c r="BS79" s="75"/>
      <c r="BT79" s="87"/>
      <c r="BV79" s="74"/>
      <c r="BW79" s="75"/>
      <c r="BX79" s="75"/>
      <c r="BY79" s="75"/>
      <c r="BZ79" s="75"/>
      <c r="CA79" s="87"/>
      <c r="CC79" s="74"/>
      <c r="CD79" s="75"/>
      <c r="CE79" s="75"/>
      <c r="CF79" s="75"/>
      <c r="CG79" s="75"/>
      <c r="CH79" s="87"/>
      <c r="CJ79" s="74"/>
      <c r="CK79" s="75"/>
      <c r="CL79" s="75"/>
      <c r="CM79" s="75"/>
      <c r="CN79" s="75"/>
      <c r="CO79" s="87"/>
      <c r="CQ79" s="74"/>
      <c r="CR79" s="75"/>
      <c r="CS79" s="75"/>
      <c r="CT79" s="75"/>
      <c r="CU79" s="75"/>
      <c r="CV79" s="87"/>
    </row>
    <row r="80" spans="1:100" s="1" customFormat="1" outlineLevel="1">
      <c r="A80" s="13"/>
      <c r="B80" s="14" t="s">
        <v>1122</v>
      </c>
      <c r="C80" s="15" t="s">
        <v>134</v>
      </c>
      <c r="D80" s="479">
        <v>8046105</v>
      </c>
      <c r="E80" s="15">
        <v>15</v>
      </c>
      <c r="F80" s="15">
        <v>1</v>
      </c>
      <c r="G80" s="16"/>
      <c r="I80" s="30" t="str">
        <f t="shared" si="14"/>
        <v>·</v>
      </c>
      <c r="J80" s="31">
        <f t="shared" si="15"/>
        <v>6.2271123730053238E-2</v>
      </c>
      <c r="K80" s="31">
        <f t="shared" si="16"/>
        <v>1.0377194928477817E-2</v>
      </c>
      <c r="L80" s="31">
        <f t="shared" si="31"/>
        <v>5.1805438780627398E-2</v>
      </c>
      <c r="M80" s="51"/>
      <c r="N80" s="31">
        <f t="shared" si="18"/>
        <v>6.3940786115364983</v>
      </c>
      <c r="O80" s="356">
        <v>78360</v>
      </c>
      <c r="P80" s="357">
        <v>501040</v>
      </c>
      <c r="Q80" s="357">
        <v>83496</v>
      </c>
      <c r="R80" s="208">
        <v>416832</v>
      </c>
      <c r="S80" s="87"/>
      <c r="T80" s="358">
        <v>71.001998999999998</v>
      </c>
      <c r="U80" s="358">
        <v>66.226333999999994</v>
      </c>
      <c r="V80" s="358">
        <v>21.120981</v>
      </c>
      <c r="W80" s="358">
        <v>34.207797999999997</v>
      </c>
      <c r="X80" s="358">
        <v>34.068626000000002</v>
      </c>
      <c r="Y80" s="87"/>
      <c r="Z80" s="359">
        <v>2.004</v>
      </c>
      <c r="AA80" s="359">
        <v>0.09</v>
      </c>
      <c r="AB80" s="32">
        <v>0</v>
      </c>
      <c r="AC80" s="32">
        <v>0</v>
      </c>
      <c r="AD80" s="33"/>
      <c r="AF80" s="30" t="str">
        <f t="shared" si="19"/>
        <v>·</v>
      </c>
      <c r="AG80" s="31">
        <f t="shared" si="20"/>
        <v>5.2175307182792167E-2</v>
      </c>
      <c r="AH80" s="31">
        <f t="shared" si="33"/>
        <v>1.0377194928477817E-2</v>
      </c>
      <c r="AI80" s="31">
        <f t="shared" si="28"/>
        <v>4.1709622233366328E-2</v>
      </c>
      <c r="AJ80" s="51"/>
      <c r="AK80" s="31">
        <f t="shared" si="23"/>
        <v>5.3574272588055134</v>
      </c>
      <c r="AL80" s="356">
        <v>78360</v>
      </c>
      <c r="AM80" s="357">
        <v>419808</v>
      </c>
      <c r="AN80" s="357">
        <v>83496</v>
      </c>
      <c r="AO80" s="208">
        <v>335600</v>
      </c>
      <c r="AP80" s="87"/>
      <c r="AQ80" s="358">
        <v>71.001998999999998</v>
      </c>
      <c r="AR80" s="358">
        <v>66.226333999999994</v>
      </c>
      <c r="AS80" s="358">
        <v>21.120215999999999</v>
      </c>
      <c r="AT80" s="358">
        <v>34.587685</v>
      </c>
      <c r="AU80" s="358">
        <v>34.490696</v>
      </c>
      <c r="AV80" s="87"/>
      <c r="AW80" s="359">
        <v>3.016</v>
      </c>
      <c r="AX80" s="359">
        <v>0.14399999999999999</v>
      </c>
      <c r="AY80" s="32">
        <v>0</v>
      </c>
      <c r="AZ80" s="32">
        <v>0</v>
      </c>
      <c r="BA80" s="33">
        <v>768</v>
      </c>
      <c r="BC80" s="56" t="e">
        <f t="shared" si="27"/>
        <v>#DIV/0!</v>
      </c>
      <c r="BD80" s="57" t="e">
        <f t="shared" si="26"/>
        <v>#DIV/0!</v>
      </c>
      <c r="BE80" s="57">
        <f t="shared" si="24"/>
        <v>3.2245543949581901E-2</v>
      </c>
      <c r="BF80" s="58"/>
      <c r="BH80" s="74"/>
      <c r="BI80" s="75"/>
      <c r="BJ80" s="75"/>
      <c r="BK80" s="75"/>
      <c r="BL80" s="75"/>
      <c r="BM80" s="87"/>
      <c r="BO80" s="74"/>
      <c r="BP80" s="75"/>
      <c r="BQ80" s="75"/>
      <c r="BR80" s="75"/>
      <c r="BS80" s="75"/>
      <c r="BT80" s="87"/>
      <c r="BV80" s="74"/>
      <c r="BW80" s="75"/>
      <c r="BX80" s="75"/>
      <c r="BY80" s="75"/>
      <c r="BZ80" s="75"/>
      <c r="CA80" s="87"/>
      <c r="CC80" s="74"/>
      <c r="CD80" s="75"/>
      <c r="CE80" s="75"/>
      <c r="CF80" s="75"/>
      <c r="CG80" s="75"/>
      <c r="CH80" s="87"/>
      <c r="CJ80" s="74"/>
      <c r="CK80" s="75"/>
      <c r="CL80" s="75"/>
      <c r="CM80" s="75"/>
      <c r="CN80" s="75"/>
      <c r="CO80" s="87"/>
      <c r="CQ80" s="74"/>
      <c r="CR80" s="75"/>
      <c r="CS80" s="75"/>
      <c r="CT80" s="75"/>
      <c r="CU80" s="75"/>
      <c r="CV80" s="87"/>
    </row>
    <row r="81" spans="1:100" s="1" customFormat="1" outlineLevel="1">
      <c r="A81" s="13"/>
      <c r="B81" s="14" t="s">
        <v>1122</v>
      </c>
      <c r="C81" s="15" t="s">
        <v>135</v>
      </c>
      <c r="D81" s="479">
        <v>8046105</v>
      </c>
      <c r="E81" s="15">
        <v>15</v>
      </c>
      <c r="F81" s="15">
        <v>1</v>
      </c>
      <c r="G81" s="16"/>
      <c r="I81" s="30" t="str">
        <f t="shared" ref="I81:I82" si="34">IF(OR(ISBLANK(P81),ISBLANK(G81)),"·",P81*G81/F81/1000000)</f>
        <v>·</v>
      </c>
      <c r="J81" s="31">
        <f t="shared" ref="J81:J82" si="35">IF(ISBLANK(P81),"·",P81/D81)</f>
        <v>1.2417098708008409</v>
      </c>
      <c r="K81" s="31">
        <f t="shared" ref="K81:K82" si="36">IF(Q81="","·",Q81/D81)</f>
        <v>0.13816374506671239</v>
      </c>
      <c r="L81" s="31">
        <f t="shared" si="31"/>
        <v>1.1034556471733838</v>
      </c>
      <c r="M81" s="51"/>
      <c r="N81" s="31">
        <f t="shared" ref="N81:N82" si="37">IF(ISBLANK(P81),"·",P81/O81)</f>
        <v>8.515796229702282</v>
      </c>
      <c r="O81" s="356">
        <v>1173223</v>
      </c>
      <c r="P81" s="357">
        <v>9990928</v>
      </c>
      <c r="Q81" s="357">
        <v>1111680</v>
      </c>
      <c r="R81" s="208">
        <v>8878520</v>
      </c>
      <c r="S81" s="87"/>
      <c r="T81" s="358">
        <v>82.892189000000002</v>
      </c>
      <c r="U81" s="358">
        <v>78.267532000000003</v>
      </c>
      <c r="V81" s="358">
        <v>22.926966</v>
      </c>
      <c r="W81" s="358">
        <v>37.018535999999997</v>
      </c>
      <c r="X81" s="358">
        <v>37.804771000000002</v>
      </c>
      <c r="Y81" s="87"/>
      <c r="Z81" s="359">
        <v>5.1580000000000004</v>
      </c>
      <c r="AA81" s="359">
        <v>1.2410000000000001</v>
      </c>
      <c r="AB81" s="32">
        <v>0</v>
      </c>
      <c r="AC81" s="32">
        <v>0</v>
      </c>
      <c r="AD81" s="33"/>
      <c r="AF81" s="30" t="str">
        <f t="shared" ref="AF81:AF82" si="38">IF(OR(ISBLANK(AM81),ISBLANK(G81)),"·",AM81*G81/F81/1000000)</f>
        <v>·</v>
      </c>
      <c r="AG81" s="31">
        <f t="shared" ref="AG81:AG82" si="39">IF(ISBLANK(AM81),"·",AM81/D81)</f>
        <v>1.1283919362225574</v>
      </c>
      <c r="AH81" s="31">
        <f t="shared" si="33"/>
        <v>0.13816374506671239</v>
      </c>
      <c r="AI81" s="31">
        <f t="shared" si="28"/>
        <v>0.99013771259510042</v>
      </c>
      <c r="AJ81" s="51"/>
      <c r="AK81" s="31">
        <f t="shared" ref="AK81:AK82" si="40">IF(ISBLANK(AM81),"·",AM81/AL81)</f>
        <v>7.738648151289226</v>
      </c>
      <c r="AL81" s="356">
        <v>1173223</v>
      </c>
      <c r="AM81" s="357">
        <v>9079160</v>
      </c>
      <c r="AN81" s="357">
        <v>1111680</v>
      </c>
      <c r="AO81" s="208">
        <v>7966752</v>
      </c>
      <c r="AP81" s="87"/>
      <c r="AQ81" s="358">
        <v>82.892189000000002</v>
      </c>
      <c r="AR81" s="358">
        <v>78.267532000000003</v>
      </c>
      <c r="AS81" s="358">
        <v>22.925854000000001</v>
      </c>
      <c r="AT81" s="358">
        <v>37.061202999999999</v>
      </c>
      <c r="AU81" s="358">
        <v>37.838425000000001</v>
      </c>
      <c r="AV81" s="87"/>
      <c r="AW81" s="359">
        <v>7.6950000000000003</v>
      </c>
      <c r="AX81" s="359">
        <v>2.3809999999999998</v>
      </c>
      <c r="AY81" s="32">
        <v>0</v>
      </c>
      <c r="AZ81" s="32">
        <v>0</v>
      </c>
      <c r="BA81" s="33">
        <v>48</v>
      </c>
      <c r="BC81" s="56" t="e">
        <f t="shared" si="27"/>
        <v>#DIV/0!</v>
      </c>
      <c r="BD81" s="57" t="e">
        <f t="shared" si="26"/>
        <v>#DIV/0!</v>
      </c>
      <c r="BE81" s="57">
        <f t="shared" ref="BE81:BE82" si="41">(AN81/AM81) - (Q81/P81)</f>
        <v>1.1174102206606779E-2</v>
      </c>
      <c r="BF81" s="58"/>
      <c r="BH81" s="74"/>
      <c r="BI81" s="75"/>
      <c r="BJ81" s="75"/>
      <c r="BK81" s="75"/>
      <c r="BL81" s="75"/>
      <c r="BM81" s="87"/>
      <c r="BO81" s="74"/>
      <c r="BP81" s="75"/>
      <c r="BQ81" s="75"/>
      <c r="BR81" s="75"/>
      <c r="BS81" s="75"/>
      <c r="BT81" s="87"/>
      <c r="BV81" s="74"/>
      <c r="BW81" s="75"/>
      <c r="BX81" s="75"/>
      <c r="BY81" s="75"/>
      <c r="BZ81" s="75"/>
      <c r="CA81" s="87"/>
      <c r="CC81" s="74"/>
      <c r="CD81" s="75"/>
      <c r="CE81" s="75"/>
      <c r="CF81" s="75"/>
      <c r="CG81" s="75"/>
      <c r="CH81" s="87"/>
      <c r="CJ81" s="74"/>
      <c r="CK81" s="75"/>
      <c r="CL81" s="75"/>
      <c r="CM81" s="75"/>
      <c r="CN81" s="75"/>
      <c r="CO81" s="87"/>
      <c r="CQ81" s="74"/>
      <c r="CR81" s="75"/>
      <c r="CS81" s="75"/>
      <c r="CT81" s="75"/>
      <c r="CU81" s="75"/>
      <c r="CV81" s="87"/>
    </row>
    <row r="82" spans="1:100" s="1" customFormat="1" ht="14.25" outlineLevel="1" thickBot="1">
      <c r="A82" s="17"/>
      <c r="B82" s="18" t="s">
        <v>1122</v>
      </c>
      <c r="C82" s="19" t="s">
        <v>136</v>
      </c>
      <c r="D82" s="480">
        <v>8046105</v>
      </c>
      <c r="E82" s="19">
        <v>15</v>
      </c>
      <c r="F82" s="19">
        <v>1</v>
      </c>
      <c r="G82" s="20"/>
      <c r="I82" s="34" t="str">
        <f t="shared" si="34"/>
        <v>·</v>
      </c>
      <c r="J82" s="35">
        <f t="shared" si="35"/>
        <v>6.2634410065491313</v>
      </c>
      <c r="K82" s="35">
        <f t="shared" si="36"/>
        <v>0.66023896034168084</v>
      </c>
      <c r="L82" s="35">
        <f t="shared" si="31"/>
        <v>5.6031105733768074</v>
      </c>
      <c r="M82" s="52"/>
      <c r="N82" s="35">
        <f t="shared" si="37"/>
        <v>12.500224226814352</v>
      </c>
      <c r="O82" s="360">
        <v>4031632</v>
      </c>
      <c r="P82" s="361">
        <v>50396304</v>
      </c>
      <c r="Q82" s="361">
        <v>5312352</v>
      </c>
      <c r="R82" s="209">
        <v>45083216</v>
      </c>
      <c r="S82" s="88"/>
      <c r="T82" s="362">
        <v>88.548454000000007</v>
      </c>
      <c r="U82" s="362">
        <v>84.288132000000004</v>
      </c>
      <c r="V82" s="362">
        <v>24.669461999999999</v>
      </c>
      <c r="W82" s="362">
        <v>39.252330999999998</v>
      </c>
      <c r="X82" s="362">
        <v>40.636391000000003</v>
      </c>
      <c r="Y82" s="88"/>
      <c r="Z82" s="363">
        <v>11.443</v>
      </c>
      <c r="AA82" s="363">
        <v>4.8940000000000001</v>
      </c>
      <c r="AB82" s="36">
        <v>0</v>
      </c>
      <c r="AC82" s="36">
        <v>0</v>
      </c>
      <c r="AD82" s="37"/>
      <c r="AF82" s="34" t="str">
        <f t="shared" si="38"/>
        <v>·</v>
      </c>
      <c r="AG82" s="35">
        <f t="shared" si="39"/>
        <v>5.9424817349512589</v>
      </c>
      <c r="AH82" s="35">
        <f t="shared" si="33"/>
        <v>0.66023896034168084</v>
      </c>
      <c r="AI82" s="35">
        <f t="shared" si="28"/>
        <v>5.282151301778935</v>
      </c>
      <c r="AJ82" s="52"/>
      <c r="AK82" s="35">
        <f t="shared" si="40"/>
        <v>11.859671716069323</v>
      </c>
      <c r="AL82" s="360">
        <v>4031632</v>
      </c>
      <c r="AM82" s="361">
        <v>47813832</v>
      </c>
      <c r="AN82" s="361">
        <v>5312352</v>
      </c>
      <c r="AO82" s="209">
        <v>42500744</v>
      </c>
      <c r="AP82" s="88"/>
      <c r="AQ82" s="362">
        <v>88.548454000000007</v>
      </c>
      <c r="AR82" s="362">
        <v>84.288132000000004</v>
      </c>
      <c r="AS82" s="362">
        <v>24.666381999999999</v>
      </c>
      <c r="AT82" s="362">
        <v>39.218113000000002</v>
      </c>
      <c r="AU82" s="362">
        <v>40.596370999999998</v>
      </c>
      <c r="AV82" s="88"/>
      <c r="AW82" s="363">
        <v>18.225999999999999</v>
      </c>
      <c r="AX82" s="363">
        <v>8.92</v>
      </c>
      <c r="AY82" s="36">
        <v>0</v>
      </c>
      <c r="AZ82" s="36">
        <v>0</v>
      </c>
      <c r="BA82" s="37">
        <v>12</v>
      </c>
      <c r="BC82" s="59" t="e">
        <f t="shared" si="27"/>
        <v>#DIV/0!</v>
      </c>
      <c r="BD82" s="60" t="e">
        <f t="shared" si="27"/>
        <v>#DIV/0!</v>
      </c>
      <c r="BE82" s="60">
        <f t="shared" si="41"/>
        <v>5.6933807305151185E-3</v>
      </c>
      <c r="BF82" s="61"/>
      <c r="BH82" s="77"/>
      <c r="BI82" s="78"/>
      <c r="BJ82" s="78"/>
      <c r="BK82" s="78"/>
      <c r="BL82" s="78"/>
      <c r="BM82" s="88"/>
      <c r="BO82" s="77"/>
      <c r="BP82" s="78"/>
      <c r="BQ82" s="78"/>
      <c r="BR82" s="78"/>
      <c r="BS82" s="78"/>
      <c r="BT82" s="88"/>
      <c r="BV82" s="77"/>
      <c r="BW82" s="78"/>
      <c r="BX82" s="78"/>
      <c r="BY82" s="78"/>
      <c r="BZ82" s="78"/>
      <c r="CA82" s="88"/>
      <c r="CC82" s="77"/>
      <c r="CD82" s="78"/>
      <c r="CE82" s="78"/>
      <c r="CF82" s="78"/>
      <c r="CG82" s="78"/>
      <c r="CH82" s="88"/>
      <c r="CJ82" s="77"/>
      <c r="CK82" s="78"/>
      <c r="CL82" s="78"/>
      <c r="CM82" s="78"/>
      <c r="CN82" s="78"/>
      <c r="CO82" s="88"/>
      <c r="CQ82" s="77"/>
      <c r="CR82" s="78"/>
      <c r="CS82" s="78"/>
      <c r="CT82" s="78"/>
      <c r="CU82" s="78"/>
      <c r="CV82" s="88"/>
    </row>
    <row r="83" spans="1:100">
      <c r="A83" s="91" t="s">
        <v>178</v>
      </c>
      <c r="B83" s="24" t="s">
        <v>466</v>
      </c>
      <c r="C83" s="25" t="s">
        <v>131</v>
      </c>
      <c r="D83" s="464">
        <v>59931072</v>
      </c>
      <c r="E83" s="25">
        <v>18</v>
      </c>
      <c r="F83" s="25">
        <v>600</v>
      </c>
      <c r="G83" s="26">
        <v>10</v>
      </c>
      <c r="I83" s="42">
        <f t="shared" ref="I83:I100" si="42">IF(OR(ISBLANK(P83),ISBLANK(G83)),"·",P83*G83/F83/1000000)</f>
        <v>0.7628969333333333</v>
      </c>
      <c r="J83" s="43">
        <f t="shared" ref="J83:J100" si="43">IF(ISBLANK(P83),"·",P83/D83)</f>
        <v>0.76377435731501686</v>
      </c>
      <c r="K83" s="43">
        <f t="shared" ref="K83:K100" si="44">IF(Q83="","·",Q83/D83)</f>
        <v>0.60619679888255629</v>
      </c>
      <c r="L83" s="55"/>
      <c r="M83" s="43">
        <f t="shared" ref="M83:M96" si="45">IF(ISBLANK(Q83),"·",S83/D83)</f>
        <v>0.15071153741418142</v>
      </c>
      <c r="N83" s="43">
        <f t="shared" ref="N83:N100" si="46">IF(ISBLANK(P83),"·",P83/O83)</f>
        <v>4.6622157438975336</v>
      </c>
      <c r="O83" s="352">
        <v>9818039</v>
      </c>
      <c r="P83" s="353">
        <v>45773816</v>
      </c>
      <c r="Q83" s="353">
        <v>36330024</v>
      </c>
      <c r="R83" s="55"/>
      <c r="S83" s="353">
        <v>9032304</v>
      </c>
      <c r="T83" s="354">
        <v>46.157924999999999</v>
      </c>
      <c r="U83" s="354">
        <v>41.486091999999999</v>
      </c>
      <c r="V83" s="87"/>
      <c r="W83" s="87"/>
      <c r="X83" s="87"/>
      <c r="Y83" s="354">
        <v>68.382857999999999</v>
      </c>
      <c r="Z83" s="355"/>
      <c r="AA83" s="355"/>
      <c r="AB83" s="48">
        <v>0</v>
      </c>
      <c r="AC83" s="48">
        <v>0</v>
      </c>
      <c r="AD83" s="49"/>
      <c r="AF83" s="42">
        <f t="shared" ref="AF83:AF100" si="47">IF(OR(ISBLANK(AM83),ISBLANK(G83)),"·",AM83*G83/F83/1000000)</f>
        <v>0.7628969333333333</v>
      </c>
      <c r="AG83" s="43">
        <f t="shared" ref="AG83:AG100" si="48">IF(ISBLANK(AM83),"·",AM83/D83)</f>
        <v>0.76377435731501686</v>
      </c>
      <c r="AH83" s="43">
        <f t="shared" ref="AH83:AH100" si="49">IF(AN83="","·",AN83/D83)</f>
        <v>0.60619679888255629</v>
      </c>
      <c r="AI83" s="55"/>
      <c r="AJ83" s="43">
        <f t="shared" ref="AJ83:AJ96" si="50">IF(ISBLANK(AN83),"·",AP83/D83)</f>
        <v>0.15071153741418142</v>
      </c>
      <c r="AK83" s="43">
        <f t="shared" ref="AK83:AK100" si="51">IF(ISBLANK(AM83),"·",AM83/AL83)</f>
        <v>4.6622157438975336</v>
      </c>
      <c r="AL83" s="352">
        <v>9818039</v>
      </c>
      <c r="AM83" s="353">
        <v>45773816</v>
      </c>
      <c r="AN83" s="353">
        <v>36330024</v>
      </c>
      <c r="AO83" s="55"/>
      <c r="AP83" s="353">
        <v>9032304</v>
      </c>
      <c r="AQ83" s="354">
        <v>46.157924999999999</v>
      </c>
      <c r="AR83" s="354">
        <v>41.486091999999999</v>
      </c>
      <c r="AS83" s="87"/>
      <c r="AT83" s="87"/>
      <c r="AU83" s="87"/>
      <c r="AV83" s="354">
        <v>68.382857999999999</v>
      </c>
      <c r="AW83" s="355">
        <v>270.48600000000005</v>
      </c>
      <c r="AX83" s="355">
        <v>18.704000000000061</v>
      </c>
      <c r="AY83" s="48">
        <v>0</v>
      </c>
      <c r="AZ83" s="48">
        <v>0</v>
      </c>
      <c r="BA83" s="49">
        <v>191766.38666666666</v>
      </c>
      <c r="BB83" s="281"/>
      <c r="BC83" s="65" t="e">
        <f>AY83/AB83</f>
        <v>#DIV/0!</v>
      </c>
      <c r="BD83" s="280" t="e">
        <f>AZ83/AC83</f>
        <v>#DIV/0!</v>
      </c>
      <c r="BE83" s="66">
        <f t="shared" ref="BE83:BE100" si="52">(AN83/AM83) - (Q83/P83)</f>
        <v>0</v>
      </c>
      <c r="BF83" s="67">
        <f t="array" ref="BF83">AVERAGE(AN83:AN88/AM83:AM88) - AVERAGE(Q83:Q88/P83:P88)</f>
        <v>0</v>
      </c>
      <c r="BH83" s="83">
        <f>IF( OR(ISBLANK($Q83:$Q88),ISBLANK($AN83:$AN88), ISBLANK($T83:$T88),ISBLANK($AQ83:$AQ88)), "·", bdRateHermite( $Q83:$Q88,$T83:$T88, $AN83:$AN88,$AQ83:$AQ88))</f>
        <v>0</v>
      </c>
      <c r="BI83" s="84">
        <f>IF(OR(ISBLANK($Q83:$Q88),ISBLANK($AN83:$AN88),ISBLANK($U83:$U88),ISBLANK($AR83:$AR88)),"·",bdRateHermite($Q83:$Q88,$U83:$U88,$AN83:$AN88,$AR83:$AR88))</f>
        <v>0</v>
      </c>
      <c r="BJ83" s="92"/>
      <c r="BK83" s="92"/>
      <c r="BL83" s="92"/>
      <c r="BM83" s="184">
        <f>IF( OR(ISBLANK($S83:$S88),ISBLANK($AP83:$AP88), ISBLANK($Y83:$Y88),ISBLANK($AV83:$AV88)), "·", bdRateHermite($S83:$S88,$Y83:$Y88, $AP83:$AP88,$AV83:$AV88))</f>
        <v>0</v>
      </c>
      <c r="BO83" s="83">
        <f>IF( OR(ISBLANK($P83:$P88),ISBLANK($AM83:$AM88), ISBLANK($T83:$T88),ISBLANK($AQ83:$AQ88)), "·", bdRateHermite($P83:$P88,$T83:$T88, $AM83:$AM88,$AQ83:$AQ88))</f>
        <v>0</v>
      </c>
      <c r="BP83" s="84">
        <f>IF( OR(ISBLANK($P83:$P88),ISBLANK($AM83:$AM88), ISBLANK($U83:$U88),ISBLANK($AR83:$AR88)), "·", bdRateHermite( $P83:$P88,$U83:$U88, $AM83:$AM88,$AR83:$AR88))</f>
        <v>0</v>
      </c>
      <c r="BQ83" s="92"/>
      <c r="BR83" s="87"/>
      <c r="BS83" s="92"/>
      <c r="BT83" s="85">
        <f>IF( OR(ISBLANK($P83:$P88),ISBLANK($AM83:$AM88), ISBLANK($Y83:$Y88),ISBLANK($AV83:$AV88)), "·", bdRateHermite( $P83:$P88,$Y83:$Y88, $AM83:$AM88,$AV83:$AV88))</f>
        <v>0</v>
      </c>
      <c r="BV83" s="83">
        <f>IF( OR(ISBLANK($Q83:$Q88),ISBLANK($AN83:$AN88), ISBLANK($T83:$T88),ISBLANK($AQ83:$AQ88)), "·", bdRateHermite( $Q84:$Q88,$T84:$T88, $AN84:$AN88,$AQ84:$AQ88))</f>
        <v>0</v>
      </c>
      <c r="BW83" s="84">
        <f>IF(OR(ISBLANK($Q83:$Q88),ISBLANK($AN83:$AN88),ISBLANK($U83:$U88),ISBLANK($AR83:$AR88)),"·",bdRateHermite($Q84:$Q88,$U84:$U88,$AN84:$AN88,$AR84:$AR88))</f>
        <v>0</v>
      </c>
      <c r="BX83" s="92"/>
      <c r="BY83" s="92"/>
      <c r="BZ83" s="92"/>
      <c r="CA83" s="184">
        <f>IF( OR(ISBLANK($S83:$S88),ISBLANK($AP83:$AP88), ISBLANK($Y83:$Y88),ISBLANK($AV83:$AV88)), "·", bdRateHermite($S84:$S88,$Y84:$Y88, $AP84:$AP88,$AV84:$AV88))</f>
        <v>0</v>
      </c>
      <c r="CC83" s="83">
        <f>IF( OR(ISBLANK($P83:$P88),ISBLANK($AM83:$AM88), ISBLANK($T83:$T88),ISBLANK($AQ83:$AQ88)), "·", bdRateHermite($P84:$P88,$T84:$T88, $AM84:$AM88,$AQ84:$AQ88))</f>
        <v>0</v>
      </c>
      <c r="CD83" s="84">
        <f>IF( OR(ISBLANK($P83:$P88),ISBLANK($AM83:$AM88), ISBLANK($U83:$U88),ISBLANK($AR83:$AR88)), "·", bdRateHermite( $P84:$P88,$U84:$U88, $AM84:$AM88,$AR84:$AR88))</f>
        <v>0</v>
      </c>
      <c r="CE83" s="92"/>
      <c r="CF83" s="92"/>
      <c r="CG83" s="92"/>
      <c r="CH83" s="85">
        <f>IF( OR(ISBLANK($P83:$P88),ISBLANK($AM83:$AM88), ISBLANK($Y83:$Y88),ISBLANK($AV83:$AV88)), "·", bdRateHermite( $P84:$P88,$Y84:$Y88, $AM84:$AM88,$AV84:$AV88))</f>
        <v>0</v>
      </c>
      <c r="CJ83" s="83">
        <f>IF( OR(ISBLANK($Q83:$Q87),ISBLANK($AN83:$AN87), ISBLANK($T83:$T87),ISBLANK($AQ83:$AQ87)), "·", bdRateHermite( $Q83:$Q87,$T83:$T87, $AN83:$AN87,$AQ83:$AQ87))</f>
        <v>0</v>
      </c>
      <c r="CK83" s="84">
        <f>IF(OR(ISBLANK($Q83:$Q87),ISBLANK($AN83:$AN87),ISBLANK($U83:$U87),ISBLANK($AR83:$AR87)),"·",bdRateHermite($Q83:$Q87,$U83:$U87,$AN83:$AN87,$AR83:$AR87))</f>
        <v>0</v>
      </c>
      <c r="CL83" s="92"/>
      <c r="CM83" s="92"/>
      <c r="CN83" s="92"/>
      <c r="CO83" s="184">
        <f>IF( OR(ISBLANK($S83:$S88),ISBLANK($AP83:$AP88), ISBLANK($Y83:$Y88),ISBLANK($AV83:$AV88)), "·", bdRateHermite($S83:$S87,$Y83:$Y87, $AP83:$AP87,$AV83:$AV87))</f>
        <v>0</v>
      </c>
      <c r="CQ83" s="83">
        <f>IF( OR(ISBLANK($P83:$P87),ISBLANK($AM83:$AM87), ISBLANK($T83:$T87),ISBLANK($AQ83:$AQ87)), "·", bdRateHermite($P83:$P87,$T83:$T87, $AM83:$AM87,$AQ83:$AQ87))</f>
        <v>0</v>
      </c>
      <c r="CR83" s="84">
        <f>IF( OR(ISBLANK($P83:$P87),ISBLANK($AM83:$AM87), ISBLANK($U83:$U87),ISBLANK($AR83:$AR87)), "·", bdRateHermite( $P83:$P87,$U83:$U87, $AM83:$AM87,$AR83:$AR87))</f>
        <v>0</v>
      </c>
      <c r="CS83" s="92"/>
      <c r="CT83" s="92"/>
      <c r="CU83" s="92"/>
      <c r="CV83" s="85">
        <f>IF( OR(ISBLANK($P83:$P88),ISBLANK($AM83:$AM88), ISBLANK($Y83:$Y88),ISBLANK($AV83:$AV88)), "·", bdRateHermite( $P83:$P87,$Y83:$Y87, $AM83:$AM87,$AV83:$AV87))</f>
        <v>0</v>
      </c>
    </row>
    <row r="84" spans="1:100" outlineLevel="1">
      <c r="A84" s="13"/>
      <c r="B84" s="14" t="s">
        <v>466</v>
      </c>
      <c r="C84" s="15" t="s">
        <v>132</v>
      </c>
      <c r="D84" s="465">
        <f>D$83</f>
        <v>59931072</v>
      </c>
      <c r="E84" s="15">
        <v>18</v>
      </c>
      <c r="F84" s="25">
        <v>600</v>
      </c>
      <c r="G84" s="16">
        <v>10</v>
      </c>
      <c r="I84" s="30">
        <f t="shared" si="42"/>
        <v>1.8017661333333332</v>
      </c>
      <c r="J84" s="31">
        <f t="shared" si="43"/>
        <v>1.8038383828675717</v>
      </c>
      <c r="K84" s="31">
        <f t="shared" si="44"/>
        <v>1.3263940281261781</v>
      </c>
      <c r="L84" s="51"/>
      <c r="M84" s="31">
        <f t="shared" si="45"/>
        <v>0.47047928660445121</v>
      </c>
      <c r="N84" s="31">
        <f t="shared" si="46"/>
        <v>5.6485335758567938</v>
      </c>
      <c r="O84" s="356">
        <v>19138767</v>
      </c>
      <c r="P84" s="357">
        <v>108105968</v>
      </c>
      <c r="Q84" s="357">
        <v>79492216</v>
      </c>
      <c r="R84" s="51"/>
      <c r="S84" s="357">
        <v>28196328</v>
      </c>
      <c r="T84" s="358">
        <v>52.170566999999998</v>
      </c>
      <c r="U84" s="358">
        <v>47.506638000000002</v>
      </c>
      <c r="V84" s="87"/>
      <c r="W84" s="87"/>
      <c r="X84" s="87"/>
      <c r="Y84" s="358">
        <v>72.232590000000002</v>
      </c>
      <c r="Z84" s="359"/>
      <c r="AA84" s="359"/>
      <c r="AB84" s="32">
        <v>0</v>
      </c>
      <c r="AC84" s="32">
        <v>0</v>
      </c>
      <c r="AD84" s="33"/>
      <c r="AF84" s="30">
        <f t="shared" si="47"/>
        <v>1.8017661333333332</v>
      </c>
      <c r="AG84" s="31">
        <f t="shared" si="48"/>
        <v>1.8038383828675717</v>
      </c>
      <c r="AH84" s="31">
        <f t="shared" si="49"/>
        <v>1.3263940281261781</v>
      </c>
      <c r="AI84" s="51"/>
      <c r="AJ84" s="31">
        <f t="shared" si="50"/>
        <v>0.47047928660445121</v>
      </c>
      <c r="AK84" s="31">
        <f t="shared" si="51"/>
        <v>5.6485335758567938</v>
      </c>
      <c r="AL84" s="356">
        <v>19138767</v>
      </c>
      <c r="AM84" s="357">
        <v>108105968</v>
      </c>
      <c r="AN84" s="357">
        <v>79492216</v>
      </c>
      <c r="AO84" s="51"/>
      <c r="AP84" s="357">
        <v>28196328</v>
      </c>
      <c r="AQ84" s="358">
        <v>52.170566999999998</v>
      </c>
      <c r="AR84" s="358">
        <v>47.506638000000002</v>
      </c>
      <c r="AS84" s="87"/>
      <c r="AT84" s="87"/>
      <c r="AU84" s="87"/>
      <c r="AV84" s="358">
        <v>72.232590000000002</v>
      </c>
      <c r="AW84" s="359">
        <v>297.23499999999967</v>
      </c>
      <c r="AX84" s="359">
        <v>38.433000000000071</v>
      </c>
      <c r="AY84" s="32">
        <v>0</v>
      </c>
      <c r="AZ84" s="32">
        <v>0</v>
      </c>
      <c r="BA84" s="33">
        <v>47941.818333333336</v>
      </c>
      <c r="BB84" s="281"/>
      <c r="BC84" s="65" t="e">
        <f t="shared" ref="BC84:BD94" si="53">AY84/AB84</f>
        <v>#DIV/0!</v>
      </c>
      <c r="BD84" s="280" t="e">
        <f t="shared" si="53"/>
        <v>#DIV/0!</v>
      </c>
      <c r="BE84" s="57">
        <f t="shared" si="52"/>
        <v>0</v>
      </c>
      <c r="BF84" s="58"/>
      <c r="BH84" s="74"/>
      <c r="BI84" s="75"/>
      <c r="BJ84" s="87"/>
      <c r="BK84" s="87"/>
      <c r="BL84" s="87"/>
      <c r="BM84" s="76"/>
      <c r="BO84" s="74"/>
      <c r="BP84" s="75"/>
      <c r="BQ84" s="87"/>
      <c r="BR84" s="87"/>
      <c r="BS84" s="87"/>
      <c r="BT84" s="76"/>
      <c r="BV84" s="74"/>
      <c r="BW84" s="75"/>
      <c r="BX84" s="87"/>
      <c r="BY84" s="87"/>
      <c r="BZ84" s="87"/>
      <c r="CA84" s="76"/>
      <c r="CC84" s="74"/>
      <c r="CD84" s="75"/>
      <c r="CE84" s="87"/>
      <c r="CF84" s="87"/>
      <c r="CG84" s="87"/>
      <c r="CH84" s="76"/>
      <c r="CJ84" s="74"/>
      <c r="CK84" s="75"/>
      <c r="CL84" s="87"/>
      <c r="CM84" s="87"/>
      <c r="CN84" s="87"/>
      <c r="CO84" s="76"/>
      <c r="CQ84" s="74"/>
      <c r="CR84" s="75"/>
      <c r="CS84" s="87"/>
      <c r="CT84" s="87"/>
      <c r="CU84" s="87"/>
      <c r="CV84" s="76"/>
    </row>
    <row r="85" spans="1:100" outlineLevel="1">
      <c r="A85" s="13"/>
      <c r="B85" s="14" t="s">
        <v>466</v>
      </c>
      <c r="C85" s="15" t="s">
        <v>133</v>
      </c>
      <c r="D85" s="465">
        <f t="shared" ref="D85:D88" si="54">D$83</f>
        <v>59931072</v>
      </c>
      <c r="E85" s="15">
        <v>18</v>
      </c>
      <c r="F85" s="25">
        <v>600</v>
      </c>
      <c r="G85" s="16">
        <v>10</v>
      </c>
      <c r="I85" s="30">
        <f t="shared" si="42"/>
        <v>5.6624469333333334</v>
      </c>
      <c r="J85" s="31">
        <f t="shared" si="43"/>
        <v>5.6689594339310334</v>
      </c>
      <c r="K85" s="31">
        <f t="shared" si="44"/>
        <v>4.372921078401534</v>
      </c>
      <c r="L85" s="51"/>
      <c r="M85" s="31">
        <f t="shared" si="45"/>
        <v>1.2889926614361245</v>
      </c>
      <c r="N85" s="31">
        <f t="shared" si="46"/>
        <v>8.0966931770415815</v>
      </c>
      <c r="O85" s="356">
        <v>41961182</v>
      </c>
      <c r="P85" s="357">
        <v>339746816</v>
      </c>
      <c r="Q85" s="357">
        <v>262073848</v>
      </c>
      <c r="R85" s="51"/>
      <c r="S85" s="357">
        <v>77250712</v>
      </c>
      <c r="T85" s="358">
        <v>64.207802000000001</v>
      </c>
      <c r="U85" s="358">
        <v>59.515568000000002</v>
      </c>
      <c r="V85" s="87"/>
      <c r="W85" s="87"/>
      <c r="X85" s="87"/>
      <c r="Y85" s="358">
        <v>79.863647</v>
      </c>
      <c r="Z85" s="359"/>
      <c r="AA85" s="359"/>
      <c r="AB85" s="32">
        <v>0</v>
      </c>
      <c r="AC85" s="32">
        <v>0</v>
      </c>
      <c r="AD85" s="33"/>
      <c r="AF85" s="30">
        <f t="shared" si="47"/>
        <v>5.6624469333333334</v>
      </c>
      <c r="AG85" s="31">
        <f t="shared" si="48"/>
        <v>5.6689594339310334</v>
      </c>
      <c r="AH85" s="31">
        <f t="shared" si="49"/>
        <v>4.372921078401534</v>
      </c>
      <c r="AI85" s="51"/>
      <c r="AJ85" s="31">
        <f t="shared" si="50"/>
        <v>1.2889926614361245</v>
      </c>
      <c r="AK85" s="31">
        <f t="shared" si="51"/>
        <v>8.0966931770415815</v>
      </c>
      <c r="AL85" s="356">
        <v>41961182</v>
      </c>
      <c r="AM85" s="357">
        <v>339746816</v>
      </c>
      <c r="AN85" s="357">
        <v>262073848</v>
      </c>
      <c r="AO85" s="51"/>
      <c r="AP85" s="357">
        <v>77250712</v>
      </c>
      <c r="AQ85" s="358">
        <v>64.207802000000001</v>
      </c>
      <c r="AR85" s="358">
        <v>59.515568000000002</v>
      </c>
      <c r="AS85" s="87"/>
      <c r="AT85" s="87"/>
      <c r="AU85" s="87"/>
      <c r="AV85" s="358">
        <v>79.863647</v>
      </c>
      <c r="AW85" s="359">
        <v>429.48800000000006</v>
      </c>
      <c r="AX85" s="359">
        <v>103.6710000000004</v>
      </c>
      <c r="AY85" s="32">
        <v>0</v>
      </c>
      <c r="AZ85" s="32">
        <v>0</v>
      </c>
      <c r="BA85" s="33">
        <v>3018.8133333333335</v>
      </c>
      <c r="BB85" s="281"/>
      <c r="BC85" s="65" t="e">
        <f t="shared" si="53"/>
        <v>#DIV/0!</v>
      </c>
      <c r="BD85" s="280" t="e">
        <f t="shared" si="53"/>
        <v>#DIV/0!</v>
      </c>
      <c r="BE85" s="57">
        <f t="shared" si="52"/>
        <v>0</v>
      </c>
      <c r="BF85" s="58"/>
      <c r="BH85" s="74"/>
      <c r="BI85" s="75"/>
      <c r="BJ85" s="87"/>
      <c r="BK85" s="87"/>
      <c r="BL85" s="87"/>
      <c r="BM85" s="76"/>
      <c r="BO85" s="74"/>
      <c r="BP85" s="75"/>
      <c r="BQ85" s="87"/>
      <c r="BR85" s="87"/>
      <c r="BS85" s="87"/>
      <c r="BT85" s="76"/>
      <c r="BV85" s="74"/>
      <c r="BW85" s="75"/>
      <c r="BX85" s="87"/>
      <c r="BY85" s="87"/>
      <c r="BZ85" s="87"/>
      <c r="CA85" s="76"/>
      <c r="CC85" s="74"/>
      <c r="CD85" s="75"/>
      <c r="CE85" s="87"/>
      <c r="CF85" s="87"/>
      <c r="CG85" s="87"/>
      <c r="CH85" s="76"/>
      <c r="CJ85" s="74"/>
      <c r="CK85" s="75"/>
      <c r="CL85" s="87"/>
      <c r="CM85" s="87"/>
      <c r="CN85" s="87"/>
      <c r="CO85" s="76"/>
      <c r="CQ85" s="74"/>
      <c r="CR85" s="75"/>
      <c r="CS85" s="87"/>
      <c r="CT85" s="87"/>
      <c r="CU85" s="87"/>
      <c r="CV85" s="76"/>
    </row>
    <row r="86" spans="1:100" outlineLevel="1">
      <c r="A86" s="13"/>
      <c r="B86" s="14" t="s">
        <v>466</v>
      </c>
      <c r="C86" s="15" t="s">
        <v>134</v>
      </c>
      <c r="D86" s="465">
        <f t="shared" si="54"/>
        <v>59931072</v>
      </c>
      <c r="E86" s="15">
        <v>18</v>
      </c>
      <c r="F86" s="25">
        <v>600</v>
      </c>
      <c r="G86" s="16">
        <v>10</v>
      </c>
      <c r="I86" s="30">
        <f t="shared" si="42"/>
        <v>8.6016668000000003</v>
      </c>
      <c r="J86" s="31">
        <f t="shared" si="43"/>
        <v>8.6115597598521187</v>
      </c>
      <c r="K86" s="31">
        <f t="shared" si="44"/>
        <v>6.5689953952433893</v>
      </c>
      <c r="L86" s="51"/>
      <c r="M86" s="31">
        <f t="shared" si="45"/>
        <v>2.0354391124523854</v>
      </c>
      <c r="N86" s="31">
        <f t="shared" si="46"/>
        <v>11.101301059127774</v>
      </c>
      <c r="O86" s="356">
        <v>46490047</v>
      </c>
      <c r="P86" s="357">
        <v>516100008</v>
      </c>
      <c r="Q86" s="357">
        <v>393686936</v>
      </c>
      <c r="R86" s="51"/>
      <c r="S86" s="357">
        <v>121986048</v>
      </c>
      <c r="T86" s="358">
        <v>70.222740000000002</v>
      </c>
      <c r="U86" s="358">
        <v>65.479270999999997</v>
      </c>
      <c r="V86" s="87"/>
      <c r="W86" s="87"/>
      <c r="X86" s="87"/>
      <c r="Y86" s="358">
        <v>85.786063999999996</v>
      </c>
      <c r="Z86" s="359"/>
      <c r="AA86" s="359"/>
      <c r="AB86" s="32">
        <v>0</v>
      </c>
      <c r="AC86" s="32">
        <v>0</v>
      </c>
      <c r="AD86" s="33"/>
      <c r="AF86" s="30">
        <f t="shared" si="47"/>
        <v>8.6016668000000003</v>
      </c>
      <c r="AG86" s="31">
        <f t="shared" si="48"/>
        <v>8.6115597598521187</v>
      </c>
      <c r="AH86" s="31">
        <f t="shared" si="49"/>
        <v>6.5689953952433893</v>
      </c>
      <c r="AI86" s="51"/>
      <c r="AJ86" s="31">
        <f t="shared" si="50"/>
        <v>2.0354391124523854</v>
      </c>
      <c r="AK86" s="31">
        <f t="shared" si="51"/>
        <v>11.101301059127774</v>
      </c>
      <c r="AL86" s="356">
        <v>46490047</v>
      </c>
      <c r="AM86" s="357">
        <v>516100008</v>
      </c>
      <c r="AN86" s="357">
        <v>393686936</v>
      </c>
      <c r="AO86" s="51"/>
      <c r="AP86" s="357">
        <v>121986048</v>
      </c>
      <c r="AQ86" s="358">
        <v>70.222740000000002</v>
      </c>
      <c r="AR86" s="358">
        <v>65.479270999999997</v>
      </c>
      <c r="AS86" s="87"/>
      <c r="AT86" s="87"/>
      <c r="AU86" s="87"/>
      <c r="AV86" s="358">
        <v>85.786063999999996</v>
      </c>
      <c r="AW86" s="359">
        <v>471.43300000000022</v>
      </c>
      <c r="AX86" s="359">
        <v>155.35899999999981</v>
      </c>
      <c r="AY86" s="32">
        <v>0</v>
      </c>
      <c r="AZ86" s="32">
        <v>0</v>
      </c>
      <c r="BA86" s="33">
        <v>764.745</v>
      </c>
      <c r="BB86" s="281"/>
      <c r="BC86" s="65" t="e">
        <f t="shared" si="53"/>
        <v>#DIV/0!</v>
      </c>
      <c r="BD86" s="280" t="e">
        <f t="shared" si="53"/>
        <v>#DIV/0!</v>
      </c>
      <c r="BE86" s="57">
        <f t="shared" si="52"/>
        <v>0</v>
      </c>
      <c r="BF86" s="58"/>
      <c r="BH86" s="74"/>
      <c r="BI86" s="75"/>
      <c r="BJ86" s="87"/>
      <c r="BK86" s="87"/>
      <c r="BL86" s="87"/>
      <c r="BM86" s="76"/>
      <c r="BO86" s="74"/>
      <c r="BP86" s="75"/>
      <c r="BQ86" s="87"/>
      <c r="BR86" s="87"/>
      <c r="BS86" s="87"/>
      <c r="BT86" s="76"/>
      <c r="BV86" s="74"/>
      <c r="BW86" s="75"/>
      <c r="BX86" s="87"/>
      <c r="BY86" s="87"/>
      <c r="BZ86" s="87"/>
      <c r="CA86" s="76"/>
      <c r="CC86" s="74"/>
      <c r="CD86" s="75"/>
      <c r="CE86" s="87"/>
      <c r="CF86" s="87"/>
      <c r="CG86" s="87"/>
      <c r="CH86" s="76"/>
      <c r="CJ86" s="74"/>
      <c r="CK86" s="75"/>
      <c r="CL86" s="87"/>
      <c r="CM86" s="87"/>
      <c r="CN86" s="87"/>
      <c r="CO86" s="76"/>
      <c r="CQ86" s="74"/>
      <c r="CR86" s="75"/>
      <c r="CS86" s="87"/>
      <c r="CT86" s="87"/>
      <c r="CU86" s="87"/>
      <c r="CV86" s="76"/>
    </row>
    <row r="87" spans="1:100" outlineLevel="1">
      <c r="A87" s="13"/>
      <c r="B87" s="14" t="s">
        <v>466</v>
      </c>
      <c r="C87" s="15" t="s">
        <v>135</v>
      </c>
      <c r="D87" s="465">
        <f t="shared" si="54"/>
        <v>59931072</v>
      </c>
      <c r="E87" s="15">
        <v>18</v>
      </c>
      <c r="F87" s="25">
        <v>600</v>
      </c>
      <c r="G87" s="16">
        <v>10</v>
      </c>
      <c r="I87" s="30">
        <f t="shared" si="42"/>
        <v>14.147436666666666</v>
      </c>
      <c r="J87" s="31">
        <f t="shared" si="43"/>
        <v>14.163707934341639</v>
      </c>
      <c r="K87" s="31">
        <f t="shared" si="44"/>
        <v>11.282636826519639</v>
      </c>
      <c r="L87" s="51"/>
      <c r="M87" s="31">
        <f t="shared" si="45"/>
        <v>2.8738541503145481</v>
      </c>
      <c r="N87" s="31">
        <f t="shared" si="46"/>
        <v>17.730284497510606</v>
      </c>
      <c r="O87" s="356">
        <v>47875498</v>
      </c>
      <c r="P87" s="357">
        <v>848846200</v>
      </c>
      <c r="Q87" s="357">
        <v>676180520</v>
      </c>
      <c r="R87" s="51"/>
      <c r="S87" s="357">
        <v>172233160</v>
      </c>
      <c r="T87" s="358">
        <v>82.134231999999997</v>
      </c>
      <c r="U87" s="358">
        <v>77.501091000000002</v>
      </c>
      <c r="V87" s="87"/>
      <c r="W87" s="87"/>
      <c r="X87" s="87"/>
      <c r="Y87" s="358">
        <v>94.230048999999994</v>
      </c>
      <c r="Z87" s="359"/>
      <c r="AA87" s="359"/>
      <c r="AB87" s="32">
        <v>0</v>
      </c>
      <c r="AC87" s="32">
        <v>0</v>
      </c>
      <c r="AD87" s="33"/>
      <c r="AF87" s="30">
        <f t="shared" si="47"/>
        <v>14.147436666666666</v>
      </c>
      <c r="AG87" s="31">
        <f t="shared" si="48"/>
        <v>14.163707934341639</v>
      </c>
      <c r="AH87" s="31">
        <f t="shared" si="49"/>
        <v>11.282636826519639</v>
      </c>
      <c r="AI87" s="51"/>
      <c r="AJ87" s="31">
        <f t="shared" si="50"/>
        <v>2.8738541503145481</v>
      </c>
      <c r="AK87" s="31">
        <f t="shared" si="51"/>
        <v>17.730284497510606</v>
      </c>
      <c r="AL87" s="356">
        <v>47875498</v>
      </c>
      <c r="AM87" s="357">
        <v>848846200</v>
      </c>
      <c r="AN87" s="357">
        <v>676180520</v>
      </c>
      <c r="AO87" s="51"/>
      <c r="AP87" s="357">
        <v>172233160</v>
      </c>
      <c r="AQ87" s="358">
        <v>82.134231999999997</v>
      </c>
      <c r="AR87" s="358">
        <v>77.501091000000002</v>
      </c>
      <c r="AS87" s="87"/>
      <c r="AT87" s="87"/>
      <c r="AU87" s="87"/>
      <c r="AV87" s="358">
        <v>94.230048999999994</v>
      </c>
      <c r="AW87" s="359">
        <v>489.94900000000041</v>
      </c>
      <c r="AX87" s="359">
        <v>147.72599999999971</v>
      </c>
      <c r="AY87" s="32">
        <v>0</v>
      </c>
      <c r="AZ87" s="32">
        <v>0</v>
      </c>
      <c r="BA87" s="33">
        <v>48</v>
      </c>
      <c r="BB87" s="281"/>
      <c r="BC87" s="65" t="e">
        <f t="shared" si="53"/>
        <v>#DIV/0!</v>
      </c>
      <c r="BD87" s="280" t="e">
        <f t="shared" si="53"/>
        <v>#DIV/0!</v>
      </c>
      <c r="BE87" s="57">
        <f t="shared" si="52"/>
        <v>0</v>
      </c>
      <c r="BF87" s="58"/>
      <c r="BH87" s="74"/>
      <c r="BI87" s="75"/>
      <c r="BJ87" s="87"/>
      <c r="BK87" s="87"/>
      <c r="BL87" s="87"/>
      <c r="BM87" s="76"/>
      <c r="BO87" s="74"/>
      <c r="BP87" s="75"/>
      <c r="BQ87" s="87"/>
      <c r="BR87" s="87"/>
      <c r="BS87" s="87"/>
      <c r="BT87" s="76"/>
      <c r="BV87" s="74"/>
      <c r="BW87" s="75"/>
      <c r="BX87" s="87"/>
      <c r="BY87" s="87"/>
      <c r="BZ87" s="87"/>
      <c r="CA87" s="76"/>
      <c r="CC87" s="74"/>
      <c r="CD87" s="75"/>
      <c r="CE87" s="87"/>
      <c r="CF87" s="87"/>
      <c r="CG87" s="87"/>
      <c r="CH87" s="76"/>
      <c r="CJ87" s="74"/>
      <c r="CK87" s="75"/>
      <c r="CL87" s="87"/>
      <c r="CM87" s="87"/>
      <c r="CN87" s="87"/>
      <c r="CO87" s="76"/>
      <c r="CQ87" s="74"/>
      <c r="CR87" s="75"/>
      <c r="CS87" s="87"/>
      <c r="CT87" s="87"/>
      <c r="CU87" s="87"/>
      <c r="CV87" s="76"/>
    </row>
    <row r="88" spans="1:100" ht="14.25" outlineLevel="1" thickBot="1">
      <c r="A88" s="13"/>
      <c r="B88" s="21" t="s">
        <v>466</v>
      </c>
      <c r="C88" s="22" t="s">
        <v>136</v>
      </c>
      <c r="D88" s="465">
        <f t="shared" si="54"/>
        <v>59931072</v>
      </c>
      <c r="E88" s="22">
        <v>18</v>
      </c>
      <c r="F88" s="25">
        <v>600</v>
      </c>
      <c r="G88" s="23">
        <v>10</v>
      </c>
      <c r="I88" s="38">
        <f t="shared" si="42"/>
        <v>17.427124266666667</v>
      </c>
      <c r="J88" s="39">
        <f t="shared" si="43"/>
        <v>17.447167572774269</v>
      </c>
      <c r="K88" s="39">
        <f t="shared" si="44"/>
        <v>13.659572116447375</v>
      </c>
      <c r="L88" s="54"/>
      <c r="M88" s="39">
        <f t="shared" si="45"/>
        <v>3.7803008095700341</v>
      </c>
      <c r="N88" s="39">
        <f t="shared" si="46"/>
        <v>21.764824836892991</v>
      </c>
      <c r="O88" s="360">
        <v>48042080</v>
      </c>
      <c r="P88" s="361">
        <v>1045627456</v>
      </c>
      <c r="Q88" s="361">
        <v>818632800</v>
      </c>
      <c r="R88" s="54"/>
      <c r="S88" s="361">
        <v>226557480</v>
      </c>
      <c r="T88" s="362">
        <v>87.779342999999997</v>
      </c>
      <c r="U88" s="362">
        <v>83.522223999999994</v>
      </c>
      <c r="V88" s="89"/>
      <c r="W88" s="89"/>
      <c r="X88" s="89"/>
      <c r="Y88" s="362">
        <v>98.953247000000005</v>
      </c>
      <c r="Z88" s="363"/>
      <c r="AA88" s="363"/>
      <c r="AB88" s="36">
        <v>0</v>
      </c>
      <c r="AC88" s="36">
        <v>0</v>
      </c>
      <c r="AD88" s="37"/>
      <c r="AF88" s="38">
        <f t="shared" si="47"/>
        <v>17.427124266666667</v>
      </c>
      <c r="AG88" s="39">
        <f t="shared" si="48"/>
        <v>17.447167572774269</v>
      </c>
      <c r="AH88" s="39">
        <f t="shared" si="49"/>
        <v>13.659572116447375</v>
      </c>
      <c r="AI88" s="54"/>
      <c r="AJ88" s="39">
        <f t="shared" si="50"/>
        <v>3.7803008095700341</v>
      </c>
      <c r="AK88" s="39">
        <f t="shared" si="51"/>
        <v>21.764824836892991</v>
      </c>
      <c r="AL88" s="360">
        <v>48042080</v>
      </c>
      <c r="AM88" s="361">
        <v>1045627456</v>
      </c>
      <c r="AN88" s="361">
        <v>818632800</v>
      </c>
      <c r="AO88" s="54"/>
      <c r="AP88" s="361">
        <v>226557480</v>
      </c>
      <c r="AQ88" s="362">
        <v>87.779342999999997</v>
      </c>
      <c r="AR88" s="362">
        <v>83.522223999999994</v>
      </c>
      <c r="AS88" s="89"/>
      <c r="AT88" s="89"/>
      <c r="AU88" s="89"/>
      <c r="AV88" s="362">
        <v>98.953247000000005</v>
      </c>
      <c r="AW88" s="363">
        <v>494.40500000000048</v>
      </c>
      <c r="AX88" s="363">
        <v>153.25199999999987</v>
      </c>
      <c r="AY88" s="36">
        <v>0</v>
      </c>
      <c r="AZ88" s="36">
        <v>0</v>
      </c>
      <c r="BA88" s="37">
        <v>12</v>
      </c>
      <c r="BB88" s="281"/>
      <c r="BC88" s="65" t="e">
        <f t="shared" si="53"/>
        <v>#DIV/0!</v>
      </c>
      <c r="BD88" s="280" t="e">
        <f t="shared" si="53"/>
        <v>#DIV/0!</v>
      </c>
      <c r="BE88" s="63">
        <f t="shared" si="52"/>
        <v>0</v>
      </c>
      <c r="BF88" s="64"/>
      <c r="BH88" s="80"/>
      <c r="BI88" s="81"/>
      <c r="BJ88" s="89"/>
      <c r="BK88" s="89"/>
      <c r="BL88" s="89"/>
      <c r="BM88" s="82"/>
      <c r="BO88" s="80"/>
      <c r="BP88" s="81"/>
      <c r="BQ88" s="89"/>
      <c r="BR88" s="89"/>
      <c r="BS88" s="89"/>
      <c r="BT88" s="82"/>
      <c r="BV88" s="77"/>
      <c r="BW88" s="78"/>
      <c r="BX88" s="88"/>
      <c r="BY88" s="88"/>
      <c r="BZ88" s="88"/>
      <c r="CA88" s="79"/>
      <c r="CC88" s="80"/>
      <c r="CD88" s="81"/>
      <c r="CE88" s="89"/>
      <c r="CF88" s="89"/>
      <c r="CG88" s="89"/>
      <c r="CH88" s="82"/>
      <c r="CJ88" s="80"/>
      <c r="CK88" s="81"/>
      <c r="CL88" s="89"/>
      <c r="CM88" s="89"/>
      <c r="CN88" s="89"/>
      <c r="CO88" s="82"/>
      <c r="CQ88" s="80"/>
      <c r="CR88" s="81"/>
      <c r="CS88" s="89"/>
      <c r="CT88" s="89"/>
      <c r="CU88" s="89"/>
      <c r="CV88" s="82"/>
    </row>
    <row r="89" spans="1:100">
      <c r="A89" s="13"/>
      <c r="B89" s="27" t="s">
        <v>469</v>
      </c>
      <c r="C89" s="28" t="s">
        <v>131</v>
      </c>
      <c r="D89" s="466">
        <v>59935680</v>
      </c>
      <c r="E89" s="28">
        <v>18</v>
      </c>
      <c r="F89" s="28">
        <v>600</v>
      </c>
      <c r="G89" s="29">
        <v>10</v>
      </c>
      <c r="I89" s="46">
        <f t="shared" si="42"/>
        <v>0.61547613333333329</v>
      </c>
      <c r="J89" s="47">
        <f t="shared" si="43"/>
        <v>0.61613663180262579</v>
      </c>
      <c r="K89" s="47">
        <f t="shared" si="44"/>
        <v>0.48848512271822059</v>
      </c>
      <c r="L89" s="50"/>
      <c r="M89" s="47">
        <f t="shared" si="45"/>
        <v>0.12083019663746203</v>
      </c>
      <c r="N89" s="47">
        <f t="shared" si="46"/>
        <v>4.6022647809402768</v>
      </c>
      <c r="O89" s="352">
        <v>8023999</v>
      </c>
      <c r="P89" s="353">
        <v>36928568</v>
      </c>
      <c r="Q89" s="353">
        <v>29277688</v>
      </c>
      <c r="R89" s="50"/>
      <c r="S89" s="353">
        <v>7242040</v>
      </c>
      <c r="T89" s="354">
        <v>46.135216</v>
      </c>
      <c r="U89" s="354">
        <v>41.482909999999997</v>
      </c>
      <c r="V89" s="87"/>
      <c r="W89" s="87"/>
      <c r="X89" s="87"/>
      <c r="Y89" s="354">
        <v>68.195267000000001</v>
      </c>
      <c r="Z89" s="355"/>
      <c r="AA89" s="355"/>
      <c r="AB89" s="48">
        <v>0</v>
      </c>
      <c r="AC89" s="48">
        <v>0</v>
      </c>
      <c r="AD89" s="49"/>
      <c r="AF89" s="46">
        <f t="shared" si="47"/>
        <v>0.61547613333333329</v>
      </c>
      <c r="AG89" s="47">
        <f t="shared" si="48"/>
        <v>0.61613663180262579</v>
      </c>
      <c r="AH89" s="47">
        <f t="shared" si="49"/>
        <v>0.48848512271822059</v>
      </c>
      <c r="AI89" s="50"/>
      <c r="AJ89" s="47">
        <f t="shared" si="50"/>
        <v>0.12083019663746203</v>
      </c>
      <c r="AK89" s="47">
        <f t="shared" si="51"/>
        <v>4.6022647809402768</v>
      </c>
      <c r="AL89" s="352">
        <v>8023999</v>
      </c>
      <c r="AM89" s="353">
        <v>36928568</v>
      </c>
      <c r="AN89" s="353">
        <v>29277688</v>
      </c>
      <c r="AO89" s="50"/>
      <c r="AP89" s="353">
        <v>7242040</v>
      </c>
      <c r="AQ89" s="354">
        <v>46.135216</v>
      </c>
      <c r="AR89" s="354">
        <v>41.482909999999997</v>
      </c>
      <c r="AS89" s="87"/>
      <c r="AT89" s="87"/>
      <c r="AU89" s="87"/>
      <c r="AV89" s="354">
        <v>68.195267000000001</v>
      </c>
      <c r="AW89" s="355">
        <v>269.04699999999991</v>
      </c>
      <c r="AX89" s="355">
        <v>18.352000000000004</v>
      </c>
      <c r="AY89" s="48">
        <v>0</v>
      </c>
      <c r="AZ89" s="48">
        <v>0</v>
      </c>
      <c r="BA89" s="49">
        <v>191907.86666666667</v>
      </c>
      <c r="BC89" s="65" t="e">
        <f>AY89/AB89</f>
        <v>#DIV/0!</v>
      </c>
      <c r="BD89" s="69" t="e">
        <f t="shared" ref="BD89:BD100" si="55">AZ89/AC89</f>
        <v>#DIV/0!</v>
      </c>
      <c r="BE89" s="69">
        <f t="shared" si="52"/>
        <v>0</v>
      </c>
      <c r="BF89" s="70">
        <f t="array" ref="BF89">AVERAGE(AN89:AN94/AM89:AM94) - AVERAGE(Q89:Q94/P89:P94)</f>
        <v>0</v>
      </c>
      <c r="BH89" s="224">
        <f>IF( OR(ISBLANK($Q89:$Q94),ISBLANK($AN89:$AN94), ISBLANK($T89:$T94),ISBLANK($AQ89:$AQ94)), "·", bdRateHermite( $Q89:$Q94,$T89:$T94, $AN89:$AN94,$AQ89:$AQ94))</f>
        <v>0</v>
      </c>
      <c r="BI89" s="225">
        <f>IF(OR(ISBLANK($Q89:$Q94),ISBLANK($AN89:$AN94),ISBLANK($U89:$U94),ISBLANK($AR89:$AR94)),"·",bdRateHermite($Q89:$Q94,$U89:$U94,$AN89:$AN94,$AR89:$AR94))</f>
        <v>0</v>
      </c>
      <c r="BJ89" s="90"/>
      <c r="BK89" s="90"/>
      <c r="BL89" s="90"/>
      <c r="BM89" s="226">
        <f>IF( OR(ISBLANK($S89:$S94),ISBLANK($AP89:$AP94), ISBLANK($Y89:$Y94),ISBLANK($AV89:$AV94)), "·", bdRateHermite($S89:$S94,$Y89:$Y94, $AP89:$AP94,$AV89:$AV94))</f>
        <v>0</v>
      </c>
      <c r="BO89" s="224">
        <f>IF( OR(ISBLANK($P89:$P94),ISBLANK($AM89:$AM94), ISBLANK($T89:$T94),ISBLANK($AQ89:$AQ94)), "·", bdRateHermite($P89:$P94,$T89:$T94, $AM89:$AM94,$AQ89:$AQ94))</f>
        <v>0</v>
      </c>
      <c r="BP89" s="225">
        <f>IF( OR(ISBLANK($P89:$P94),ISBLANK($AM89:$AM94), ISBLANK($U89:$U94),ISBLANK($AR89:$AR94)), "·", bdRateHermite( $P89:$P94,$U89:$U94, $AM89:$AM94,$AR89:$AR94))</f>
        <v>0</v>
      </c>
      <c r="BQ89" s="90"/>
      <c r="BR89" s="90"/>
      <c r="BS89" s="90"/>
      <c r="BT89" s="86">
        <f>IF( OR(ISBLANK($P89:$P94),ISBLANK($AM89:$AM94), ISBLANK($Y89:$Y94),ISBLANK($AV89:$AV94)), "·", bdRateHermite( $P89:$P94,$Y89:$Y94, $AM89:$AM94,$AV89:$AV94))</f>
        <v>0</v>
      </c>
      <c r="BV89" s="83">
        <f>IF( OR(ISBLANK($Q89:$Q93),ISBLANK($AN89:$AN93), ISBLANK($T89:$T93),ISBLANK($AQ89:$AQ93)), "·", bdRateHermite( $Q90:$Q94,$T90:$T94, $AN90:$AN94,$AQ90:$AQ94))</f>
        <v>0</v>
      </c>
      <c r="BW89" s="84">
        <f>IF(OR(ISBLANK($Q89:$Q94),ISBLANK($AN89:$AN94),ISBLANK($U89:$U94),ISBLANK($AR89:$AR94)),"·",bdRateHermite($Q90:$Q94,$U90:$U94,$AN90:$AN94,$AR90:$AR94))</f>
        <v>0</v>
      </c>
      <c r="BX89" s="92"/>
      <c r="BY89" s="92"/>
      <c r="BZ89" s="92"/>
      <c r="CA89" s="184">
        <f>IF( OR(ISBLANK($S89:$S94),ISBLANK($AP89:$AP94), ISBLANK($Y89:$Y94),ISBLANK($AV89:$AV94)), "·", bdRateHermite($S90:$S94,$Y90:$Y94, $AP90:$AP94,$AV90:$AV94))</f>
        <v>0</v>
      </c>
      <c r="CC89" s="224">
        <f>IF( OR(ISBLANK($P89:$P94),ISBLANK($AM89:$AM94), ISBLANK($T89:$T94),ISBLANK($AQ89:$AQ94)), "·", bdRateHermite($P90:$P94,$T90:$T94, $AM90:$AM94,$AQ90:$AQ94))</f>
        <v>0</v>
      </c>
      <c r="CD89" s="225">
        <f>IF( OR(ISBLANK($P89:$P94),ISBLANK($AM89:$AM94), ISBLANK($U89:$U94),ISBLANK($AR89:$AR94)), "·", bdRateHermite( $P90:$P94,$U90:$U94, $AM90:$AM94,$AR90:$AR94))</f>
        <v>0</v>
      </c>
      <c r="CE89" s="90"/>
      <c r="CF89" s="90"/>
      <c r="CG89" s="90"/>
      <c r="CH89" s="86">
        <f>IF( OR(ISBLANK($P89:$P94),ISBLANK($AM89:$AM94), ISBLANK($Y89:$Y94),ISBLANK($AV89:$AV94)), "·", bdRateHermite( $P90:$P94,$Y90:$Y94, $AM90:$AM94,$AV90:$AV94))</f>
        <v>0</v>
      </c>
      <c r="CJ89" s="224">
        <f>IF( OR(ISBLANK($Q89:$Q93),ISBLANK($AN89:$AN93), ISBLANK($T89:$T93),ISBLANK($AQ89:$AQ93)), "·", bdRateHermite( $Q89:$Q93,$T89:$T93, $AN89:$AN93,$AQ89:$AQ93))</f>
        <v>0</v>
      </c>
      <c r="CK89" s="225">
        <f>IF(OR(ISBLANK($Q89:$Q93),ISBLANK($AN89:$AN93),ISBLANK($U89:$U93),ISBLANK($AR89:$AR93)),"·",bdRateHermite($Q89:$Q93,$U89:$U93,$AN89:$AN93,$AR89:$AR93))</f>
        <v>0</v>
      </c>
      <c r="CL89" s="90"/>
      <c r="CM89" s="90"/>
      <c r="CN89" s="90"/>
      <c r="CO89" s="226">
        <f>IF( OR(ISBLANK($S89:$S93),ISBLANK($AP89:$AP93), ISBLANK($Y89:$Y93),ISBLANK($AV89:$AV93)), "·", bdRateHermite($S89:$S93,$Y89:$Y93, $AP89:$AP93,$AV89:$AV93))</f>
        <v>0</v>
      </c>
      <c r="CQ89" s="224">
        <f>IF( OR(ISBLANK($P89:$P93),ISBLANK($AM89:$AM93), ISBLANK($T89:$T93),ISBLANK($AQ89:$AQ93)), "·", bdRateHermite($P89:$P93,$T89:$T93, $AM89:$AM93,$AQ89:$AQ93))</f>
        <v>0</v>
      </c>
      <c r="CR89" s="225">
        <f>IF( OR(ISBLANK($P89:$P93),ISBLANK($AM89:$AM93), ISBLANK($U89:$U93),ISBLANK($AR89:$AR93)), "·", bdRateHermite( $P89:$P93,$U89:$U93, $AM89:$AM93,$AR89:$AR93))</f>
        <v>0</v>
      </c>
      <c r="CS89" s="90"/>
      <c r="CT89" s="90"/>
      <c r="CU89" s="90"/>
      <c r="CV89" s="86">
        <f>IF( OR(ISBLANK($P89:$P93),ISBLANK($AM89:$AM93), ISBLANK($Y89:$Y93),ISBLANK($AV89:$AV93)), "·", bdRateHermite( $P89:$P93,$Y89:$Y93, $AM89:$AM93,$AV89:$AV93))</f>
        <v>0</v>
      </c>
    </row>
    <row r="90" spans="1:100" outlineLevel="1">
      <c r="A90" s="13"/>
      <c r="B90" s="14" t="s">
        <v>469</v>
      </c>
      <c r="C90" s="15" t="s">
        <v>132</v>
      </c>
      <c r="D90" s="465">
        <f>D$89</f>
        <v>59935680</v>
      </c>
      <c r="E90" s="15">
        <v>18</v>
      </c>
      <c r="F90" s="15">
        <v>600</v>
      </c>
      <c r="G90" s="16">
        <v>10</v>
      </c>
      <c r="I90" s="30">
        <f t="shared" si="42"/>
        <v>1.5965290666666667</v>
      </c>
      <c r="J90" s="31">
        <f t="shared" si="43"/>
        <v>1.5982423825007075</v>
      </c>
      <c r="K90" s="31">
        <f t="shared" si="44"/>
        <v>1.1604038195612363</v>
      </c>
      <c r="L90" s="51"/>
      <c r="M90" s="31">
        <f t="shared" si="45"/>
        <v>0.43088550926593305</v>
      </c>
      <c r="N90" s="31">
        <f t="shared" si="46"/>
        <v>5.6578432143855322</v>
      </c>
      <c r="O90" s="356">
        <v>16930788</v>
      </c>
      <c r="P90" s="357">
        <v>95791744</v>
      </c>
      <c r="Q90" s="357">
        <v>69549592</v>
      </c>
      <c r="R90" s="51"/>
      <c r="S90" s="357">
        <v>25825416</v>
      </c>
      <c r="T90" s="358">
        <v>52.178482000000002</v>
      </c>
      <c r="U90" s="358">
        <v>47.507323999999997</v>
      </c>
      <c r="V90" s="87"/>
      <c r="W90" s="87"/>
      <c r="X90" s="87"/>
      <c r="Y90" s="358">
        <v>71.850921999999997</v>
      </c>
      <c r="Z90" s="359"/>
      <c r="AA90" s="359"/>
      <c r="AB90" s="32">
        <v>0</v>
      </c>
      <c r="AC90" s="32">
        <v>0</v>
      </c>
      <c r="AD90" s="33"/>
      <c r="AF90" s="30">
        <f t="shared" si="47"/>
        <v>1.5965290666666667</v>
      </c>
      <c r="AG90" s="31">
        <f t="shared" si="48"/>
        <v>1.5982423825007075</v>
      </c>
      <c r="AH90" s="31">
        <f t="shared" si="49"/>
        <v>1.1604038195612363</v>
      </c>
      <c r="AI90" s="51"/>
      <c r="AJ90" s="31">
        <f t="shared" si="50"/>
        <v>0.43088550926593305</v>
      </c>
      <c r="AK90" s="31">
        <f t="shared" si="51"/>
        <v>5.6578432143855322</v>
      </c>
      <c r="AL90" s="356">
        <v>16930788</v>
      </c>
      <c r="AM90" s="357">
        <v>95791744</v>
      </c>
      <c r="AN90" s="357">
        <v>69549592</v>
      </c>
      <c r="AO90" s="51"/>
      <c r="AP90" s="357">
        <v>25825416</v>
      </c>
      <c r="AQ90" s="358">
        <v>52.178482000000002</v>
      </c>
      <c r="AR90" s="358">
        <v>47.507323999999997</v>
      </c>
      <c r="AS90" s="87"/>
      <c r="AT90" s="87"/>
      <c r="AU90" s="87"/>
      <c r="AV90" s="358">
        <v>71.850921999999997</v>
      </c>
      <c r="AW90" s="359">
        <v>344.95300000000009</v>
      </c>
      <c r="AX90" s="359">
        <v>38.963999999999999</v>
      </c>
      <c r="AY90" s="32">
        <v>0</v>
      </c>
      <c r="AZ90" s="32">
        <v>0</v>
      </c>
      <c r="BA90" s="33">
        <v>47934.041666666664</v>
      </c>
      <c r="BC90" s="65" t="e">
        <f t="shared" si="53"/>
        <v>#DIV/0!</v>
      </c>
      <c r="BD90" s="57" t="e">
        <f t="shared" si="55"/>
        <v>#DIV/0!</v>
      </c>
      <c r="BE90" s="57">
        <f t="shared" si="52"/>
        <v>0</v>
      </c>
      <c r="BF90" s="58"/>
      <c r="BH90" s="74"/>
      <c r="BI90" s="75"/>
      <c r="BJ90" s="87"/>
      <c r="BK90" s="87"/>
      <c r="BL90" s="87"/>
      <c r="BM90" s="76"/>
      <c r="BO90" s="74"/>
      <c r="BP90" s="75"/>
      <c r="BQ90" s="87"/>
      <c r="BR90" s="87"/>
      <c r="BS90" s="87"/>
      <c r="BT90" s="76"/>
      <c r="BV90" s="74"/>
      <c r="BW90" s="75"/>
      <c r="BX90" s="87"/>
      <c r="BY90" s="87"/>
      <c r="BZ90" s="87"/>
      <c r="CA90" s="76"/>
      <c r="CC90" s="74"/>
      <c r="CD90" s="75"/>
      <c r="CE90" s="87"/>
      <c r="CF90" s="87"/>
      <c r="CG90" s="87"/>
      <c r="CH90" s="76"/>
      <c r="CJ90" s="74"/>
      <c r="CK90" s="75"/>
      <c r="CL90" s="87"/>
      <c r="CM90" s="87"/>
      <c r="CN90" s="87"/>
      <c r="CO90" s="76"/>
      <c r="CQ90" s="74"/>
      <c r="CR90" s="75"/>
      <c r="CS90" s="87"/>
      <c r="CT90" s="87"/>
      <c r="CU90" s="87"/>
      <c r="CV90" s="76"/>
    </row>
    <row r="91" spans="1:100" outlineLevel="1">
      <c r="A91" s="13"/>
      <c r="B91" s="14" t="s">
        <v>467</v>
      </c>
      <c r="C91" s="15" t="s">
        <v>133</v>
      </c>
      <c r="D91" s="465">
        <f t="shared" ref="D91:D94" si="56">D$89</f>
        <v>59935680</v>
      </c>
      <c r="E91" s="15">
        <v>18</v>
      </c>
      <c r="F91" s="15">
        <v>600</v>
      </c>
      <c r="G91" s="16">
        <v>10</v>
      </c>
      <c r="I91" s="30">
        <f t="shared" si="42"/>
        <v>5.6695262666666668</v>
      </c>
      <c r="J91" s="31">
        <f t="shared" si="43"/>
        <v>5.6756105211453347</v>
      </c>
      <c r="K91" s="31">
        <f t="shared" si="44"/>
        <v>4.2849632138986324</v>
      </c>
      <c r="L91" s="51"/>
      <c r="M91" s="31">
        <f t="shared" si="45"/>
        <v>1.3836367252361197</v>
      </c>
      <c r="N91" s="31">
        <f t="shared" si="46"/>
        <v>8.1124499547362827</v>
      </c>
      <c r="O91" s="356">
        <v>41932040</v>
      </c>
      <c r="P91" s="357">
        <v>340171576</v>
      </c>
      <c r="Q91" s="357">
        <v>256822184</v>
      </c>
      <c r="R91" s="51"/>
      <c r="S91" s="357">
        <v>82929208</v>
      </c>
      <c r="T91" s="358">
        <v>64.208916000000002</v>
      </c>
      <c r="U91" s="358">
        <v>59.516635999999998</v>
      </c>
      <c r="V91" s="87"/>
      <c r="W91" s="87"/>
      <c r="X91" s="87"/>
      <c r="Y91" s="358">
        <v>79.600616000000002</v>
      </c>
      <c r="Z91" s="359"/>
      <c r="AA91" s="359"/>
      <c r="AB91" s="32">
        <v>0</v>
      </c>
      <c r="AC91" s="32">
        <v>0</v>
      </c>
      <c r="AD91" s="33"/>
      <c r="AF91" s="30">
        <f t="shared" si="47"/>
        <v>5.6695262666666668</v>
      </c>
      <c r="AG91" s="31">
        <f t="shared" si="48"/>
        <v>5.6756105211453347</v>
      </c>
      <c r="AH91" s="31">
        <f t="shared" si="49"/>
        <v>4.2849632138986324</v>
      </c>
      <c r="AI91" s="51"/>
      <c r="AJ91" s="31">
        <f t="shared" si="50"/>
        <v>1.3836367252361197</v>
      </c>
      <c r="AK91" s="31">
        <f t="shared" si="51"/>
        <v>8.1124499547362827</v>
      </c>
      <c r="AL91" s="356">
        <v>41932040</v>
      </c>
      <c r="AM91" s="357">
        <v>340171576</v>
      </c>
      <c r="AN91" s="357">
        <v>256822184</v>
      </c>
      <c r="AO91" s="51"/>
      <c r="AP91" s="357">
        <v>82929208</v>
      </c>
      <c r="AQ91" s="358">
        <v>64.208916000000002</v>
      </c>
      <c r="AR91" s="358">
        <v>59.516635999999998</v>
      </c>
      <c r="AS91" s="87"/>
      <c r="AT91" s="87"/>
      <c r="AU91" s="87"/>
      <c r="AV91" s="358">
        <v>79.600616000000002</v>
      </c>
      <c r="AW91" s="359">
        <v>503.75399999999973</v>
      </c>
      <c r="AX91" s="359">
        <v>102.75800000000015</v>
      </c>
      <c r="AY91" s="32">
        <v>0</v>
      </c>
      <c r="AZ91" s="32">
        <v>0</v>
      </c>
      <c r="BA91" s="33">
        <v>3018.1283333333336</v>
      </c>
      <c r="BC91" s="65" t="e">
        <f t="shared" si="53"/>
        <v>#DIV/0!</v>
      </c>
      <c r="BD91" s="57" t="e">
        <f t="shared" si="55"/>
        <v>#DIV/0!</v>
      </c>
      <c r="BE91" s="57">
        <f t="shared" si="52"/>
        <v>0</v>
      </c>
      <c r="BF91" s="58"/>
      <c r="BH91" s="74"/>
      <c r="BI91" s="75"/>
      <c r="BJ91" s="87"/>
      <c r="BK91" s="87"/>
      <c r="BL91" s="87"/>
      <c r="BM91" s="76"/>
      <c r="BO91" s="74"/>
      <c r="BP91" s="75"/>
      <c r="BQ91" s="87"/>
      <c r="BR91" s="87"/>
      <c r="BS91" s="87"/>
      <c r="BT91" s="76"/>
      <c r="BV91" s="74"/>
      <c r="BW91" s="75"/>
      <c r="BX91" s="87"/>
      <c r="BY91" s="87"/>
      <c r="BZ91" s="87"/>
      <c r="CA91" s="76"/>
      <c r="CC91" s="74"/>
      <c r="CD91" s="75"/>
      <c r="CE91" s="87"/>
      <c r="CF91" s="87"/>
      <c r="CG91" s="87"/>
      <c r="CH91" s="76"/>
      <c r="CJ91" s="74"/>
      <c r="CK91" s="75"/>
      <c r="CL91" s="87"/>
      <c r="CM91" s="87"/>
      <c r="CN91" s="87"/>
      <c r="CO91" s="76"/>
      <c r="CQ91" s="74"/>
      <c r="CR91" s="75"/>
      <c r="CS91" s="87"/>
      <c r="CT91" s="87"/>
      <c r="CU91" s="87"/>
      <c r="CV91" s="76"/>
    </row>
    <row r="92" spans="1:100" outlineLevel="1">
      <c r="A92" s="13"/>
      <c r="B92" s="14" t="s">
        <v>467</v>
      </c>
      <c r="C92" s="15" t="s">
        <v>134</v>
      </c>
      <c r="D92" s="465">
        <f t="shared" si="56"/>
        <v>59935680</v>
      </c>
      <c r="E92" s="15">
        <v>18</v>
      </c>
      <c r="F92" s="15">
        <v>600</v>
      </c>
      <c r="G92" s="16">
        <v>10</v>
      </c>
      <c r="I92" s="30">
        <f t="shared" si="42"/>
        <v>8.7892497333333317</v>
      </c>
      <c r="J92" s="31">
        <f t="shared" si="43"/>
        <v>8.7986819203519513</v>
      </c>
      <c r="K92" s="31">
        <f t="shared" si="44"/>
        <v>6.5798299777361331</v>
      </c>
      <c r="L92" s="51"/>
      <c r="M92" s="31">
        <f t="shared" si="45"/>
        <v>2.2117389841910526</v>
      </c>
      <c r="N92" s="31">
        <f t="shared" si="46"/>
        <v>11.092490832243412</v>
      </c>
      <c r="O92" s="356">
        <v>47541620</v>
      </c>
      <c r="P92" s="357">
        <v>527354984</v>
      </c>
      <c r="Q92" s="357">
        <v>394366584</v>
      </c>
      <c r="R92" s="51"/>
      <c r="S92" s="357">
        <v>132562080</v>
      </c>
      <c r="T92" s="358">
        <v>70.221480999999997</v>
      </c>
      <c r="U92" s="358">
        <v>65.474525</v>
      </c>
      <c r="V92" s="87"/>
      <c r="W92" s="87"/>
      <c r="X92" s="87"/>
      <c r="Y92" s="358">
        <v>85.548171999999994</v>
      </c>
      <c r="Z92" s="359"/>
      <c r="AA92" s="359"/>
      <c r="AB92" s="32">
        <v>0</v>
      </c>
      <c r="AC92" s="32">
        <v>0</v>
      </c>
      <c r="AD92" s="33"/>
      <c r="AF92" s="30">
        <f t="shared" si="47"/>
        <v>8.7892497333333317</v>
      </c>
      <c r="AG92" s="31">
        <f t="shared" si="48"/>
        <v>8.7986819203519513</v>
      </c>
      <c r="AH92" s="31">
        <f t="shared" si="49"/>
        <v>6.5798299777361331</v>
      </c>
      <c r="AI92" s="51"/>
      <c r="AJ92" s="31">
        <f t="shared" si="50"/>
        <v>2.2117389841910526</v>
      </c>
      <c r="AK92" s="31">
        <f t="shared" si="51"/>
        <v>11.092490832243412</v>
      </c>
      <c r="AL92" s="356">
        <v>47541620</v>
      </c>
      <c r="AM92" s="357">
        <v>527354984</v>
      </c>
      <c r="AN92" s="357">
        <v>394366584</v>
      </c>
      <c r="AO92" s="51"/>
      <c r="AP92" s="357">
        <v>132562080</v>
      </c>
      <c r="AQ92" s="358">
        <v>70.221480999999997</v>
      </c>
      <c r="AR92" s="358">
        <v>65.474525</v>
      </c>
      <c r="AS92" s="87"/>
      <c r="AT92" s="87"/>
      <c r="AU92" s="87"/>
      <c r="AV92" s="358">
        <v>85.548171999999994</v>
      </c>
      <c r="AW92" s="359">
        <v>523.67699999999968</v>
      </c>
      <c r="AX92" s="359">
        <v>152.07200000000006</v>
      </c>
      <c r="AY92" s="32">
        <v>0</v>
      </c>
      <c r="AZ92" s="32">
        <v>0</v>
      </c>
      <c r="BA92" s="33">
        <v>765.57166666666672</v>
      </c>
      <c r="BC92" s="65" t="e">
        <f t="shared" si="53"/>
        <v>#DIV/0!</v>
      </c>
      <c r="BD92" s="57" t="e">
        <f t="shared" si="55"/>
        <v>#DIV/0!</v>
      </c>
      <c r="BE92" s="57">
        <f t="shared" si="52"/>
        <v>0</v>
      </c>
      <c r="BF92" s="58"/>
      <c r="BH92" s="74"/>
      <c r="BI92" s="75"/>
      <c r="BJ92" s="87"/>
      <c r="BK92" s="87"/>
      <c r="BL92" s="87"/>
      <c r="BM92" s="76"/>
      <c r="BO92" s="74"/>
      <c r="BP92" s="75"/>
      <c r="BQ92" s="87"/>
      <c r="BR92" s="87"/>
      <c r="BS92" s="87"/>
      <c r="BT92" s="76"/>
      <c r="BV92" s="74"/>
      <c r="BW92" s="75"/>
      <c r="BX92" s="87"/>
      <c r="BY92" s="87"/>
      <c r="BZ92" s="87"/>
      <c r="CA92" s="76"/>
      <c r="CC92" s="74"/>
      <c r="CD92" s="75"/>
      <c r="CE92" s="87"/>
      <c r="CF92" s="87"/>
      <c r="CG92" s="87"/>
      <c r="CH92" s="76"/>
      <c r="CJ92" s="74"/>
      <c r="CK92" s="75"/>
      <c r="CL92" s="87"/>
      <c r="CM92" s="87"/>
      <c r="CN92" s="87"/>
      <c r="CO92" s="76"/>
      <c r="CQ92" s="74"/>
      <c r="CR92" s="75"/>
      <c r="CS92" s="87"/>
      <c r="CT92" s="87"/>
      <c r="CU92" s="87"/>
      <c r="CV92" s="76"/>
    </row>
    <row r="93" spans="1:100" outlineLevel="1">
      <c r="A93" s="13"/>
      <c r="B93" s="14" t="s">
        <v>467</v>
      </c>
      <c r="C93" s="15" t="s">
        <v>135</v>
      </c>
      <c r="D93" s="465">
        <f t="shared" si="56"/>
        <v>59935680</v>
      </c>
      <c r="E93" s="15">
        <v>18</v>
      </c>
      <c r="F93" s="15">
        <v>600</v>
      </c>
      <c r="G93" s="16">
        <v>10</v>
      </c>
      <c r="I93" s="30">
        <f t="shared" si="42"/>
        <v>14.522336666666666</v>
      </c>
      <c r="J93" s="31">
        <f t="shared" si="43"/>
        <v>14.537921318319906</v>
      </c>
      <c r="K93" s="31">
        <f t="shared" si="44"/>
        <v>11.419800025627472</v>
      </c>
      <c r="L93" s="51"/>
      <c r="M93" s="31">
        <f t="shared" si="45"/>
        <v>3.1108816651450355</v>
      </c>
      <c r="N93" s="31">
        <f t="shared" si="46"/>
        <v>17.640797457639643</v>
      </c>
      <c r="O93" s="356">
        <v>49393470</v>
      </c>
      <c r="P93" s="357">
        <v>871340200</v>
      </c>
      <c r="Q93" s="357">
        <v>684453480</v>
      </c>
      <c r="R93" s="51"/>
      <c r="S93" s="357">
        <v>186452808</v>
      </c>
      <c r="T93" s="358">
        <v>82.135581999999999</v>
      </c>
      <c r="U93" s="358">
        <v>77.501091000000002</v>
      </c>
      <c r="V93" s="87"/>
      <c r="W93" s="87"/>
      <c r="X93" s="87"/>
      <c r="Y93" s="358">
        <v>94.133606</v>
      </c>
      <c r="Z93" s="359"/>
      <c r="AA93" s="359"/>
      <c r="AB93" s="32">
        <v>0</v>
      </c>
      <c r="AC93" s="32">
        <v>0</v>
      </c>
      <c r="AD93" s="33"/>
      <c r="AF93" s="30">
        <f t="shared" si="47"/>
        <v>14.522336666666666</v>
      </c>
      <c r="AG93" s="31">
        <f t="shared" si="48"/>
        <v>14.537921318319906</v>
      </c>
      <c r="AH93" s="31">
        <f t="shared" si="49"/>
        <v>11.419800025627472</v>
      </c>
      <c r="AI93" s="51"/>
      <c r="AJ93" s="31">
        <f t="shared" si="50"/>
        <v>3.1108816651450355</v>
      </c>
      <c r="AK93" s="31">
        <f t="shared" si="51"/>
        <v>17.640797457639643</v>
      </c>
      <c r="AL93" s="356">
        <v>49393470</v>
      </c>
      <c r="AM93" s="357">
        <v>871340200</v>
      </c>
      <c r="AN93" s="357">
        <v>684453480</v>
      </c>
      <c r="AO93" s="51"/>
      <c r="AP93" s="357">
        <v>186452808</v>
      </c>
      <c r="AQ93" s="358">
        <v>82.135581999999999</v>
      </c>
      <c r="AR93" s="358">
        <v>77.501091000000002</v>
      </c>
      <c r="AS93" s="87"/>
      <c r="AT93" s="87"/>
      <c r="AU93" s="87"/>
      <c r="AV93" s="358">
        <v>94.133606</v>
      </c>
      <c r="AW93" s="359">
        <v>465.32499999999993</v>
      </c>
      <c r="AX93" s="359">
        <v>175.58800000000008</v>
      </c>
      <c r="AY93" s="32">
        <v>0</v>
      </c>
      <c r="AZ93" s="32">
        <v>0</v>
      </c>
      <c r="BA93" s="33">
        <v>48</v>
      </c>
      <c r="BC93" s="65" t="e">
        <f t="shared" si="53"/>
        <v>#DIV/0!</v>
      </c>
      <c r="BD93" s="57" t="e">
        <f t="shared" si="55"/>
        <v>#DIV/0!</v>
      </c>
      <c r="BE93" s="57">
        <f t="shared" si="52"/>
        <v>0</v>
      </c>
      <c r="BF93" s="58"/>
      <c r="BH93" s="74"/>
      <c r="BI93" s="75"/>
      <c r="BJ93" s="87"/>
      <c r="BK93" s="87"/>
      <c r="BL93" s="87"/>
      <c r="BM93" s="76"/>
      <c r="BO93" s="74"/>
      <c r="BP93" s="75"/>
      <c r="BQ93" s="87"/>
      <c r="BR93" s="87"/>
      <c r="BS93" s="87"/>
      <c r="BT93" s="76"/>
      <c r="BV93" s="74"/>
      <c r="BW93" s="75"/>
      <c r="BX93" s="87"/>
      <c r="BY93" s="87"/>
      <c r="BZ93" s="87"/>
      <c r="CA93" s="76"/>
      <c r="CC93" s="74"/>
      <c r="CD93" s="75"/>
      <c r="CE93" s="87"/>
      <c r="CF93" s="87"/>
      <c r="CG93" s="87"/>
      <c r="CH93" s="76"/>
      <c r="CJ93" s="74"/>
      <c r="CK93" s="75"/>
      <c r="CL93" s="87"/>
      <c r="CM93" s="87"/>
      <c r="CN93" s="87"/>
      <c r="CO93" s="76"/>
      <c r="CQ93" s="74"/>
      <c r="CR93" s="75"/>
      <c r="CS93" s="87"/>
      <c r="CT93" s="87"/>
      <c r="CU93" s="87"/>
      <c r="CV93" s="76"/>
    </row>
    <row r="94" spans="1:100" ht="14.25" outlineLevel="1" thickBot="1">
      <c r="A94" s="13"/>
      <c r="B94" s="18" t="s">
        <v>467</v>
      </c>
      <c r="C94" s="19" t="s">
        <v>136</v>
      </c>
      <c r="D94" s="467">
        <f t="shared" si="56"/>
        <v>59935680</v>
      </c>
      <c r="E94" s="19">
        <v>18</v>
      </c>
      <c r="F94" s="188">
        <v>600</v>
      </c>
      <c r="G94" s="20">
        <v>10</v>
      </c>
      <c r="I94" s="34">
        <f t="shared" si="42"/>
        <v>17.915015733333334</v>
      </c>
      <c r="J94" s="35">
        <f t="shared" si="43"/>
        <v>17.934241239942551</v>
      </c>
      <c r="K94" s="35">
        <f t="shared" si="44"/>
        <v>13.849262008873513</v>
      </c>
      <c r="L94" s="52"/>
      <c r="M94" s="35">
        <f t="shared" si="45"/>
        <v>4.0776619202451698</v>
      </c>
      <c r="N94" s="35">
        <f t="shared" si="46"/>
        <v>21.6849968983562</v>
      </c>
      <c r="O94" s="360">
        <v>49568877</v>
      </c>
      <c r="P94" s="361">
        <v>1074900944</v>
      </c>
      <c r="Q94" s="361">
        <v>830064936</v>
      </c>
      <c r="R94" s="52"/>
      <c r="S94" s="361">
        <v>244397440</v>
      </c>
      <c r="T94" s="362">
        <v>87.781433000000007</v>
      </c>
      <c r="U94" s="362">
        <v>83.522223999999994</v>
      </c>
      <c r="V94" s="89"/>
      <c r="W94" s="89"/>
      <c r="X94" s="89"/>
      <c r="Y94" s="362">
        <v>98.780265999999997</v>
      </c>
      <c r="Z94" s="363"/>
      <c r="AA94" s="363"/>
      <c r="AB94" s="36">
        <v>0</v>
      </c>
      <c r="AC94" s="36">
        <v>0</v>
      </c>
      <c r="AD94" s="37"/>
      <c r="AF94" s="34">
        <f t="shared" si="47"/>
        <v>17.915015733333334</v>
      </c>
      <c r="AG94" s="35">
        <f t="shared" si="48"/>
        <v>17.934241239942551</v>
      </c>
      <c r="AH94" s="35">
        <f t="shared" si="49"/>
        <v>13.849262008873513</v>
      </c>
      <c r="AI94" s="52"/>
      <c r="AJ94" s="35">
        <f t="shared" si="50"/>
        <v>4.0776619202451698</v>
      </c>
      <c r="AK94" s="35">
        <f t="shared" si="51"/>
        <v>21.6849968983562</v>
      </c>
      <c r="AL94" s="360">
        <v>49568877</v>
      </c>
      <c r="AM94" s="361">
        <v>1074900944</v>
      </c>
      <c r="AN94" s="361">
        <v>830064936</v>
      </c>
      <c r="AO94" s="52"/>
      <c r="AP94" s="361">
        <v>244397440</v>
      </c>
      <c r="AQ94" s="362">
        <v>87.781433000000007</v>
      </c>
      <c r="AR94" s="362">
        <v>83.522223999999994</v>
      </c>
      <c r="AS94" s="89"/>
      <c r="AT94" s="89"/>
      <c r="AU94" s="89"/>
      <c r="AV94" s="362">
        <v>98.780265999999997</v>
      </c>
      <c r="AW94" s="363">
        <v>571.18399999999929</v>
      </c>
      <c r="AX94" s="363">
        <v>182.95700000000019</v>
      </c>
      <c r="AY94" s="36">
        <v>0</v>
      </c>
      <c r="AZ94" s="36">
        <v>0</v>
      </c>
      <c r="BA94" s="37">
        <v>12</v>
      </c>
      <c r="BC94" s="65" t="e">
        <f t="shared" si="53"/>
        <v>#DIV/0!</v>
      </c>
      <c r="BD94" s="60" t="e">
        <f t="shared" si="55"/>
        <v>#DIV/0!</v>
      </c>
      <c r="BE94" s="60">
        <f t="shared" si="52"/>
        <v>0</v>
      </c>
      <c r="BF94" s="61"/>
      <c r="BH94" s="77"/>
      <c r="BI94" s="78"/>
      <c r="BJ94" s="88"/>
      <c r="BK94" s="88"/>
      <c r="BL94" s="88"/>
      <c r="BM94" s="79"/>
      <c r="BO94" s="77"/>
      <c r="BP94" s="78"/>
      <c r="BQ94" s="88"/>
      <c r="BR94" s="88"/>
      <c r="BS94" s="88"/>
      <c r="BT94" s="79"/>
      <c r="BV94" s="77"/>
      <c r="BW94" s="78"/>
      <c r="BX94" s="88"/>
      <c r="BY94" s="88"/>
      <c r="BZ94" s="88"/>
      <c r="CA94" s="79"/>
      <c r="CC94" s="77"/>
      <c r="CD94" s="78"/>
      <c r="CE94" s="88"/>
      <c r="CF94" s="88"/>
      <c r="CG94" s="88"/>
      <c r="CH94" s="79"/>
      <c r="CJ94" s="77"/>
      <c r="CK94" s="78"/>
      <c r="CL94" s="88"/>
      <c r="CM94" s="88"/>
      <c r="CN94" s="88"/>
      <c r="CO94" s="79"/>
      <c r="CQ94" s="77"/>
      <c r="CR94" s="78"/>
      <c r="CS94" s="88"/>
      <c r="CT94" s="88"/>
      <c r="CU94" s="88"/>
      <c r="CV94" s="79"/>
    </row>
    <row r="95" spans="1:100">
      <c r="A95" s="13"/>
      <c r="B95" s="24" t="s">
        <v>470</v>
      </c>
      <c r="C95" s="25" t="s">
        <v>131</v>
      </c>
      <c r="D95" s="464">
        <v>59948032</v>
      </c>
      <c r="E95" s="25">
        <v>18</v>
      </c>
      <c r="F95" s="28">
        <v>600</v>
      </c>
      <c r="G95" s="26">
        <v>10</v>
      </c>
      <c r="I95" s="42">
        <f t="shared" si="42"/>
        <v>0.56579893333333331</v>
      </c>
      <c r="J95" s="43">
        <f t="shared" si="43"/>
        <v>0.56628941547238787</v>
      </c>
      <c r="K95" s="43">
        <f t="shared" si="44"/>
        <v>0.48053887740635087</v>
      </c>
      <c r="L95" s="55"/>
      <c r="M95" s="43">
        <f t="shared" si="45"/>
        <v>7.8926360751925939E-2</v>
      </c>
      <c r="N95" s="43">
        <f t="shared" si="46"/>
        <v>3.9665944535108482</v>
      </c>
      <c r="O95" s="364">
        <v>8558459</v>
      </c>
      <c r="P95" s="365">
        <v>33947936</v>
      </c>
      <c r="Q95" s="365">
        <v>28807360</v>
      </c>
      <c r="R95" s="55"/>
      <c r="S95" s="365">
        <v>4731480</v>
      </c>
      <c r="T95" s="366">
        <v>46.141876000000003</v>
      </c>
      <c r="U95" s="366">
        <v>41.485118999999997</v>
      </c>
      <c r="V95" s="90"/>
      <c r="W95" s="90"/>
      <c r="X95" s="90"/>
      <c r="Y95" s="366">
        <v>69.684714999999997</v>
      </c>
      <c r="Z95" s="367"/>
      <c r="AA95" s="367"/>
      <c r="AB95" s="44">
        <v>0</v>
      </c>
      <c r="AC95" s="44">
        <v>0</v>
      </c>
      <c r="AD95" s="45" t="s">
        <v>1370</v>
      </c>
      <c r="AF95" s="42">
        <f t="shared" si="47"/>
        <v>0.56579893333333331</v>
      </c>
      <c r="AG95" s="43">
        <f t="shared" si="48"/>
        <v>0.56628941547238787</v>
      </c>
      <c r="AH95" s="43">
        <f t="shared" si="49"/>
        <v>0.48053887740635087</v>
      </c>
      <c r="AI95" s="55"/>
      <c r="AJ95" s="43">
        <f t="shared" si="50"/>
        <v>7.8926360751925939E-2</v>
      </c>
      <c r="AK95" s="43">
        <f t="shared" si="51"/>
        <v>3.9665944535108482</v>
      </c>
      <c r="AL95" s="364">
        <v>8558459</v>
      </c>
      <c r="AM95" s="365">
        <v>33947936</v>
      </c>
      <c r="AN95" s="365">
        <v>28807360</v>
      </c>
      <c r="AO95" s="55"/>
      <c r="AP95" s="365">
        <v>4731480</v>
      </c>
      <c r="AQ95" s="366">
        <v>46.141876000000003</v>
      </c>
      <c r="AR95" s="366">
        <v>41.485118999999997</v>
      </c>
      <c r="AS95" s="90"/>
      <c r="AT95" s="90"/>
      <c r="AU95" s="90"/>
      <c r="AV95" s="366">
        <v>69.684714999999997</v>
      </c>
      <c r="AW95" s="367">
        <v>255.63800000000023</v>
      </c>
      <c r="AX95" s="367">
        <v>16.298999999999936</v>
      </c>
      <c r="AY95" s="44">
        <v>0</v>
      </c>
      <c r="AZ95" s="44">
        <v>0</v>
      </c>
      <c r="BA95" s="45">
        <v>191808.83666666667</v>
      </c>
      <c r="BC95" s="65" t="e">
        <f t="shared" ref="BC95:BC100" si="57">AY95/AB95</f>
        <v>#DIV/0!</v>
      </c>
      <c r="BD95" s="66" t="e">
        <f t="shared" si="55"/>
        <v>#DIV/0!</v>
      </c>
      <c r="BE95" s="66">
        <f t="shared" si="52"/>
        <v>0</v>
      </c>
      <c r="BF95" s="67">
        <f t="array" ref="BF95">AVERAGE(AN95:AN100/AM95:AM100) - AVERAGE(Q95:Q100/P95:P100)</f>
        <v>0</v>
      </c>
      <c r="BH95" s="83">
        <f>IF( OR(ISBLANK($Q95:$Q100),ISBLANK($AN95:$AN100), ISBLANK($T95:$T100),ISBLANK($AQ95:$AQ100)), "·", bdRateHermite( $Q95:$Q100,$T95:$T100, $AN95:$AN100,$AQ95:$AQ100))</f>
        <v>0</v>
      </c>
      <c r="BI95" s="84">
        <f>IF(OR(ISBLANK($Q95:$Q100),ISBLANK($AN95:$AN100),ISBLANK($U95:$U100),ISBLANK($AR95:$AR100)),"·",bdRateHermite($Q95:$Q100,$U95:$U100,$AN95:$AN100,$AR95:$AR100))</f>
        <v>0</v>
      </c>
      <c r="BJ95" s="92"/>
      <c r="BK95" s="92"/>
      <c r="BL95" s="92"/>
      <c r="BM95" s="184">
        <f>IF( OR(ISBLANK($S95:$S100),ISBLANK($AP95:$AP100), ISBLANK($Y95:$Y100),ISBLANK($AV95:$AV100)), "·", bdRateHermite($S95:$S100,$Y95:$Y100, $AP95:$AP100,$AV95:$AV100))</f>
        <v>0</v>
      </c>
      <c r="BO95" s="83">
        <f>IF( OR(ISBLANK($P95:$P100),ISBLANK($AM95:$AM100), ISBLANK($T95:$T100),ISBLANK($AQ95:$AQ100)), "·", bdRateHermite($P95:$P100,$T95:$T100, $AM95:$AM100,$AQ95:$AQ100))</f>
        <v>0</v>
      </c>
      <c r="BP95" s="84">
        <f>IF( OR(ISBLANK($P95:$P100),ISBLANK($AM95:$AM100), ISBLANK($U95:$U100),ISBLANK($AR95:$AR100)), "·", bdRateHermite( $P95:$P100,$U95:$U100, $AM95:$AM100,$AR95:$AR100))</f>
        <v>0</v>
      </c>
      <c r="BQ95" s="92"/>
      <c r="BR95" s="92"/>
      <c r="BS95" s="92"/>
      <c r="BT95" s="85">
        <f>IF( OR(ISBLANK($P95:$P100),ISBLANK($AM95:$AM100), ISBLANK($Y95:$Y100),ISBLANK($AV95:$AV100)), "·", bdRateHermite( $P95:$P100,$Y95:$Y100, $AM95:$AM100,$AV95:$AV100))</f>
        <v>0</v>
      </c>
      <c r="BV95" s="83">
        <f>IF( OR(ISBLANK($Q95:$Q99),ISBLANK($AN95:$AN99), ISBLANK($T95:$T99),ISBLANK($AQ95:$AQ99)), "·", bdRateHermite( $Q96:$Q100,$T96:$T100, $AN96:$AN100,$AQ96:$AQ100))</f>
        <v>0</v>
      </c>
      <c r="BW95" s="84">
        <f>IF(OR(ISBLANK($Q95:$Q100),ISBLANK($AN95:$AN100),ISBLANK($U95:$U100),ISBLANK($AR95:$AR100)),"·",bdRateHermite($Q96:$Q100,$U96:$U100,$AN96:$AN100,$AR96:$AR100))</f>
        <v>0</v>
      </c>
      <c r="BX95" s="92"/>
      <c r="BY95" s="92"/>
      <c r="BZ95" s="92"/>
      <c r="CA95" s="184">
        <f>IF( OR(ISBLANK($S95:$S100),ISBLANK($AP95:$AP100), ISBLANK($Y95:$Y100),ISBLANK($AV95:$AV100)), "·", bdRateHermite($S96:$S100,$Y96:$Y100, $AP96:$AP100,$AV96:$AV100))</f>
        <v>0</v>
      </c>
      <c r="CC95" s="83">
        <f>IF( OR(ISBLANK($P95:$P100),ISBLANK($AM95:$AM100), ISBLANK($T95:$T100),ISBLANK($AQ95:$AQ100)), "·", bdRateHermite($P96:$P100,$T96:$T100, $AM96:$AM100,$AQ96:$AQ100))</f>
        <v>0</v>
      </c>
      <c r="CD95" s="84">
        <f>IF( OR(ISBLANK($P95:$P100),ISBLANK($AM95:$AM100), ISBLANK($U95:$U100),ISBLANK($AR95:$AR100)), "·", bdRateHermite( $P96:$P100,$U96:$U100, $AM96:$AM100,$AR96:$AR100))</f>
        <v>0</v>
      </c>
      <c r="CE95" s="92"/>
      <c r="CF95" s="92"/>
      <c r="CG95" s="92"/>
      <c r="CH95" s="85">
        <f>IF( OR(ISBLANK($P95:$P100),ISBLANK($AM95:$AM100), ISBLANK($Y95:$Y100),ISBLANK($AV95:$AV100)), "·", bdRateHermite( $P96:$P100,$Y96:$Y100, $AM96:$AM100,$AV96:$AV100))</f>
        <v>0</v>
      </c>
      <c r="CJ95" s="83">
        <f>IF( OR(ISBLANK($Q95:$Q99),ISBLANK($AN95:$AN99), ISBLANK($T95:$T99),ISBLANK($AQ95:$AQ99)), "·", bdRateHermite( $Q95:$Q99,$T95:$T99, $AN95:$AN99,$AQ95:$AQ99))</f>
        <v>0</v>
      </c>
      <c r="CK95" s="84">
        <f>IF(OR(ISBLANK($Q95:$Q99),ISBLANK($AN95:$AN99),ISBLANK($U95:$U99),ISBLANK($AR95:$AR99)),"·",bdRateHermite($Q95:$Q99,$U95:$U99,$AN95:$AN99,$AR95:$AR99))</f>
        <v>0</v>
      </c>
      <c r="CL95" s="92"/>
      <c r="CM95" s="92"/>
      <c r="CN95" s="92"/>
      <c r="CO95" s="184">
        <f>IF( OR(ISBLANK($S95:$S99),ISBLANK($AP95:$AP99), ISBLANK($Y95:$Y99),ISBLANK($AV95:$AV99)), "·", bdRateHermite($S95:$S99,$Y95:$Y99, $AP95:$AP99,$AV95:$AV99))</f>
        <v>0</v>
      </c>
      <c r="CQ95" s="83">
        <f>IF( OR(ISBLANK($P95:$P99),ISBLANK($AM95:$AM99), ISBLANK($T95:$T99),ISBLANK($AQ95:$AQ99)), "·", bdRateHermite($P95:$P99,$T95:$T99, $AM95:$AM99,$AQ95:$AQ99))</f>
        <v>0</v>
      </c>
      <c r="CR95" s="84">
        <f>IF( OR(ISBLANK($P95:$P99),ISBLANK($AM95:$AM99), ISBLANK($U95:$U99),ISBLANK($AR95:$AR99)), "·", bdRateHermite( $P95:$P99,$U95:$U99, $AM95:$AM99,$AR95:$AR99))</f>
        <v>0</v>
      </c>
      <c r="CS95" s="92"/>
      <c r="CT95" s="92"/>
      <c r="CU95" s="92"/>
      <c r="CV95" s="85">
        <f>IF( OR(ISBLANK($P95:$P99),ISBLANK($AM95:$AM99), ISBLANK($Y95:$Y99),ISBLANK($AV95:$AV99)), "·", bdRateHermite( $P95:$P99,$Y95:$Y99, $AM95:$AM99,$AV95:$AV99))</f>
        <v>0</v>
      </c>
    </row>
    <row r="96" spans="1:100" outlineLevel="1">
      <c r="A96" s="13"/>
      <c r="B96" s="14" t="s">
        <v>470</v>
      </c>
      <c r="C96" s="15" t="s">
        <v>132</v>
      </c>
      <c r="D96" s="465">
        <f>D$95</f>
        <v>59948032</v>
      </c>
      <c r="E96" s="15">
        <v>18</v>
      </c>
      <c r="F96" s="15">
        <v>600</v>
      </c>
      <c r="G96" s="16">
        <v>10</v>
      </c>
      <c r="I96" s="30">
        <f t="shared" si="42"/>
        <v>1.5384714666666666</v>
      </c>
      <c r="J96" s="31">
        <f t="shared" si="43"/>
        <v>1.5398051432280546</v>
      </c>
      <c r="K96" s="31">
        <f t="shared" si="44"/>
        <v>1.1716537416941393</v>
      </c>
      <c r="L96" s="51"/>
      <c r="M96" s="31">
        <f t="shared" si="45"/>
        <v>0.36118683595818457</v>
      </c>
      <c r="N96" s="31">
        <f t="shared" si="46"/>
        <v>5.0984950185327182</v>
      </c>
      <c r="O96" s="356">
        <v>18105007</v>
      </c>
      <c r="P96" s="357">
        <v>92308288</v>
      </c>
      <c r="Q96" s="357">
        <v>70238336</v>
      </c>
      <c r="R96" s="51"/>
      <c r="S96" s="357">
        <v>21652440</v>
      </c>
      <c r="T96" s="358">
        <v>52.168838999999998</v>
      </c>
      <c r="U96" s="358">
        <v>47.504413999999997</v>
      </c>
      <c r="V96" s="87"/>
      <c r="W96" s="87"/>
      <c r="X96" s="87"/>
      <c r="Y96" s="358">
        <v>72.911507</v>
      </c>
      <c r="Z96" s="359"/>
      <c r="AA96" s="359"/>
      <c r="AB96" s="32">
        <v>0</v>
      </c>
      <c r="AC96" s="32">
        <v>0</v>
      </c>
      <c r="AD96" s="33"/>
      <c r="AF96" s="30">
        <f t="shared" si="47"/>
        <v>1.5384714666666666</v>
      </c>
      <c r="AG96" s="31">
        <f t="shared" si="48"/>
        <v>1.5398051432280546</v>
      </c>
      <c r="AH96" s="31">
        <f t="shared" si="49"/>
        <v>1.1716537416941393</v>
      </c>
      <c r="AI96" s="51"/>
      <c r="AJ96" s="31">
        <f t="shared" si="50"/>
        <v>0.36118683595818457</v>
      </c>
      <c r="AK96" s="31">
        <f t="shared" si="51"/>
        <v>5.0984950185327182</v>
      </c>
      <c r="AL96" s="356">
        <v>18105007</v>
      </c>
      <c r="AM96" s="357">
        <v>92308288</v>
      </c>
      <c r="AN96" s="357">
        <v>70238336</v>
      </c>
      <c r="AO96" s="51"/>
      <c r="AP96" s="357">
        <v>21652440</v>
      </c>
      <c r="AQ96" s="358">
        <v>52.168838999999998</v>
      </c>
      <c r="AR96" s="358">
        <v>47.504413999999997</v>
      </c>
      <c r="AS96" s="87"/>
      <c r="AT96" s="87"/>
      <c r="AU96" s="87"/>
      <c r="AV96" s="358">
        <v>72.911507</v>
      </c>
      <c r="AW96" s="359">
        <v>322.31999999999994</v>
      </c>
      <c r="AX96" s="359">
        <v>41.685999999999943</v>
      </c>
      <c r="AY96" s="32">
        <v>0</v>
      </c>
      <c r="AZ96" s="32">
        <v>0</v>
      </c>
      <c r="BA96" s="33">
        <v>47966.443333333336</v>
      </c>
      <c r="BC96" s="56" t="e">
        <f t="shared" si="57"/>
        <v>#DIV/0!</v>
      </c>
      <c r="BD96" s="57" t="e">
        <f t="shared" si="55"/>
        <v>#DIV/0!</v>
      </c>
      <c r="BE96" s="57">
        <f t="shared" si="52"/>
        <v>0</v>
      </c>
      <c r="BF96" s="58"/>
      <c r="BH96" s="74"/>
      <c r="BI96" s="75"/>
      <c r="BJ96" s="87"/>
      <c r="BK96" s="87"/>
      <c r="BL96" s="87"/>
      <c r="BM96" s="76"/>
      <c r="BO96" s="74"/>
      <c r="BP96" s="75"/>
      <c r="BQ96" s="87"/>
      <c r="BR96" s="87"/>
      <c r="BS96" s="87"/>
      <c r="BT96" s="76"/>
      <c r="BV96" s="74"/>
      <c r="BW96" s="75"/>
      <c r="BX96" s="87"/>
      <c r="BY96" s="87"/>
      <c r="BZ96" s="87"/>
      <c r="CA96" s="76"/>
      <c r="CC96" s="74"/>
      <c r="CD96" s="75"/>
      <c r="CE96" s="87"/>
      <c r="CF96" s="87"/>
      <c r="CG96" s="87"/>
      <c r="CH96" s="76"/>
      <c r="CJ96" s="74"/>
      <c r="CK96" s="75"/>
      <c r="CL96" s="87"/>
      <c r="CM96" s="87"/>
      <c r="CN96" s="87"/>
      <c r="CO96" s="76"/>
      <c r="CQ96" s="74"/>
      <c r="CR96" s="75"/>
      <c r="CS96" s="87"/>
      <c r="CT96" s="87"/>
      <c r="CU96" s="87"/>
      <c r="CV96" s="76"/>
    </row>
    <row r="97" spans="1:100" outlineLevel="1">
      <c r="A97" s="13"/>
      <c r="B97" s="14" t="s">
        <v>468</v>
      </c>
      <c r="C97" s="15" t="s">
        <v>133</v>
      </c>
      <c r="D97" s="465">
        <f t="shared" ref="D97:D100" si="58">D$95</f>
        <v>59948032</v>
      </c>
      <c r="E97" s="15">
        <v>18</v>
      </c>
      <c r="F97" s="15">
        <v>600</v>
      </c>
      <c r="G97" s="16">
        <v>10</v>
      </c>
      <c r="I97" s="30">
        <f t="shared" si="42"/>
        <v>6.0037693333333326</v>
      </c>
      <c r="J97" s="31">
        <f t="shared" si="43"/>
        <v>6.0089739059323914</v>
      </c>
      <c r="K97" s="31">
        <f t="shared" si="44"/>
        <v>4.6192503533727347</v>
      </c>
      <c r="L97" s="51"/>
      <c r="M97" s="31">
        <f t="shared" ref="M97:M106" si="59">IF(ISBLANK(Q97),"·",S97/D97)</f>
        <v>1.3826722451872981</v>
      </c>
      <c r="N97" s="31">
        <f t="shared" si="46"/>
        <v>8.0975296168341568</v>
      </c>
      <c r="O97" s="356">
        <v>44485933</v>
      </c>
      <c r="P97" s="357">
        <v>360226160</v>
      </c>
      <c r="Q97" s="357">
        <v>276914968</v>
      </c>
      <c r="R97" s="51"/>
      <c r="S97" s="357">
        <v>82888480</v>
      </c>
      <c r="T97" s="358">
        <v>64.207481000000001</v>
      </c>
      <c r="U97" s="358">
        <v>59.512123000000003</v>
      </c>
      <c r="V97" s="87"/>
      <c r="W97" s="87"/>
      <c r="X97" s="87"/>
      <c r="Y97" s="358">
        <v>80.127739000000005</v>
      </c>
      <c r="Z97" s="359"/>
      <c r="AA97" s="359"/>
      <c r="AB97" s="32">
        <v>0</v>
      </c>
      <c r="AC97" s="32">
        <v>0</v>
      </c>
      <c r="AD97" s="33"/>
      <c r="AF97" s="30">
        <f t="shared" si="47"/>
        <v>6.0037693333333326</v>
      </c>
      <c r="AG97" s="31">
        <f t="shared" si="48"/>
        <v>6.0089739059323914</v>
      </c>
      <c r="AH97" s="31">
        <f t="shared" si="49"/>
        <v>4.6192503533727347</v>
      </c>
      <c r="AI97" s="51"/>
      <c r="AJ97" s="31">
        <f t="shared" ref="AJ97:AJ106" si="60">IF(ISBLANK(AN97),"·",AP97/D97)</f>
        <v>1.3826722451872981</v>
      </c>
      <c r="AK97" s="31">
        <f t="shared" si="51"/>
        <v>8.0975296168341568</v>
      </c>
      <c r="AL97" s="356">
        <v>44485933</v>
      </c>
      <c r="AM97" s="357">
        <v>360226160</v>
      </c>
      <c r="AN97" s="357">
        <v>276914968</v>
      </c>
      <c r="AO97" s="51"/>
      <c r="AP97" s="357">
        <v>82888480</v>
      </c>
      <c r="AQ97" s="358">
        <v>64.207481000000001</v>
      </c>
      <c r="AR97" s="358">
        <v>59.512123000000003</v>
      </c>
      <c r="AS97" s="87"/>
      <c r="AT97" s="87"/>
      <c r="AU97" s="87"/>
      <c r="AV97" s="358">
        <v>80.127739000000005</v>
      </c>
      <c r="AW97" s="359">
        <v>494.65700000000044</v>
      </c>
      <c r="AX97" s="359">
        <v>122.53699999999995</v>
      </c>
      <c r="AY97" s="32">
        <v>0</v>
      </c>
      <c r="AZ97" s="32">
        <v>0</v>
      </c>
      <c r="BA97" s="33">
        <v>3021.2649999999999</v>
      </c>
      <c r="BC97" s="56" t="e">
        <f t="shared" si="57"/>
        <v>#DIV/0!</v>
      </c>
      <c r="BD97" s="57" t="e">
        <f t="shared" si="55"/>
        <v>#DIV/0!</v>
      </c>
      <c r="BE97" s="57">
        <f t="shared" si="52"/>
        <v>0</v>
      </c>
      <c r="BF97" s="58"/>
      <c r="BH97" s="74"/>
      <c r="BI97" s="75"/>
      <c r="BJ97" s="87"/>
      <c r="BK97" s="87"/>
      <c r="BL97" s="87"/>
      <c r="BM97" s="76"/>
      <c r="BO97" s="74"/>
      <c r="BP97" s="75"/>
      <c r="BQ97" s="87"/>
      <c r="BR97" s="87"/>
      <c r="BS97" s="87"/>
      <c r="BT97" s="76"/>
      <c r="BV97" s="74"/>
      <c r="BW97" s="75"/>
      <c r="BX97" s="87"/>
      <c r="BY97" s="87"/>
      <c r="BZ97" s="87"/>
      <c r="CA97" s="76"/>
      <c r="CC97" s="74"/>
      <c r="CD97" s="75"/>
      <c r="CE97" s="87"/>
      <c r="CF97" s="87"/>
      <c r="CG97" s="87"/>
      <c r="CH97" s="76"/>
      <c r="CJ97" s="74"/>
      <c r="CK97" s="75"/>
      <c r="CL97" s="87"/>
      <c r="CM97" s="87"/>
      <c r="CN97" s="87"/>
      <c r="CO97" s="76"/>
      <c r="CQ97" s="74"/>
      <c r="CR97" s="75"/>
      <c r="CS97" s="87"/>
      <c r="CT97" s="87"/>
      <c r="CU97" s="87"/>
      <c r="CV97" s="76"/>
    </row>
    <row r="98" spans="1:100" outlineLevel="1">
      <c r="A98" s="13"/>
      <c r="B98" s="14" t="s">
        <v>468</v>
      </c>
      <c r="C98" s="15" t="s">
        <v>134</v>
      </c>
      <c r="D98" s="465">
        <f t="shared" si="58"/>
        <v>59948032</v>
      </c>
      <c r="E98" s="15">
        <v>18</v>
      </c>
      <c r="F98" s="15">
        <v>600</v>
      </c>
      <c r="G98" s="16">
        <v>10</v>
      </c>
      <c r="I98" s="30">
        <f t="shared" si="42"/>
        <v>9.4018585333333338</v>
      </c>
      <c r="J98" s="31">
        <f t="shared" si="43"/>
        <v>9.410008855670192</v>
      </c>
      <c r="K98" s="31">
        <f t="shared" si="44"/>
        <v>7.1160701322105115</v>
      </c>
      <c r="L98" s="51"/>
      <c r="M98" s="31">
        <f t="shared" si="59"/>
        <v>2.2868145529781527</v>
      </c>
      <c r="N98" s="31">
        <f t="shared" si="46"/>
        <v>11.286565635591943</v>
      </c>
      <c r="O98" s="356">
        <v>49980794</v>
      </c>
      <c r="P98" s="357">
        <v>564111512</v>
      </c>
      <c r="Q98" s="357">
        <v>426594400</v>
      </c>
      <c r="R98" s="51"/>
      <c r="S98" s="357">
        <v>137090032</v>
      </c>
      <c r="T98" s="358">
        <v>70.221642000000003</v>
      </c>
      <c r="U98" s="358">
        <v>65.473327999999995</v>
      </c>
      <c r="V98" s="87"/>
      <c r="W98" s="87"/>
      <c r="X98" s="87"/>
      <c r="Y98" s="358">
        <v>86.343192999999999</v>
      </c>
      <c r="Z98" s="359"/>
      <c r="AA98" s="359"/>
      <c r="AB98" s="32">
        <v>0</v>
      </c>
      <c r="AC98" s="32">
        <v>0</v>
      </c>
      <c r="AD98" s="33"/>
      <c r="AF98" s="30">
        <f t="shared" si="47"/>
        <v>9.4018585333333338</v>
      </c>
      <c r="AG98" s="31">
        <f t="shared" si="48"/>
        <v>9.410008855670192</v>
      </c>
      <c r="AH98" s="31">
        <f t="shared" si="49"/>
        <v>7.1160701322105115</v>
      </c>
      <c r="AI98" s="51"/>
      <c r="AJ98" s="31">
        <f t="shared" si="60"/>
        <v>2.2868145529781527</v>
      </c>
      <c r="AK98" s="31">
        <f t="shared" si="51"/>
        <v>11.286565635591943</v>
      </c>
      <c r="AL98" s="356">
        <v>49980794</v>
      </c>
      <c r="AM98" s="357">
        <v>564111512</v>
      </c>
      <c r="AN98" s="357">
        <v>426594400</v>
      </c>
      <c r="AO98" s="51"/>
      <c r="AP98" s="357">
        <v>137090032</v>
      </c>
      <c r="AQ98" s="358">
        <v>70.221642000000003</v>
      </c>
      <c r="AR98" s="358">
        <v>65.473327999999995</v>
      </c>
      <c r="AS98" s="87"/>
      <c r="AT98" s="87"/>
      <c r="AU98" s="87"/>
      <c r="AV98" s="358">
        <v>86.343192999999999</v>
      </c>
      <c r="AW98" s="359">
        <v>552.8200000000005</v>
      </c>
      <c r="AX98" s="359">
        <v>155.35700000000006</v>
      </c>
      <c r="AY98" s="32">
        <v>0</v>
      </c>
      <c r="AZ98" s="32">
        <v>0</v>
      </c>
      <c r="BA98" s="33">
        <v>765.77833333333331</v>
      </c>
      <c r="BC98" s="56" t="e">
        <f t="shared" si="57"/>
        <v>#DIV/0!</v>
      </c>
      <c r="BD98" s="57" t="e">
        <f t="shared" si="55"/>
        <v>#DIV/0!</v>
      </c>
      <c r="BE98" s="57">
        <f t="shared" si="52"/>
        <v>0</v>
      </c>
      <c r="BF98" s="58"/>
      <c r="BH98" s="74"/>
      <c r="BI98" s="75"/>
      <c r="BJ98" s="87"/>
      <c r="BK98" s="87"/>
      <c r="BL98" s="87"/>
      <c r="BM98" s="76"/>
      <c r="BO98" s="74"/>
      <c r="BP98" s="75"/>
      <c r="BQ98" s="87"/>
      <c r="BR98" s="87"/>
      <c r="BS98" s="87"/>
      <c r="BT98" s="76"/>
      <c r="BV98" s="74"/>
      <c r="BW98" s="75"/>
      <c r="BX98" s="87"/>
      <c r="BY98" s="87"/>
      <c r="BZ98" s="87"/>
      <c r="CA98" s="76"/>
      <c r="CC98" s="74"/>
      <c r="CD98" s="75"/>
      <c r="CE98" s="87"/>
      <c r="CF98" s="87"/>
      <c r="CG98" s="87"/>
      <c r="CH98" s="76"/>
      <c r="CJ98" s="74"/>
      <c r="CK98" s="75"/>
      <c r="CL98" s="87"/>
      <c r="CM98" s="87"/>
      <c r="CN98" s="87"/>
      <c r="CO98" s="76"/>
      <c r="CQ98" s="74"/>
      <c r="CR98" s="75"/>
      <c r="CS98" s="87"/>
      <c r="CT98" s="87"/>
      <c r="CU98" s="87"/>
      <c r="CV98" s="76"/>
    </row>
    <row r="99" spans="1:100" outlineLevel="1">
      <c r="A99" s="13"/>
      <c r="B99" s="14" t="s">
        <v>468</v>
      </c>
      <c r="C99" s="15" t="s">
        <v>135</v>
      </c>
      <c r="D99" s="465">
        <f t="shared" si="58"/>
        <v>59948032</v>
      </c>
      <c r="E99" s="15">
        <v>18</v>
      </c>
      <c r="F99" s="15">
        <v>600</v>
      </c>
      <c r="G99" s="16">
        <v>10</v>
      </c>
      <c r="I99" s="30">
        <f t="shared" si="42"/>
        <v>15.423549333333334</v>
      </c>
      <c r="J99" s="31">
        <f t="shared" si="43"/>
        <v>15.436919764105017</v>
      </c>
      <c r="K99" s="31">
        <f t="shared" si="44"/>
        <v>12.207207202398237</v>
      </c>
      <c r="L99" s="51"/>
      <c r="M99" s="31">
        <f t="shared" si="59"/>
        <v>3.2224181104060263</v>
      </c>
      <c r="N99" s="31">
        <f t="shared" si="46"/>
        <v>17.963389711330198</v>
      </c>
      <c r="O99" s="356">
        <v>51516611</v>
      </c>
      <c r="P99" s="357">
        <v>925412960</v>
      </c>
      <c r="Q99" s="357">
        <v>731798048</v>
      </c>
      <c r="R99" s="51"/>
      <c r="S99" s="357">
        <v>193177624</v>
      </c>
      <c r="T99" s="358">
        <v>82.135459999999995</v>
      </c>
      <c r="U99" s="358">
        <v>77.501091000000002</v>
      </c>
      <c r="V99" s="87"/>
      <c r="W99" s="87"/>
      <c r="X99" s="87"/>
      <c r="Y99" s="358">
        <v>94.322226999999998</v>
      </c>
      <c r="Z99" s="359"/>
      <c r="AA99" s="359"/>
      <c r="AB99" s="32">
        <v>0</v>
      </c>
      <c r="AC99" s="32">
        <v>0</v>
      </c>
      <c r="AD99" s="33"/>
      <c r="AF99" s="30">
        <f t="shared" si="47"/>
        <v>15.423549333333334</v>
      </c>
      <c r="AG99" s="31">
        <f t="shared" si="48"/>
        <v>15.436919764105017</v>
      </c>
      <c r="AH99" s="31">
        <f t="shared" si="49"/>
        <v>12.207207202398237</v>
      </c>
      <c r="AI99" s="51"/>
      <c r="AJ99" s="31">
        <f t="shared" si="60"/>
        <v>3.2224181104060263</v>
      </c>
      <c r="AK99" s="31">
        <f t="shared" si="51"/>
        <v>17.963389711330198</v>
      </c>
      <c r="AL99" s="356">
        <v>51516611</v>
      </c>
      <c r="AM99" s="357">
        <v>925412960</v>
      </c>
      <c r="AN99" s="357">
        <v>731798048</v>
      </c>
      <c r="AO99" s="51"/>
      <c r="AP99" s="357">
        <v>193177624</v>
      </c>
      <c r="AQ99" s="358">
        <v>82.135459999999995</v>
      </c>
      <c r="AR99" s="358">
        <v>77.501091000000002</v>
      </c>
      <c r="AS99" s="87"/>
      <c r="AT99" s="87"/>
      <c r="AU99" s="87"/>
      <c r="AV99" s="358">
        <v>94.322226999999998</v>
      </c>
      <c r="AW99" s="359">
        <v>588.64499999999975</v>
      </c>
      <c r="AX99" s="359">
        <v>171.99700000000007</v>
      </c>
      <c r="AY99" s="32">
        <v>0</v>
      </c>
      <c r="AZ99" s="32">
        <v>0</v>
      </c>
      <c r="BA99" s="33">
        <v>48</v>
      </c>
      <c r="BC99" s="56" t="e">
        <f t="shared" si="57"/>
        <v>#DIV/0!</v>
      </c>
      <c r="BD99" s="57" t="e">
        <f t="shared" si="55"/>
        <v>#DIV/0!</v>
      </c>
      <c r="BE99" s="57">
        <f t="shared" si="52"/>
        <v>0</v>
      </c>
      <c r="BF99" s="58"/>
      <c r="BH99" s="74"/>
      <c r="BI99" s="75"/>
      <c r="BJ99" s="87"/>
      <c r="BK99" s="87"/>
      <c r="BL99" s="87"/>
      <c r="BM99" s="76"/>
      <c r="BO99" s="74"/>
      <c r="BP99" s="75"/>
      <c r="BQ99" s="87"/>
      <c r="BR99" s="87"/>
      <c r="BS99" s="87"/>
      <c r="BT99" s="76"/>
      <c r="BV99" s="74"/>
      <c r="BW99" s="75"/>
      <c r="BX99" s="87"/>
      <c r="BY99" s="87"/>
      <c r="BZ99" s="87"/>
      <c r="CA99" s="76"/>
      <c r="CC99" s="74"/>
      <c r="CD99" s="75"/>
      <c r="CE99" s="87"/>
      <c r="CF99" s="87"/>
      <c r="CG99" s="87"/>
      <c r="CH99" s="76"/>
      <c r="CJ99" s="74"/>
      <c r="CK99" s="75"/>
      <c r="CL99" s="87"/>
      <c r="CM99" s="87"/>
      <c r="CN99" s="87"/>
      <c r="CO99" s="76"/>
      <c r="CQ99" s="74"/>
      <c r="CR99" s="75"/>
      <c r="CS99" s="87"/>
      <c r="CT99" s="87"/>
      <c r="CU99" s="87"/>
      <c r="CV99" s="76"/>
    </row>
    <row r="100" spans="1:100" ht="14.25" outlineLevel="1" thickBot="1">
      <c r="A100" s="215"/>
      <c r="B100" s="18" t="s">
        <v>812</v>
      </c>
      <c r="C100" s="19" t="s">
        <v>136</v>
      </c>
      <c r="D100" s="468">
        <f t="shared" si="58"/>
        <v>59948032</v>
      </c>
      <c r="E100" s="19">
        <v>18</v>
      </c>
      <c r="F100" s="189">
        <v>600</v>
      </c>
      <c r="G100" s="20">
        <v>10</v>
      </c>
      <c r="I100" s="34">
        <f t="shared" si="42"/>
        <v>18.982871066666668</v>
      </c>
      <c r="J100" s="35">
        <f t="shared" si="43"/>
        <v>18.999327017107085</v>
      </c>
      <c r="K100" s="35">
        <f t="shared" si="44"/>
        <v>14.745684128546538</v>
      </c>
      <c r="L100" s="52"/>
      <c r="M100" s="35">
        <f t="shared" si="59"/>
        <v>4.2462845152281226</v>
      </c>
      <c r="N100" s="35">
        <f t="shared" si="46"/>
        <v>22.044129396035952</v>
      </c>
      <c r="O100" s="360">
        <v>51667827</v>
      </c>
      <c r="P100" s="361">
        <v>1138972264</v>
      </c>
      <c r="Q100" s="361">
        <v>883974744</v>
      </c>
      <c r="R100" s="52"/>
      <c r="S100" s="361">
        <v>254556400</v>
      </c>
      <c r="T100" s="362">
        <v>87.779921999999999</v>
      </c>
      <c r="U100" s="362">
        <v>83.522223999999994</v>
      </c>
      <c r="V100" s="88"/>
      <c r="W100" s="88"/>
      <c r="X100" s="88"/>
      <c r="Y100" s="362">
        <v>99.025360000000006</v>
      </c>
      <c r="Z100" s="363"/>
      <c r="AA100" s="363"/>
      <c r="AB100" s="36">
        <v>0</v>
      </c>
      <c r="AC100" s="36">
        <v>0</v>
      </c>
      <c r="AD100" s="37"/>
      <c r="AF100" s="34">
        <f t="shared" si="47"/>
        <v>18.982871066666668</v>
      </c>
      <c r="AG100" s="35">
        <f t="shared" si="48"/>
        <v>18.999327017107085</v>
      </c>
      <c r="AH100" s="35">
        <f t="shared" si="49"/>
        <v>14.745684128546538</v>
      </c>
      <c r="AI100" s="52"/>
      <c r="AJ100" s="35">
        <f t="shared" si="60"/>
        <v>4.2462845152281226</v>
      </c>
      <c r="AK100" s="35">
        <f t="shared" si="51"/>
        <v>22.044129396035952</v>
      </c>
      <c r="AL100" s="360">
        <v>51667827</v>
      </c>
      <c r="AM100" s="361">
        <v>1138972264</v>
      </c>
      <c r="AN100" s="361">
        <v>883974744</v>
      </c>
      <c r="AO100" s="52"/>
      <c r="AP100" s="361">
        <v>254556400</v>
      </c>
      <c r="AQ100" s="362">
        <v>87.779921999999999</v>
      </c>
      <c r="AR100" s="362">
        <v>83.522223999999994</v>
      </c>
      <c r="AS100" s="88"/>
      <c r="AT100" s="88"/>
      <c r="AU100" s="88"/>
      <c r="AV100" s="362">
        <v>99.025360000000006</v>
      </c>
      <c r="AW100" s="363">
        <v>567.15800000000013</v>
      </c>
      <c r="AX100" s="363">
        <v>178.41000000000005</v>
      </c>
      <c r="AY100" s="36">
        <v>0</v>
      </c>
      <c r="AZ100" s="36">
        <v>0</v>
      </c>
      <c r="BA100" s="37">
        <v>12</v>
      </c>
      <c r="BC100" s="59" t="e">
        <f t="shared" si="57"/>
        <v>#DIV/0!</v>
      </c>
      <c r="BD100" s="60" t="e">
        <f t="shared" si="55"/>
        <v>#DIV/0!</v>
      </c>
      <c r="BE100" s="60">
        <f t="shared" si="52"/>
        <v>0</v>
      </c>
      <c r="BF100" s="61"/>
      <c r="BH100" s="77"/>
      <c r="BI100" s="78"/>
      <c r="BJ100" s="88"/>
      <c r="BK100" s="88"/>
      <c r="BL100" s="88"/>
      <c r="BM100" s="79"/>
      <c r="BO100" s="77"/>
      <c r="BP100" s="78"/>
      <c r="BQ100" s="88"/>
      <c r="BR100" s="88"/>
      <c r="BS100" s="88"/>
      <c r="BT100" s="79"/>
      <c r="BV100" s="77"/>
      <c r="BW100" s="78"/>
      <c r="BX100" s="88"/>
      <c r="BY100" s="88"/>
      <c r="BZ100" s="88"/>
      <c r="CA100" s="79"/>
      <c r="CC100" s="77"/>
      <c r="CD100" s="78"/>
      <c r="CE100" s="88"/>
      <c r="CF100" s="88"/>
      <c r="CG100" s="88"/>
      <c r="CH100" s="79"/>
      <c r="CJ100" s="77"/>
      <c r="CK100" s="78"/>
      <c r="CL100" s="88"/>
      <c r="CM100" s="88"/>
      <c r="CN100" s="88"/>
      <c r="CO100" s="79"/>
      <c r="CQ100" s="77"/>
      <c r="CR100" s="78"/>
      <c r="CS100" s="88"/>
      <c r="CT100" s="88"/>
      <c r="CU100" s="88"/>
      <c r="CV100" s="79"/>
    </row>
    <row r="101" spans="1:100" s="1" customFormat="1">
      <c r="A101" s="13"/>
      <c r="B101" s="24" t="s">
        <v>814</v>
      </c>
      <c r="C101" s="25" t="s">
        <v>131</v>
      </c>
      <c r="D101" s="466">
        <v>40386600</v>
      </c>
      <c r="E101" s="25">
        <v>20</v>
      </c>
      <c r="F101" s="25">
        <v>387</v>
      </c>
      <c r="G101" s="26">
        <v>20</v>
      </c>
      <c r="I101" s="42">
        <f t="shared" ref="I101:I106" si="61">IF(OR(ISBLANK(P101),ISBLANK(G101)),"·",P101*G101/F101/1000000)</f>
        <v>1.4018344186046512</v>
      </c>
      <c r="J101" s="43">
        <f t="shared" ref="J101:J106" si="62">IF(ISBLANK(P101),"·",P101/D101)</f>
        <v>0.6716459419708517</v>
      </c>
      <c r="K101" s="43">
        <f t="shared" ref="K101:K106" si="63">IF(Q101="","·",Q101/D101)</f>
        <v>0.61812442740909113</v>
      </c>
      <c r="L101" s="55"/>
      <c r="M101" s="43">
        <f t="shared" si="59"/>
        <v>4.6889017644466235E-2</v>
      </c>
      <c r="N101" s="43">
        <f t="shared" ref="N101:N106" si="64">IF(ISBLANK(P101),"·",P101/O101)</f>
        <v>4.9681360114317235</v>
      </c>
      <c r="O101" s="364">
        <v>5459894</v>
      </c>
      <c r="P101" s="365">
        <v>27125496</v>
      </c>
      <c r="Q101" s="365">
        <v>24963944</v>
      </c>
      <c r="R101" s="55"/>
      <c r="S101" s="365">
        <v>1893688</v>
      </c>
      <c r="T101" s="366">
        <v>46.136325999999997</v>
      </c>
      <c r="U101" s="366">
        <v>41.497287999999998</v>
      </c>
      <c r="V101" s="92"/>
      <c r="W101" s="92"/>
      <c r="X101" s="92"/>
      <c r="Y101" s="366">
        <v>70.723151999999999</v>
      </c>
      <c r="Z101" s="367"/>
      <c r="AA101" s="367"/>
      <c r="AB101" s="44">
        <v>0</v>
      </c>
      <c r="AC101" s="44">
        <v>0</v>
      </c>
      <c r="AD101" s="45"/>
      <c r="AF101" s="42">
        <f t="shared" ref="AF101:AF106" si="65">IF(OR(ISBLANK(AM101),ISBLANK(G101)),"·",AM101*G101/F101/1000000)</f>
        <v>1.4018344186046512</v>
      </c>
      <c r="AG101" s="43">
        <f t="shared" ref="AG101:AG106" si="66">IF(ISBLANK(AM101),"·",AM101/D101)</f>
        <v>0.6716459419708517</v>
      </c>
      <c r="AH101" s="43">
        <f t="shared" ref="AH101:AH106" si="67">IF(AN101="","·",AN101/D101)</f>
        <v>0.61812442740909113</v>
      </c>
      <c r="AI101" s="55"/>
      <c r="AJ101" s="43">
        <f t="shared" si="60"/>
        <v>4.6889017644466235E-2</v>
      </c>
      <c r="AK101" s="43">
        <f t="shared" ref="AK101:AK106" si="68">IF(ISBLANK(AM101),"·",AM101/AL101)</f>
        <v>4.9681360114317235</v>
      </c>
      <c r="AL101" s="364">
        <v>5459894</v>
      </c>
      <c r="AM101" s="365">
        <v>27125496</v>
      </c>
      <c r="AN101" s="365">
        <v>24963944</v>
      </c>
      <c r="AO101" s="55"/>
      <c r="AP101" s="365">
        <v>1893688</v>
      </c>
      <c r="AQ101" s="366">
        <v>46.136325999999997</v>
      </c>
      <c r="AR101" s="366">
        <v>41.497287999999998</v>
      </c>
      <c r="AS101" s="92"/>
      <c r="AT101" s="92"/>
      <c r="AU101" s="92"/>
      <c r="AV101" s="366">
        <v>70.723151999999999</v>
      </c>
      <c r="AW101" s="367">
        <v>195.73700000000005</v>
      </c>
      <c r="AX101" s="367">
        <v>11.098999999999998</v>
      </c>
      <c r="AY101" s="44">
        <v>0</v>
      </c>
      <c r="AZ101" s="44">
        <v>0</v>
      </c>
      <c r="BA101" s="45">
        <v>191276.03617571059</v>
      </c>
      <c r="BC101" s="65" t="e">
        <f t="shared" ref="BC101:BC106" si="69">AY101/AB101</f>
        <v>#DIV/0!</v>
      </c>
      <c r="BD101" s="66" t="e">
        <f t="shared" ref="BD101:BD106" si="70">AZ101/AC101</f>
        <v>#DIV/0!</v>
      </c>
      <c r="BE101" s="66">
        <f t="shared" ref="BE101:BE106" si="71">(AN101/AM101) - (Q101/P101)</f>
        <v>0</v>
      </c>
      <c r="BF101" s="67">
        <f t="array" ref="BF101">AVERAGE(AN101:AN106/AM101:AM106) - AVERAGE(Q101:Q106/P101:P106)</f>
        <v>0</v>
      </c>
      <c r="BH101" s="83">
        <f>IF( OR(ISBLANK($Q101:$Q106),ISBLANK($AN101:$AN106), ISBLANK($T101:$T106),ISBLANK($AQ101:$AQ106)), "·", bdRateHermite( $Q101:$Q106,$T101:$T106, $AN101:$AN106,$AQ101:$AQ106))</f>
        <v>0</v>
      </c>
      <c r="BI101" s="84">
        <f>IF(OR(ISBLANK($Q101:$Q106),ISBLANK($AN101:$AN106),ISBLANK($U101:$U106),ISBLANK($AR101:$AR106)),"·",bdRateHermite($Q101:$Q106,$U101:$U106,$AN101:$AN106,$AR101:$AR106))</f>
        <v>0</v>
      </c>
      <c r="BJ101" s="92"/>
      <c r="BK101" s="92"/>
      <c r="BL101" s="92"/>
      <c r="BM101" s="184">
        <f>IF( OR(ISBLANK($S101:$S106),ISBLANK($AP101:$AP106), ISBLANK($Y101:$Y106),ISBLANK($AV101:$AV106)), "·", bdRateHermite($S101:$S106,$Y101:$Y106, $AP101:$AP106,$AV101:$AV106))</f>
        <v>0</v>
      </c>
      <c r="BO101" s="83">
        <f>IF( OR(ISBLANK($P101:$P106),ISBLANK($AM101:$AM106), ISBLANK($T101:$T106),ISBLANK($AQ101:$AQ106)), "·", bdRateHermite($P101:$P106,$T101:$T106, $AM101:$AM106,$AQ101:$AQ106))</f>
        <v>0</v>
      </c>
      <c r="BP101" s="84">
        <f>IF( OR(ISBLANK($P101:$P106),ISBLANK($AM101:$AM106), ISBLANK($U101:$U106),ISBLANK($AR101:$AR106)), "·", bdRateHermite( $P101:$P106,$U101:$U106, $AM101:$AM106,$AR101:$AR106))</f>
        <v>0</v>
      </c>
      <c r="BQ101" s="92"/>
      <c r="BR101" s="87"/>
      <c r="BS101" s="92"/>
      <c r="BT101" s="85">
        <f>IF( OR(ISBLANK($P101:$P106),ISBLANK($AM101:$AM106), ISBLANK($Y101:$Y106),ISBLANK($AV101:$AV106)), "·", bdRateHermite( $P101:$P106,$Y101:$Y106, $AM101:$AM106,$AV101:$AV106))</f>
        <v>0</v>
      </c>
      <c r="BV101" s="83">
        <f>IF( OR(ISBLANK($Q101:$Q105),ISBLANK($AN101:$AN105), ISBLANK($T101:$T105),ISBLANK($AQ101:$AQ105)), "·", bdRateHermite( $Q102:$Q106,$T102:$T106, $AN102:$AN106,$AQ102:$AQ106))</f>
        <v>0</v>
      </c>
      <c r="BW101" s="84">
        <f>IF(OR(ISBLANK($Q101:$Q106),ISBLANK($AN101:$AN106),ISBLANK($U101:$U106),ISBLANK($AR101:$AR106)),"·",bdRateHermite($Q102:$Q106,$U102:$U106,$AN102:$AN106,$AR102:$AR106))</f>
        <v>0</v>
      </c>
      <c r="BX101" s="92"/>
      <c r="BY101" s="92"/>
      <c r="BZ101" s="92"/>
      <c r="CA101" s="184">
        <f>IF( OR(ISBLANK($S101:$S106),ISBLANK($AP101:$AP106), ISBLANK($Y101:$Y106),ISBLANK($AV101:$AV106)), "·", bdRateHermite($S102:$S106,$Y102:$Y106, $AP102:$AP106,$AV102:$AV106))</f>
        <v>0</v>
      </c>
      <c r="CC101" s="83">
        <f>IF( OR(ISBLANK($P101:$P106),ISBLANK($AM101:$AM106), ISBLANK($T101:$T106),ISBLANK($AQ101:$AQ106)), "·", bdRateHermite($P102:$P106,$T102:$T106, $AM102:$AM106,$AQ102:$AQ106))</f>
        <v>0</v>
      </c>
      <c r="CD101" s="84">
        <f>IF( OR(ISBLANK($P101:$P106),ISBLANK($AM101:$AM106), ISBLANK($U101:$U106),ISBLANK($AR101:$AR106)), "·", bdRateHermite( $P102:$P106,$U102:$U106, $AM102:$AM106,$AR102:$AR106))</f>
        <v>0</v>
      </c>
      <c r="CE101" s="92"/>
      <c r="CF101" s="92"/>
      <c r="CG101" s="92"/>
      <c r="CH101" s="85">
        <f>IF( OR(ISBLANK($P101:$P106),ISBLANK($AM101:$AM106), ISBLANK($Y101:$Y106),ISBLANK($AV101:$AV106)), "·", bdRateHermite( $P102:$P106,$Y102:$Y106, $AM102:$AM106,$AV102:$AV106))</f>
        <v>0</v>
      </c>
      <c r="CJ101" s="83">
        <f>IF( OR(ISBLANK($Q101:$Q105),ISBLANK($AN101:$AN105), ISBLANK($T101:$T105),ISBLANK($AQ101:$AQ105)), "·", bdRateHermite( $Q101:$Q105,$T101:$T105, $AN101:$AN105,$AQ101:$AQ105))</f>
        <v>0</v>
      </c>
      <c r="CK101" s="84">
        <f>IF(OR(ISBLANK($Q101:$Q105),ISBLANK($AN101:$AN105),ISBLANK($U101:$U105),ISBLANK($AR101:$AR105)),"·",bdRateHermite($Q101:$Q105,$U101:$U105,$AN101:$AN105,$AR101:$AR105))</f>
        <v>0</v>
      </c>
      <c r="CL101" s="92"/>
      <c r="CM101" s="92"/>
      <c r="CN101" s="92"/>
      <c r="CO101" s="184">
        <f>IF( OR(ISBLANK($S101:$S105),ISBLANK($AP101:$AP105), ISBLANK($Y101:$Y105),ISBLANK($AV101:$AV105)), "·", bdRateHermite($S101:$S105,$Y101:$Y105, $AP101:$AP105,$AV101:$AV105))</f>
        <v>0</v>
      </c>
      <c r="CQ101" s="83">
        <f>IF( OR(ISBLANK($P101:$P105),ISBLANK($AM101:$AM105), ISBLANK($T101:$T105),ISBLANK($AQ101:$AQ105)), "·", bdRateHermite($P101:$P105,$T101:$T105, $AM101:$AM105,$AQ101:$AQ105))</f>
        <v>0</v>
      </c>
      <c r="CR101" s="84">
        <f>IF( OR(ISBLANK($P101:$P105),ISBLANK($AM101:$AM105), ISBLANK($U101:$U105),ISBLANK($AR101:$AR105)), "·", bdRateHermite( $P101:$P105,$U101:$U105, $AM101:$AM105,$AR101:$AR105))</f>
        <v>0</v>
      </c>
      <c r="CS101" s="92"/>
      <c r="CT101" s="92"/>
      <c r="CU101" s="92"/>
      <c r="CV101" s="85">
        <f>IF( OR(ISBLANK($P101:$P105),ISBLANK($AM101:$AM105), ISBLANK($Y101:$Y105),ISBLANK($AV101:$AV105)), "·", bdRateHermite( $P101:$P105,$Y101:$Y105, $AM101:$AM105,$AV101:$AV105))</f>
        <v>0</v>
      </c>
    </row>
    <row r="102" spans="1:100" s="1" customFormat="1" outlineLevel="1">
      <c r="A102" s="13"/>
      <c r="B102" s="24" t="s">
        <v>813</v>
      </c>
      <c r="C102" s="15" t="s">
        <v>132</v>
      </c>
      <c r="D102" s="464">
        <v>40386600</v>
      </c>
      <c r="E102" s="15">
        <v>20</v>
      </c>
      <c r="F102" s="25">
        <v>387</v>
      </c>
      <c r="G102" s="26">
        <v>20</v>
      </c>
      <c r="I102" s="30">
        <f t="shared" si="61"/>
        <v>3.1631185529715764</v>
      </c>
      <c r="J102" s="31">
        <f t="shared" si="62"/>
        <v>1.5155111844027473</v>
      </c>
      <c r="K102" s="31">
        <f t="shared" si="63"/>
        <v>1.2940464411463208</v>
      </c>
      <c r="L102" s="51"/>
      <c r="M102" s="31">
        <f t="shared" si="59"/>
        <v>0.21474865425660986</v>
      </c>
      <c r="N102" s="31">
        <f t="shared" si="64"/>
        <v>6.2388201126866916</v>
      </c>
      <c r="O102" s="356">
        <v>9810564</v>
      </c>
      <c r="P102" s="357">
        <v>61206344</v>
      </c>
      <c r="Q102" s="357">
        <v>52262136</v>
      </c>
      <c r="R102" s="51"/>
      <c r="S102" s="357">
        <v>8672968</v>
      </c>
      <c r="T102" s="358">
        <v>52.177750000000003</v>
      </c>
      <c r="U102" s="358">
        <v>47.516537</v>
      </c>
      <c r="V102" s="87"/>
      <c r="W102" s="87"/>
      <c r="X102" s="87"/>
      <c r="Y102" s="358">
        <v>74.520042000000004</v>
      </c>
      <c r="Z102" s="359"/>
      <c r="AA102" s="359"/>
      <c r="AB102" s="32">
        <v>0</v>
      </c>
      <c r="AC102" s="32">
        <v>0</v>
      </c>
      <c r="AD102" s="33"/>
      <c r="AF102" s="30">
        <f t="shared" si="65"/>
        <v>3.1631185529715764</v>
      </c>
      <c r="AG102" s="31">
        <f t="shared" si="66"/>
        <v>1.5155111844027473</v>
      </c>
      <c r="AH102" s="31">
        <f t="shared" si="67"/>
        <v>1.2940464411463208</v>
      </c>
      <c r="AI102" s="51"/>
      <c r="AJ102" s="31">
        <f t="shared" si="60"/>
        <v>0.21474865425660986</v>
      </c>
      <c r="AK102" s="31">
        <f t="shared" si="68"/>
        <v>6.2388201126866916</v>
      </c>
      <c r="AL102" s="356">
        <v>9810564</v>
      </c>
      <c r="AM102" s="357">
        <v>61206344</v>
      </c>
      <c r="AN102" s="357">
        <v>52262136</v>
      </c>
      <c r="AO102" s="51"/>
      <c r="AP102" s="357">
        <v>8672968</v>
      </c>
      <c r="AQ102" s="358">
        <v>52.177750000000003</v>
      </c>
      <c r="AR102" s="358">
        <v>47.516537</v>
      </c>
      <c r="AS102" s="87"/>
      <c r="AT102" s="87"/>
      <c r="AU102" s="87"/>
      <c r="AV102" s="358">
        <v>74.520042000000004</v>
      </c>
      <c r="AW102" s="359">
        <v>213.46600000000004</v>
      </c>
      <c r="AX102" s="359">
        <v>23.179000000000006</v>
      </c>
      <c r="AY102" s="32">
        <v>0</v>
      </c>
      <c r="AZ102" s="32">
        <v>0</v>
      </c>
      <c r="BA102" s="33">
        <v>47834.007751937985</v>
      </c>
      <c r="BC102" s="56" t="e">
        <f t="shared" si="69"/>
        <v>#DIV/0!</v>
      </c>
      <c r="BD102" s="57" t="e">
        <f t="shared" si="70"/>
        <v>#DIV/0!</v>
      </c>
      <c r="BE102" s="57">
        <f t="shared" si="71"/>
        <v>0</v>
      </c>
      <c r="BF102" s="58"/>
      <c r="BH102" s="74"/>
      <c r="BI102" s="75"/>
      <c r="BJ102" s="87"/>
      <c r="BK102" s="87"/>
      <c r="BL102" s="87"/>
      <c r="BM102" s="76"/>
      <c r="BO102" s="74"/>
      <c r="BP102" s="75"/>
      <c r="BQ102" s="87"/>
      <c r="BR102" s="87"/>
      <c r="BS102" s="87"/>
      <c r="BT102" s="76"/>
      <c r="BV102" s="74"/>
      <c r="BW102" s="75"/>
      <c r="BX102" s="87"/>
      <c r="BY102" s="87"/>
      <c r="BZ102" s="87"/>
      <c r="CA102" s="76"/>
      <c r="CC102" s="74"/>
      <c r="CD102" s="75"/>
      <c r="CE102" s="87"/>
      <c r="CF102" s="87"/>
      <c r="CG102" s="87"/>
      <c r="CH102" s="76"/>
      <c r="CJ102" s="74"/>
      <c r="CK102" s="75"/>
      <c r="CL102" s="87"/>
      <c r="CM102" s="87"/>
      <c r="CN102" s="87"/>
      <c r="CO102" s="76"/>
      <c r="CQ102" s="74"/>
      <c r="CR102" s="75"/>
      <c r="CS102" s="87"/>
      <c r="CT102" s="87"/>
      <c r="CU102" s="87"/>
      <c r="CV102" s="76"/>
    </row>
    <row r="103" spans="1:100" s="1" customFormat="1" outlineLevel="1">
      <c r="A103" s="13"/>
      <c r="B103" s="24" t="s">
        <v>813</v>
      </c>
      <c r="C103" s="15" t="s">
        <v>133</v>
      </c>
      <c r="D103" s="464">
        <v>40386600</v>
      </c>
      <c r="E103" s="15">
        <v>20</v>
      </c>
      <c r="F103" s="25">
        <v>387</v>
      </c>
      <c r="G103" s="26">
        <v>20</v>
      </c>
      <c r="I103" s="30">
        <f t="shared" si="61"/>
        <v>9.5064256330749348</v>
      </c>
      <c r="J103" s="31">
        <f t="shared" si="62"/>
        <v>4.554712107481194</v>
      </c>
      <c r="K103" s="31">
        <f t="shared" si="63"/>
        <v>3.8812402133380872</v>
      </c>
      <c r="L103" s="51"/>
      <c r="M103" s="31">
        <f t="shared" si="59"/>
        <v>0.66664051938019042</v>
      </c>
      <c r="N103" s="31">
        <f t="shared" si="64"/>
        <v>9.6239240471626815</v>
      </c>
      <c r="O103" s="356">
        <v>19113756</v>
      </c>
      <c r="P103" s="357">
        <v>183949336</v>
      </c>
      <c r="Q103" s="357">
        <v>156750096</v>
      </c>
      <c r="R103" s="51"/>
      <c r="S103" s="357">
        <v>26923344</v>
      </c>
      <c r="T103" s="358">
        <v>64.208884999999995</v>
      </c>
      <c r="U103" s="358">
        <v>59.524718999999997</v>
      </c>
      <c r="V103" s="87"/>
      <c r="W103" s="87"/>
      <c r="X103" s="87"/>
      <c r="Y103" s="358">
        <v>81.317695999999998</v>
      </c>
      <c r="Z103" s="359"/>
      <c r="AA103" s="359"/>
      <c r="AB103" s="32">
        <v>0</v>
      </c>
      <c r="AC103" s="32">
        <v>0</v>
      </c>
      <c r="AD103" s="33"/>
      <c r="AF103" s="30">
        <f t="shared" si="65"/>
        <v>9.5064256330749348</v>
      </c>
      <c r="AG103" s="31">
        <f t="shared" si="66"/>
        <v>4.554712107481194</v>
      </c>
      <c r="AH103" s="31">
        <f t="shared" si="67"/>
        <v>3.8812402133380872</v>
      </c>
      <c r="AI103" s="51"/>
      <c r="AJ103" s="31">
        <f t="shared" si="60"/>
        <v>0.66664051938019042</v>
      </c>
      <c r="AK103" s="31">
        <f t="shared" si="68"/>
        <v>9.6239240471626815</v>
      </c>
      <c r="AL103" s="356">
        <v>19113756</v>
      </c>
      <c r="AM103" s="357">
        <v>183949336</v>
      </c>
      <c r="AN103" s="357">
        <v>156750096</v>
      </c>
      <c r="AO103" s="51"/>
      <c r="AP103" s="357">
        <v>26923344</v>
      </c>
      <c r="AQ103" s="358">
        <v>64.208884999999995</v>
      </c>
      <c r="AR103" s="358">
        <v>59.524718999999997</v>
      </c>
      <c r="AS103" s="87"/>
      <c r="AT103" s="87"/>
      <c r="AU103" s="87"/>
      <c r="AV103" s="358">
        <v>81.317695999999998</v>
      </c>
      <c r="AW103" s="359">
        <v>250.92499999999995</v>
      </c>
      <c r="AX103" s="359">
        <v>55.898000000000003</v>
      </c>
      <c r="AY103" s="32">
        <v>0</v>
      </c>
      <c r="AZ103" s="32">
        <v>0</v>
      </c>
      <c r="BA103" s="33">
        <v>3012.498708010336</v>
      </c>
      <c r="BC103" s="56" t="e">
        <f t="shared" si="69"/>
        <v>#DIV/0!</v>
      </c>
      <c r="BD103" s="57" t="e">
        <f t="shared" si="70"/>
        <v>#DIV/0!</v>
      </c>
      <c r="BE103" s="57">
        <f t="shared" si="71"/>
        <v>0</v>
      </c>
      <c r="BF103" s="58"/>
      <c r="BH103" s="74"/>
      <c r="BI103" s="75"/>
      <c r="BJ103" s="87"/>
      <c r="BK103" s="87"/>
      <c r="BL103" s="87"/>
      <c r="BM103" s="76"/>
      <c r="BO103" s="74"/>
      <c r="BP103" s="75"/>
      <c r="BQ103" s="87"/>
      <c r="BR103" s="87"/>
      <c r="BS103" s="87"/>
      <c r="BT103" s="76"/>
      <c r="BV103" s="74"/>
      <c r="BW103" s="75"/>
      <c r="BX103" s="87"/>
      <c r="BY103" s="87"/>
      <c r="BZ103" s="87"/>
      <c r="CA103" s="76"/>
      <c r="CC103" s="74"/>
      <c r="CD103" s="75"/>
      <c r="CE103" s="87"/>
      <c r="CF103" s="87"/>
      <c r="CG103" s="87"/>
      <c r="CH103" s="76"/>
      <c r="CJ103" s="74"/>
      <c r="CK103" s="75"/>
      <c r="CL103" s="87"/>
      <c r="CM103" s="87"/>
      <c r="CN103" s="87"/>
      <c r="CO103" s="76"/>
      <c r="CQ103" s="74"/>
      <c r="CR103" s="75"/>
      <c r="CS103" s="87"/>
      <c r="CT103" s="87"/>
      <c r="CU103" s="87"/>
      <c r="CV103" s="76"/>
    </row>
    <row r="104" spans="1:100" s="1" customFormat="1" outlineLevel="1">
      <c r="A104" s="13"/>
      <c r="B104" s="24" t="s">
        <v>813</v>
      </c>
      <c r="C104" s="15" t="s">
        <v>134</v>
      </c>
      <c r="D104" s="464">
        <v>40386600</v>
      </c>
      <c r="E104" s="15">
        <v>20</v>
      </c>
      <c r="F104" s="25">
        <v>387</v>
      </c>
      <c r="G104" s="26">
        <v>20</v>
      </c>
      <c r="I104" s="30">
        <f t="shared" si="61"/>
        <v>14.067842067183463</v>
      </c>
      <c r="J104" s="31">
        <f t="shared" si="62"/>
        <v>6.7401748104569341</v>
      </c>
      <c r="K104" s="31">
        <f t="shared" si="63"/>
        <v>5.5887614208673178</v>
      </c>
      <c r="L104" s="51"/>
      <c r="M104" s="31">
        <f t="shared" si="59"/>
        <v>1.1445398226144314</v>
      </c>
      <c r="N104" s="31">
        <f t="shared" si="64"/>
        <v>12.303511520849385</v>
      </c>
      <c r="O104" s="356">
        <v>22124801</v>
      </c>
      <c r="P104" s="357">
        <v>272212744</v>
      </c>
      <c r="Q104" s="357">
        <v>225711072</v>
      </c>
      <c r="R104" s="51"/>
      <c r="S104" s="357">
        <v>46224072</v>
      </c>
      <c r="T104" s="358">
        <v>70.224318999999994</v>
      </c>
      <c r="U104" s="358">
        <v>65.484275999999994</v>
      </c>
      <c r="V104" s="87"/>
      <c r="W104" s="87"/>
      <c r="X104" s="87"/>
      <c r="Y104" s="358">
        <v>87.059882999999999</v>
      </c>
      <c r="Z104" s="359"/>
      <c r="AA104" s="359"/>
      <c r="AB104" s="32">
        <v>0</v>
      </c>
      <c r="AC104" s="32">
        <v>0</v>
      </c>
      <c r="AD104" s="33"/>
      <c r="AF104" s="30">
        <f t="shared" si="65"/>
        <v>14.067842067183463</v>
      </c>
      <c r="AG104" s="31">
        <f t="shared" si="66"/>
        <v>6.7401748104569341</v>
      </c>
      <c r="AH104" s="31">
        <f t="shared" si="67"/>
        <v>5.5887614208673178</v>
      </c>
      <c r="AI104" s="51"/>
      <c r="AJ104" s="31">
        <f t="shared" si="60"/>
        <v>1.1445398226144314</v>
      </c>
      <c r="AK104" s="31">
        <f t="shared" si="68"/>
        <v>12.303511520849385</v>
      </c>
      <c r="AL104" s="356">
        <v>22124801</v>
      </c>
      <c r="AM104" s="357">
        <v>272212744</v>
      </c>
      <c r="AN104" s="357">
        <v>225711072</v>
      </c>
      <c r="AO104" s="51"/>
      <c r="AP104" s="357">
        <v>46224072</v>
      </c>
      <c r="AQ104" s="358">
        <v>70.224318999999994</v>
      </c>
      <c r="AR104" s="358">
        <v>65.484275999999994</v>
      </c>
      <c r="AS104" s="87"/>
      <c r="AT104" s="87"/>
      <c r="AU104" s="87"/>
      <c r="AV104" s="358">
        <v>87.059882999999999</v>
      </c>
      <c r="AW104" s="359">
        <v>263.75299999999987</v>
      </c>
      <c r="AX104" s="359">
        <v>61.139999999999965</v>
      </c>
      <c r="AY104" s="32">
        <v>0</v>
      </c>
      <c r="AZ104" s="32">
        <v>0</v>
      </c>
      <c r="BA104" s="33">
        <v>763.83462532299745</v>
      </c>
      <c r="BC104" s="56" t="e">
        <f t="shared" si="69"/>
        <v>#DIV/0!</v>
      </c>
      <c r="BD104" s="57" t="e">
        <f t="shared" si="70"/>
        <v>#DIV/0!</v>
      </c>
      <c r="BE104" s="57">
        <f t="shared" si="71"/>
        <v>0</v>
      </c>
      <c r="BF104" s="58"/>
      <c r="BH104" s="74"/>
      <c r="BI104" s="75"/>
      <c r="BJ104" s="87"/>
      <c r="BK104" s="87"/>
      <c r="BL104" s="87"/>
      <c r="BM104" s="76"/>
      <c r="BO104" s="74"/>
      <c r="BP104" s="75"/>
      <c r="BQ104" s="87"/>
      <c r="BR104" s="87"/>
      <c r="BS104" s="87"/>
      <c r="BT104" s="76"/>
      <c r="BV104" s="74"/>
      <c r="BW104" s="75"/>
      <c r="BX104" s="87"/>
      <c r="BY104" s="87"/>
      <c r="BZ104" s="87"/>
      <c r="CA104" s="76"/>
      <c r="CC104" s="74"/>
      <c r="CD104" s="75"/>
      <c r="CE104" s="87"/>
      <c r="CF104" s="87"/>
      <c r="CG104" s="87"/>
      <c r="CH104" s="76"/>
      <c r="CJ104" s="74"/>
      <c r="CK104" s="75"/>
      <c r="CL104" s="87"/>
      <c r="CM104" s="87"/>
      <c r="CN104" s="87"/>
      <c r="CO104" s="76"/>
      <c r="CQ104" s="74"/>
      <c r="CR104" s="75"/>
      <c r="CS104" s="87"/>
      <c r="CT104" s="87"/>
      <c r="CU104" s="87"/>
      <c r="CV104" s="76"/>
    </row>
    <row r="105" spans="1:100" s="1" customFormat="1" outlineLevel="1">
      <c r="A105" s="13"/>
      <c r="B105" s="24" t="s">
        <v>813</v>
      </c>
      <c r="C105" s="15" t="s">
        <v>135</v>
      </c>
      <c r="D105" s="464">
        <v>40386600</v>
      </c>
      <c r="E105" s="15">
        <v>20</v>
      </c>
      <c r="F105" s="25">
        <v>387</v>
      </c>
      <c r="G105" s="26">
        <v>20</v>
      </c>
      <c r="I105" s="30">
        <f t="shared" si="61"/>
        <v>23.039153281653746</v>
      </c>
      <c r="J105" s="31">
        <f t="shared" si="62"/>
        <v>11.038503265934741</v>
      </c>
      <c r="K105" s="31">
        <f t="shared" si="63"/>
        <v>9.2538243872967758</v>
      </c>
      <c r="L105" s="51"/>
      <c r="M105" s="31">
        <f t="shared" si="59"/>
        <v>1.7776973550633131</v>
      </c>
      <c r="N105" s="31">
        <f t="shared" si="64"/>
        <v>18.134871920892305</v>
      </c>
      <c r="O105" s="356">
        <v>24582893</v>
      </c>
      <c r="P105" s="357">
        <v>445807616</v>
      </c>
      <c r="Q105" s="357">
        <v>373730504</v>
      </c>
      <c r="R105" s="51"/>
      <c r="S105" s="357">
        <v>71795152</v>
      </c>
      <c r="T105" s="358">
        <v>82.139053000000004</v>
      </c>
      <c r="U105" s="358">
        <v>77.501518000000004</v>
      </c>
      <c r="V105" s="87"/>
      <c r="W105" s="87"/>
      <c r="X105" s="87"/>
      <c r="Y105" s="358">
        <v>94.606246999999996</v>
      </c>
      <c r="Z105" s="359"/>
      <c r="AA105" s="359"/>
      <c r="AB105" s="32">
        <v>0</v>
      </c>
      <c r="AC105" s="32">
        <v>0</v>
      </c>
      <c r="AD105" s="33"/>
      <c r="AF105" s="30">
        <f t="shared" si="65"/>
        <v>23.039153281653746</v>
      </c>
      <c r="AG105" s="31">
        <f t="shared" si="66"/>
        <v>11.038503265934741</v>
      </c>
      <c r="AH105" s="31">
        <f t="shared" si="67"/>
        <v>9.2538243872967758</v>
      </c>
      <c r="AI105" s="51"/>
      <c r="AJ105" s="31">
        <f t="shared" si="60"/>
        <v>1.7776973550633131</v>
      </c>
      <c r="AK105" s="31">
        <f t="shared" si="68"/>
        <v>18.134871920892305</v>
      </c>
      <c r="AL105" s="356">
        <v>24582893</v>
      </c>
      <c r="AM105" s="357">
        <v>445807616</v>
      </c>
      <c r="AN105" s="357">
        <v>373730504</v>
      </c>
      <c r="AO105" s="51"/>
      <c r="AP105" s="357">
        <v>71795152</v>
      </c>
      <c r="AQ105" s="358">
        <v>82.139053000000004</v>
      </c>
      <c r="AR105" s="358">
        <v>77.501518000000004</v>
      </c>
      <c r="AS105" s="87"/>
      <c r="AT105" s="87"/>
      <c r="AU105" s="87"/>
      <c r="AV105" s="358">
        <v>94.606246999999996</v>
      </c>
      <c r="AW105" s="359">
        <v>285.95499999999998</v>
      </c>
      <c r="AX105" s="359">
        <v>77.702999999999989</v>
      </c>
      <c r="AY105" s="32">
        <v>0</v>
      </c>
      <c r="AZ105" s="32">
        <v>0</v>
      </c>
      <c r="BA105" s="33">
        <v>48</v>
      </c>
      <c r="BC105" s="56" t="e">
        <f t="shared" si="69"/>
        <v>#DIV/0!</v>
      </c>
      <c r="BD105" s="57" t="e">
        <f t="shared" si="70"/>
        <v>#DIV/0!</v>
      </c>
      <c r="BE105" s="57">
        <f t="shared" si="71"/>
        <v>0</v>
      </c>
      <c r="BF105" s="58"/>
      <c r="BH105" s="74"/>
      <c r="BI105" s="75"/>
      <c r="BJ105" s="87"/>
      <c r="BK105" s="87"/>
      <c r="BL105" s="87"/>
      <c r="BM105" s="76"/>
      <c r="BO105" s="74"/>
      <c r="BP105" s="75"/>
      <c r="BQ105" s="87"/>
      <c r="BR105" s="87"/>
      <c r="BS105" s="87"/>
      <c r="BT105" s="76"/>
      <c r="BV105" s="74"/>
      <c r="BW105" s="75"/>
      <c r="BX105" s="87"/>
      <c r="BY105" s="87"/>
      <c r="BZ105" s="87"/>
      <c r="CA105" s="76"/>
      <c r="CC105" s="74"/>
      <c r="CD105" s="75"/>
      <c r="CE105" s="87"/>
      <c r="CF105" s="87"/>
      <c r="CG105" s="87"/>
      <c r="CH105" s="76"/>
      <c r="CJ105" s="74"/>
      <c r="CK105" s="75"/>
      <c r="CL105" s="87"/>
      <c r="CM105" s="87"/>
      <c r="CN105" s="87"/>
      <c r="CO105" s="76"/>
      <c r="CQ105" s="74"/>
      <c r="CR105" s="75"/>
      <c r="CS105" s="87"/>
      <c r="CT105" s="87"/>
      <c r="CU105" s="87"/>
      <c r="CV105" s="76"/>
    </row>
    <row r="106" spans="1:100" s="1" customFormat="1" ht="14.25" outlineLevel="1" thickBot="1">
      <c r="A106" s="13"/>
      <c r="B106" s="217" t="s">
        <v>813</v>
      </c>
      <c r="C106" s="22" t="s">
        <v>136</v>
      </c>
      <c r="D106" s="469">
        <v>40386600</v>
      </c>
      <c r="E106" s="22">
        <v>20</v>
      </c>
      <c r="F106" s="188">
        <v>387</v>
      </c>
      <c r="G106" s="216">
        <v>20</v>
      </c>
      <c r="I106" s="38">
        <f t="shared" si="61"/>
        <v>28.326474832041342</v>
      </c>
      <c r="J106" s="39">
        <f t="shared" si="62"/>
        <v>13.5717611286912</v>
      </c>
      <c r="K106" s="39">
        <f t="shared" si="63"/>
        <v>11.113124650255283</v>
      </c>
      <c r="L106" s="54"/>
      <c r="M106" s="39">
        <f t="shared" si="59"/>
        <v>2.4516264305487465</v>
      </c>
      <c r="N106" s="39">
        <f t="shared" si="64"/>
        <v>22.106336635372458</v>
      </c>
      <c r="O106" s="368">
        <v>24794578</v>
      </c>
      <c r="P106" s="369">
        <v>548117288</v>
      </c>
      <c r="Q106" s="369">
        <v>448821320</v>
      </c>
      <c r="R106" s="54"/>
      <c r="S106" s="369">
        <v>99012856</v>
      </c>
      <c r="T106" s="370">
        <v>87.781165999999999</v>
      </c>
      <c r="U106" s="370">
        <v>83.521584000000004</v>
      </c>
      <c r="V106" s="89"/>
      <c r="W106" s="89"/>
      <c r="X106" s="89"/>
      <c r="Y106" s="370">
        <v>99.298096000000001</v>
      </c>
      <c r="Z106" s="371"/>
      <c r="AA106" s="371"/>
      <c r="AB106" s="40">
        <v>0</v>
      </c>
      <c r="AC106" s="40">
        <v>0</v>
      </c>
      <c r="AD106" s="41"/>
      <c r="AF106" s="38">
        <f t="shared" si="65"/>
        <v>28.326474832041342</v>
      </c>
      <c r="AG106" s="39">
        <f t="shared" si="66"/>
        <v>13.5717611286912</v>
      </c>
      <c r="AH106" s="39">
        <f t="shared" si="67"/>
        <v>11.113124650255283</v>
      </c>
      <c r="AI106" s="54"/>
      <c r="AJ106" s="39">
        <f t="shared" si="60"/>
        <v>2.4516264305487465</v>
      </c>
      <c r="AK106" s="39">
        <f t="shared" si="68"/>
        <v>22.106336635372458</v>
      </c>
      <c r="AL106" s="368">
        <v>24794578</v>
      </c>
      <c r="AM106" s="369">
        <v>548117288</v>
      </c>
      <c r="AN106" s="369">
        <v>448821320</v>
      </c>
      <c r="AO106" s="54"/>
      <c r="AP106" s="369">
        <v>99012856</v>
      </c>
      <c r="AQ106" s="370">
        <v>87.781165999999999</v>
      </c>
      <c r="AR106" s="370">
        <v>83.521584000000004</v>
      </c>
      <c r="AS106" s="89"/>
      <c r="AT106" s="89"/>
      <c r="AU106" s="89"/>
      <c r="AV106" s="370">
        <v>99.298096000000001</v>
      </c>
      <c r="AW106" s="371">
        <v>325.98300000000006</v>
      </c>
      <c r="AX106" s="371">
        <v>90.912999999999982</v>
      </c>
      <c r="AY106" s="40">
        <v>0</v>
      </c>
      <c r="AZ106" s="40">
        <v>0</v>
      </c>
      <c r="BA106" s="41">
        <v>12</v>
      </c>
      <c r="BC106" s="62" t="e">
        <f t="shared" si="69"/>
        <v>#DIV/0!</v>
      </c>
      <c r="BD106" s="63" t="e">
        <f t="shared" si="70"/>
        <v>#DIV/0!</v>
      </c>
      <c r="BE106" s="63">
        <f t="shared" si="71"/>
        <v>0</v>
      </c>
      <c r="BF106" s="64"/>
      <c r="BH106" s="80"/>
      <c r="BI106" s="81"/>
      <c r="BJ106" s="89"/>
      <c r="BK106" s="89"/>
      <c r="BL106" s="89"/>
      <c r="BM106" s="82"/>
      <c r="BO106" s="80"/>
      <c r="BP106" s="81"/>
      <c r="BQ106" s="89"/>
      <c r="BR106" s="89"/>
      <c r="BS106" s="89"/>
      <c r="BT106" s="82"/>
      <c r="BV106" s="80"/>
      <c r="BW106" s="81"/>
      <c r="BX106" s="89"/>
      <c r="BY106" s="89"/>
      <c r="BZ106" s="89"/>
      <c r="CA106" s="82"/>
      <c r="CC106" s="80"/>
      <c r="CD106" s="81"/>
      <c r="CE106" s="89"/>
      <c r="CF106" s="89"/>
      <c r="CG106" s="89"/>
      <c r="CH106" s="82"/>
      <c r="CJ106" s="80"/>
      <c r="CK106" s="81"/>
      <c r="CL106" s="89"/>
      <c r="CM106" s="89"/>
      <c r="CN106" s="89"/>
      <c r="CO106" s="82"/>
      <c r="CQ106" s="80"/>
      <c r="CR106" s="81"/>
      <c r="CS106" s="89"/>
      <c r="CT106" s="89"/>
      <c r="CU106" s="89"/>
      <c r="CV106" s="82"/>
    </row>
    <row r="107" spans="1:100" s="1" customFormat="1">
      <c r="A107" s="13"/>
      <c r="B107" s="27" t="s">
        <v>815</v>
      </c>
      <c r="C107" s="28" t="s">
        <v>131</v>
      </c>
      <c r="D107" s="466">
        <v>40439600</v>
      </c>
      <c r="E107" s="28">
        <v>20</v>
      </c>
      <c r="F107" s="28">
        <v>387</v>
      </c>
      <c r="G107" s="29">
        <v>20</v>
      </c>
      <c r="I107" s="46">
        <f t="shared" ref="I107:I136" si="72">IF(OR(ISBLANK(P107),ISBLANK(G107)),"·",P107*G107/F107/1000000)</f>
        <v>1.9101238242894056</v>
      </c>
      <c r="J107" s="47">
        <f t="shared" ref="J107:J136" si="73">IF(ISBLANK(P107),"·",P107/D107)</f>
        <v>0.91397778415216768</v>
      </c>
      <c r="K107" s="47">
        <f t="shared" ref="K107:K136" si="74">IF(Q107="","·",Q107/D107)</f>
        <v>0.85114076301447095</v>
      </c>
      <c r="L107" s="50"/>
      <c r="M107" s="47">
        <f t="shared" ref="M107:M112" si="75">IF(ISBLANK(Q107),"·",S107/D107)</f>
        <v>5.6219942828316799E-2</v>
      </c>
      <c r="N107" s="47">
        <f t="shared" ref="N107:N136" si="76">IF(ISBLANK(P107),"·",P107/O107)</f>
        <v>5.4188378633876066</v>
      </c>
      <c r="O107" s="352">
        <v>6820816</v>
      </c>
      <c r="P107" s="353">
        <v>36960896</v>
      </c>
      <c r="Q107" s="353">
        <v>34419792</v>
      </c>
      <c r="R107" s="50"/>
      <c r="S107" s="353">
        <v>2273512</v>
      </c>
      <c r="T107" s="354">
        <v>45.937297999999998</v>
      </c>
      <c r="U107" s="354">
        <v>41.488627999999999</v>
      </c>
      <c r="V107" s="90"/>
      <c r="W107" s="90"/>
      <c r="X107" s="90"/>
      <c r="Y107" s="354">
        <v>70.651877999999996</v>
      </c>
      <c r="Z107" s="355"/>
      <c r="AA107" s="355"/>
      <c r="AB107" s="48">
        <v>0</v>
      </c>
      <c r="AC107" s="48">
        <v>0</v>
      </c>
      <c r="AD107" s="49"/>
      <c r="AF107" s="46">
        <f t="shared" ref="AF107:AF136" si="77">IF(OR(ISBLANK(AM107),ISBLANK(G107)),"·",AM107*G107/F107/1000000)</f>
        <v>1.9101238242894056</v>
      </c>
      <c r="AG107" s="47">
        <f t="shared" ref="AG107:AG136" si="78">IF(ISBLANK(AM107),"·",AM107/D107)</f>
        <v>0.91397778415216768</v>
      </c>
      <c r="AH107" s="47">
        <f t="shared" ref="AH107:AH130" si="79">IF(AN107="","·",AN107/D107)</f>
        <v>0.85114076301447095</v>
      </c>
      <c r="AI107" s="50"/>
      <c r="AJ107" s="47">
        <f t="shared" ref="AJ107:AJ112" si="80">IF(ISBLANK(AN107),"·",AP107/D107)</f>
        <v>5.6219942828316799E-2</v>
      </c>
      <c r="AK107" s="47">
        <f t="shared" ref="AK107:AK136" si="81">IF(ISBLANK(AM107),"·",AM107/AL107)</f>
        <v>5.4188378633876066</v>
      </c>
      <c r="AL107" s="352">
        <v>6820816</v>
      </c>
      <c r="AM107" s="353">
        <v>36960896</v>
      </c>
      <c r="AN107" s="353">
        <v>34419792</v>
      </c>
      <c r="AO107" s="50"/>
      <c r="AP107" s="353">
        <v>2273512</v>
      </c>
      <c r="AQ107" s="354">
        <v>45.937297999999998</v>
      </c>
      <c r="AR107" s="354">
        <v>41.488627999999999</v>
      </c>
      <c r="AS107" s="90"/>
      <c r="AT107" s="90"/>
      <c r="AU107" s="90"/>
      <c r="AV107" s="354">
        <v>70.651877999999996</v>
      </c>
      <c r="AW107" s="355">
        <v>149.82399999999998</v>
      </c>
      <c r="AX107" s="355">
        <v>14.44699999999999</v>
      </c>
      <c r="AY107" s="48">
        <v>0</v>
      </c>
      <c r="AZ107" s="48">
        <v>0</v>
      </c>
      <c r="BA107" s="49">
        <v>191656.55813953487</v>
      </c>
      <c r="BC107" s="68" t="e">
        <f t="shared" ref="BC107:BC136" si="82">AY107/AB107</f>
        <v>#DIV/0!</v>
      </c>
      <c r="BD107" s="69" t="e">
        <f t="shared" ref="BD107:BD136" si="83">AZ107/AC107</f>
        <v>#DIV/0!</v>
      </c>
      <c r="BE107" s="69">
        <f t="shared" ref="BE107:BE136" si="84">(AN107/AM107) - (Q107/P107)</f>
        <v>0</v>
      </c>
      <c r="BF107" s="70">
        <f t="array" ref="BF107">AVERAGE(AN107:AN112/AM107:AM112) - AVERAGE(Q107:Q112/P107:P112)</f>
        <v>0</v>
      </c>
      <c r="BH107" s="224">
        <f>IF( OR(ISBLANK($Q107:$Q112),ISBLANK($AN107:$AN112), ISBLANK($T107:$T112),ISBLANK($AQ107:$AQ112)), "·", bdRateHermite( $Q107:$Q112,$T107:$T112, $AN107:$AN112,$AQ107:$AQ112))</f>
        <v>0</v>
      </c>
      <c r="BI107" s="225">
        <f>IF(OR(ISBLANK($Q107:$Q112),ISBLANK($AN107:$AN112),ISBLANK($U107:$U112),ISBLANK($AR107:$AR112)),"·",bdRateHermite($Q107:$Q112,$U107:$U112,$AN107:$AN112,$AR107:$AR112))</f>
        <v>0</v>
      </c>
      <c r="BJ107" s="90"/>
      <c r="BK107" s="90"/>
      <c r="BL107" s="90"/>
      <c r="BM107" s="226">
        <f>IF( OR(ISBLANK($S107:$S112),ISBLANK($AP107:$AP112), ISBLANK($Y107:$Y112),ISBLANK($AV107:$AV112)), "·", bdRateHermite($S107:$S112,$Y107:$Y112, $AP107:$AP112,$AV107:$AV112))</f>
        <v>0</v>
      </c>
      <c r="BO107" s="224">
        <f>IF( OR(ISBLANK($P107:$P112),ISBLANK($AM107:$AM112), ISBLANK($T107:$T112),ISBLANK($AQ107:$AQ112)), "·", bdRateHermite($P107:$P112,$T107:$T112, $AM107:$AM112,$AQ107:$AQ112))</f>
        <v>0</v>
      </c>
      <c r="BP107" s="225">
        <f>IF( OR(ISBLANK($P107:$P112),ISBLANK($AM107:$AM112), ISBLANK($U107:$U112),ISBLANK($AR107:$AR112)), "·", bdRateHermite( $P107:$P112,$U107:$U112, $AM107:$AM112,$AR107:$AR112))</f>
        <v>0</v>
      </c>
      <c r="BQ107" s="90"/>
      <c r="BR107" s="90"/>
      <c r="BS107" s="90"/>
      <c r="BT107" s="86">
        <f>IF( OR(ISBLANK($P107:$P112),ISBLANK($AM107:$AM112), ISBLANK($Y107:$Y112),ISBLANK($AV107:$AV112)), "·", bdRateHermite( $P107:$P112,$Y107:$Y112, $AM107:$AM112,$AV107:$AV112))</f>
        <v>0</v>
      </c>
      <c r="BV107" s="224">
        <f>IF( OR(ISBLANK($Q107:$Q111),ISBLANK($AN107:$AN111), ISBLANK($T107:$T111),ISBLANK($AQ107:$AQ111)), "·", bdRateHermite( $Q108:$Q112,$T108:$T112, $AN108:$AN112,$AQ108:$AQ112))</f>
        <v>0</v>
      </c>
      <c r="BW107" s="225">
        <f>IF(OR(ISBLANK($Q107:$Q112),ISBLANK($AN107:$AN112),ISBLANK($U107:$U112),ISBLANK($AR107:$AR112)),"·",bdRateHermite($Q108:$Q112,$U108:$U112,$AN108:$AN112,$AR108:$AR112))</f>
        <v>0</v>
      </c>
      <c r="BX107" s="90"/>
      <c r="BY107" s="90"/>
      <c r="BZ107" s="90"/>
      <c r="CA107" s="184">
        <f>IF( OR(ISBLANK($S107:$S112),ISBLANK($AP107:$AP112), ISBLANK($Y107:$Y112),ISBLANK($AV107:$AV112)), "·", bdRateHermite($S108:$S112,$Y108:$Y112, $AP108:$AP112,$AV108:$AV112))</f>
        <v>0</v>
      </c>
      <c r="CC107" s="224">
        <f>IF( OR(ISBLANK($P107:$P112),ISBLANK($AM107:$AM112), ISBLANK($T107:$T112),ISBLANK($AQ107:$AQ112)), "·", bdRateHermite($P108:$P112,$T108:$T112, $AM108:$AM112,$AQ108:$AQ112))</f>
        <v>0</v>
      </c>
      <c r="CD107" s="225">
        <f>IF( OR(ISBLANK($P107:$P112),ISBLANK($AM107:$AM112), ISBLANK($U107:$U112),ISBLANK($AR107:$AR112)), "·", bdRateHermite( $P108:$P112,$U108:$U112, $AM108:$AM112,$AR108:$AR112))</f>
        <v>0</v>
      </c>
      <c r="CE107" s="90"/>
      <c r="CF107" s="90"/>
      <c r="CG107" s="90"/>
      <c r="CH107" s="86">
        <f>IF( OR(ISBLANK($P107:$P112),ISBLANK($AM107:$AM112), ISBLANK($Y107:$Y112),ISBLANK($AV107:$AV112)), "·", bdRateHermite( $P108:$P112,$Y108:$Y112, $AM108:$AM112,$AV108:$AV112))</f>
        <v>0</v>
      </c>
      <c r="CJ107" s="224">
        <f>IF( OR(ISBLANK($Q107:$Q111),ISBLANK($AN107:$AN111), ISBLANK($T107:$T111),ISBLANK($AQ107:$AQ111)), "·", bdRateHermite( $Q107:$Q111,$T107:$T111, $AN107:$AN111,$AQ107:$AQ111))</f>
        <v>0</v>
      </c>
      <c r="CK107" s="225">
        <f>IF(OR(ISBLANK($Q107:$Q111),ISBLANK($AN107:$AN111),ISBLANK($U107:$U111),ISBLANK($AR107:$AR111)),"·",bdRateHermite($Q107:$Q111,$U107:$U111,$AN107:$AN111,$AR107:$AR111))</f>
        <v>0</v>
      </c>
      <c r="CL107" s="90"/>
      <c r="CM107" s="90"/>
      <c r="CN107" s="90"/>
      <c r="CO107" s="226">
        <f>IF( OR(ISBLANK($S107:$S111),ISBLANK($AP107:$AP111), ISBLANK($Y107:$Y111),ISBLANK($AV107:$AV111)), "·", bdRateHermite($S107:$S111,$Y107:$Y111, $AP107:$AP111,$AV107:$AV111))</f>
        <v>0</v>
      </c>
      <c r="CQ107" s="224">
        <f>IF( OR(ISBLANK($P107:$P111),ISBLANK($AM107:$AM111), ISBLANK($T107:$T111),ISBLANK($AQ107:$AQ111)), "·", bdRateHermite($P107:$P111,$T107:$T111, $AM107:$AM111,$AQ107:$AQ111))</f>
        <v>0</v>
      </c>
      <c r="CR107" s="225">
        <f>IF( OR(ISBLANK($P107:$P111),ISBLANK($AM107:$AM111), ISBLANK($U107:$U111),ISBLANK($AR107:$AR111)), "·", bdRateHermite( $P107:$P111,$U107:$U111, $AM107:$AM111,$AR107:$AR111))</f>
        <v>0</v>
      </c>
      <c r="CS107" s="90"/>
      <c r="CT107" s="90"/>
      <c r="CU107" s="90"/>
      <c r="CV107" s="86">
        <f>IF( OR(ISBLANK($P107:$P111),ISBLANK($AM107:$AM111), ISBLANK($Y107:$Y111),ISBLANK($AV107:$AV111)), "·", bdRateHermite( $P107:$P111,$Y107:$Y111, $AM107:$AM111,$AV107:$AV111))</f>
        <v>0</v>
      </c>
    </row>
    <row r="108" spans="1:100" s="1" customFormat="1" outlineLevel="1">
      <c r="A108" s="13"/>
      <c r="B108" s="24" t="s">
        <v>815</v>
      </c>
      <c r="C108" s="15" t="s">
        <v>132</v>
      </c>
      <c r="D108" s="464">
        <v>40439600</v>
      </c>
      <c r="E108" s="25">
        <v>20</v>
      </c>
      <c r="F108" s="25">
        <v>387</v>
      </c>
      <c r="G108" s="26">
        <v>20</v>
      </c>
      <c r="I108" s="30">
        <f t="shared" si="72"/>
        <v>4.199322377260982</v>
      </c>
      <c r="J108" s="31">
        <f t="shared" si="73"/>
        <v>2.0093395582547799</v>
      </c>
      <c r="K108" s="31">
        <f t="shared" si="74"/>
        <v>1.7357152889741738</v>
      </c>
      <c r="L108" s="51"/>
      <c r="M108" s="31">
        <f t="shared" si="75"/>
        <v>0.2669086736762975</v>
      </c>
      <c r="N108" s="31">
        <f t="shared" si="76"/>
        <v>6.9169956820324456</v>
      </c>
      <c r="O108" s="356">
        <v>11747425</v>
      </c>
      <c r="P108" s="357">
        <v>81256888</v>
      </c>
      <c r="Q108" s="357">
        <v>70191632</v>
      </c>
      <c r="R108" s="51"/>
      <c r="S108" s="357">
        <v>10793680</v>
      </c>
      <c r="T108" s="358">
        <v>52.253967000000003</v>
      </c>
      <c r="U108" s="358">
        <v>47.515048999999998</v>
      </c>
      <c r="V108" s="87"/>
      <c r="W108" s="87"/>
      <c r="X108" s="87"/>
      <c r="Y108" s="358">
        <v>74.606705000000005</v>
      </c>
      <c r="Z108" s="359"/>
      <c r="AA108" s="359"/>
      <c r="AB108" s="32">
        <v>0</v>
      </c>
      <c r="AC108" s="32">
        <v>0</v>
      </c>
      <c r="AD108" s="33"/>
      <c r="AF108" s="30">
        <f t="shared" si="77"/>
        <v>4.199322377260982</v>
      </c>
      <c r="AG108" s="31">
        <f t="shared" si="78"/>
        <v>2.0093395582547799</v>
      </c>
      <c r="AH108" s="31">
        <f t="shared" si="79"/>
        <v>1.7357152889741738</v>
      </c>
      <c r="AI108" s="51"/>
      <c r="AJ108" s="31">
        <f t="shared" si="80"/>
        <v>0.2669086736762975</v>
      </c>
      <c r="AK108" s="31">
        <f t="shared" si="81"/>
        <v>6.9169956820324456</v>
      </c>
      <c r="AL108" s="356">
        <v>11747425</v>
      </c>
      <c r="AM108" s="357">
        <v>81256888</v>
      </c>
      <c r="AN108" s="357">
        <v>70191632</v>
      </c>
      <c r="AO108" s="51"/>
      <c r="AP108" s="357">
        <v>10793680</v>
      </c>
      <c r="AQ108" s="358">
        <v>52.253967000000003</v>
      </c>
      <c r="AR108" s="358">
        <v>47.515048999999998</v>
      </c>
      <c r="AS108" s="87"/>
      <c r="AT108" s="87"/>
      <c r="AU108" s="87"/>
      <c r="AV108" s="358">
        <v>74.606705000000005</v>
      </c>
      <c r="AW108" s="359">
        <v>181.61099999999993</v>
      </c>
      <c r="AX108" s="359">
        <v>29.553000000000001</v>
      </c>
      <c r="AY108" s="32">
        <v>0</v>
      </c>
      <c r="AZ108" s="32">
        <v>0</v>
      </c>
      <c r="BA108" s="33">
        <v>47850.217054263565</v>
      </c>
      <c r="BC108" s="56" t="e">
        <f t="shared" si="82"/>
        <v>#DIV/0!</v>
      </c>
      <c r="BD108" s="57" t="e">
        <f t="shared" si="83"/>
        <v>#DIV/0!</v>
      </c>
      <c r="BE108" s="57">
        <f t="shared" si="84"/>
        <v>0</v>
      </c>
      <c r="BF108" s="58"/>
      <c r="BH108" s="74"/>
      <c r="BI108" s="75"/>
      <c r="BJ108" s="87"/>
      <c r="BK108" s="87"/>
      <c r="BL108" s="87"/>
      <c r="BM108" s="76"/>
      <c r="BO108" s="74"/>
      <c r="BP108" s="75"/>
      <c r="BQ108" s="87"/>
      <c r="BR108" s="87"/>
      <c r="BS108" s="87"/>
      <c r="BT108" s="76"/>
      <c r="BV108" s="74"/>
      <c r="BW108" s="75"/>
      <c r="BX108" s="87"/>
      <c r="BY108" s="87"/>
      <c r="BZ108" s="87"/>
      <c r="CA108" s="76"/>
      <c r="CC108" s="74"/>
      <c r="CD108" s="75"/>
      <c r="CE108" s="87"/>
      <c r="CF108" s="87"/>
      <c r="CG108" s="87"/>
      <c r="CH108" s="76"/>
      <c r="CJ108" s="74"/>
      <c r="CK108" s="75"/>
      <c r="CL108" s="87"/>
      <c r="CM108" s="87"/>
      <c r="CN108" s="87"/>
      <c r="CO108" s="76"/>
      <c r="CQ108" s="74"/>
      <c r="CR108" s="75"/>
      <c r="CS108" s="87"/>
      <c r="CT108" s="87"/>
      <c r="CU108" s="87"/>
      <c r="CV108" s="76"/>
    </row>
    <row r="109" spans="1:100" s="1" customFormat="1" outlineLevel="1">
      <c r="A109" s="13"/>
      <c r="B109" s="24" t="s">
        <v>815</v>
      </c>
      <c r="C109" s="15" t="s">
        <v>133</v>
      </c>
      <c r="D109" s="464">
        <v>40439600</v>
      </c>
      <c r="E109" s="15">
        <v>20</v>
      </c>
      <c r="F109" s="25">
        <v>387</v>
      </c>
      <c r="G109" s="26">
        <v>20</v>
      </c>
      <c r="I109" s="30">
        <f t="shared" si="72"/>
        <v>11.980883514211886</v>
      </c>
      <c r="J109" s="31">
        <f t="shared" si="73"/>
        <v>5.7327494831798536</v>
      </c>
      <c r="K109" s="31">
        <f t="shared" si="74"/>
        <v>4.9069076845468302</v>
      </c>
      <c r="L109" s="51"/>
      <c r="M109" s="31">
        <f t="shared" si="75"/>
        <v>0.81901126618463094</v>
      </c>
      <c r="N109" s="31">
        <f t="shared" si="76"/>
        <v>10.398416021780195</v>
      </c>
      <c r="O109" s="356">
        <v>22294751</v>
      </c>
      <c r="P109" s="357">
        <v>231830096</v>
      </c>
      <c r="Q109" s="357">
        <v>198433384</v>
      </c>
      <c r="R109" s="51"/>
      <c r="S109" s="357">
        <v>33120488</v>
      </c>
      <c r="T109" s="358">
        <v>64.208832000000001</v>
      </c>
      <c r="U109" s="358">
        <v>59.518825999999997</v>
      </c>
      <c r="V109" s="87"/>
      <c r="W109" s="87"/>
      <c r="X109" s="87"/>
      <c r="Y109" s="358">
        <v>81.314232000000004</v>
      </c>
      <c r="Z109" s="359"/>
      <c r="AA109" s="359"/>
      <c r="AB109" s="32">
        <v>0</v>
      </c>
      <c r="AC109" s="32">
        <v>0</v>
      </c>
      <c r="AD109" s="33"/>
      <c r="AF109" s="30">
        <f t="shared" si="77"/>
        <v>11.980883514211886</v>
      </c>
      <c r="AG109" s="31">
        <f t="shared" si="78"/>
        <v>5.7327494831798536</v>
      </c>
      <c r="AH109" s="31">
        <f t="shared" si="79"/>
        <v>4.9069076845468302</v>
      </c>
      <c r="AI109" s="51"/>
      <c r="AJ109" s="31">
        <f t="shared" si="80"/>
        <v>0.81901126618463094</v>
      </c>
      <c r="AK109" s="31">
        <f t="shared" si="81"/>
        <v>10.398416021780195</v>
      </c>
      <c r="AL109" s="356">
        <v>22294751</v>
      </c>
      <c r="AM109" s="357">
        <v>231830096</v>
      </c>
      <c r="AN109" s="357">
        <v>198433384</v>
      </c>
      <c r="AO109" s="51"/>
      <c r="AP109" s="357">
        <v>33120488</v>
      </c>
      <c r="AQ109" s="358">
        <v>64.208832000000001</v>
      </c>
      <c r="AR109" s="358">
        <v>59.518825999999997</v>
      </c>
      <c r="AS109" s="87"/>
      <c r="AT109" s="87"/>
      <c r="AU109" s="87"/>
      <c r="AV109" s="358">
        <v>81.314232000000004</v>
      </c>
      <c r="AW109" s="359">
        <v>305.06600000000003</v>
      </c>
      <c r="AX109" s="359">
        <v>72.670000000000073</v>
      </c>
      <c r="AY109" s="32">
        <v>0</v>
      </c>
      <c r="AZ109" s="32">
        <v>0</v>
      </c>
      <c r="BA109" s="33">
        <v>3016.5581395348836</v>
      </c>
      <c r="BC109" s="56" t="e">
        <f t="shared" si="82"/>
        <v>#DIV/0!</v>
      </c>
      <c r="BD109" s="57" t="e">
        <f t="shared" si="83"/>
        <v>#DIV/0!</v>
      </c>
      <c r="BE109" s="57">
        <f t="shared" si="84"/>
        <v>0</v>
      </c>
      <c r="BF109" s="58"/>
      <c r="BH109" s="74"/>
      <c r="BI109" s="75"/>
      <c r="BJ109" s="87"/>
      <c r="BK109" s="87"/>
      <c r="BL109" s="87"/>
      <c r="BM109" s="76"/>
      <c r="BO109" s="74"/>
      <c r="BP109" s="75"/>
      <c r="BQ109" s="87"/>
      <c r="BR109" s="87"/>
      <c r="BS109" s="87"/>
      <c r="BT109" s="76"/>
      <c r="BV109" s="74"/>
      <c r="BW109" s="75"/>
      <c r="BX109" s="87"/>
      <c r="BY109" s="87"/>
      <c r="BZ109" s="87"/>
      <c r="CA109" s="76"/>
      <c r="CC109" s="74"/>
      <c r="CD109" s="75"/>
      <c r="CE109" s="87"/>
      <c r="CF109" s="87"/>
      <c r="CG109" s="87"/>
      <c r="CH109" s="76"/>
      <c r="CJ109" s="74"/>
      <c r="CK109" s="75"/>
      <c r="CL109" s="87"/>
      <c r="CM109" s="87"/>
      <c r="CN109" s="87"/>
      <c r="CO109" s="76"/>
      <c r="CQ109" s="74"/>
      <c r="CR109" s="75"/>
      <c r="CS109" s="87"/>
      <c r="CT109" s="87"/>
      <c r="CU109" s="87"/>
      <c r="CV109" s="76"/>
    </row>
    <row r="110" spans="1:100" s="1" customFormat="1" outlineLevel="1">
      <c r="A110" s="13"/>
      <c r="B110" s="24" t="s">
        <v>815</v>
      </c>
      <c r="C110" s="15" t="s">
        <v>134</v>
      </c>
      <c r="D110" s="464">
        <v>40439600</v>
      </c>
      <c r="E110" s="15">
        <v>20</v>
      </c>
      <c r="F110" s="25">
        <v>387</v>
      </c>
      <c r="G110" s="26">
        <v>20</v>
      </c>
      <c r="I110" s="30">
        <f t="shared" si="72"/>
        <v>17.471017260981913</v>
      </c>
      <c r="J110" s="31">
        <f t="shared" si="73"/>
        <v>8.3597311546108273</v>
      </c>
      <c r="K110" s="31">
        <f t="shared" si="74"/>
        <v>6.9326119941839188</v>
      </c>
      <c r="L110" s="51"/>
      <c r="M110" s="31">
        <f t="shared" si="75"/>
        <v>1.4202557888802065</v>
      </c>
      <c r="N110" s="31">
        <f t="shared" si="76"/>
        <v>13.117470997171161</v>
      </c>
      <c r="O110" s="356">
        <v>25772055</v>
      </c>
      <c r="P110" s="357">
        <v>338064184</v>
      </c>
      <c r="Q110" s="357">
        <v>280352056</v>
      </c>
      <c r="R110" s="51"/>
      <c r="S110" s="357">
        <v>57434576</v>
      </c>
      <c r="T110" s="358">
        <v>70.223540999999997</v>
      </c>
      <c r="U110" s="358">
        <v>65.480148</v>
      </c>
      <c r="V110" s="87"/>
      <c r="W110" s="87"/>
      <c r="X110" s="87"/>
      <c r="Y110" s="358">
        <v>86.714095999999998</v>
      </c>
      <c r="Z110" s="359"/>
      <c r="AA110" s="359"/>
      <c r="AB110" s="32">
        <v>0</v>
      </c>
      <c r="AC110" s="32">
        <v>0</v>
      </c>
      <c r="AD110" s="33"/>
      <c r="AF110" s="30">
        <f t="shared" si="77"/>
        <v>17.471017260981913</v>
      </c>
      <c r="AG110" s="31">
        <f t="shared" si="78"/>
        <v>8.3597311546108273</v>
      </c>
      <c r="AH110" s="31">
        <f t="shared" si="79"/>
        <v>6.9326119941839188</v>
      </c>
      <c r="AI110" s="51"/>
      <c r="AJ110" s="31">
        <f t="shared" si="80"/>
        <v>1.4202557888802065</v>
      </c>
      <c r="AK110" s="31">
        <f t="shared" si="81"/>
        <v>13.117470997171161</v>
      </c>
      <c r="AL110" s="356">
        <v>25772055</v>
      </c>
      <c r="AM110" s="357">
        <v>338064184</v>
      </c>
      <c r="AN110" s="357">
        <v>280352056</v>
      </c>
      <c r="AO110" s="51"/>
      <c r="AP110" s="357">
        <v>57434576</v>
      </c>
      <c r="AQ110" s="358">
        <v>70.223540999999997</v>
      </c>
      <c r="AR110" s="358">
        <v>65.480148</v>
      </c>
      <c r="AS110" s="87"/>
      <c r="AT110" s="87"/>
      <c r="AU110" s="87"/>
      <c r="AV110" s="358">
        <v>86.714095999999998</v>
      </c>
      <c r="AW110" s="359">
        <v>323.55700000000007</v>
      </c>
      <c r="AX110" s="359">
        <v>81.435999999999979</v>
      </c>
      <c r="AY110" s="32">
        <v>0</v>
      </c>
      <c r="AZ110" s="32">
        <v>0</v>
      </c>
      <c r="BA110" s="33">
        <v>764.55555555555554</v>
      </c>
      <c r="BC110" s="56" t="e">
        <f t="shared" si="82"/>
        <v>#DIV/0!</v>
      </c>
      <c r="BD110" s="57" t="e">
        <f t="shared" si="83"/>
        <v>#DIV/0!</v>
      </c>
      <c r="BE110" s="57">
        <f t="shared" si="84"/>
        <v>0</v>
      </c>
      <c r="BF110" s="58"/>
      <c r="BH110" s="74"/>
      <c r="BI110" s="75"/>
      <c r="BJ110" s="87"/>
      <c r="BK110" s="87"/>
      <c r="BL110" s="87"/>
      <c r="BM110" s="76"/>
      <c r="BO110" s="74"/>
      <c r="BP110" s="75"/>
      <c r="BQ110" s="87"/>
      <c r="BR110" s="87"/>
      <c r="BS110" s="87"/>
      <c r="BT110" s="76"/>
      <c r="BV110" s="74"/>
      <c r="BW110" s="75"/>
      <c r="BX110" s="87"/>
      <c r="BY110" s="87"/>
      <c r="BZ110" s="87"/>
      <c r="CA110" s="76"/>
      <c r="CC110" s="74"/>
      <c r="CD110" s="75"/>
      <c r="CE110" s="87"/>
      <c r="CF110" s="87"/>
      <c r="CG110" s="87"/>
      <c r="CH110" s="76"/>
      <c r="CJ110" s="74"/>
      <c r="CK110" s="75"/>
      <c r="CL110" s="87"/>
      <c r="CM110" s="87"/>
      <c r="CN110" s="87"/>
      <c r="CO110" s="76"/>
      <c r="CQ110" s="74"/>
      <c r="CR110" s="75"/>
      <c r="CS110" s="87"/>
      <c r="CT110" s="87"/>
      <c r="CU110" s="87"/>
      <c r="CV110" s="76"/>
    </row>
    <row r="111" spans="1:100" s="1" customFormat="1" outlineLevel="1">
      <c r="A111" s="13"/>
      <c r="B111" s="24" t="s">
        <v>815</v>
      </c>
      <c r="C111" s="15" t="s">
        <v>135</v>
      </c>
      <c r="D111" s="464">
        <v>40439600</v>
      </c>
      <c r="E111" s="15">
        <v>20</v>
      </c>
      <c r="F111" s="25">
        <v>387</v>
      </c>
      <c r="G111" s="26">
        <v>20</v>
      </c>
      <c r="I111" s="30">
        <f t="shared" si="72"/>
        <v>28.063031731266147</v>
      </c>
      <c r="J111" s="31">
        <f t="shared" si="73"/>
        <v>13.427918772688157</v>
      </c>
      <c r="K111" s="31">
        <f t="shared" si="74"/>
        <v>11.226802243345631</v>
      </c>
      <c r="L111" s="51"/>
      <c r="M111" s="31">
        <f t="shared" si="75"/>
        <v>2.1941344622597652</v>
      </c>
      <c r="N111" s="31">
        <f t="shared" si="76"/>
        <v>18.985715077880918</v>
      </c>
      <c r="O111" s="356">
        <v>28601486</v>
      </c>
      <c r="P111" s="357">
        <v>543019664</v>
      </c>
      <c r="Q111" s="357">
        <v>454007392</v>
      </c>
      <c r="R111" s="51"/>
      <c r="S111" s="357">
        <v>88729920</v>
      </c>
      <c r="T111" s="358">
        <v>82.139731999999995</v>
      </c>
      <c r="U111" s="358">
        <v>77.501518000000004</v>
      </c>
      <c r="V111" s="87"/>
      <c r="W111" s="87"/>
      <c r="X111" s="87"/>
      <c r="Y111" s="358">
        <v>94.285210000000006</v>
      </c>
      <c r="Z111" s="359"/>
      <c r="AA111" s="359"/>
      <c r="AB111" s="32">
        <v>0</v>
      </c>
      <c r="AC111" s="32">
        <v>0</v>
      </c>
      <c r="AD111" s="33"/>
      <c r="AF111" s="30">
        <f t="shared" si="77"/>
        <v>28.063031731266147</v>
      </c>
      <c r="AG111" s="31">
        <f t="shared" si="78"/>
        <v>13.427918772688157</v>
      </c>
      <c r="AH111" s="31">
        <f t="shared" si="79"/>
        <v>11.226802243345631</v>
      </c>
      <c r="AI111" s="51"/>
      <c r="AJ111" s="31">
        <f t="shared" si="80"/>
        <v>2.1941344622597652</v>
      </c>
      <c r="AK111" s="31">
        <f t="shared" si="81"/>
        <v>18.985715077880918</v>
      </c>
      <c r="AL111" s="356">
        <v>28601486</v>
      </c>
      <c r="AM111" s="357">
        <v>543019664</v>
      </c>
      <c r="AN111" s="357">
        <v>454007392</v>
      </c>
      <c r="AO111" s="51"/>
      <c r="AP111" s="357">
        <v>88729920</v>
      </c>
      <c r="AQ111" s="358">
        <v>82.139731999999995</v>
      </c>
      <c r="AR111" s="358">
        <v>77.501518000000004</v>
      </c>
      <c r="AS111" s="87"/>
      <c r="AT111" s="87"/>
      <c r="AU111" s="87"/>
      <c r="AV111" s="358">
        <v>94.285210000000006</v>
      </c>
      <c r="AW111" s="359">
        <v>324.22499999999997</v>
      </c>
      <c r="AX111" s="359">
        <v>92.647999999999996</v>
      </c>
      <c r="AY111" s="32">
        <v>0</v>
      </c>
      <c r="AZ111" s="32">
        <v>0</v>
      </c>
      <c r="BA111" s="33">
        <v>48</v>
      </c>
      <c r="BC111" s="56" t="e">
        <f t="shared" si="82"/>
        <v>#DIV/0!</v>
      </c>
      <c r="BD111" s="57" t="e">
        <f t="shared" si="83"/>
        <v>#DIV/0!</v>
      </c>
      <c r="BE111" s="57">
        <f t="shared" si="84"/>
        <v>0</v>
      </c>
      <c r="BF111" s="58"/>
      <c r="BH111" s="74"/>
      <c r="BI111" s="75"/>
      <c r="BJ111" s="87"/>
      <c r="BK111" s="87"/>
      <c r="BL111" s="87"/>
      <c r="BM111" s="76"/>
      <c r="BO111" s="74"/>
      <c r="BP111" s="75"/>
      <c r="BQ111" s="87"/>
      <c r="BR111" s="87"/>
      <c r="BS111" s="87"/>
      <c r="BT111" s="76"/>
      <c r="BV111" s="74"/>
      <c r="BW111" s="75"/>
      <c r="BX111" s="87"/>
      <c r="BY111" s="87"/>
      <c r="BZ111" s="87"/>
      <c r="CA111" s="76"/>
      <c r="CC111" s="74"/>
      <c r="CD111" s="75"/>
      <c r="CE111" s="87"/>
      <c r="CF111" s="87"/>
      <c r="CG111" s="87"/>
      <c r="CH111" s="76"/>
      <c r="CJ111" s="74"/>
      <c r="CK111" s="75"/>
      <c r="CL111" s="87"/>
      <c r="CM111" s="87"/>
      <c r="CN111" s="87"/>
      <c r="CO111" s="76"/>
      <c r="CQ111" s="74"/>
      <c r="CR111" s="75"/>
      <c r="CS111" s="87"/>
      <c r="CT111" s="87"/>
      <c r="CU111" s="87"/>
      <c r="CV111" s="76"/>
    </row>
    <row r="112" spans="1:100" s="1" customFormat="1" ht="14.25" outlineLevel="1" thickBot="1">
      <c r="A112" s="215"/>
      <c r="B112" s="185" t="s">
        <v>815</v>
      </c>
      <c r="C112" s="19" t="s">
        <v>136</v>
      </c>
      <c r="D112" s="470">
        <v>40439600</v>
      </c>
      <c r="E112" s="19">
        <v>20</v>
      </c>
      <c r="F112" s="189">
        <v>387</v>
      </c>
      <c r="G112" s="218">
        <v>20</v>
      </c>
      <c r="I112" s="34">
        <f t="shared" si="72"/>
        <v>34.239209922480619</v>
      </c>
      <c r="J112" s="35">
        <f t="shared" si="73"/>
        <v>16.383166796902046</v>
      </c>
      <c r="K112" s="35">
        <f t="shared" si="74"/>
        <v>13.385758316105996</v>
      </c>
      <c r="L112" s="52"/>
      <c r="M112" s="35">
        <f t="shared" si="75"/>
        <v>2.990430172405266</v>
      </c>
      <c r="N112" s="35">
        <f t="shared" si="76"/>
        <v>22.969823813311582</v>
      </c>
      <c r="O112" s="360">
        <v>28843439</v>
      </c>
      <c r="P112" s="361">
        <v>662528712</v>
      </c>
      <c r="Q112" s="361">
        <v>541314712</v>
      </c>
      <c r="R112" s="52"/>
      <c r="S112" s="361">
        <v>120931800</v>
      </c>
      <c r="T112" s="362">
        <v>87.780677999999995</v>
      </c>
      <c r="U112" s="362">
        <v>83.521584000000004</v>
      </c>
      <c r="V112" s="88"/>
      <c r="W112" s="88"/>
      <c r="X112" s="88"/>
      <c r="Y112" s="362">
        <v>99.156272999999999</v>
      </c>
      <c r="Z112" s="363"/>
      <c r="AA112" s="363"/>
      <c r="AB112" s="36">
        <v>0</v>
      </c>
      <c r="AC112" s="36">
        <v>0</v>
      </c>
      <c r="AD112" s="37"/>
      <c r="AF112" s="34">
        <f t="shared" si="77"/>
        <v>34.239209922480619</v>
      </c>
      <c r="AG112" s="35">
        <f t="shared" si="78"/>
        <v>16.383166796902046</v>
      </c>
      <c r="AH112" s="35">
        <f t="shared" si="79"/>
        <v>13.385758316105996</v>
      </c>
      <c r="AI112" s="52"/>
      <c r="AJ112" s="35">
        <f t="shared" si="80"/>
        <v>2.990430172405266</v>
      </c>
      <c r="AK112" s="35">
        <f t="shared" si="81"/>
        <v>22.969823813311582</v>
      </c>
      <c r="AL112" s="360">
        <v>28843439</v>
      </c>
      <c r="AM112" s="361">
        <v>662528712</v>
      </c>
      <c r="AN112" s="361">
        <v>541314712</v>
      </c>
      <c r="AO112" s="52"/>
      <c r="AP112" s="361">
        <v>120931800</v>
      </c>
      <c r="AQ112" s="362">
        <v>87.780677999999995</v>
      </c>
      <c r="AR112" s="362">
        <v>83.521584000000004</v>
      </c>
      <c r="AS112" s="88"/>
      <c r="AT112" s="88"/>
      <c r="AU112" s="88"/>
      <c r="AV112" s="362">
        <v>99.156272999999999</v>
      </c>
      <c r="AW112" s="363">
        <v>330.36799999999999</v>
      </c>
      <c r="AX112" s="363">
        <v>102.25399999999993</v>
      </c>
      <c r="AY112" s="36">
        <v>0</v>
      </c>
      <c r="AZ112" s="36">
        <v>0</v>
      </c>
      <c r="BA112" s="37">
        <v>12</v>
      </c>
      <c r="BC112" s="59" t="e">
        <f t="shared" si="82"/>
        <v>#DIV/0!</v>
      </c>
      <c r="BD112" s="60" t="e">
        <f t="shared" si="83"/>
        <v>#DIV/0!</v>
      </c>
      <c r="BE112" s="60">
        <f t="shared" si="84"/>
        <v>0</v>
      </c>
      <c r="BF112" s="61"/>
      <c r="BH112" s="77"/>
      <c r="BI112" s="78"/>
      <c r="BJ112" s="88"/>
      <c r="BK112" s="88"/>
      <c r="BL112" s="88"/>
      <c r="BM112" s="79"/>
      <c r="BO112" s="77"/>
      <c r="BP112" s="78"/>
      <c r="BQ112" s="88"/>
      <c r="BR112" s="88"/>
      <c r="BS112" s="88"/>
      <c r="BT112" s="79"/>
      <c r="BV112" s="77"/>
      <c r="BW112" s="78"/>
      <c r="BX112" s="88"/>
      <c r="BY112" s="88"/>
      <c r="BZ112" s="88"/>
      <c r="CA112" s="79"/>
      <c r="CC112" s="77"/>
      <c r="CD112" s="78"/>
      <c r="CE112" s="88"/>
      <c r="CF112" s="88"/>
      <c r="CG112" s="88"/>
      <c r="CH112" s="79"/>
      <c r="CJ112" s="77"/>
      <c r="CK112" s="78"/>
      <c r="CL112" s="88"/>
      <c r="CM112" s="88"/>
      <c r="CN112" s="88"/>
      <c r="CO112" s="79"/>
      <c r="CQ112" s="77"/>
      <c r="CR112" s="78"/>
      <c r="CS112" s="88"/>
      <c r="CT112" s="88"/>
      <c r="CU112" s="88"/>
      <c r="CV112" s="79"/>
    </row>
    <row r="113" spans="1:100" s="1" customFormat="1">
      <c r="A113" s="96" t="s">
        <v>877</v>
      </c>
      <c r="B113" s="27" t="s">
        <v>872</v>
      </c>
      <c r="C113" s="25" t="s">
        <v>131</v>
      </c>
      <c r="D113" s="464">
        <v>186907991</v>
      </c>
      <c r="E113" s="25">
        <v>11</v>
      </c>
      <c r="F113" s="25">
        <v>64</v>
      </c>
      <c r="G113" s="26">
        <v>30</v>
      </c>
      <c r="I113" s="42">
        <f t="shared" si="72"/>
        <v>0.71251874999999998</v>
      </c>
      <c r="J113" s="43">
        <f t="shared" si="73"/>
        <v>8.1325575855127567E-3</v>
      </c>
      <c r="K113" s="43">
        <f t="shared" si="74"/>
        <v>5.7733647139784411E-3</v>
      </c>
      <c r="L113" s="43">
        <f>IF(R113="","·",R113/D113)</f>
        <v>2.175059492239687E-3</v>
      </c>
      <c r="M113" s="55"/>
      <c r="N113" s="43">
        <f t="shared" si="76"/>
        <v>1.8254594452430619</v>
      </c>
      <c r="O113" s="364">
        <v>832689</v>
      </c>
      <c r="P113" s="365">
        <v>1520040</v>
      </c>
      <c r="Q113" s="365">
        <v>1079088</v>
      </c>
      <c r="R113" s="207">
        <v>406536</v>
      </c>
      <c r="S113" s="92"/>
      <c r="T113" s="366">
        <v>52.900539000000002</v>
      </c>
      <c r="U113" s="366">
        <v>48.160580000000003</v>
      </c>
      <c r="V113" s="366">
        <v>22.872799000000001</v>
      </c>
      <c r="W113" s="366">
        <v>33.024841000000002</v>
      </c>
      <c r="X113" s="366">
        <v>33.494450000000001</v>
      </c>
      <c r="Y113" s="92"/>
      <c r="Z113" s="367">
        <v>76.091000000000008</v>
      </c>
      <c r="AA113" s="367">
        <v>1.0690000000000004</v>
      </c>
      <c r="AB113" s="44">
        <v>0</v>
      </c>
      <c r="AC113" s="44">
        <v>0</v>
      </c>
      <c r="AD113" s="45"/>
      <c r="AF113" s="42">
        <f t="shared" si="77"/>
        <v>0.66451499999999997</v>
      </c>
      <c r="AG113" s="43">
        <f t="shared" si="78"/>
        <v>7.5846516375000792E-3</v>
      </c>
      <c r="AH113" s="43">
        <f t="shared" si="79"/>
        <v>5.7733647139784411E-3</v>
      </c>
      <c r="AI113" s="43">
        <f t="shared" ref="AI113:AI136" si="85">IF(AO113="","·",AO113/$D113)</f>
        <v>1.6271535442270095E-3</v>
      </c>
      <c r="AJ113" s="55"/>
      <c r="AK113" s="43">
        <f t="shared" si="81"/>
        <v>1.7024747534793903</v>
      </c>
      <c r="AL113" s="364">
        <v>832689</v>
      </c>
      <c r="AM113" s="365">
        <v>1417632</v>
      </c>
      <c r="AN113" s="365">
        <v>1079088</v>
      </c>
      <c r="AO113" s="207">
        <v>304128</v>
      </c>
      <c r="AP113" s="92"/>
      <c r="AQ113" s="366">
        <v>52.900539000000002</v>
      </c>
      <c r="AR113" s="366">
        <v>48.160580000000003</v>
      </c>
      <c r="AS113" s="366">
        <v>23.138376000000001</v>
      </c>
      <c r="AT113" s="366">
        <v>33.024841000000002</v>
      </c>
      <c r="AU113" s="366">
        <v>33.494450000000001</v>
      </c>
      <c r="AV113" s="92"/>
      <c r="AW113" s="367">
        <v>90.03100000000002</v>
      </c>
      <c r="AX113" s="367">
        <v>2.2399999999999998</v>
      </c>
      <c r="AY113" s="44">
        <v>0</v>
      </c>
      <c r="AZ113" s="44">
        <v>0</v>
      </c>
      <c r="BA113" s="45">
        <v>192</v>
      </c>
      <c r="BC113" s="65" t="e">
        <f t="shared" si="82"/>
        <v>#DIV/0!</v>
      </c>
      <c r="BD113" s="66" t="e">
        <f t="shared" si="83"/>
        <v>#DIV/0!</v>
      </c>
      <c r="BE113" s="66">
        <f t="shared" si="84"/>
        <v>5.1282858304311896E-2</v>
      </c>
      <c r="BF113" s="67">
        <f t="array" ref="BF113">AVERAGE(AN113:AN118/AM113:AM118) - AVERAGE(Q113:Q118/P113:P118)</f>
        <v>6.7055474832080908E-2</v>
      </c>
      <c r="BH113" s="83">
        <f>IF( OR(ISBLANK($Q113:$Q118),ISBLANK($AN113:$AN118), ISBLANK($T113:$T118),ISBLANK($AQ113:$AQ118)), "·", bdRateHermite( $Q113:$Q118,$T113:$T118, $AN113:$AN118,$AQ113:$AQ118))</f>
        <v>0</v>
      </c>
      <c r="BI113" s="225">
        <f>IF(OR(ISBLANK(Q113:Q118),ISBLANK(AN113:AN118),ISBLANK(U113:U118),ISBLANK(AR113:AR118)),"·",bdRateHermite(Q113:Q118,U113:U118,AN113:AN118,AR113:AR118))</f>
        <v>0</v>
      </c>
      <c r="BJ113" s="225">
        <f>IF(OR(ISBLANK($R113:$R118),ISBLANK($AO113:$AO118),ISBLANK($V113:$V118),ISBLANK($AS113:$AS118)),"·",bdRateHermite($R113:$R118,$V113:$V118,$AO113:$AO118,$AS113:$AS118))</f>
        <v>-0.32314231056499287</v>
      </c>
      <c r="BK113" s="225">
        <f>IF(OR(ISBLANK($R113:$R118),ISBLANK($AO113:$AO118),ISBLANK($W113:$W118),ISBLANK($AT113:$AT118)),"·",bdRateHermite($R113:$R118,$W113:$W118,$AO113:$AO118,$AT113:$AT118))</f>
        <v>-0.4952521524125697</v>
      </c>
      <c r="BL113" s="225">
        <f>IF(OR(ISBLANK($R113:$R118),ISBLANK($AO113:$AO118),ISBLANK($X113:$X118),ISBLANK($AU113:$AU118)),"·",bdRateHermite($R113:$R118,$X113:$X118,$AO113:$AO118,$AU113:$AU118))</f>
        <v>-0.47477448800005539</v>
      </c>
      <c r="BM113" s="92"/>
      <c r="BO113" s="83">
        <f>IF( OR(ISBLANK($P113:$P118),ISBLANK($AM113:$AM118), ISBLANK($T113:$T118),ISBLANK($AQ113:$AQ118)), "·", bdRateHermite($P113:$P118,$T113:$T118, $AM113:$AM118,$AQ113:$AQ118))</f>
        <v>-0.15995890012302516</v>
      </c>
      <c r="BP113" s="84">
        <f>IF( OR(ISBLANK($P113:$P118),ISBLANK($AM113:$AM118), ISBLANK(U113:U118),ISBLANK(AR113:AR118)), "·", bdRateHermite( $P113:$P118,U113:U118, $AM113:$AM118,AR113:AR118))</f>
        <v>-0.16183637310861332</v>
      </c>
      <c r="BQ113" s="84">
        <f>IF( OR(ISBLANK($P113:$P118),ISBLANK($AM113:$AM118), ISBLANK(V113:V118),ISBLANK(AS113:AS118)), "·", bdRateHermite( $P113:$P118,V113:V118, $AM113:$AM118,AS113:AS118))</f>
        <v>-0.18261693570511572</v>
      </c>
      <c r="BR113" s="84">
        <f>IF( OR(ISBLANK($P113:$P118),ISBLANK($AM113:$AM118), ISBLANK(W113:W118),ISBLANK(AT113:AT118)), "·", bdRateHermite( $P113:$P118,W113:W118, $AM113:$AM118,AT113:AT118))</f>
        <v>-0.37295893852382123</v>
      </c>
      <c r="BS113" s="84">
        <f>IF( OR(ISBLANK($P113:$P118),ISBLANK($AM113:$AM118), ISBLANK(X113:X118),ISBLANK(AU113:AU118)), "·", bdRateHermite( $P113:$P118,X113:X118, $AM113:$AM118,AU113:AU118))</f>
        <v>-0.34395201122119301</v>
      </c>
      <c r="BT113" s="92"/>
      <c r="BV113" s="83">
        <f>IF( OR(ISBLANK($Q113:$Q118),ISBLANK($AN113:$AN118), ISBLANK(T114:T118),ISBLANK(AQ114:AQ118)), "·", bdRateHermite( $Q114:$Q118,T114:T118, $AN114:$AN118,AQ114:AQ118))</f>
        <v>0</v>
      </c>
      <c r="BW113" s="83">
        <f>IF( OR(ISBLANK($Q113:$Q118),ISBLANK($AN113:$AN118), ISBLANK(U114:U118),ISBLANK(AR114:AR118)), "·", bdRateHermite( $Q114:$Q118,U114:U118, $AN114:$AN118,AR114:AR118))</f>
        <v>0</v>
      </c>
      <c r="BX113" s="225">
        <f>IF(OR(ISBLANK($R113:$R118),ISBLANK($AO113:$AO118),ISBLANK($V113:$V118),ISBLANK($AS113:$AS118)),"·",bdRateHermite($R114:$R118,$V114:$V118,$AO114:$AO118,$AS114:$AS118))</f>
        <v>-0.32596254003425384</v>
      </c>
      <c r="BY113" s="225">
        <f>IF(OR(ISBLANK($R113:$R118),ISBLANK($AO113:$AO118),ISBLANK($W113:$W118),ISBLANK($AT113:$AT118)),"·",bdRateHermite($R114:$R118,$W114:$W118,$AO114:$AO118,$AT114:$AT118))</f>
        <v>-0.46777608167848539</v>
      </c>
      <c r="BZ113" s="225">
        <f>IF(OR(ISBLANK($R113:$R118),ISBLANK($AO113:$AO118),ISBLANK($X113:$X118),ISBLANK($AU113:$AU118)),"·",bdRateHermite($R114:$R118,$X114:$X118,$AO114:$AO118,$AU114:$AU118))</f>
        <v>-0.42422084757158218</v>
      </c>
      <c r="CA113" s="92"/>
      <c r="CC113" s="83">
        <f>IF( OR(ISBLANK($P113:$P118),ISBLANK($AM113:$AM118), ISBLANK($T113:$T118),ISBLANK($AQ113:$AQ118)), "·", bdRateHermite($P114:$P118,$T114:$T118, $AM114:$AM118,$AQ114:$AQ118))</f>
        <v>-0.18531695599032538</v>
      </c>
      <c r="CD113" s="84">
        <f>IF( OR(ISBLANK($P113:$P118),ISBLANK($AM113:$AM118), ISBLANK(U113:U118),ISBLANK(AR113:AR118)), "·", bdRateHermite( $P114:$P118,U114:U118, $AM114:$AM118,AR114:AR118))</f>
        <v>-0.18806317926444549</v>
      </c>
      <c r="CE113" s="84">
        <f>IF( OR(ISBLANK($P113:$P118),ISBLANK($AM113:$AM118), ISBLANK(V113:V118),ISBLANK(AS113:AS118)), "·", bdRateHermite( $P114:$P118,V114:V118, $AM114:$AM118,AS114:AS118))</f>
        <v>-0.19683994070345323</v>
      </c>
      <c r="CF113" s="84">
        <f>IF( OR(ISBLANK($P113:$P118),ISBLANK($AM113:$AM118), ISBLANK(W113:W118),ISBLANK(AT113:AT118)), "·", bdRateHermite( $P114:$P118,W114:W118, $AM114:$AM118,AT114:AT118))</f>
        <v>-0.34675348636864722</v>
      </c>
      <c r="CG113" s="84">
        <f>IF( OR(ISBLANK($P113:$P118),ISBLANK($AM113:$AM118), ISBLANK(X113:X118),ISBLANK(AU113:AU118)), "·", bdRateHermite( $P114:$P118,X114:X118, $AM114:$AM118,AU114:AU118))</f>
        <v>-0.29771705663922465</v>
      </c>
      <c r="CH113" s="92"/>
      <c r="CJ113" s="83">
        <f>IF( OR(ISBLANK($Q113:$Q117),ISBLANK($AN113:$AN117), ISBLANK($T113:$T117),ISBLANK($AQ113:$AQ117)), "·", bdRateHermite( $Q113:$Q117,$T113:$T117, $AN113:$AN117,$AQ113:$AQ117))</f>
        <v>0</v>
      </c>
      <c r="CK113" s="84">
        <f>IF(OR(ISBLANK($Q113:$Q117),ISBLANK($AN113:$AN117),ISBLANK(U113:U117),ISBLANK(AR113:AR117)),"·",bdRateHermite($Q113:$Q117,U113:U117,$AN113:$AN117,AR113:AR117))</f>
        <v>0</v>
      </c>
      <c r="CL113" s="225">
        <f>IF(OR(ISBLANK($R113:$R118),ISBLANK($AO113:$AO118),ISBLANK($V113:$V118),ISBLANK($AS113:$AS118)),"·",bdRateHermite($R113:$R117,$V113:$V117,$AO113:$AO117,$AS113:$AS117))</f>
        <v>-0.35274040239132787</v>
      </c>
      <c r="CM113" s="225">
        <f>IF(OR(ISBLANK($R113:$R118),ISBLANK($AO113:$AO118),ISBLANK($W113:$W118),ISBLANK($AT113:$AT118)),"·",bdRateHermite($R113:$R117,$W113:$W117,$AO113:$AO117,$AT113:$AT117))</f>
        <v>-0.55466676698815998</v>
      </c>
      <c r="CN113" s="225">
        <f>IF(OR(ISBLANK($R113:$R118),ISBLANK($AO113:$AO118),ISBLANK($X113:$X118),ISBLANK($AU113:$AU118)),"·",bdRateHermite($R113:$R117,$X113:$X117,$AO113:$AO117,$AU113:$AU117))</f>
        <v>-0.50654428293623299</v>
      </c>
      <c r="CO113" s="92"/>
      <c r="CQ113" s="83">
        <f>IF( OR(ISBLANK($P113:$P117),ISBLANK($AM113:$AM117), ISBLANK($T113:$T117),ISBLANK($AQ113:$AQ117)), "·", bdRateHermite($P113:$P117,$T113:$T117, $AM113:$AM117,$AQ113:$AQ117))</f>
        <v>-0.16204681157837542</v>
      </c>
      <c r="CR113" s="84">
        <f>IF( OR(ISBLANK($P113:$P117),ISBLANK($AM113:$AM117), ISBLANK(U113:U117),ISBLANK(AR113:AR117)), "·", bdRateHermite( $P113:$P117,U113:U117, $AM113:$AM117,AR113:AR117))</f>
        <v>-0.16351693179225524</v>
      </c>
      <c r="CS113" s="84">
        <f>IF( OR(ISBLANK($P113:$P117),ISBLANK($AM113:$AM117), ISBLANK(V113:V117),ISBLANK(AS113:AS117)), "·", bdRateHermite( $P113:$P117,V113:V117, $AM113:$AM117,AS113:AS117))</f>
        <v>-0.1937579679424164</v>
      </c>
      <c r="CT113" s="84">
        <f>IF( OR(ISBLANK($P113:$P117),ISBLANK($AM113:$AM117), ISBLANK(W113:W117),ISBLANK(AT113:AT117)), "·", bdRateHermite( $P113:$P117,W113:W117, $AM113:$AM117,AT113:AT117))</f>
        <v>-0.41933410109055258</v>
      </c>
      <c r="CU113" s="84">
        <f>IF( OR(ISBLANK($P113:$P117),ISBLANK($AM113:$AM117), ISBLANK(X113:X117),ISBLANK(AU113:AU117)), "·", bdRateHermite( $P113:$P117,X113:X117, $AM113:$AM117,AU113:AU117))</f>
        <v>-0.36280421468549273</v>
      </c>
      <c r="CV113" s="92"/>
    </row>
    <row r="114" spans="1:100" s="1" customFormat="1" outlineLevel="1">
      <c r="A114" s="13"/>
      <c r="B114" s="14" t="s">
        <v>878</v>
      </c>
      <c r="C114" s="15" t="s">
        <v>132</v>
      </c>
      <c r="D114" s="465">
        <v>186907991</v>
      </c>
      <c r="E114" s="15">
        <v>11</v>
      </c>
      <c r="F114" s="25">
        <v>64</v>
      </c>
      <c r="G114" s="16">
        <v>30</v>
      </c>
      <c r="I114" s="30">
        <f t="shared" si="72"/>
        <v>3.0571837500000001</v>
      </c>
      <c r="J114" s="43">
        <f t="shared" ref="J114" si="86">IF(ISBLANK(P114),"·",P114/D114)</f>
        <v>3.4894131412498038E-2</v>
      </c>
      <c r="K114" s="43">
        <f t="shared" ref="K114" si="87">IF(Q114="","·",Q114/D114)</f>
        <v>2.0864083868944908E-2</v>
      </c>
      <c r="L114" s="31">
        <f t="shared" ref="L114:L136" si="88">IF(R114="","·",R114/D114)</f>
        <v>1.3841120361729211E-2</v>
      </c>
      <c r="M114" s="51"/>
      <c r="N114" s="31">
        <f t="shared" si="76"/>
        <v>1.9627403885941832</v>
      </c>
      <c r="O114" s="356">
        <v>3322901</v>
      </c>
      <c r="P114" s="357">
        <v>6521992</v>
      </c>
      <c r="Q114" s="357">
        <v>3899664</v>
      </c>
      <c r="R114" s="208">
        <v>2587016</v>
      </c>
      <c r="S114" s="87"/>
      <c r="T114" s="358">
        <v>58.818100000000001</v>
      </c>
      <c r="U114" s="358">
        <v>54.181156000000001</v>
      </c>
      <c r="V114" s="358">
        <v>28.027146999999999</v>
      </c>
      <c r="W114" s="358">
        <v>33.069434999999999</v>
      </c>
      <c r="X114" s="358">
        <v>34.416221999999998</v>
      </c>
      <c r="Y114" s="87"/>
      <c r="Z114" s="359">
        <v>91.268000000000029</v>
      </c>
      <c r="AA114" s="359">
        <v>4.8770000000000007</v>
      </c>
      <c r="AB114" s="32">
        <v>0</v>
      </c>
      <c r="AC114" s="32">
        <v>0</v>
      </c>
      <c r="AD114" s="33"/>
      <c r="AF114" s="30">
        <f t="shared" si="77"/>
        <v>2.6969400000000001</v>
      </c>
      <c r="AG114" s="43">
        <f t="shared" ref="AG114" si="89">IF(ISBLANK(AM114),"·",AM114/D114)</f>
        <v>3.0782375698425863E-2</v>
      </c>
      <c r="AH114" s="43">
        <f t="shared" ref="AH114" si="90">IF(AN114="","·",AN114/D114)</f>
        <v>2.0864083868944908E-2</v>
      </c>
      <c r="AI114" s="31">
        <f t="shared" si="85"/>
        <v>9.7293646476570381E-3</v>
      </c>
      <c r="AJ114" s="51"/>
      <c r="AK114" s="31">
        <f t="shared" si="81"/>
        <v>1.7314605520898756</v>
      </c>
      <c r="AL114" s="356">
        <v>3322901</v>
      </c>
      <c r="AM114" s="357">
        <v>5753472</v>
      </c>
      <c r="AN114" s="357">
        <v>3899664</v>
      </c>
      <c r="AO114" s="208">
        <v>1818496</v>
      </c>
      <c r="AP114" s="87"/>
      <c r="AQ114" s="358">
        <v>58.818100000000001</v>
      </c>
      <c r="AR114" s="358">
        <v>54.181156000000001</v>
      </c>
      <c r="AS114" s="358">
        <v>28.194299999999998</v>
      </c>
      <c r="AT114" s="358">
        <v>33.800167000000002</v>
      </c>
      <c r="AU114" s="358">
        <v>35.727898000000003</v>
      </c>
      <c r="AV114" s="87"/>
      <c r="AW114" s="359">
        <v>105.48500000000001</v>
      </c>
      <c r="AX114" s="359">
        <v>8.3630000000000013</v>
      </c>
      <c r="AY114" s="32">
        <v>0</v>
      </c>
      <c r="AZ114" s="32">
        <v>0</v>
      </c>
      <c r="BA114" s="33">
        <v>48</v>
      </c>
      <c r="BC114" s="56" t="e">
        <f t="shared" si="82"/>
        <v>#DIV/0!</v>
      </c>
      <c r="BD114" s="57" t="e">
        <f t="shared" si="83"/>
        <v>#DIV/0!</v>
      </c>
      <c r="BE114" s="57">
        <f t="shared" si="84"/>
        <v>7.9867869144493397E-2</v>
      </c>
      <c r="BF114" s="58"/>
      <c r="BH114" s="74"/>
      <c r="BI114" s="75"/>
      <c r="BJ114" s="75"/>
      <c r="BK114" s="75"/>
      <c r="BL114" s="75"/>
      <c r="BM114" s="87"/>
      <c r="BO114" s="74"/>
      <c r="BP114" s="75"/>
      <c r="BQ114" s="75"/>
      <c r="BR114" s="75"/>
      <c r="BS114" s="75"/>
      <c r="BT114" s="87"/>
      <c r="BV114" s="74"/>
      <c r="BW114" s="75"/>
      <c r="BX114" s="75"/>
      <c r="BY114" s="75"/>
      <c r="BZ114" s="75"/>
      <c r="CA114" s="87"/>
      <c r="CC114" s="74"/>
      <c r="CD114" s="75"/>
      <c r="CE114" s="75"/>
      <c r="CF114" s="75"/>
      <c r="CG114" s="75"/>
      <c r="CH114" s="87"/>
      <c r="CJ114" s="74"/>
      <c r="CK114" s="75"/>
      <c r="CL114" s="75"/>
      <c r="CM114" s="75"/>
      <c r="CN114" s="75"/>
      <c r="CO114" s="87"/>
      <c r="CQ114" s="74"/>
      <c r="CR114" s="75"/>
      <c r="CS114" s="75"/>
      <c r="CT114" s="75"/>
      <c r="CU114" s="75"/>
      <c r="CV114" s="87"/>
    </row>
    <row r="115" spans="1:100" s="1" customFormat="1" outlineLevel="1">
      <c r="A115" s="13"/>
      <c r="B115" s="14" t="s">
        <v>878</v>
      </c>
      <c r="C115" s="15" t="s">
        <v>133</v>
      </c>
      <c r="D115" s="465">
        <v>186907991</v>
      </c>
      <c r="E115" s="15">
        <v>11</v>
      </c>
      <c r="F115" s="25">
        <v>64</v>
      </c>
      <c r="G115" s="16">
        <v>30</v>
      </c>
      <c r="I115" s="30">
        <f t="shared" si="72"/>
        <v>14.17692375</v>
      </c>
      <c r="J115" s="31">
        <f t="shared" si="73"/>
        <v>0.16181279269113755</v>
      </c>
      <c r="K115" s="31">
        <f t="shared" si="74"/>
        <v>7.5271645287760869E-2</v>
      </c>
      <c r="L115" s="31">
        <f t="shared" si="88"/>
        <v>8.6349780518479816E-2</v>
      </c>
      <c r="M115" s="51"/>
      <c r="N115" s="31">
        <f t="shared" si="76"/>
        <v>2.3119923757413483</v>
      </c>
      <c r="O115" s="356">
        <v>13081403</v>
      </c>
      <c r="P115" s="357">
        <v>30244104</v>
      </c>
      <c r="Q115" s="357">
        <v>14068872</v>
      </c>
      <c r="R115" s="208">
        <v>16139464</v>
      </c>
      <c r="S115" s="87"/>
      <c r="T115" s="358">
        <v>64.461105000000003</v>
      </c>
      <c r="U115" s="358">
        <v>60.201720999999999</v>
      </c>
      <c r="V115" s="358">
        <v>33.247138999999997</v>
      </c>
      <c r="W115" s="358">
        <v>37.475307000000001</v>
      </c>
      <c r="X115" s="358">
        <v>40.431128999999999</v>
      </c>
      <c r="Y115" s="87"/>
      <c r="Z115" s="359">
        <v>141.52599999999995</v>
      </c>
      <c r="AA115" s="359">
        <v>19.599</v>
      </c>
      <c r="AB115" s="32">
        <v>0</v>
      </c>
      <c r="AC115" s="32">
        <v>0</v>
      </c>
      <c r="AD115" s="33"/>
      <c r="AF115" s="30">
        <f t="shared" si="77"/>
        <v>11.257316250000001</v>
      </c>
      <c r="AG115" s="31">
        <f t="shared" si="78"/>
        <v>0.1284889312196395</v>
      </c>
      <c r="AH115" s="31">
        <f t="shared" si="79"/>
        <v>7.5271645287760869E-2</v>
      </c>
      <c r="AI115" s="31">
        <f t="shared" si="85"/>
        <v>5.3025919046981784E-2</v>
      </c>
      <c r="AJ115" s="51"/>
      <c r="AK115" s="31">
        <f t="shared" si="81"/>
        <v>1.8358587377821782</v>
      </c>
      <c r="AL115" s="356">
        <v>13081403</v>
      </c>
      <c r="AM115" s="357">
        <v>24015608</v>
      </c>
      <c r="AN115" s="357">
        <v>14068872</v>
      </c>
      <c r="AO115" s="208">
        <v>9910968</v>
      </c>
      <c r="AP115" s="87"/>
      <c r="AQ115" s="358">
        <v>64.461105000000003</v>
      </c>
      <c r="AR115" s="358">
        <v>60.201720999999999</v>
      </c>
      <c r="AS115" s="358">
        <v>33.366118999999998</v>
      </c>
      <c r="AT115" s="358">
        <v>38.682147999999998</v>
      </c>
      <c r="AU115" s="358">
        <v>40.565029000000003</v>
      </c>
      <c r="AV115" s="87"/>
      <c r="AW115" s="359">
        <v>155.89400000000001</v>
      </c>
      <c r="AX115" s="359">
        <v>28.852999999999998</v>
      </c>
      <c r="AY115" s="32">
        <v>0</v>
      </c>
      <c r="AZ115" s="32">
        <v>0</v>
      </c>
      <c r="BA115" s="33">
        <v>12</v>
      </c>
      <c r="BC115" s="56" t="e">
        <f t="shared" si="82"/>
        <v>#DIV/0!</v>
      </c>
      <c r="BD115" s="57" t="e">
        <f t="shared" si="83"/>
        <v>#DIV/0!</v>
      </c>
      <c r="BE115" s="57">
        <f t="shared" si="84"/>
        <v>0.12064467543335305</v>
      </c>
      <c r="BF115" s="58"/>
      <c r="BH115" s="74"/>
      <c r="BI115" s="75"/>
      <c r="BJ115" s="75"/>
      <c r="BK115" s="75"/>
      <c r="BL115" s="75"/>
      <c r="BM115" s="87"/>
      <c r="BO115" s="74"/>
      <c r="BP115" s="75"/>
      <c r="BQ115" s="75"/>
      <c r="BR115" s="75"/>
      <c r="BS115" s="75"/>
      <c r="BT115" s="87"/>
      <c r="BV115" s="74"/>
      <c r="BW115" s="75"/>
      <c r="BX115" s="75"/>
      <c r="BY115" s="75"/>
      <c r="BZ115" s="75"/>
      <c r="CA115" s="87"/>
      <c r="CC115" s="74"/>
      <c r="CD115" s="75"/>
      <c r="CE115" s="75"/>
      <c r="CF115" s="75"/>
      <c r="CG115" s="75"/>
      <c r="CH115" s="87"/>
      <c r="CJ115" s="74"/>
      <c r="CK115" s="75"/>
      <c r="CL115" s="75"/>
      <c r="CM115" s="75"/>
      <c r="CN115" s="75"/>
      <c r="CO115" s="87"/>
      <c r="CQ115" s="74"/>
      <c r="CR115" s="75"/>
      <c r="CS115" s="75"/>
      <c r="CT115" s="75"/>
      <c r="CU115" s="75"/>
      <c r="CV115" s="87"/>
    </row>
    <row r="116" spans="1:100" s="1" customFormat="1" outlineLevel="1">
      <c r="A116" s="13"/>
      <c r="B116" s="14" t="s">
        <v>872</v>
      </c>
      <c r="C116" s="15" t="s">
        <v>134</v>
      </c>
      <c r="D116" s="465">
        <v>186907991</v>
      </c>
      <c r="E116" s="15">
        <v>11</v>
      </c>
      <c r="F116" s="25">
        <v>64</v>
      </c>
      <c r="G116" s="16">
        <v>30</v>
      </c>
      <c r="I116" s="30">
        <f t="shared" si="72"/>
        <v>67.692993749999999</v>
      </c>
      <c r="J116" s="31">
        <f t="shared" si="73"/>
        <v>0.77263534441392612</v>
      </c>
      <c r="K116" s="31">
        <f t="shared" si="74"/>
        <v>0.27054886058884448</v>
      </c>
      <c r="L116" s="31">
        <f t="shared" si="88"/>
        <v>0.50189319085881134</v>
      </c>
      <c r="M116" s="51"/>
      <c r="N116" s="31">
        <f t="shared" si="76"/>
        <v>2.8578675001463449</v>
      </c>
      <c r="O116" s="356">
        <v>50531286</v>
      </c>
      <c r="P116" s="357">
        <v>144411720</v>
      </c>
      <c r="Q116" s="357">
        <v>50567744</v>
      </c>
      <c r="R116" s="208">
        <v>93807848</v>
      </c>
      <c r="S116" s="87"/>
      <c r="T116" s="358">
        <v>69.232367999999994</v>
      </c>
      <c r="U116" s="358">
        <v>66.222389000000007</v>
      </c>
      <c r="V116" s="358">
        <v>38.192371000000001</v>
      </c>
      <c r="W116" s="358">
        <v>43.030890999999997</v>
      </c>
      <c r="X116" s="358">
        <v>45.182513999999998</v>
      </c>
      <c r="Y116" s="87"/>
      <c r="Z116" s="359">
        <v>289.76900000000001</v>
      </c>
      <c r="AA116" s="359">
        <v>85.436000000000035</v>
      </c>
      <c r="AB116" s="32">
        <v>0</v>
      </c>
      <c r="AC116" s="32">
        <v>0</v>
      </c>
      <c r="AD116" s="33"/>
      <c r="AF116" s="30">
        <f t="shared" si="77"/>
        <v>53.378943749999998</v>
      </c>
      <c r="AG116" s="31">
        <f t="shared" si="78"/>
        <v>0.60925741799878419</v>
      </c>
      <c r="AH116" s="31">
        <f t="shared" si="79"/>
        <v>0.27054886058884448</v>
      </c>
      <c r="AI116" s="31">
        <f t="shared" si="85"/>
        <v>0.33851526444366953</v>
      </c>
      <c r="AJ116" s="51"/>
      <c r="AK116" s="31">
        <f t="shared" si="81"/>
        <v>2.2535559455185843</v>
      </c>
      <c r="AL116" s="356">
        <v>50531286</v>
      </c>
      <c r="AM116" s="357">
        <v>113875080</v>
      </c>
      <c r="AN116" s="357">
        <v>50567744</v>
      </c>
      <c r="AO116" s="208">
        <v>63271208</v>
      </c>
      <c r="AP116" s="87"/>
      <c r="AQ116" s="358">
        <v>69.232367999999994</v>
      </c>
      <c r="AR116" s="358">
        <v>66.222389000000007</v>
      </c>
      <c r="AS116" s="358">
        <v>38.229678999999997</v>
      </c>
      <c r="AT116" s="358">
        <v>43.604733000000003</v>
      </c>
      <c r="AU116" s="358">
        <v>45.870159000000001</v>
      </c>
      <c r="AV116" s="87"/>
      <c r="AW116" s="359">
        <v>311.16299999999995</v>
      </c>
      <c r="AX116" s="359">
        <v>111.33899999999998</v>
      </c>
      <c r="AY116" s="32">
        <v>0</v>
      </c>
      <c r="AZ116" s="32">
        <v>0</v>
      </c>
      <c r="BA116" s="33">
        <v>3</v>
      </c>
      <c r="BC116" s="56" t="e">
        <f t="shared" si="82"/>
        <v>#DIV/0!</v>
      </c>
      <c r="BD116" s="57" t="e">
        <f t="shared" si="83"/>
        <v>#DIV/0!</v>
      </c>
      <c r="BE116" s="57">
        <f t="shared" si="84"/>
        <v>9.3899589171672959E-2</v>
      </c>
      <c r="BF116" s="58"/>
      <c r="BH116" s="74"/>
      <c r="BI116" s="75"/>
      <c r="BJ116" s="75"/>
      <c r="BK116" s="75"/>
      <c r="BL116" s="75"/>
      <c r="BM116" s="87"/>
      <c r="BO116" s="74"/>
      <c r="BP116" s="75"/>
      <c r="BQ116" s="75"/>
      <c r="BR116" s="75"/>
      <c r="BS116" s="75"/>
      <c r="BT116" s="87"/>
      <c r="BV116" s="74"/>
      <c r="BW116" s="75"/>
      <c r="BX116" s="75"/>
      <c r="BY116" s="75"/>
      <c r="BZ116" s="75"/>
      <c r="CA116" s="87"/>
      <c r="CC116" s="74"/>
      <c r="CD116" s="75"/>
      <c r="CE116" s="75"/>
      <c r="CF116" s="75"/>
      <c r="CG116" s="75"/>
      <c r="CH116" s="87"/>
      <c r="CJ116" s="74"/>
      <c r="CK116" s="75"/>
      <c r="CL116" s="75"/>
      <c r="CM116" s="75"/>
      <c r="CN116" s="75"/>
      <c r="CO116" s="87"/>
      <c r="CQ116" s="74"/>
      <c r="CR116" s="75"/>
      <c r="CS116" s="75"/>
      <c r="CT116" s="75"/>
      <c r="CU116" s="75"/>
      <c r="CV116" s="87"/>
    </row>
    <row r="117" spans="1:100" s="1" customFormat="1" outlineLevel="1">
      <c r="A117" s="13"/>
      <c r="B117" s="14" t="s">
        <v>872</v>
      </c>
      <c r="C117" s="15" t="s">
        <v>135</v>
      </c>
      <c r="D117" s="465">
        <v>186907991</v>
      </c>
      <c r="E117" s="15">
        <v>11</v>
      </c>
      <c r="F117" s="25">
        <v>64</v>
      </c>
      <c r="G117" s="16">
        <v>30</v>
      </c>
      <c r="I117" s="30">
        <f t="shared" si="72"/>
        <v>226.44955874999999</v>
      </c>
      <c r="J117" s="31">
        <f t="shared" ref="J117" si="91">IF(ISBLANK(P117),"·",P117/D117)</f>
        <v>2.5846534940285135</v>
      </c>
      <c r="K117" s="31">
        <f t="shared" ref="K117" si="92">IF(Q117="","·",Q117/D117)</f>
        <v>0.60854438267436084</v>
      </c>
      <c r="L117" s="31">
        <f t="shared" si="88"/>
        <v>1.9759129078649185</v>
      </c>
      <c r="M117" s="51"/>
      <c r="N117" s="31">
        <f t="shared" si="76"/>
        <v>4.4154887327904397</v>
      </c>
      <c r="O117" s="356">
        <v>109408589</v>
      </c>
      <c r="P117" s="357">
        <v>483092392</v>
      </c>
      <c r="Q117" s="357">
        <v>113741808</v>
      </c>
      <c r="R117" s="208">
        <v>369313912</v>
      </c>
      <c r="S117" s="87"/>
      <c r="T117" s="358">
        <v>74.015877000000003</v>
      </c>
      <c r="U117" s="358">
        <v>69.74794</v>
      </c>
      <c r="V117" s="358">
        <v>40.789707</v>
      </c>
      <c r="W117" s="358">
        <v>46.153027000000002</v>
      </c>
      <c r="X117" s="358">
        <v>48.741905000000003</v>
      </c>
      <c r="Y117" s="87"/>
      <c r="Z117" s="359">
        <v>489.32600000000008</v>
      </c>
      <c r="AA117" s="359">
        <v>203.01399999999995</v>
      </c>
      <c r="AB117" s="32">
        <v>0</v>
      </c>
      <c r="AC117" s="32">
        <v>0</v>
      </c>
      <c r="AD117" s="33"/>
      <c r="AF117" s="30">
        <f t="shared" si="77"/>
        <v>189.25905750000001</v>
      </c>
      <c r="AG117" s="31">
        <f t="shared" ref="AG117" si="93">IF(ISBLANK(AM117),"·",AM117/D117)</f>
        <v>2.1601679727005361</v>
      </c>
      <c r="AH117" s="31">
        <f t="shared" ref="AH117" si="94">IF(AN117="","·",AN117/D117)</f>
        <v>0.60854438267436084</v>
      </c>
      <c r="AI117" s="31">
        <f t="shared" si="85"/>
        <v>1.5514273865369406</v>
      </c>
      <c r="AJ117" s="51"/>
      <c r="AK117" s="31">
        <f t="shared" si="81"/>
        <v>3.6903195598290734</v>
      </c>
      <c r="AL117" s="356">
        <v>109408589</v>
      </c>
      <c r="AM117" s="357">
        <v>403752656</v>
      </c>
      <c r="AN117" s="357">
        <v>113741808</v>
      </c>
      <c r="AO117" s="208">
        <v>289974176</v>
      </c>
      <c r="AP117" s="87"/>
      <c r="AQ117" s="358">
        <v>74.015877000000003</v>
      </c>
      <c r="AR117" s="358">
        <v>69.74794</v>
      </c>
      <c r="AS117" s="358">
        <v>40.827522000000002</v>
      </c>
      <c r="AT117" s="358">
        <v>46.531288000000004</v>
      </c>
      <c r="AU117" s="358">
        <v>49.440693000000003</v>
      </c>
      <c r="AV117" s="87"/>
      <c r="AW117" s="359">
        <v>588.57000000000016</v>
      </c>
      <c r="AX117" s="359">
        <v>266.83399999999995</v>
      </c>
      <c r="AY117" s="32">
        <v>0</v>
      </c>
      <c r="AZ117" s="32">
        <v>0</v>
      </c>
      <c r="BA117" s="33">
        <v>1.3321798124999999</v>
      </c>
      <c r="BC117" s="56" t="e">
        <f t="shared" si="82"/>
        <v>#DIV/0!</v>
      </c>
      <c r="BD117" s="57" t="e">
        <f t="shared" si="83"/>
        <v>#DIV/0!</v>
      </c>
      <c r="BE117" s="57">
        <f t="shared" si="84"/>
        <v>4.6266355240974472E-2</v>
      </c>
      <c r="BF117" s="58"/>
      <c r="BH117" s="74"/>
      <c r="BI117" s="75"/>
      <c r="BJ117" s="75"/>
      <c r="BK117" s="75"/>
      <c r="BL117" s="75"/>
      <c r="BM117" s="87"/>
      <c r="BO117" s="74"/>
      <c r="BP117" s="75"/>
      <c r="BQ117" s="75"/>
      <c r="BR117" s="75"/>
      <c r="BS117" s="75"/>
      <c r="BT117" s="87"/>
      <c r="BV117" s="74"/>
      <c r="BW117" s="75"/>
      <c r="BX117" s="75"/>
      <c r="BY117" s="75"/>
      <c r="BZ117" s="75"/>
      <c r="CA117" s="87"/>
      <c r="CC117" s="74"/>
      <c r="CD117" s="75"/>
      <c r="CE117" s="75"/>
      <c r="CF117" s="75"/>
      <c r="CG117" s="75"/>
      <c r="CH117" s="87"/>
      <c r="CJ117" s="74"/>
      <c r="CK117" s="75"/>
      <c r="CL117" s="75"/>
      <c r="CM117" s="75"/>
      <c r="CN117" s="75"/>
      <c r="CO117" s="87"/>
      <c r="CQ117" s="74"/>
      <c r="CR117" s="75"/>
      <c r="CS117" s="75"/>
      <c r="CT117" s="75"/>
      <c r="CU117" s="75"/>
      <c r="CV117" s="87"/>
    </row>
    <row r="118" spans="1:100" s="1" customFormat="1" ht="14.25" outlineLevel="1" thickBot="1">
      <c r="A118" s="13"/>
      <c r="B118" s="18" t="s">
        <v>872</v>
      </c>
      <c r="C118" s="22" t="s">
        <v>136</v>
      </c>
      <c r="D118" s="468">
        <v>186907991</v>
      </c>
      <c r="E118" s="22">
        <v>11</v>
      </c>
      <c r="F118" s="188">
        <v>64</v>
      </c>
      <c r="G118" s="23">
        <v>30</v>
      </c>
      <c r="I118" s="38">
        <f t="shared" si="72"/>
        <v>456.07258875000002</v>
      </c>
      <c r="J118" s="39">
        <f t="shared" si="73"/>
        <v>5.2055284035448226</v>
      </c>
      <c r="K118" s="39">
        <f t="shared" si="74"/>
        <v>0.79954552611931928</v>
      </c>
      <c r="L118" s="35">
        <f t="shared" si="88"/>
        <v>4.4057861603145687</v>
      </c>
      <c r="M118" s="52"/>
      <c r="N118" s="39">
        <f t="shared" si="76"/>
        <v>6.6643209816867399</v>
      </c>
      <c r="O118" s="368">
        <v>145994597</v>
      </c>
      <c r="P118" s="369">
        <v>972954856</v>
      </c>
      <c r="Q118" s="369">
        <v>149441448</v>
      </c>
      <c r="R118" s="209">
        <v>823476640</v>
      </c>
      <c r="S118" s="88"/>
      <c r="T118" s="370">
        <v>75.728035000000006</v>
      </c>
      <c r="U118" s="370">
        <v>71.087646000000007</v>
      </c>
      <c r="V118" s="370">
        <v>44.242733000000001</v>
      </c>
      <c r="W118" s="370">
        <v>49.853405000000002</v>
      </c>
      <c r="X118" s="370">
        <v>51.895313000000002</v>
      </c>
      <c r="Y118" s="88"/>
      <c r="Z118" s="371">
        <v>620.53000000000031</v>
      </c>
      <c r="AA118" s="371">
        <v>273.20300000000003</v>
      </c>
      <c r="AB118" s="40">
        <v>0</v>
      </c>
      <c r="AC118" s="40">
        <v>0</v>
      </c>
      <c r="AD118" s="41"/>
      <c r="AF118" s="38">
        <f t="shared" si="77"/>
        <v>427.22435250000001</v>
      </c>
      <c r="AG118" s="39">
        <f t="shared" si="78"/>
        <v>4.876259956162067</v>
      </c>
      <c r="AH118" s="39">
        <f t="shared" si="79"/>
        <v>0.79954552611931928</v>
      </c>
      <c r="AI118" s="35">
        <f t="shared" si="85"/>
        <v>4.076517712931814</v>
      </c>
      <c r="AJ118" s="52"/>
      <c r="AK118" s="39">
        <f t="shared" si="81"/>
        <v>6.2427786420068685</v>
      </c>
      <c r="AL118" s="368">
        <v>145994597</v>
      </c>
      <c r="AM118" s="369">
        <v>911411952</v>
      </c>
      <c r="AN118" s="369">
        <v>149441448</v>
      </c>
      <c r="AO118" s="209">
        <v>761933736</v>
      </c>
      <c r="AP118" s="88"/>
      <c r="AQ118" s="370">
        <v>75.728035000000006</v>
      </c>
      <c r="AR118" s="370">
        <v>71.087646000000007</v>
      </c>
      <c r="AS118" s="370">
        <v>44.237620999999997</v>
      </c>
      <c r="AT118" s="370">
        <v>49.788131999999997</v>
      </c>
      <c r="AU118" s="370">
        <v>51.925857999999998</v>
      </c>
      <c r="AV118" s="88"/>
      <c r="AW118" s="371">
        <v>755.2700000000001</v>
      </c>
      <c r="AX118" s="371">
        <v>399.14100000000008</v>
      </c>
      <c r="AY118" s="40">
        <v>0</v>
      </c>
      <c r="AZ118" s="40">
        <v>0</v>
      </c>
      <c r="BA118" s="41">
        <v>0.97856920312499995</v>
      </c>
      <c r="BC118" s="62" t="e">
        <f t="shared" si="82"/>
        <v>#DIV/0!</v>
      </c>
      <c r="BD118" s="63" t="e">
        <f t="shared" si="83"/>
        <v>#DIV/0!</v>
      </c>
      <c r="BE118" s="63">
        <f t="shared" si="84"/>
        <v>1.0371501697680058E-2</v>
      </c>
      <c r="BF118" s="64"/>
      <c r="BH118" s="80"/>
      <c r="BI118" s="81"/>
      <c r="BJ118" s="81"/>
      <c r="BK118" s="81"/>
      <c r="BL118" s="81"/>
      <c r="BM118" s="88"/>
      <c r="BO118" s="80"/>
      <c r="BP118" s="78"/>
      <c r="BQ118" s="78"/>
      <c r="BR118" s="78"/>
      <c r="BS118" s="78"/>
      <c r="BT118" s="88"/>
      <c r="BV118" s="77"/>
      <c r="BW118" s="78"/>
      <c r="BX118" s="78"/>
      <c r="BY118" s="78"/>
      <c r="BZ118" s="78"/>
      <c r="CA118" s="88"/>
      <c r="CC118" s="77"/>
      <c r="CD118" s="78"/>
      <c r="CE118" s="78"/>
      <c r="CF118" s="78"/>
      <c r="CG118" s="78"/>
      <c r="CH118" s="88"/>
      <c r="CJ118" s="77"/>
      <c r="CK118" s="78"/>
      <c r="CL118" s="78"/>
      <c r="CM118" s="78"/>
      <c r="CN118" s="78"/>
      <c r="CO118" s="88"/>
      <c r="CQ118" s="77"/>
      <c r="CR118" s="78"/>
      <c r="CS118" s="78"/>
      <c r="CT118" s="78"/>
      <c r="CU118" s="78"/>
      <c r="CV118" s="88"/>
    </row>
    <row r="119" spans="1:100" s="1" customFormat="1">
      <c r="A119" s="13"/>
      <c r="B119" s="27" t="s">
        <v>879</v>
      </c>
      <c r="C119" s="28" t="s">
        <v>131</v>
      </c>
      <c r="D119" s="466">
        <v>166028718</v>
      </c>
      <c r="E119" s="28">
        <v>11</v>
      </c>
      <c r="F119" s="28">
        <v>64</v>
      </c>
      <c r="G119" s="29">
        <v>30</v>
      </c>
      <c r="I119" s="46">
        <f t="shared" si="72"/>
        <v>0.68378249999999996</v>
      </c>
      <c r="J119" s="47">
        <f t="shared" si="73"/>
        <v>8.7860462790539644E-3</v>
      </c>
      <c r="K119" s="47">
        <f t="shared" si="74"/>
        <v>6.0493630987381352E-3</v>
      </c>
      <c r="L119" s="43">
        <f t="shared" si="88"/>
        <v>2.5296828467952152E-3</v>
      </c>
      <c r="M119" s="55"/>
      <c r="N119" s="47">
        <f t="shared" si="76"/>
        <v>1.9699444696527733</v>
      </c>
      <c r="O119" s="352">
        <v>740496</v>
      </c>
      <c r="P119" s="353">
        <v>1458736</v>
      </c>
      <c r="Q119" s="353">
        <v>1004368</v>
      </c>
      <c r="R119" s="353">
        <v>420000</v>
      </c>
      <c r="S119" s="87"/>
      <c r="T119" s="354">
        <v>52.897987000000001</v>
      </c>
      <c r="U119" s="354">
        <v>48.160580000000003</v>
      </c>
      <c r="V119" s="354">
        <v>22.475415999999999</v>
      </c>
      <c r="W119" s="354">
        <v>34.897590999999998</v>
      </c>
      <c r="X119" s="354">
        <v>34.749789999999997</v>
      </c>
      <c r="Y119" s="87"/>
      <c r="Z119" s="355">
        <v>76.966000000000037</v>
      </c>
      <c r="AA119" s="355">
        <v>1.0790000000000002</v>
      </c>
      <c r="AB119" s="48">
        <v>0</v>
      </c>
      <c r="AC119" s="48">
        <v>0</v>
      </c>
      <c r="AD119" s="49"/>
      <c r="AF119" s="46">
        <f t="shared" si="77"/>
        <v>0.64000124999999997</v>
      </c>
      <c r="AG119" s="47">
        <f t="shared" si="78"/>
        <v>8.2234929983618851E-3</v>
      </c>
      <c r="AH119" s="47">
        <f t="shared" si="79"/>
        <v>6.0493630987381352E-3</v>
      </c>
      <c r="AI119" s="43">
        <f t="shared" si="85"/>
        <v>1.9671295661031363E-3</v>
      </c>
      <c r="AJ119" s="55"/>
      <c r="AK119" s="47">
        <f t="shared" si="81"/>
        <v>1.8438127957477151</v>
      </c>
      <c r="AL119" s="352">
        <v>740496</v>
      </c>
      <c r="AM119" s="353">
        <v>1365336</v>
      </c>
      <c r="AN119" s="353">
        <v>1004368</v>
      </c>
      <c r="AO119" s="353">
        <v>326600</v>
      </c>
      <c r="AP119" s="87"/>
      <c r="AQ119" s="354">
        <v>52.897987000000001</v>
      </c>
      <c r="AR119" s="354">
        <v>48.160580000000003</v>
      </c>
      <c r="AS119" s="354">
        <v>22.754019</v>
      </c>
      <c r="AT119" s="354">
        <v>34.897590999999998</v>
      </c>
      <c r="AU119" s="354">
        <v>34.749789999999997</v>
      </c>
      <c r="AV119" s="87"/>
      <c r="AW119" s="355">
        <v>71.545999999999978</v>
      </c>
      <c r="AX119" s="355">
        <v>1.4419999999999997</v>
      </c>
      <c r="AY119" s="48">
        <v>0</v>
      </c>
      <c r="AZ119" s="48">
        <v>0</v>
      </c>
      <c r="BA119" s="49">
        <v>192</v>
      </c>
      <c r="BC119" s="68" t="e">
        <f t="shared" si="82"/>
        <v>#DIV/0!</v>
      </c>
      <c r="BD119" s="69" t="e">
        <f t="shared" si="83"/>
        <v>#DIV/0!</v>
      </c>
      <c r="BE119" s="69">
        <f t="shared" si="84"/>
        <v>4.7100281314187753E-2</v>
      </c>
      <c r="BF119" s="70">
        <f t="array" ref="BF119">AVERAGE(AN119:AN124/AM119:AM124) - AVERAGE(Q119:Q124/P119:P124)</f>
        <v>5.6355525666416106E-2</v>
      </c>
      <c r="BH119" s="224">
        <f>IF( OR(ISBLANK($Q119:$Q124),ISBLANK($AN119:$AN124), ISBLANK($T119:$T124),ISBLANK($AQ119:$AQ124)), "·", bdRateHermite( $Q119:$Q124,$T119:$T124, $AN119:$AN124,$AQ119:$AQ124))</f>
        <v>0</v>
      </c>
      <c r="BI119" s="225">
        <f>IF(OR(ISBLANK(Q119:Q124),ISBLANK(AN119:AN124),ISBLANK(U119:U124),ISBLANK(AR119:AR124)),"·",bdRateHermite(Q119:Q124,U119:U124,AN119:AN124,AR119:AR124))</f>
        <v>0</v>
      </c>
      <c r="BJ119" s="225">
        <f>IF(OR(ISBLANK($R119:$R124),ISBLANK($AO119:$AO124),ISBLANK(V119:V124),ISBLANK(AS119:AS124)),"·",bdRateHermite($R119:$R124,V119:V124,$AO119:$AO124,AS119:AS124))</f>
        <v>-0.27121125678071822</v>
      </c>
      <c r="BK119" s="225">
        <f>IF(OR(ISBLANK($R119:$R124),ISBLANK($AO119:$AO124),ISBLANK(W119:W124),ISBLANK(AT119:AT124)),"·",bdRateHermite($R119:$R124,W119:W124,$AO119:$AO124,AT119:AT124))</f>
        <v>-0.36728741911732465</v>
      </c>
      <c r="BL119" s="225">
        <f>IF(OR(ISBLANK($R119:$R124),ISBLANK($AO119:$AO124),ISBLANK(X119:X124),ISBLANK(AU119:AU124)),"·",bdRateHermite($R119:$R124,X119:X124,$AO119:$AO124,AU119:AU124))</f>
        <v>-0.46008970416673955</v>
      </c>
      <c r="BM119" s="92"/>
      <c r="BO119" s="224">
        <f>IF( OR(ISBLANK($P119:$P124),ISBLANK($AM119:$AM124), ISBLANK($T119:$T124),ISBLANK($AQ119:$AQ124)), "·", bdRateHermite($P119:$P124,$T119:$T124, $AM119:$AM124,$AQ119:$AQ124))</f>
        <v>-0.13818259254615517</v>
      </c>
      <c r="BP119" s="84">
        <f>IF( OR(ISBLANK($P119:$P124),ISBLANK($AM119:$AM124), ISBLANK(U119:U124),ISBLANK(AR119:AR124)), "·", bdRateHermite( $P119:$P124,U119:U124, $AM119:$AM124,AR119:AR124))</f>
        <v>-0.1375686456660119</v>
      </c>
      <c r="BQ119" s="84">
        <f>IF( OR(ISBLANK($P119:$P124),ISBLANK($AM119:$AM124), ISBLANK(V119:V124),ISBLANK(AS119:AS124)), "·", bdRateHermite( $P119:$P124,V119:V124, $AM119:$AM124,AS119:AS124))</f>
        <v>-0.15558253534625877</v>
      </c>
      <c r="BR119" s="84">
        <f>IF( OR(ISBLANK($P119:$P124),ISBLANK($AM119:$AM124), ISBLANK(W119:W124),ISBLANK(AT119:AT124)), "·", bdRateHermite( $P119:$P124,W119:W124, $AM119:$AM124,AT119:AT124))</f>
        <v>-0.26463889818751729</v>
      </c>
      <c r="BS119" s="84">
        <f>IF( OR(ISBLANK($P119:$P124),ISBLANK($AM119:$AM124), ISBLANK(X119:X124),ISBLANK(AU119:AU124)), "·", bdRateHermite( $P119:$P124,X119:X124, $AM119:$AM124,AU119:AU124))</f>
        <v>-0.3514968168798065</v>
      </c>
      <c r="BT119" s="90"/>
      <c r="BV119" s="83">
        <f>IF( OR(ISBLANK($Q119:$Q123),ISBLANK($AN119:$AN123), ISBLANK($T119:$T123),ISBLANK($AQ119:$AQ123)), "·", bdRateHermite( $Q120:$Q124,$T120:$T124, $AN120:$AN124,$AQ120:$AQ124))</f>
        <v>0</v>
      </c>
      <c r="BW119" s="84">
        <f>IF(OR(ISBLANK($Q119:$Q124),ISBLANK($AN119:$AN124),ISBLANK(U119:U124),ISBLANK(AR119:AR124)),"·",bdRateHermite($Q120:$Q124,U120:U124,$AN120:$AN124,AR120:AR124))</f>
        <v>0</v>
      </c>
      <c r="BX119" s="225">
        <f>IF(OR(ISBLANK($R119:$R124),ISBLANK($AO119:$AO124),ISBLANK($V119:$V124),ISBLANK($AS119:$AS124)),"·",bdRateHermite($R120:$R124,$V120:$V124,$AO120:$AO124,$AS120:$AS124))</f>
        <v>-0.2683712370335446</v>
      </c>
      <c r="BY119" s="225">
        <f>IF(OR(ISBLANK($R119:$R124),ISBLANK($AO119:$AO124),ISBLANK($W119:$W124),ISBLANK($AT119:$AT124)),"·",bdRateHermite($R120:$R124,$W120:$W124,$AO120:$AO124,$AT120:$AT124))</f>
        <v>-0.3294537670681732</v>
      </c>
      <c r="BZ119" s="225">
        <f>IF(OR(ISBLANK($R119:$R124),ISBLANK($AO119:$AO124),ISBLANK($X119:$X124),ISBLANK($AU119:$AU124)),"·",bdRateHermite($R120:$R124,$X120:$X124,$AO120:$AO124,$AU120:$AU124))</f>
        <v>-0.38134894094691185</v>
      </c>
      <c r="CA119" s="92"/>
      <c r="CC119" s="83">
        <f>IF( OR(ISBLANK($P119:$P124),ISBLANK($AM119:$AM124), ISBLANK($T119:$T124),ISBLANK($AQ119:$AQ124)), "·", bdRateHermite($P120:$P124,$T120:$T124, $AM120:$AM124,$AQ120:$AQ124))</f>
        <v>-0.15828595960734193</v>
      </c>
      <c r="CD119" s="84">
        <f>IF( OR(ISBLANK($P119:$P124),ISBLANK($AM119:$AM124), ISBLANK(U119:U124),ISBLANK(AR119:AR124)), "·", bdRateHermite( $P120:$P124,U120:U124, $AM120:$AM124,AR120:AR124))</f>
        <v>-0.15774411520808862</v>
      </c>
      <c r="CE119" s="84">
        <f>IF( OR(ISBLANK($P119:$P124),ISBLANK($AM119:$AM124), ISBLANK(V119:V124),ISBLANK(AS119:AS124)), "·", bdRateHermite( $P120:$P124,V120:V124, $AM120:$AM124,AS120:AS124))</f>
        <v>-0.16306200272769045</v>
      </c>
      <c r="CF119" s="84">
        <f>IF( OR(ISBLANK($P119:$P124),ISBLANK($AM119:$AM124), ISBLANK(W119:W124),ISBLANK(AT119:AT124)), "·", bdRateHermite( $P120:$P124,W120:W124, $AM120:$AM124,AT120:AT124))</f>
        <v>-0.22947130162474294</v>
      </c>
      <c r="CG119" s="84">
        <f>IF( OR(ISBLANK($P119:$P124),ISBLANK($AM119:$AM124), ISBLANK(X119:X124),ISBLANK(AU119:AU124)), "·", bdRateHermite( $P120:$P124,X120:X124, $AM120:$AM124,AU120:AU124))</f>
        <v>-0.2769209577963061</v>
      </c>
      <c r="CH119" s="92"/>
      <c r="CJ119" s="83">
        <f>IF( OR(ISBLANK($Q119:$Q123),ISBLANK($AN119:$AN123), ISBLANK($T119:$T123),ISBLANK($AQ119:$AQ123)), "·", bdRateHermite( $Q119:$Q123,$T119:$T123, $AN119:$AN123,$AQ119:$AQ123))</f>
        <v>0</v>
      </c>
      <c r="CK119" s="84">
        <f>IF(OR(ISBLANK($Q119:$Q123),ISBLANK($AN119:$AN123),ISBLANK(U119:U123),ISBLANK(AR119:AR123)),"·",bdRateHermite($Q119:$Q123,U119:U123,$AN119:$AN123,AR119:AR123))</f>
        <v>0</v>
      </c>
      <c r="CL119" s="225">
        <f>IF(OR(ISBLANK($R119:$R124),ISBLANK($AO119:$AO124),ISBLANK($V119:$V124),ISBLANK($AS119:$AS124)),"·",bdRateHermite($R119:$R123,$V119:$V123,$AO119:$AO123,$AS119:$AS123))</f>
        <v>-0.29102416491053418</v>
      </c>
      <c r="CM119" s="225">
        <f>IF(OR(ISBLANK($R119:$R124),ISBLANK($AO119:$AO124),ISBLANK($W119:$W124),ISBLANK($AT119:$AT124)),"·",bdRateHermite($R119:$R123,$W119:$W123,$AO119:$AO123,$AT119:$AT123))</f>
        <v>-0.40993535506214795</v>
      </c>
      <c r="CN119" s="225">
        <f>IF(OR(ISBLANK($R119:$R124),ISBLANK($AO119:$AO124),ISBLANK($X119:$X124),ISBLANK($AU119:$AU124)),"·",bdRateHermite($R119:$R123,$X119:$X123,$AO119:$AO123,$AU119:$AU123))</f>
        <v>-0.49247536434909955</v>
      </c>
      <c r="CO119" s="92"/>
      <c r="CQ119" s="83">
        <f>IF( OR(ISBLANK($P119:$P123),ISBLANK($AM119:$AM123), ISBLANK($T119:$T123),ISBLANK($AQ119:$AQ123)), "·", bdRateHermite($P119:$P123,$T119:$T123, $AM119:$AM123,$AQ119:$AQ123))</f>
        <v>-0.13759592138776866</v>
      </c>
      <c r="CR119" s="84">
        <f>IF( OR(ISBLANK($P119:$P123),ISBLANK($AM119:$AM123), ISBLANK(U119:U123),ISBLANK(AR119:AR123)), "·", bdRateHermite( $P119:$P123,U119:U123, $AM119:$AM123,AR119:AR123))</f>
        <v>-0.13708790398052151</v>
      </c>
      <c r="CS119" s="84">
        <f>IF( OR(ISBLANK($P119:$P123),ISBLANK($AM119:$AM123), ISBLANK(V119:V123),ISBLANK(AS119:AS123)), "·", bdRateHermite( $P119:$P123,V119:V123, $AM119:$AM123,AS119:AS123))</f>
        <v>-0.16053556870535424</v>
      </c>
      <c r="CT119" s="84">
        <f>IF( OR(ISBLANK($P119:$P123),ISBLANK($AM119:$AM123), ISBLANK(W119:W123),ISBLANK(AT119:AT123)), "·", bdRateHermite( $P119:$P123,W119:W123, $AM119:$AM123,AT119:AT123))</f>
        <v>-0.2920362944391095</v>
      </c>
      <c r="CU119" s="84">
        <f>IF( OR(ISBLANK($P119:$P123),ISBLANK($AM119:$AM123), ISBLANK(X119:X123),ISBLANK(AU119:AU123)), "·", bdRateHermite( $P119:$P123,X119:X123, $AM119:$AM123,AU119:AU123))</f>
        <v>-0.37234988360933152</v>
      </c>
      <c r="CV119" s="92"/>
    </row>
    <row r="120" spans="1:100" s="1" customFormat="1" outlineLevel="1">
      <c r="A120" s="13"/>
      <c r="B120" s="14" t="s">
        <v>874</v>
      </c>
      <c r="C120" s="15" t="s">
        <v>132</v>
      </c>
      <c r="D120" s="465">
        <v>166028718</v>
      </c>
      <c r="E120" s="15">
        <v>11</v>
      </c>
      <c r="F120" s="25">
        <v>64</v>
      </c>
      <c r="G120" s="16">
        <v>30</v>
      </c>
      <c r="I120" s="30">
        <f t="shared" si="72"/>
        <v>2.93379375</v>
      </c>
      <c r="J120" s="31">
        <f t="shared" si="73"/>
        <v>3.7696851938590528E-2</v>
      </c>
      <c r="K120" s="31">
        <f t="shared" si="74"/>
        <v>2.1921894259281097E-2</v>
      </c>
      <c r="L120" s="31">
        <f t="shared" si="88"/>
        <v>1.5562175213567571E-2</v>
      </c>
      <c r="M120" s="51"/>
      <c r="N120" s="31">
        <f t="shared" si="76"/>
        <v>2.1151869759777329</v>
      </c>
      <c r="O120" s="356">
        <v>2958963</v>
      </c>
      <c r="P120" s="357">
        <v>6258760</v>
      </c>
      <c r="Q120" s="357">
        <v>3639664</v>
      </c>
      <c r="R120" s="357">
        <v>2583768</v>
      </c>
      <c r="S120" s="87"/>
      <c r="T120" s="358">
        <v>58.818508000000001</v>
      </c>
      <c r="U120" s="358">
        <v>54.181156000000001</v>
      </c>
      <c r="V120" s="358">
        <v>27.465498</v>
      </c>
      <c r="W120" s="358">
        <v>34.980193999999997</v>
      </c>
      <c r="X120" s="358">
        <v>35.124423999999998</v>
      </c>
      <c r="Y120" s="87"/>
      <c r="Z120" s="359">
        <v>89.343000000000018</v>
      </c>
      <c r="AA120" s="359">
        <v>4.1909999999999998</v>
      </c>
      <c r="AB120" s="32">
        <v>0</v>
      </c>
      <c r="AC120" s="32">
        <v>0</v>
      </c>
      <c r="AD120" s="33"/>
      <c r="AF120" s="30">
        <f t="shared" si="77"/>
        <v>2.6350087499999999</v>
      </c>
      <c r="AG120" s="31">
        <f t="shared" si="78"/>
        <v>3.3857708881423754E-2</v>
      </c>
      <c r="AH120" s="31">
        <f t="shared" si="79"/>
        <v>2.1921894259281097E-2</v>
      </c>
      <c r="AI120" s="31">
        <f t="shared" si="85"/>
        <v>1.1723032156400798E-2</v>
      </c>
      <c r="AJ120" s="51"/>
      <c r="AK120" s="31">
        <f t="shared" si="81"/>
        <v>1.8997709670583918</v>
      </c>
      <c r="AL120" s="356">
        <v>2958963</v>
      </c>
      <c r="AM120" s="357">
        <v>5621352</v>
      </c>
      <c r="AN120" s="357">
        <v>3639664</v>
      </c>
      <c r="AO120" s="357">
        <v>1946360</v>
      </c>
      <c r="AP120" s="87"/>
      <c r="AQ120" s="358">
        <v>58.818508000000001</v>
      </c>
      <c r="AR120" s="358">
        <v>54.181156000000001</v>
      </c>
      <c r="AS120" s="358">
        <v>27.598793000000001</v>
      </c>
      <c r="AT120" s="358">
        <v>35.526173</v>
      </c>
      <c r="AU120" s="358">
        <v>36.545200000000001</v>
      </c>
      <c r="AV120" s="87"/>
      <c r="AW120" s="359">
        <v>85.507999999999981</v>
      </c>
      <c r="AX120" s="359">
        <v>5.8590000000000009</v>
      </c>
      <c r="AY120" s="32">
        <v>0</v>
      </c>
      <c r="AZ120" s="32">
        <v>0</v>
      </c>
      <c r="BA120" s="33">
        <v>48</v>
      </c>
      <c r="BC120" s="56" t="e">
        <f t="shared" si="82"/>
        <v>#DIV/0!</v>
      </c>
      <c r="BD120" s="57" t="e">
        <f t="shared" si="83"/>
        <v>#DIV/0!</v>
      </c>
      <c r="BE120" s="57">
        <f t="shared" si="84"/>
        <v>6.5940118570294914E-2</v>
      </c>
      <c r="BF120" s="58"/>
      <c r="BH120" s="74"/>
      <c r="BI120" s="75"/>
      <c r="BJ120" s="75"/>
      <c r="BK120" s="75"/>
      <c r="BL120" s="75"/>
      <c r="BM120" s="87"/>
      <c r="BO120" s="74"/>
      <c r="BP120" s="75"/>
      <c r="BQ120" s="75"/>
      <c r="BR120" s="75"/>
      <c r="BS120" s="75"/>
      <c r="BT120" s="87"/>
      <c r="BV120" s="74"/>
      <c r="BW120" s="75"/>
      <c r="BX120" s="75"/>
      <c r="BY120" s="75"/>
      <c r="BZ120" s="75"/>
      <c r="CA120" s="87"/>
      <c r="CC120" s="74"/>
      <c r="CD120" s="75"/>
      <c r="CE120" s="75"/>
      <c r="CF120" s="75"/>
      <c r="CG120" s="75"/>
      <c r="CH120" s="87"/>
      <c r="CJ120" s="74"/>
      <c r="CK120" s="75"/>
      <c r="CL120" s="75"/>
      <c r="CM120" s="75"/>
      <c r="CN120" s="75"/>
      <c r="CO120" s="87"/>
      <c r="CQ120" s="74"/>
      <c r="CR120" s="75"/>
      <c r="CS120" s="75"/>
      <c r="CT120" s="75"/>
      <c r="CU120" s="75"/>
      <c r="CV120" s="87"/>
    </row>
    <row r="121" spans="1:100" s="1" customFormat="1" outlineLevel="1">
      <c r="A121" s="13"/>
      <c r="B121" s="14" t="s">
        <v>874</v>
      </c>
      <c r="C121" s="15" t="s">
        <v>133</v>
      </c>
      <c r="D121" s="465">
        <v>166028718</v>
      </c>
      <c r="E121" s="15">
        <v>11</v>
      </c>
      <c r="F121" s="25">
        <v>64</v>
      </c>
      <c r="G121" s="16">
        <v>30</v>
      </c>
      <c r="I121" s="30">
        <f t="shared" si="72"/>
        <v>13.312871250000001</v>
      </c>
      <c r="J121" s="31">
        <f t="shared" si="73"/>
        <v>0.17105951513761614</v>
      </c>
      <c r="K121" s="31">
        <f t="shared" si="74"/>
        <v>7.9354753555345769E-2</v>
      </c>
      <c r="L121" s="31">
        <f t="shared" si="88"/>
        <v>9.1488895312677176E-2</v>
      </c>
      <c r="M121" s="51"/>
      <c r="N121" s="31">
        <f t="shared" si="76"/>
        <v>2.4368606422287251</v>
      </c>
      <c r="O121" s="356">
        <v>11654664</v>
      </c>
      <c r="P121" s="357">
        <v>28400792</v>
      </c>
      <c r="Q121" s="357">
        <v>13175168</v>
      </c>
      <c r="R121" s="357">
        <v>15189784</v>
      </c>
      <c r="S121" s="87"/>
      <c r="T121" s="358">
        <v>64.460883999999993</v>
      </c>
      <c r="U121" s="358">
        <v>60.201720999999999</v>
      </c>
      <c r="V121" s="358">
        <v>32.783340000000003</v>
      </c>
      <c r="W121" s="358">
        <v>38.637951000000001</v>
      </c>
      <c r="X121" s="358">
        <v>41.121448999999998</v>
      </c>
      <c r="Y121" s="87"/>
      <c r="Z121" s="359">
        <v>137.60299999999995</v>
      </c>
      <c r="AA121" s="359">
        <v>17.566000000000006</v>
      </c>
      <c r="AB121" s="32">
        <v>0</v>
      </c>
      <c r="AC121" s="32">
        <v>0</v>
      </c>
      <c r="AD121" s="33"/>
      <c r="AF121" s="30">
        <f t="shared" si="77"/>
        <v>11.173635000000001</v>
      </c>
      <c r="AG121" s="31">
        <f t="shared" si="78"/>
        <v>0.14357207769320968</v>
      </c>
      <c r="AH121" s="31">
        <f t="shared" si="79"/>
        <v>7.9354753555345769E-2</v>
      </c>
      <c r="AI121" s="31">
        <f t="shared" si="85"/>
        <v>6.4001457868270717E-2</v>
      </c>
      <c r="AJ121" s="51"/>
      <c r="AK121" s="31">
        <f t="shared" si="81"/>
        <v>2.0452831587422855</v>
      </c>
      <c r="AL121" s="356">
        <v>11654664</v>
      </c>
      <c r="AM121" s="357">
        <v>23837088</v>
      </c>
      <c r="AN121" s="357">
        <v>13175168</v>
      </c>
      <c r="AO121" s="357">
        <v>10626080</v>
      </c>
      <c r="AP121" s="87"/>
      <c r="AQ121" s="358">
        <v>64.460883999999993</v>
      </c>
      <c r="AR121" s="358">
        <v>60.201720999999999</v>
      </c>
      <c r="AS121" s="358">
        <v>32.849426000000001</v>
      </c>
      <c r="AT121" s="358">
        <v>38.964385999999998</v>
      </c>
      <c r="AU121" s="358">
        <v>41.038704000000003</v>
      </c>
      <c r="AV121" s="87"/>
      <c r="AW121" s="359">
        <v>137.38900000000001</v>
      </c>
      <c r="AX121" s="359">
        <v>24.076999999999995</v>
      </c>
      <c r="AY121" s="32">
        <v>0</v>
      </c>
      <c r="AZ121" s="32">
        <v>0</v>
      </c>
      <c r="BA121" s="33">
        <v>12</v>
      </c>
      <c r="BC121" s="56" t="e">
        <f t="shared" si="82"/>
        <v>#DIV/0!</v>
      </c>
      <c r="BD121" s="57" t="e">
        <f t="shared" si="83"/>
        <v>#DIV/0!</v>
      </c>
      <c r="BE121" s="57">
        <f t="shared" si="84"/>
        <v>8.8815748306688758E-2</v>
      </c>
      <c r="BF121" s="58"/>
      <c r="BH121" s="74"/>
      <c r="BI121" s="75"/>
      <c r="BJ121" s="75"/>
      <c r="BK121" s="75"/>
      <c r="BL121" s="75"/>
      <c r="BM121" s="87"/>
      <c r="BO121" s="74"/>
      <c r="BP121" s="75"/>
      <c r="BQ121" s="75"/>
      <c r="BR121" s="75"/>
      <c r="BS121" s="75"/>
      <c r="BT121" s="87"/>
      <c r="BV121" s="74"/>
      <c r="BW121" s="75"/>
      <c r="BX121" s="75"/>
      <c r="BY121" s="75"/>
      <c r="BZ121" s="75"/>
      <c r="CA121" s="87"/>
      <c r="CC121" s="74"/>
      <c r="CD121" s="75"/>
      <c r="CE121" s="75"/>
      <c r="CF121" s="75"/>
      <c r="CG121" s="75"/>
      <c r="CH121" s="87"/>
      <c r="CJ121" s="74"/>
      <c r="CK121" s="75"/>
      <c r="CL121" s="75"/>
      <c r="CM121" s="75"/>
      <c r="CN121" s="75"/>
      <c r="CO121" s="87"/>
      <c r="CQ121" s="74"/>
      <c r="CR121" s="75"/>
      <c r="CS121" s="75"/>
      <c r="CT121" s="75"/>
      <c r="CU121" s="75"/>
      <c r="CV121" s="87"/>
    </row>
    <row r="122" spans="1:100" s="1" customFormat="1" outlineLevel="1">
      <c r="A122" s="13"/>
      <c r="B122" s="14" t="s">
        <v>874</v>
      </c>
      <c r="C122" s="15" t="s">
        <v>134</v>
      </c>
      <c r="D122" s="465">
        <v>166028718</v>
      </c>
      <c r="E122" s="15">
        <v>11</v>
      </c>
      <c r="F122" s="25">
        <v>64</v>
      </c>
      <c r="G122" s="16">
        <v>30</v>
      </c>
      <c r="I122" s="30">
        <f t="shared" si="72"/>
        <v>62.1975525</v>
      </c>
      <c r="J122" s="31">
        <f t="shared" si="73"/>
        <v>0.79918771642867226</v>
      </c>
      <c r="K122" s="31">
        <f t="shared" si="74"/>
        <v>0.28526929901368026</v>
      </c>
      <c r="L122" s="31">
        <f t="shared" si="88"/>
        <v>0.51369956371041781</v>
      </c>
      <c r="M122" s="51"/>
      <c r="N122" s="31">
        <f t="shared" si="76"/>
        <v>2.9503330850932952</v>
      </c>
      <c r="O122" s="356">
        <v>44973943</v>
      </c>
      <c r="P122" s="357">
        <v>132688112</v>
      </c>
      <c r="Q122" s="357">
        <v>47362896</v>
      </c>
      <c r="R122" s="357">
        <v>85288880</v>
      </c>
      <c r="S122" s="87"/>
      <c r="T122" s="358">
        <v>69.232742000000002</v>
      </c>
      <c r="U122" s="358">
        <v>66.222389000000007</v>
      </c>
      <c r="V122" s="358">
        <v>37.932285</v>
      </c>
      <c r="W122" s="358">
        <v>43.889687000000002</v>
      </c>
      <c r="X122" s="358">
        <v>45.099339000000001</v>
      </c>
      <c r="Y122" s="87"/>
      <c r="Z122" s="359">
        <v>236.79200000000003</v>
      </c>
      <c r="AA122" s="359">
        <v>74.227999999999994</v>
      </c>
      <c r="AB122" s="32">
        <v>0</v>
      </c>
      <c r="AC122" s="32">
        <v>0</v>
      </c>
      <c r="AD122" s="33"/>
      <c r="AF122" s="30">
        <f t="shared" si="77"/>
        <v>51.1229175</v>
      </c>
      <c r="AG122" s="31">
        <f t="shared" si="78"/>
        <v>0.65688770782413675</v>
      </c>
      <c r="AH122" s="31">
        <f t="shared" si="79"/>
        <v>0.28526929901368026</v>
      </c>
      <c r="AI122" s="31">
        <f t="shared" si="85"/>
        <v>0.37139955510588235</v>
      </c>
      <c r="AJ122" s="51"/>
      <c r="AK122" s="31">
        <f t="shared" si="81"/>
        <v>2.4250091658629978</v>
      </c>
      <c r="AL122" s="356">
        <v>44973943</v>
      </c>
      <c r="AM122" s="357">
        <v>109062224</v>
      </c>
      <c r="AN122" s="357">
        <v>47362896</v>
      </c>
      <c r="AO122" s="357">
        <v>61662992</v>
      </c>
      <c r="AP122" s="87"/>
      <c r="AQ122" s="358">
        <v>69.232742000000002</v>
      </c>
      <c r="AR122" s="358">
        <v>66.222389000000007</v>
      </c>
      <c r="AS122" s="358">
        <v>37.942470999999998</v>
      </c>
      <c r="AT122" s="358">
        <v>44.091259000000001</v>
      </c>
      <c r="AU122" s="358">
        <v>45.943359000000001</v>
      </c>
      <c r="AV122" s="87"/>
      <c r="AW122" s="359">
        <v>271.56599999999997</v>
      </c>
      <c r="AX122" s="359">
        <v>100.283</v>
      </c>
      <c r="AY122" s="32">
        <v>0</v>
      </c>
      <c r="AZ122" s="32">
        <v>0</v>
      </c>
      <c r="BA122" s="33">
        <v>3</v>
      </c>
      <c r="BC122" s="56" t="e">
        <f t="shared" si="82"/>
        <v>#DIV/0!</v>
      </c>
      <c r="BD122" s="57" t="e">
        <f t="shared" si="83"/>
        <v>#DIV/0!</v>
      </c>
      <c r="BE122" s="57">
        <f t="shared" si="84"/>
        <v>7.7325017337235513E-2</v>
      </c>
      <c r="BF122" s="58"/>
      <c r="BH122" s="74"/>
      <c r="BI122" s="75"/>
      <c r="BJ122" s="75"/>
      <c r="BK122" s="75"/>
      <c r="BL122" s="75"/>
      <c r="BM122" s="87"/>
      <c r="BO122" s="74"/>
      <c r="BP122" s="75"/>
      <c r="BQ122" s="75"/>
      <c r="BR122" s="75"/>
      <c r="BS122" s="75"/>
      <c r="BT122" s="87"/>
      <c r="BV122" s="74"/>
      <c r="BW122" s="75"/>
      <c r="BX122" s="75"/>
      <c r="BY122" s="75"/>
      <c r="BZ122" s="75"/>
      <c r="CA122" s="87"/>
      <c r="CC122" s="74"/>
      <c r="CD122" s="75"/>
      <c r="CE122" s="75"/>
      <c r="CF122" s="75"/>
      <c r="CG122" s="75"/>
      <c r="CH122" s="87"/>
      <c r="CJ122" s="74"/>
      <c r="CK122" s="75"/>
      <c r="CL122" s="75"/>
      <c r="CM122" s="75"/>
      <c r="CN122" s="75"/>
      <c r="CO122" s="87"/>
      <c r="CQ122" s="74"/>
      <c r="CR122" s="75"/>
      <c r="CS122" s="75"/>
      <c r="CT122" s="75"/>
      <c r="CU122" s="75"/>
      <c r="CV122" s="87"/>
    </row>
    <row r="123" spans="1:100" s="1" customFormat="1" outlineLevel="1">
      <c r="A123" s="13"/>
      <c r="B123" s="14" t="s">
        <v>874</v>
      </c>
      <c r="C123" s="15" t="s">
        <v>135</v>
      </c>
      <c r="D123" s="465">
        <v>166028718</v>
      </c>
      <c r="E123" s="15">
        <v>11</v>
      </c>
      <c r="F123" s="25">
        <v>64</v>
      </c>
      <c r="G123" s="16">
        <v>30</v>
      </c>
      <c r="I123" s="30">
        <f t="shared" si="72"/>
        <v>207.64163249999999</v>
      </c>
      <c r="J123" s="31">
        <f t="shared" si="73"/>
        <v>2.668025275000919</v>
      </c>
      <c r="K123" s="31">
        <f t="shared" si="74"/>
        <v>0.63772061409279812</v>
      </c>
      <c r="L123" s="31">
        <f t="shared" si="88"/>
        <v>2.0300832534284821</v>
      </c>
      <c r="M123" s="51"/>
      <c r="N123" s="31">
        <f t="shared" si="76"/>
        <v>4.5532534880402746</v>
      </c>
      <c r="O123" s="356">
        <v>97286219</v>
      </c>
      <c r="P123" s="357">
        <v>442968816</v>
      </c>
      <c r="Q123" s="357">
        <v>105879936</v>
      </c>
      <c r="R123" s="357">
        <v>337052120</v>
      </c>
      <c r="S123" s="87"/>
      <c r="T123" s="358">
        <v>74.016227999999998</v>
      </c>
      <c r="U123" s="358">
        <v>69.748954999999995</v>
      </c>
      <c r="V123" s="358">
        <v>40.458812999999999</v>
      </c>
      <c r="W123" s="358">
        <v>46.786414999999998</v>
      </c>
      <c r="X123" s="358">
        <v>48.289158</v>
      </c>
      <c r="Y123" s="87"/>
      <c r="Z123" s="359">
        <v>440.98800000000017</v>
      </c>
      <c r="AA123" s="359">
        <v>183.63499999999993</v>
      </c>
      <c r="AB123" s="32">
        <v>0</v>
      </c>
      <c r="AC123" s="32">
        <v>0</v>
      </c>
      <c r="AD123" s="33"/>
      <c r="AF123" s="30">
        <f t="shared" si="77"/>
        <v>172.23620249999999</v>
      </c>
      <c r="AG123" s="31">
        <f t="shared" si="78"/>
        <v>2.2130944358674141</v>
      </c>
      <c r="AH123" s="31">
        <f t="shared" si="79"/>
        <v>0.63772061409279812</v>
      </c>
      <c r="AI123" s="31">
        <f t="shared" si="85"/>
        <v>1.5751524142949775</v>
      </c>
      <c r="AJ123" s="51"/>
      <c r="AK123" s="31">
        <f t="shared" si="81"/>
        <v>3.7768682530461999</v>
      </c>
      <c r="AL123" s="356">
        <v>97286219</v>
      </c>
      <c r="AM123" s="357">
        <v>367437232</v>
      </c>
      <c r="AN123" s="357">
        <v>105879936</v>
      </c>
      <c r="AO123" s="357">
        <v>261520536</v>
      </c>
      <c r="AP123" s="87"/>
      <c r="AQ123" s="358">
        <v>74.016227999999998</v>
      </c>
      <c r="AR123" s="358">
        <v>69.748954999999995</v>
      </c>
      <c r="AS123" s="358">
        <v>40.483761000000001</v>
      </c>
      <c r="AT123" s="358">
        <v>47.056465000000003</v>
      </c>
      <c r="AU123" s="358">
        <v>49.131664000000001</v>
      </c>
      <c r="AV123" s="87"/>
      <c r="AW123" s="359">
        <v>550.58300000000008</v>
      </c>
      <c r="AX123" s="359">
        <v>246.39099999999993</v>
      </c>
      <c r="AY123" s="32">
        <v>0</v>
      </c>
      <c r="AZ123" s="32">
        <v>0</v>
      </c>
      <c r="BA123" s="33">
        <v>1.331866499999999</v>
      </c>
      <c r="BC123" s="56" t="e">
        <f t="shared" si="82"/>
        <v>#DIV/0!</v>
      </c>
      <c r="BD123" s="57" t="e">
        <f t="shared" si="83"/>
        <v>#DIV/0!</v>
      </c>
      <c r="BE123" s="57">
        <f t="shared" si="84"/>
        <v>4.9134432906556946E-2</v>
      </c>
      <c r="BF123" s="58"/>
      <c r="BH123" s="74"/>
      <c r="BI123" s="75"/>
      <c r="BJ123" s="75"/>
      <c r="BK123" s="75"/>
      <c r="BL123" s="75"/>
      <c r="BM123" s="87"/>
      <c r="BO123" s="74"/>
      <c r="BP123" s="75"/>
      <c r="BQ123" s="75"/>
      <c r="BR123" s="75"/>
      <c r="BS123" s="75"/>
      <c r="BT123" s="87"/>
      <c r="BV123" s="74"/>
      <c r="BW123" s="75"/>
      <c r="BX123" s="75"/>
      <c r="BY123" s="75"/>
      <c r="BZ123" s="75"/>
      <c r="CA123" s="87"/>
      <c r="CC123" s="74"/>
      <c r="CD123" s="75"/>
      <c r="CE123" s="75"/>
      <c r="CF123" s="75"/>
      <c r="CG123" s="75"/>
      <c r="CH123" s="87"/>
      <c r="CJ123" s="74"/>
      <c r="CK123" s="75"/>
      <c r="CL123" s="75"/>
      <c r="CM123" s="75"/>
      <c r="CN123" s="75"/>
      <c r="CO123" s="87"/>
      <c r="CQ123" s="74"/>
      <c r="CR123" s="75"/>
      <c r="CS123" s="75"/>
      <c r="CT123" s="75"/>
      <c r="CU123" s="75"/>
      <c r="CV123" s="87"/>
    </row>
    <row r="124" spans="1:100" s="1" customFormat="1" ht="14.25" outlineLevel="1" thickBot="1">
      <c r="A124" s="13"/>
      <c r="B124" s="18" t="s">
        <v>874</v>
      </c>
      <c r="C124" s="19" t="s">
        <v>136</v>
      </c>
      <c r="D124" s="467">
        <v>166028718</v>
      </c>
      <c r="E124" s="19">
        <v>11</v>
      </c>
      <c r="F124" s="189">
        <v>64</v>
      </c>
      <c r="G124" s="20">
        <v>30</v>
      </c>
      <c r="I124" s="34">
        <f t="shared" si="72"/>
        <v>409.10361375000002</v>
      </c>
      <c r="J124" s="35">
        <f t="shared" si="73"/>
        <v>5.2566470819825275</v>
      </c>
      <c r="K124" s="35">
        <f t="shared" si="74"/>
        <v>0.84044332619613438</v>
      </c>
      <c r="L124" s="35">
        <f t="shared" si="88"/>
        <v>4.4159819628312738</v>
      </c>
      <c r="M124" s="52"/>
      <c r="N124" s="35">
        <f t="shared" si="76"/>
        <v>6.7262049851999954</v>
      </c>
      <c r="O124" s="360">
        <v>129754353</v>
      </c>
      <c r="P124" s="361">
        <v>872754376</v>
      </c>
      <c r="Q124" s="361">
        <v>139537728</v>
      </c>
      <c r="R124" s="361">
        <v>733179824</v>
      </c>
      <c r="S124" s="89"/>
      <c r="T124" s="362">
        <v>75.728827999999993</v>
      </c>
      <c r="U124" s="362">
        <v>71.088890000000006</v>
      </c>
      <c r="V124" s="362">
        <v>43.924782</v>
      </c>
      <c r="W124" s="362">
        <v>50.558182000000002</v>
      </c>
      <c r="X124" s="362">
        <v>51.797756</v>
      </c>
      <c r="Y124" s="89"/>
      <c r="Z124" s="363">
        <v>494.21699999999993</v>
      </c>
      <c r="AA124" s="363">
        <v>266.73500000000001</v>
      </c>
      <c r="AB124" s="36">
        <v>0</v>
      </c>
      <c r="AC124" s="36">
        <v>0</v>
      </c>
      <c r="AD124" s="37"/>
      <c r="AF124" s="34">
        <f t="shared" si="77"/>
        <v>385.43592000000001</v>
      </c>
      <c r="AG124" s="35">
        <f t="shared" si="78"/>
        <v>4.9525365605726117</v>
      </c>
      <c r="AH124" s="35">
        <f t="shared" si="79"/>
        <v>0.84044332619613438</v>
      </c>
      <c r="AI124" s="35">
        <f t="shared" si="85"/>
        <v>4.1118714414213571</v>
      </c>
      <c r="AJ124" s="52"/>
      <c r="AK124" s="35">
        <f t="shared" si="81"/>
        <v>6.3370767684379725</v>
      </c>
      <c r="AL124" s="360">
        <v>129754353</v>
      </c>
      <c r="AM124" s="361">
        <v>822263296</v>
      </c>
      <c r="AN124" s="361">
        <v>139537728</v>
      </c>
      <c r="AO124" s="361">
        <v>682688744</v>
      </c>
      <c r="AP124" s="89"/>
      <c r="AQ124" s="362">
        <v>75.728827999999993</v>
      </c>
      <c r="AR124" s="362">
        <v>71.088890000000006</v>
      </c>
      <c r="AS124" s="362">
        <v>43.918354000000001</v>
      </c>
      <c r="AT124" s="362">
        <v>50.383758999999998</v>
      </c>
      <c r="AU124" s="362">
        <v>51.789490000000001</v>
      </c>
      <c r="AV124" s="89"/>
      <c r="AW124" s="363">
        <v>599.36799999999994</v>
      </c>
      <c r="AX124" s="363">
        <v>302.2399999999999</v>
      </c>
      <c r="AY124" s="36">
        <v>0</v>
      </c>
      <c r="AZ124" s="36">
        <v>0</v>
      </c>
      <c r="BA124" s="37">
        <v>0.97828935937499972</v>
      </c>
      <c r="BC124" s="59" t="e">
        <f t="shared" si="82"/>
        <v>#DIV/0!</v>
      </c>
      <c r="BD124" s="60" t="e">
        <f t="shared" si="83"/>
        <v>#DIV/0!</v>
      </c>
      <c r="BE124" s="60">
        <f t="shared" si="84"/>
        <v>9.8175555635331146E-3</v>
      </c>
      <c r="BF124" s="61"/>
      <c r="BH124" s="80"/>
      <c r="BI124" s="81"/>
      <c r="BJ124" s="81"/>
      <c r="BK124" s="81"/>
      <c r="BL124" s="81"/>
      <c r="BM124" s="88"/>
      <c r="BO124" s="77"/>
      <c r="BP124" s="78"/>
      <c r="BQ124" s="78"/>
      <c r="BR124" s="78"/>
      <c r="BS124" s="78"/>
      <c r="BT124" s="88"/>
      <c r="BV124" s="77"/>
      <c r="BW124" s="78"/>
      <c r="BX124" s="78"/>
      <c r="BY124" s="78"/>
      <c r="BZ124" s="78"/>
      <c r="CA124" s="88"/>
      <c r="CC124" s="77"/>
      <c r="CD124" s="78"/>
      <c r="CE124" s="78"/>
      <c r="CF124" s="78"/>
      <c r="CG124" s="78"/>
      <c r="CH124" s="88"/>
      <c r="CJ124" s="77"/>
      <c r="CK124" s="78"/>
      <c r="CL124" s="78"/>
      <c r="CM124" s="78"/>
      <c r="CN124" s="78"/>
      <c r="CO124" s="88"/>
      <c r="CQ124" s="77"/>
      <c r="CR124" s="78"/>
      <c r="CS124" s="78"/>
      <c r="CT124" s="78"/>
      <c r="CU124" s="78"/>
      <c r="CV124" s="88"/>
    </row>
    <row r="125" spans="1:100" s="1" customFormat="1">
      <c r="A125" s="13"/>
      <c r="B125" s="24" t="s">
        <v>880</v>
      </c>
      <c r="C125" s="25" t="s">
        <v>131</v>
      </c>
      <c r="D125" s="466">
        <v>156840910</v>
      </c>
      <c r="E125" s="28">
        <v>11</v>
      </c>
      <c r="F125" s="25">
        <v>64</v>
      </c>
      <c r="G125" s="29">
        <v>30</v>
      </c>
      <c r="I125" s="42">
        <f t="shared" si="72"/>
        <v>0.55327124999999999</v>
      </c>
      <c r="J125" s="43">
        <f t="shared" si="73"/>
        <v>7.5255365452801823E-3</v>
      </c>
      <c r="K125" s="43">
        <f t="shared" si="74"/>
        <v>5.7192731156686097E-3</v>
      </c>
      <c r="L125" s="43">
        <f t="shared" si="88"/>
        <v>1.588055055278626E-3</v>
      </c>
      <c r="M125" s="55"/>
      <c r="N125" s="43">
        <f t="shared" si="76"/>
        <v>1.6934175035868007</v>
      </c>
      <c r="O125" s="364">
        <v>697000</v>
      </c>
      <c r="P125" s="365">
        <v>1180312</v>
      </c>
      <c r="Q125" s="365">
        <v>897016</v>
      </c>
      <c r="R125" s="365">
        <v>249072</v>
      </c>
      <c r="S125" s="90"/>
      <c r="T125" s="366">
        <v>52.898524999999999</v>
      </c>
      <c r="U125" s="366">
        <v>48.160580000000003</v>
      </c>
      <c r="V125" s="366">
        <v>23.954744000000002</v>
      </c>
      <c r="W125" s="366">
        <v>34.662616999999997</v>
      </c>
      <c r="X125" s="366">
        <v>36.387203</v>
      </c>
      <c r="Y125" s="90"/>
      <c r="Z125" s="367">
        <v>81.485000000000042</v>
      </c>
      <c r="AA125" s="367">
        <v>0.9250000000000006</v>
      </c>
      <c r="AB125" s="44">
        <v>0</v>
      </c>
      <c r="AC125" s="44">
        <v>0</v>
      </c>
      <c r="AD125" s="45"/>
      <c r="AF125" s="42">
        <f t="shared" si="77"/>
        <v>0.52135500000000001</v>
      </c>
      <c r="AG125" s="43">
        <f t="shared" si="78"/>
        <v>7.0914151161198952E-3</v>
      </c>
      <c r="AH125" s="43">
        <f t="shared" si="79"/>
        <v>5.7192731156686097E-3</v>
      </c>
      <c r="AI125" s="43">
        <f t="shared" si="85"/>
        <v>1.1539336261183386E-3</v>
      </c>
      <c r="AJ125" s="55"/>
      <c r="AK125" s="43">
        <f t="shared" si="81"/>
        <v>1.5957302725968436</v>
      </c>
      <c r="AL125" s="364">
        <v>697000</v>
      </c>
      <c r="AM125" s="365">
        <v>1112224</v>
      </c>
      <c r="AN125" s="365">
        <v>897016</v>
      </c>
      <c r="AO125" s="365">
        <v>180984</v>
      </c>
      <c r="AP125" s="90"/>
      <c r="AQ125" s="366">
        <v>52.898524999999999</v>
      </c>
      <c r="AR125" s="366">
        <v>48.160580000000003</v>
      </c>
      <c r="AS125" s="366">
        <v>24.784946000000001</v>
      </c>
      <c r="AT125" s="366">
        <v>34.662616999999997</v>
      </c>
      <c r="AU125" s="366">
        <v>36.387203</v>
      </c>
      <c r="AV125" s="90"/>
      <c r="AW125" s="367">
        <v>75.976000000000013</v>
      </c>
      <c r="AX125" s="367">
        <v>1.3210000000000002</v>
      </c>
      <c r="AY125" s="44">
        <v>0</v>
      </c>
      <c r="AZ125" s="44">
        <v>0</v>
      </c>
      <c r="BA125" s="45">
        <v>192</v>
      </c>
      <c r="BC125" s="65" t="e">
        <f t="shared" si="82"/>
        <v>#DIV/0!</v>
      </c>
      <c r="BD125" s="66" t="e">
        <f t="shared" si="83"/>
        <v>#DIV/0!</v>
      </c>
      <c r="BE125" s="66">
        <f t="shared" si="84"/>
        <v>4.6524496560351292E-2</v>
      </c>
      <c r="BF125" s="67">
        <f t="array" ref="BF125">AVERAGE(AN125:AN130/AM125:AM130) - AVERAGE(Q125:Q130/P125:P130)</f>
        <v>5.9453592324970439E-2</v>
      </c>
      <c r="BH125" s="224">
        <f>IF( OR(ISBLANK($Q125:$Q130),ISBLANK($AN125:$AN130), ISBLANK($T125:$T130),ISBLANK($AQ125:$AQ130)), "·", bdRateHermite( $Q125:$Q130,$T125:$T130, $AN125:$AN130,$AQ125:$AQ130))</f>
        <v>0</v>
      </c>
      <c r="BI125" s="225">
        <f>IF(OR(ISBLANK(Q125:Q130),ISBLANK(AN125:AN130),ISBLANK(U125:U130),ISBLANK(AR125:AR130)),"·",bdRateHermite(Q125:Q130,U125:U130,AN125:AN130,AR125:AR130))</f>
        <v>0</v>
      </c>
      <c r="BJ125" s="225">
        <f>IF(OR(ISBLANK($R125:$R130),ISBLANK($AO125:$AO130),ISBLANK(V125:V130),ISBLANK(AS125:AS130)),"·",bdRateHermite($R125:$R130,V125:V130,$AO125:$AO130,AS125:AS130))</f>
        <v>-0.32722127142028257</v>
      </c>
      <c r="BK125" s="225">
        <f>IF(OR(ISBLANK($R125:$R130),ISBLANK($AO125:$AO130),ISBLANK(W125:W130),ISBLANK(AT125:AT130)),"·",bdRateHermite($R125:$R130,W125:W130,$AO125:$AO130,AT125:AT130))</f>
        <v>-0.3651223844557302</v>
      </c>
      <c r="BL125" s="225">
        <f>IF(OR(ISBLANK($R125:$R130),ISBLANK($AO125:$AO130),ISBLANK(X125:X130),ISBLANK(AU125:AU130)),"·",bdRateHermite($R125:$R130,X125:X130,$AO125:$AO130,AU125:AU130))</f>
        <v>-0.37625732366919684</v>
      </c>
      <c r="BM125" s="92"/>
      <c r="BO125" s="83">
        <f>IF( OR(ISBLANK($P125:$P130),ISBLANK($AM125:$AM130), ISBLANK($T125:$T130),ISBLANK($AQ125:$AQ130)), "·", bdRateHermite($P125:$P130,$T125:$T130, $AM125:$AM130,$AQ125:$AQ130))</f>
        <v>-0.13890142153228469</v>
      </c>
      <c r="BP125" s="84">
        <f>IF( OR(ISBLANK($P125:$P130),ISBLANK($AM125:$AM130), ISBLANK(U125:U130),ISBLANK(AR125:AR130)), "·", bdRateHermite( $P125:$P130,U125:U130, $AM125:$AM130,AR125:AR130))</f>
        <v>-0.13833827405040378</v>
      </c>
      <c r="BQ125" s="84">
        <f>IF( OR(ISBLANK($P125:$P130),ISBLANK($AM125:$AM130), ISBLANK(V125:V130),ISBLANK(AS125:AS130)), "·", bdRateHermite( $P125:$P130,V125:V130, $AM125:$AM130,AS125:AS130))</f>
        <v>-0.17934459626626897</v>
      </c>
      <c r="BR125" s="84">
        <f>IF( OR(ISBLANK($P125:$P130),ISBLANK($AM125:$AM130), ISBLANK(W125:W130),ISBLANK(AT125:AT130)), "·", bdRateHermite( $P125:$P130,W125:W130, $AM125:$AM130,AT125:AT130))</f>
        <v>-0.23927301925793065</v>
      </c>
      <c r="BS125" s="84">
        <f>IF( OR(ISBLANK($P125:$P130),ISBLANK($AM125:$AM130), ISBLANK(X125:X130),ISBLANK(AU125:AU130)), "·", bdRateHermite( $P125:$P130,X125:X130, $AM125:$AM130,AU125:AU130))</f>
        <v>-0.24602594047416249</v>
      </c>
      <c r="BT125" s="90"/>
      <c r="BV125" s="83">
        <f>IF( OR(ISBLANK($Q125:$Q129),ISBLANK($AN125:$AN129), ISBLANK($T125:$T129),ISBLANK($AQ125:$AQ129)), "·", bdRateHermite( $Q126:$Q130,$T126:$T130, $AN126:$AN130,$AQ126:$AQ130))</f>
        <v>0</v>
      </c>
      <c r="BW125" s="84">
        <f>IF(OR(ISBLANK($Q125:$Q130),ISBLANK($AN125:$AN130),ISBLANK(U125:U130),ISBLANK(AR125:AR130)),"·",bdRateHermite($Q126:$Q130,U126:U130,$AN126:$AN130,AR126:AR130))</f>
        <v>0</v>
      </c>
      <c r="BX125" s="225">
        <f>IF(OR(ISBLANK($R125:$R130),ISBLANK($AO125:$AO130),ISBLANK($V125:$V130),ISBLANK($AS125:$AS130)),"·",bdRateHermite($R126:$R130,$V126:$V130,$AO126:$AO130,$AS126:$AS130))</f>
        <v>-0.30828070796282592</v>
      </c>
      <c r="BY125" s="225">
        <f>IF(OR(ISBLANK($R125:$R130),ISBLANK($AO125:$AO130),ISBLANK($W125:$W130),ISBLANK($AT125:$AT130)),"·",bdRateHermite($R126:$R130,$W126:$W130,$AO126:$AO130,$AT126:$AT130))</f>
        <v>-0.34940128492744027</v>
      </c>
      <c r="BZ125" s="225">
        <f>IF(OR(ISBLANK($R125:$R130),ISBLANK($AO125:$AO130),ISBLANK($X125:$X130),ISBLANK($AU125:$AU130)),"·",bdRateHermite($R126:$R130,$X126:$X130,$AO126:$AO130,$AU126:$AU130))</f>
        <v>-0.29596309756085482</v>
      </c>
      <c r="CA125" s="92"/>
      <c r="CC125" s="83">
        <f>IF( OR(ISBLANK($P125:$P130),ISBLANK($AM125:$AM130), ISBLANK($T125:$T130),ISBLANK($AQ125:$AQ130)), "·", bdRateHermite($P126:$P130,$T126:$T130, $AM126:$AM130,$AQ126:$AQ130))</f>
        <v>-0.16060782066651225</v>
      </c>
      <c r="CD125" s="84">
        <f>IF( OR(ISBLANK($P125:$P130),ISBLANK($AM125:$AM130), ISBLANK(U125:U130),ISBLANK(AR125:AR130)), "·", bdRateHermite( $P126:$P130,U126:U130, $AM126:$AM130,AR126:AR130))</f>
        <v>-0.16027868467630602</v>
      </c>
      <c r="CE125" s="84">
        <f>IF( OR(ISBLANK($P125:$P130),ISBLANK($AM125:$AM130), ISBLANK(V125:V130),ISBLANK(AS125:AS130)), "·", bdRateHermite( $P126:$P130,V126:V130, $AM126:$AM130,AS126:AS130))</f>
        <v>-0.18151719501653707</v>
      </c>
      <c r="CF125" s="84">
        <f>IF( OR(ISBLANK($P125:$P130),ISBLANK($AM125:$AM130), ISBLANK(W125:W130),ISBLANK(AT125:AT130)), "·", bdRateHermite( $P126:$P130,W126:W130, $AM126:$AM130,AT126:AT130))</f>
        <v>-0.22342482806069708</v>
      </c>
      <c r="CG125" s="84">
        <f>IF( OR(ISBLANK($P125:$P130),ISBLANK($AM125:$AM130), ISBLANK(X125:X130),ISBLANK(AU125:AU130)), "·", bdRateHermite( $P126:$P130,X126:X130, $AM126:$AM130,AU126:AU130))</f>
        <v>-0.17353802894661374</v>
      </c>
      <c r="CH125" s="92"/>
      <c r="CJ125" s="83">
        <f>IF( OR(ISBLANK($Q125:$Q129),ISBLANK($AN125:$AN129), ISBLANK($T125:$T129),ISBLANK($AQ125:$AQ129)), "·", bdRateHermite( $Q125:$Q129,$T125:$T129, $AN125:$AN129,$AQ125:$AQ129))</f>
        <v>0</v>
      </c>
      <c r="CK125" s="84">
        <f>IF(OR(ISBLANK($Q125:$Q129),ISBLANK($AN125:$AN129),ISBLANK(U125:U129),ISBLANK(AR125:AR129)),"·",bdRateHermite($Q125:$Q129,U125:U129,$AN125:$AN129,AR125:AR129))</f>
        <v>0</v>
      </c>
      <c r="CL125" s="225">
        <f>IF(OR(ISBLANK($R125:$R130),ISBLANK($AO125:$AO130),ISBLANK($V125:$V130),ISBLANK($AS125:$AS130)),"·",bdRateHermite($R125:$R129,$V125:$V129,$AO125:$AO129,$AS125:$AS129))</f>
        <v>-0.36037952542356511</v>
      </c>
      <c r="CM125" s="225">
        <f>IF(OR(ISBLANK($R125:$R130),ISBLANK($AO125:$AO130),ISBLANK($W125:$W130),ISBLANK($AT125:$AT130)),"·",bdRateHermite($R125:$R129,$W125:$W129,$AO125:$AO129,$AT125:$AT129))</f>
        <v>-0.42606967066685808</v>
      </c>
      <c r="CN125" s="225">
        <f>IF(OR(ISBLANK($R125:$R130),ISBLANK($AO125:$AO130),ISBLANK($X125:$X130),ISBLANK($AU125:$AU130)),"·",bdRateHermite($R125:$R129,$X125:$X129,$AO125:$AO129,$AU125:$AU129))</f>
        <v>-0.40213098310164375</v>
      </c>
      <c r="CO125" s="92"/>
      <c r="CQ125" s="83">
        <f>IF( OR(ISBLANK($P125:$P129),ISBLANK($AM125:$AM129), ISBLANK($T125:$T129),ISBLANK($AQ125:$AQ129)), "·", bdRateHermite($P125:$P129,$T125:$T129, $AM125:$AM129,$AQ125:$AQ129))</f>
        <v>-0.13960635168855196</v>
      </c>
      <c r="CR125" s="84">
        <f>IF( OR(ISBLANK($P125:$P129),ISBLANK($AM125:$AM129), ISBLANK(U125:U129),ISBLANK(AR125:AR129)), "·", bdRateHermite( $P125:$P129,U125:U129, $AM125:$AM129,AR125:AR129))</f>
        <v>-0.13867153991463643</v>
      </c>
      <c r="CS125" s="84">
        <f>IF( OR(ISBLANK($P125:$P129),ISBLANK($AM125:$AM129), ISBLANK(V125:V129),ISBLANK(AS125:AS129)), "·", bdRateHermite( $P125:$P129,V125:V129, $AM125:$AM129,AS125:AS129))</f>
        <v>-0.19120919066735353</v>
      </c>
      <c r="CT125" s="84">
        <f>IF( OR(ISBLANK($P125:$P129),ISBLANK($AM125:$AM129), ISBLANK(W125:W129),ISBLANK(AT125:AT129)), "·", bdRateHermite( $P125:$P129,W125:W129, $AM125:$AM129,AT125:AT129))</f>
        <v>-0.27881722303449197</v>
      </c>
      <c r="CU125" s="84">
        <f>IF( OR(ISBLANK($P125:$P129),ISBLANK($AM125:$AM129), ISBLANK(X125:X129),ISBLANK(AU125:AU129)), "·", bdRateHermite( $P125:$P129,X125:X129, $AM125:$AM129,AU125:AU129))</f>
        <v>-0.24931689328308648</v>
      </c>
      <c r="CV125" s="92"/>
    </row>
    <row r="126" spans="1:100" s="1" customFormat="1" outlineLevel="1">
      <c r="A126" s="13"/>
      <c r="B126" s="14" t="s">
        <v>881</v>
      </c>
      <c r="C126" s="15" t="s">
        <v>132</v>
      </c>
      <c r="D126" s="465">
        <v>156840910</v>
      </c>
      <c r="E126" s="15">
        <v>11</v>
      </c>
      <c r="F126" s="25">
        <v>64</v>
      </c>
      <c r="G126" s="16">
        <v>30</v>
      </c>
      <c r="I126" s="30">
        <f t="shared" si="72"/>
        <v>2.2845825</v>
      </c>
      <c r="J126" s="31">
        <f t="shared" si="73"/>
        <v>3.1074647552095942E-2</v>
      </c>
      <c r="K126" s="31">
        <f t="shared" si="74"/>
        <v>2.1090925830511951E-2</v>
      </c>
      <c r="L126" s="31">
        <f t="shared" si="88"/>
        <v>9.7599535733374661E-3</v>
      </c>
      <c r="M126" s="51"/>
      <c r="N126" s="31">
        <f t="shared" si="76"/>
        <v>1.7503242055393089</v>
      </c>
      <c r="O126" s="356">
        <v>2784499</v>
      </c>
      <c r="P126" s="357">
        <v>4873776</v>
      </c>
      <c r="Q126" s="357">
        <v>3307920</v>
      </c>
      <c r="R126" s="357">
        <v>1530760</v>
      </c>
      <c r="S126" s="87"/>
      <c r="T126" s="358">
        <v>58.81427</v>
      </c>
      <c r="U126" s="358">
        <v>54.181156000000001</v>
      </c>
      <c r="V126" s="358">
        <v>29.397653999999999</v>
      </c>
      <c r="W126" s="358">
        <v>34.729560999999997</v>
      </c>
      <c r="X126" s="358">
        <v>36.545704000000001</v>
      </c>
      <c r="Y126" s="87"/>
      <c r="Z126" s="359">
        <v>89.584999999999994</v>
      </c>
      <c r="AA126" s="359">
        <v>3.8220000000000005</v>
      </c>
      <c r="AB126" s="32">
        <v>0</v>
      </c>
      <c r="AC126" s="32">
        <v>0</v>
      </c>
      <c r="AD126" s="33"/>
      <c r="AF126" s="30">
        <f t="shared" si="77"/>
        <v>2.0649112500000002</v>
      </c>
      <c r="AG126" s="31">
        <f t="shared" si="78"/>
        <v>2.8086702633898262E-2</v>
      </c>
      <c r="AH126" s="31">
        <f t="shared" si="79"/>
        <v>2.1090925830511951E-2</v>
      </c>
      <c r="AI126" s="31">
        <f t="shared" si="85"/>
        <v>6.7720086551397848E-3</v>
      </c>
      <c r="AJ126" s="51"/>
      <c r="AK126" s="31">
        <f t="shared" si="81"/>
        <v>1.5820239116623853</v>
      </c>
      <c r="AL126" s="356">
        <v>2784499</v>
      </c>
      <c r="AM126" s="357">
        <v>4405144</v>
      </c>
      <c r="AN126" s="357">
        <v>3307920</v>
      </c>
      <c r="AO126" s="357">
        <v>1062128</v>
      </c>
      <c r="AP126" s="87"/>
      <c r="AQ126" s="358">
        <v>58.81427</v>
      </c>
      <c r="AR126" s="358">
        <v>54.181156000000001</v>
      </c>
      <c r="AS126" s="358">
        <v>29.624165000000001</v>
      </c>
      <c r="AT126" s="358">
        <v>34.848331000000002</v>
      </c>
      <c r="AU126" s="358">
        <v>37.191189000000001</v>
      </c>
      <c r="AV126" s="87"/>
      <c r="AW126" s="359">
        <v>82.100999999999999</v>
      </c>
      <c r="AX126" s="359">
        <v>5.2830000000000004</v>
      </c>
      <c r="AY126" s="32">
        <v>0</v>
      </c>
      <c r="AZ126" s="32">
        <v>0</v>
      </c>
      <c r="BA126" s="33">
        <v>48</v>
      </c>
      <c r="BC126" s="56" t="e">
        <f t="shared" si="82"/>
        <v>#DIV/0!</v>
      </c>
      <c r="BD126" s="57" t="e">
        <f t="shared" si="83"/>
        <v>#DIV/0!</v>
      </c>
      <c r="BE126" s="57">
        <f t="shared" si="84"/>
        <v>7.2204001034447796E-2</v>
      </c>
      <c r="BF126" s="58"/>
      <c r="BH126" s="74"/>
      <c r="BI126" s="75"/>
      <c r="BJ126" s="75"/>
      <c r="BK126" s="75"/>
      <c r="BL126" s="75"/>
      <c r="BM126" s="87"/>
      <c r="BO126" s="74"/>
      <c r="BP126" s="75"/>
      <c r="BQ126" s="75"/>
      <c r="BR126" s="75"/>
      <c r="BS126" s="75"/>
      <c r="BT126" s="87"/>
      <c r="BV126" s="74"/>
      <c r="BW126" s="75"/>
      <c r="BX126" s="75"/>
      <c r="BY126" s="75"/>
      <c r="BZ126" s="75"/>
      <c r="CA126" s="87"/>
      <c r="CC126" s="74"/>
      <c r="CD126" s="75"/>
      <c r="CE126" s="75"/>
      <c r="CF126" s="75"/>
      <c r="CG126" s="75"/>
      <c r="CH126" s="87"/>
      <c r="CJ126" s="74"/>
      <c r="CK126" s="75"/>
      <c r="CL126" s="75"/>
      <c r="CM126" s="75"/>
      <c r="CN126" s="75"/>
      <c r="CO126" s="87"/>
      <c r="CQ126" s="74"/>
      <c r="CR126" s="75"/>
      <c r="CS126" s="75"/>
      <c r="CT126" s="75"/>
      <c r="CU126" s="75"/>
      <c r="CV126" s="87"/>
    </row>
    <row r="127" spans="1:100" s="1" customFormat="1" outlineLevel="1">
      <c r="A127" s="13"/>
      <c r="B127" s="14" t="s">
        <v>881</v>
      </c>
      <c r="C127" s="15" t="s">
        <v>133</v>
      </c>
      <c r="D127" s="465">
        <v>156840910</v>
      </c>
      <c r="E127" s="15">
        <v>11</v>
      </c>
      <c r="F127" s="25">
        <v>64</v>
      </c>
      <c r="G127" s="16">
        <v>30</v>
      </c>
      <c r="I127" s="30">
        <f t="shared" si="72"/>
        <v>10.361235000000001</v>
      </c>
      <c r="J127" s="31">
        <f t="shared" si="73"/>
        <v>0.1409324136158098</v>
      </c>
      <c r="K127" s="31">
        <f t="shared" si="74"/>
        <v>7.5526111140263086E-2</v>
      </c>
      <c r="L127" s="31">
        <f t="shared" si="88"/>
        <v>6.5180239007794585E-2</v>
      </c>
      <c r="M127" s="51"/>
      <c r="N127" s="31">
        <f t="shared" si="76"/>
        <v>2.0182381277910717</v>
      </c>
      <c r="O127" s="356">
        <v>10952111</v>
      </c>
      <c r="P127" s="357">
        <v>22103968</v>
      </c>
      <c r="Q127" s="357">
        <v>11845584</v>
      </c>
      <c r="R127" s="357">
        <v>10222928</v>
      </c>
      <c r="S127" s="87"/>
      <c r="T127" s="358">
        <v>64.461310999999995</v>
      </c>
      <c r="U127" s="358">
        <v>60.201720999999999</v>
      </c>
      <c r="V127" s="358">
        <v>34.097743999999999</v>
      </c>
      <c r="W127" s="358">
        <v>39.499496000000001</v>
      </c>
      <c r="X127" s="358">
        <v>41.425556</v>
      </c>
      <c r="Y127" s="87"/>
      <c r="Z127" s="359">
        <v>118.458</v>
      </c>
      <c r="AA127" s="359">
        <v>15.831999999999997</v>
      </c>
      <c r="AB127" s="32">
        <v>0</v>
      </c>
      <c r="AC127" s="32">
        <v>0</v>
      </c>
      <c r="AD127" s="33"/>
      <c r="AF127" s="30">
        <f t="shared" si="77"/>
        <v>8.7515025000000009</v>
      </c>
      <c r="AG127" s="31">
        <f t="shared" si="78"/>
        <v>0.119037003802133</v>
      </c>
      <c r="AH127" s="31">
        <f t="shared" si="79"/>
        <v>7.5526111140263086E-2</v>
      </c>
      <c r="AI127" s="31">
        <f t="shared" si="85"/>
        <v>4.3284829194117781E-2</v>
      </c>
      <c r="AJ127" s="51"/>
      <c r="AK127" s="31">
        <f t="shared" si="81"/>
        <v>1.7046825036744058</v>
      </c>
      <c r="AL127" s="356">
        <v>10952111</v>
      </c>
      <c r="AM127" s="357">
        <v>18669872</v>
      </c>
      <c r="AN127" s="357">
        <v>11845584</v>
      </c>
      <c r="AO127" s="357">
        <v>6788832</v>
      </c>
      <c r="AP127" s="87"/>
      <c r="AQ127" s="358">
        <v>64.461310999999995</v>
      </c>
      <c r="AR127" s="358">
        <v>60.201720999999999</v>
      </c>
      <c r="AS127" s="358">
        <v>34.283988999999998</v>
      </c>
      <c r="AT127" s="358">
        <v>39.529609999999998</v>
      </c>
      <c r="AU127" s="358">
        <v>40.598202000000001</v>
      </c>
      <c r="AV127" s="87"/>
      <c r="AW127" s="359">
        <v>123.73599999999999</v>
      </c>
      <c r="AX127" s="359">
        <v>22.626999999999995</v>
      </c>
      <c r="AY127" s="32">
        <v>0</v>
      </c>
      <c r="AZ127" s="32">
        <v>0</v>
      </c>
      <c r="BA127" s="33">
        <v>12</v>
      </c>
      <c r="BC127" s="56" t="e">
        <f t="shared" si="82"/>
        <v>#DIV/0!</v>
      </c>
      <c r="BD127" s="57" t="e">
        <f t="shared" si="83"/>
        <v>#DIV/0!</v>
      </c>
      <c r="BE127" s="57">
        <f t="shared" si="84"/>
        <v>9.8572852607317296E-2</v>
      </c>
      <c r="BF127" s="58"/>
      <c r="BH127" s="74"/>
      <c r="BI127" s="75"/>
      <c r="BJ127" s="75"/>
      <c r="BK127" s="75"/>
      <c r="BL127" s="75"/>
      <c r="BM127" s="87"/>
      <c r="BO127" s="74"/>
      <c r="BP127" s="75"/>
      <c r="BQ127" s="75"/>
      <c r="BR127" s="75"/>
      <c r="BS127" s="75"/>
      <c r="BT127" s="87"/>
      <c r="BV127" s="74"/>
      <c r="BW127" s="75"/>
      <c r="BX127" s="75"/>
      <c r="BY127" s="75"/>
      <c r="BZ127" s="75"/>
      <c r="CA127" s="87"/>
      <c r="CC127" s="74"/>
      <c r="CD127" s="75"/>
      <c r="CE127" s="75"/>
      <c r="CF127" s="75"/>
      <c r="CG127" s="75"/>
      <c r="CH127" s="87"/>
      <c r="CJ127" s="74"/>
      <c r="CK127" s="75"/>
      <c r="CL127" s="75"/>
      <c r="CM127" s="75"/>
      <c r="CN127" s="75"/>
      <c r="CO127" s="87"/>
      <c r="CQ127" s="74"/>
      <c r="CR127" s="75"/>
      <c r="CS127" s="75"/>
      <c r="CT127" s="75"/>
      <c r="CU127" s="75"/>
      <c r="CV127" s="87"/>
    </row>
    <row r="128" spans="1:100" s="1" customFormat="1" outlineLevel="1">
      <c r="A128" s="13"/>
      <c r="B128" s="14" t="s">
        <v>881</v>
      </c>
      <c r="C128" s="15" t="s">
        <v>134</v>
      </c>
      <c r="D128" s="465">
        <v>156840910</v>
      </c>
      <c r="E128" s="15">
        <v>11</v>
      </c>
      <c r="F128" s="25">
        <v>64</v>
      </c>
      <c r="G128" s="16">
        <v>30</v>
      </c>
      <c r="I128" s="30">
        <f t="shared" si="72"/>
        <v>56.754652499999999</v>
      </c>
      <c r="J128" s="31">
        <f t="shared" si="73"/>
        <v>0.77197073136084204</v>
      </c>
      <c r="K128" s="31">
        <f t="shared" si="74"/>
        <v>0.270562061900814</v>
      </c>
      <c r="L128" s="31">
        <f t="shared" si="88"/>
        <v>0.50117939254496802</v>
      </c>
      <c r="M128" s="51"/>
      <c r="N128" s="31">
        <f t="shared" si="76"/>
        <v>2.8588853164409729</v>
      </c>
      <c r="O128" s="356">
        <v>42350979</v>
      </c>
      <c r="P128" s="357">
        <v>121076592</v>
      </c>
      <c r="Q128" s="357">
        <v>42435200</v>
      </c>
      <c r="R128" s="357">
        <v>78605432</v>
      </c>
      <c r="S128" s="87"/>
      <c r="T128" s="358">
        <v>69.232567000000003</v>
      </c>
      <c r="U128" s="358">
        <v>66.222389000000007</v>
      </c>
      <c r="V128" s="358">
        <v>38.625678999999998</v>
      </c>
      <c r="W128" s="358">
        <v>43.214965999999997</v>
      </c>
      <c r="X128" s="358">
        <v>45.034832000000002</v>
      </c>
      <c r="Y128" s="87"/>
      <c r="Z128" s="359">
        <v>238.21799999999996</v>
      </c>
      <c r="AA128" s="359">
        <v>57.134999999999984</v>
      </c>
      <c r="AB128" s="32">
        <v>0</v>
      </c>
      <c r="AC128" s="32">
        <v>0</v>
      </c>
      <c r="AD128" s="33"/>
      <c r="AF128" s="30">
        <f t="shared" si="77"/>
        <v>45.370822500000003</v>
      </c>
      <c r="AG128" s="31">
        <f t="shared" si="78"/>
        <v>0.61712908959786061</v>
      </c>
      <c r="AH128" s="31">
        <f t="shared" si="79"/>
        <v>0.270562061900814</v>
      </c>
      <c r="AI128" s="31">
        <f t="shared" si="85"/>
        <v>0.34633775078198664</v>
      </c>
      <c r="AJ128" s="51"/>
      <c r="AK128" s="31">
        <f t="shared" si="81"/>
        <v>2.2854510163743793</v>
      </c>
      <c r="AL128" s="356">
        <v>42350979</v>
      </c>
      <c r="AM128" s="357">
        <v>96791088</v>
      </c>
      <c r="AN128" s="357">
        <v>42435200</v>
      </c>
      <c r="AO128" s="357">
        <v>54319928</v>
      </c>
      <c r="AP128" s="87"/>
      <c r="AQ128" s="358">
        <v>69.232567000000003</v>
      </c>
      <c r="AR128" s="358">
        <v>66.222389000000007</v>
      </c>
      <c r="AS128" s="358">
        <v>38.655064000000003</v>
      </c>
      <c r="AT128" s="358">
        <v>44.020080999999998</v>
      </c>
      <c r="AU128" s="358">
        <v>45.612892000000002</v>
      </c>
      <c r="AV128" s="87"/>
      <c r="AW128" s="359">
        <v>269.11299999999994</v>
      </c>
      <c r="AX128" s="359">
        <v>93.551999999999992</v>
      </c>
      <c r="AY128" s="32">
        <v>0</v>
      </c>
      <c r="AZ128" s="32">
        <v>0</v>
      </c>
      <c r="BA128" s="33">
        <v>3</v>
      </c>
      <c r="BC128" s="56" t="e">
        <f t="shared" si="82"/>
        <v>#DIV/0!</v>
      </c>
      <c r="BD128" s="57" t="e">
        <f t="shared" si="83"/>
        <v>#DIV/0!</v>
      </c>
      <c r="BE128" s="57">
        <f t="shared" si="84"/>
        <v>8.793824911959125E-2</v>
      </c>
      <c r="BF128" s="58"/>
      <c r="BH128" s="74"/>
      <c r="BI128" s="75"/>
      <c r="BJ128" s="75"/>
      <c r="BK128" s="75"/>
      <c r="BL128" s="75"/>
      <c r="BM128" s="87"/>
      <c r="BO128" s="74"/>
      <c r="BP128" s="75"/>
      <c r="BQ128" s="75"/>
      <c r="BR128" s="75"/>
      <c r="BS128" s="75"/>
      <c r="BT128" s="87"/>
      <c r="BV128" s="74"/>
      <c r="BW128" s="75"/>
      <c r="BX128" s="75"/>
      <c r="BY128" s="75"/>
      <c r="BZ128" s="75"/>
      <c r="CA128" s="87"/>
      <c r="CC128" s="74"/>
      <c r="CD128" s="75"/>
      <c r="CE128" s="75"/>
      <c r="CF128" s="75"/>
      <c r="CG128" s="75"/>
      <c r="CH128" s="87"/>
      <c r="CJ128" s="74"/>
      <c r="CK128" s="75"/>
      <c r="CL128" s="75"/>
      <c r="CM128" s="75"/>
      <c r="CN128" s="75"/>
      <c r="CO128" s="87"/>
      <c r="CQ128" s="74"/>
      <c r="CR128" s="75"/>
      <c r="CS128" s="75"/>
      <c r="CT128" s="75"/>
      <c r="CU128" s="75"/>
      <c r="CV128" s="87"/>
    </row>
    <row r="129" spans="1:100" s="1" customFormat="1" outlineLevel="1">
      <c r="A129" s="13"/>
      <c r="B129" s="14" t="s">
        <v>881</v>
      </c>
      <c r="C129" s="15" t="s">
        <v>135</v>
      </c>
      <c r="D129" s="465">
        <v>156840910</v>
      </c>
      <c r="E129" s="15">
        <v>11</v>
      </c>
      <c r="F129" s="25">
        <v>64</v>
      </c>
      <c r="G129" s="16">
        <v>30</v>
      </c>
      <c r="I129" s="30">
        <f t="shared" si="72"/>
        <v>203.3231025</v>
      </c>
      <c r="J129" s="31">
        <f t="shared" si="73"/>
        <v>2.7655791591619816</v>
      </c>
      <c r="K129" s="31">
        <f t="shared" si="74"/>
        <v>0.6091340837030339</v>
      </c>
      <c r="L129" s="31">
        <f t="shared" si="88"/>
        <v>2.1562135542314822</v>
      </c>
      <c r="M129" s="51"/>
      <c r="N129" s="31">
        <f t="shared" si="76"/>
        <v>4.7279622566093416</v>
      </c>
      <c r="O129" s="356">
        <v>91742685</v>
      </c>
      <c r="P129" s="357">
        <v>433755952</v>
      </c>
      <c r="Q129" s="357">
        <v>95537144</v>
      </c>
      <c r="R129" s="357">
        <v>338182496</v>
      </c>
      <c r="S129" s="87"/>
      <c r="T129" s="358">
        <v>74.014824000000004</v>
      </c>
      <c r="U129" s="358">
        <v>69.747185000000002</v>
      </c>
      <c r="V129" s="358">
        <v>41.456760000000003</v>
      </c>
      <c r="W129" s="358">
        <v>46.575718000000002</v>
      </c>
      <c r="X129" s="358">
        <v>47.590786000000001</v>
      </c>
      <c r="Y129" s="87"/>
      <c r="Z129" s="359">
        <v>445.42599999999982</v>
      </c>
      <c r="AA129" s="359">
        <v>167.26599999999996</v>
      </c>
      <c r="AB129" s="32">
        <v>0</v>
      </c>
      <c r="AC129" s="32">
        <v>0</v>
      </c>
      <c r="AD129" s="33"/>
      <c r="AF129" s="30">
        <f t="shared" si="77"/>
        <v>170.12973</v>
      </c>
      <c r="AG129" s="31">
        <f t="shared" si="78"/>
        <v>2.3140864459406667</v>
      </c>
      <c r="AH129" s="31">
        <f t="shared" si="79"/>
        <v>0.6091340837030339</v>
      </c>
      <c r="AI129" s="31">
        <f t="shared" si="85"/>
        <v>1.7047208410101675</v>
      </c>
      <c r="AJ129" s="51"/>
      <c r="AK129" s="31">
        <f t="shared" si="81"/>
        <v>3.9561020478090434</v>
      </c>
      <c r="AL129" s="356">
        <v>91742685</v>
      </c>
      <c r="AM129" s="357">
        <v>362943424</v>
      </c>
      <c r="AN129" s="357">
        <v>95537144</v>
      </c>
      <c r="AO129" s="357">
        <v>267369968</v>
      </c>
      <c r="AP129" s="87"/>
      <c r="AQ129" s="358">
        <v>74.014824000000004</v>
      </c>
      <c r="AR129" s="358">
        <v>69.747185000000002</v>
      </c>
      <c r="AS129" s="358">
        <v>41.487887999999998</v>
      </c>
      <c r="AT129" s="358">
        <v>46.710163000000001</v>
      </c>
      <c r="AU129" s="358">
        <v>48.221927999999998</v>
      </c>
      <c r="AV129" s="87"/>
      <c r="AW129" s="359">
        <v>476.36799999999994</v>
      </c>
      <c r="AX129" s="359">
        <v>224.46800000000005</v>
      </c>
      <c r="AY129" s="32">
        <v>0</v>
      </c>
      <c r="AZ129" s="32">
        <v>0</v>
      </c>
      <c r="BA129" s="33">
        <v>1.3324086406250004</v>
      </c>
      <c r="BC129" s="56" t="e">
        <f t="shared" si="82"/>
        <v>#DIV/0!</v>
      </c>
      <c r="BD129" s="57" t="e">
        <f t="shared" si="83"/>
        <v>#DIV/0!</v>
      </c>
      <c r="BE129" s="57">
        <f t="shared" si="84"/>
        <v>4.2973227638504669E-2</v>
      </c>
      <c r="BF129" s="58"/>
      <c r="BH129" s="74"/>
      <c r="BI129" s="75"/>
      <c r="BJ129" s="75"/>
      <c r="BK129" s="75"/>
      <c r="BL129" s="75"/>
      <c r="BM129" s="87"/>
      <c r="BO129" s="74"/>
      <c r="BP129" s="75"/>
      <c r="BQ129" s="75"/>
      <c r="BR129" s="75"/>
      <c r="BS129" s="75"/>
      <c r="BT129" s="87"/>
      <c r="BV129" s="74"/>
      <c r="BW129" s="75"/>
      <c r="BX129" s="75"/>
      <c r="BY129" s="75"/>
      <c r="BZ129" s="75"/>
      <c r="CA129" s="87"/>
      <c r="CC129" s="74"/>
      <c r="CD129" s="75"/>
      <c r="CE129" s="75"/>
      <c r="CF129" s="75"/>
      <c r="CG129" s="75"/>
      <c r="CH129" s="87"/>
      <c r="CJ129" s="74"/>
      <c r="CK129" s="75"/>
      <c r="CL129" s="75"/>
      <c r="CM129" s="75"/>
      <c r="CN129" s="75"/>
      <c r="CO129" s="87"/>
      <c r="CQ129" s="74"/>
      <c r="CR129" s="75"/>
      <c r="CS129" s="75"/>
      <c r="CT129" s="75"/>
      <c r="CU129" s="75"/>
      <c r="CV129" s="87"/>
    </row>
    <row r="130" spans="1:100" s="1" customFormat="1" ht="14.25" outlineLevel="1" thickBot="1">
      <c r="A130" s="215"/>
      <c r="B130" s="18" t="s">
        <v>882</v>
      </c>
      <c r="C130" s="19" t="s">
        <v>136</v>
      </c>
      <c r="D130" s="467">
        <v>156840910</v>
      </c>
      <c r="E130" s="19">
        <v>11</v>
      </c>
      <c r="F130" s="188">
        <v>64</v>
      </c>
      <c r="G130" s="20">
        <v>30</v>
      </c>
      <c r="I130" s="34">
        <f t="shared" si="72"/>
        <v>401.97891375</v>
      </c>
      <c r="J130" s="35">
        <f t="shared" si="73"/>
        <v>5.4676743204308114</v>
      </c>
      <c r="K130" s="35">
        <f t="shared" si="74"/>
        <v>0.79927233270962272</v>
      </c>
      <c r="L130" s="35">
        <f t="shared" si="88"/>
        <v>4.6681701604511217</v>
      </c>
      <c r="M130" s="52"/>
      <c r="N130" s="35">
        <f t="shared" si="76"/>
        <v>7.0032739736619316</v>
      </c>
      <c r="O130" s="360">
        <v>122450588</v>
      </c>
      <c r="P130" s="361">
        <v>857555016</v>
      </c>
      <c r="Q130" s="361">
        <v>125358600</v>
      </c>
      <c r="R130" s="361">
        <v>732160056</v>
      </c>
      <c r="S130" s="88"/>
      <c r="T130" s="362">
        <v>75.723365999999999</v>
      </c>
      <c r="U130" s="362">
        <v>71.086760999999996</v>
      </c>
      <c r="V130" s="362">
        <v>44.956665000000001</v>
      </c>
      <c r="W130" s="362">
        <v>50.405192999999997</v>
      </c>
      <c r="X130" s="362">
        <v>50.952564000000002</v>
      </c>
      <c r="Y130" s="88"/>
      <c r="Z130" s="363">
        <v>517.0139999999999</v>
      </c>
      <c r="AA130" s="363">
        <v>227.41200000000001</v>
      </c>
      <c r="AB130" s="36">
        <v>0</v>
      </c>
      <c r="AC130" s="36">
        <v>0</v>
      </c>
      <c r="AD130" s="37"/>
      <c r="AF130" s="34">
        <f t="shared" si="77"/>
        <v>379.86807375000001</v>
      </c>
      <c r="AG130" s="35">
        <f t="shared" si="78"/>
        <v>5.1669250325058682</v>
      </c>
      <c r="AH130" s="35">
        <f t="shared" si="79"/>
        <v>0.79927233270962272</v>
      </c>
      <c r="AI130" s="35">
        <f t="shared" si="85"/>
        <v>4.3674208725261794</v>
      </c>
      <c r="AJ130" s="52"/>
      <c r="AK130" s="35">
        <f t="shared" si="81"/>
        <v>6.6180590655881542</v>
      </c>
      <c r="AL130" s="360">
        <v>122450588</v>
      </c>
      <c r="AM130" s="361">
        <v>810385224</v>
      </c>
      <c r="AN130" s="361">
        <v>125358600</v>
      </c>
      <c r="AO130" s="361">
        <v>684990264</v>
      </c>
      <c r="AP130" s="88"/>
      <c r="AQ130" s="362">
        <v>75.723365999999999</v>
      </c>
      <c r="AR130" s="362">
        <v>71.086760999999996</v>
      </c>
      <c r="AS130" s="362">
        <v>44.949157999999997</v>
      </c>
      <c r="AT130" s="362">
        <v>50.113686000000001</v>
      </c>
      <c r="AU130" s="362">
        <v>50.697902999999997</v>
      </c>
      <c r="AV130" s="88"/>
      <c r="AW130" s="363">
        <v>600.34199999999976</v>
      </c>
      <c r="AX130" s="363">
        <v>310.11699999999996</v>
      </c>
      <c r="AY130" s="36">
        <v>0</v>
      </c>
      <c r="AZ130" s="36">
        <v>0</v>
      </c>
      <c r="BA130" s="37">
        <v>0.97876835937499995</v>
      </c>
      <c r="BC130" s="59" t="e">
        <f t="shared" si="82"/>
        <v>#DIV/0!</v>
      </c>
      <c r="BD130" s="60" t="e">
        <f t="shared" si="83"/>
        <v>#DIV/0!</v>
      </c>
      <c r="BE130" s="60">
        <f t="shared" si="84"/>
        <v>8.5087269896099438E-3</v>
      </c>
      <c r="BF130" s="61"/>
      <c r="BH130" s="77"/>
      <c r="BI130" s="78"/>
      <c r="BJ130" s="78"/>
      <c r="BK130" s="78"/>
      <c r="BL130" s="78"/>
      <c r="BM130" s="88"/>
      <c r="BO130" s="77"/>
      <c r="BP130" s="78"/>
      <c r="BQ130" s="78"/>
      <c r="BR130" s="78"/>
      <c r="BS130" s="78"/>
      <c r="BT130" s="88"/>
      <c r="BV130" s="77"/>
      <c r="BW130" s="78"/>
      <c r="BX130" s="78"/>
      <c r="BY130" s="78"/>
      <c r="BZ130" s="78"/>
      <c r="CA130" s="88"/>
      <c r="CC130" s="77"/>
      <c r="CD130" s="78"/>
      <c r="CE130" s="78"/>
      <c r="CF130" s="78"/>
      <c r="CG130" s="78"/>
      <c r="CH130" s="88"/>
      <c r="CJ130" s="77"/>
      <c r="CK130" s="78"/>
      <c r="CL130" s="78"/>
      <c r="CM130" s="78"/>
      <c r="CN130" s="78"/>
      <c r="CO130" s="88"/>
      <c r="CQ130" s="77"/>
      <c r="CR130" s="78"/>
      <c r="CS130" s="78"/>
      <c r="CT130" s="78"/>
      <c r="CU130" s="78"/>
      <c r="CV130" s="88"/>
    </row>
    <row r="131" spans="1:100" s="1" customFormat="1">
      <c r="A131" s="13"/>
      <c r="B131" s="24" t="s">
        <v>883</v>
      </c>
      <c r="C131" s="25" t="s">
        <v>131</v>
      </c>
      <c r="D131" s="466">
        <v>163936020</v>
      </c>
      <c r="E131" s="28">
        <v>11</v>
      </c>
      <c r="F131" s="28">
        <v>64</v>
      </c>
      <c r="G131" s="29">
        <v>30</v>
      </c>
      <c r="I131" s="42">
        <f t="shared" si="72"/>
        <v>0.67270125000000003</v>
      </c>
      <c r="J131" s="43">
        <f t="shared" si="73"/>
        <v>8.7540004936072016E-3</v>
      </c>
      <c r="K131" s="43">
        <f t="shared" si="74"/>
        <v>5.3518439693729294E-3</v>
      </c>
      <c r="L131" s="43">
        <f t="shared" si="88"/>
        <v>3.1929041585857703E-3</v>
      </c>
      <c r="M131" s="55"/>
      <c r="N131" s="43">
        <f t="shared" si="76"/>
        <v>2.0021401236918948</v>
      </c>
      <c r="O131" s="364">
        <v>716781</v>
      </c>
      <c r="P131" s="365">
        <v>1435096</v>
      </c>
      <c r="Q131" s="365">
        <v>877360</v>
      </c>
      <c r="R131" s="207">
        <v>523432</v>
      </c>
      <c r="S131" s="92"/>
      <c r="T131" s="366">
        <v>52.899951999999999</v>
      </c>
      <c r="U131" s="366">
        <v>48.160580000000003</v>
      </c>
      <c r="V131" s="366">
        <v>21.559683</v>
      </c>
      <c r="W131" s="366">
        <v>36.422381999999999</v>
      </c>
      <c r="X131" s="620">
        <v>36.407207</v>
      </c>
      <c r="Y131" s="92"/>
      <c r="Z131" s="367">
        <v>69.699999999999989</v>
      </c>
      <c r="AA131" s="367">
        <v>1.0230000000000008</v>
      </c>
      <c r="AB131" s="44">
        <v>0</v>
      </c>
      <c r="AC131" s="44">
        <v>0</v>
      </c>
      <c r="AD131" s="45"/>
      <c r="AF131" s="42">
        <f t="shared" si="77"/>
        <v>0.62882249999999995</v>
      </c>
      <c r="AG131" s="43">
        <f t="shared" si="78"/>
        <v>8.1829972449007846E-3</v>
      </c>
      <c r="AH131" s="43">
        <f t="shared" ref="AH131:AH136" si="95">IF(AN131="","·",AN131/$D131)</f>
        <v>5.3518439693729294E-3</v>
      </c>
      <c r="AI131" s="43">
        <f t="shared" si="85"/>
        <v>2.6219009098793541E-3</v>
      </c>
      <c r="AJ131" s="55"/>
      <c r="AK131" s="43">
        <f t="shared" si="81"/>
        <v>1.8715451441932751</v>
      </c>
      <c r="AL131" s="364">
        <v>716781</v>
      </c>
      <c r="AM131" s="365">
        <v>1341488</v>
      </c>
      <c r="AN131" s="365">
        <v>877360</v>
      </c>
      <c r="AO131" s="207">
        <v>429824</v>
      </c>
      <c r="AP131" s="92"/>
      <c r="AQ131" s="366">
        <v>52.899951999999999</v>
      </c>
      <c r="AR131" s="366">
        <v>48.160580000000003</v>
      </c>
      <c r="AS131" s="366">
        <v>21.777241</v>
      </c>
      <c r="AT131" s="366">
        <v>36.422317999999997</v>
      </c>
      <c r="AU131" s="620">
        <v>36.407195999999999</v>
      </c>
      <c r="AV131" s="92"/>
      <c r="AW131" s="367">
        <v>71.210999999999999</v>
      </c>
      <c r="AX131" s="367">
        <v>1.3900000000000001</v>
      </c>
      <c r="AY131" s="44">
        <v>0</v>
      </c>
      <c r="AZ131" s="44">
        <v>0</v>
      </c>
      <c r="BA131" s="45">
        <v>192</v>
      </c>
      <c r="BC131" s="65" t="e">
        <f t="shared" si="82"/>
        <v>#DIV/0!</v>
      </c>
      <c r="BD131" s="66" t="e">
        <f t="shared" si="83"/>
        <v>#DIV/0!</v>
      </c>
      <c r="BE131" s="66">
        <f t="shared" si="84"/>
        <v>4.2660216064133061E-2</v>
      </c>
      <c r="BF131" s="67">
        <f t="array" ref="BF131">AVERAGE(AN131:AN136/AM131:AM136) - AVERAGE(Q131:Q136/P131:P136)</f>
        <v>4.5928254518184164E-2</v>
      </c>
      <c r="BH131" s="83">
        <f>IF( OR(ISBLANK($Q131:$Q136),ISBLANK($AN131:$AN136), ISBLANK($T131:$T136),ISBLANK($AQ131:$AQ136)), "·", bdRateHermite( $Q131:$Q136,$T131:$T136, $AN131:$AN136,$AQ131:$AQ136))</f>
        <v>0</v>
      </c>
      <c r="BI131" s="225">
        <f>IF(OR(ISBLANK(Q131:Q136),ISBLANK(AN131:AN136),ISBLANK(U131:U136),ISBLANK(AR131:AR136)),"·",bdRateHermite(Q131:Q136,U131:U136,AN131:AN136,AR131:AR136))</f>
        <v>0</v>
      </c>
      <c r="BJ131" s="225">
        <f>IF(OR(ISBLANK($R131:$R136),ISBLANK($AO131:$AO136),ISBLANK(V131:V136),ISBLANK(AS131:AS136)),"·",bdRateHermite($R131:$R136,V131:V136,$AO131:$AO136,AS131:AS136))</f>
        <v>-0.22798567186182439</v>
      </c>
      <c r="BK131" s="225">
        <f>IF(OR(ISBLANK($R131:$R136),ISBLANK($AO131:$AO136),ISBLANK(W131:W136),ISBLANK(AT131:AT136)),"·",bdRateHermite($R131:$R136,W131:W136,$AO131:$AO136,AT131:AT136))</f>
        <v>-2.7057978952509831E-2</v>
      </c>
      <c r="BL131" s="225">
        <f>IF(OR(ISBLANK($R131:$R136),ISBLANK($AO131:$AO136),ISBLANK(X131:X136),ISBLANK(AU131:AU136)),"·",bdRateHermite($R131:$R136,X131:X136,$AO131:$AO136,AU131:AU136))</f>
        <v>0.43394049230839471</v>
      </c>
      <c r="BM131" s="92"/>
      <c r="BO131" s="83">
        <f>IF( OR(ISBLANK($P131:$P136),ISBLANK($AM131:$AM136), ISBLANK($T131:$T136),ISBLANK($AQ131:$AQ136)), "·", bdRateHermite($P131:$P136,$T131:$T136, $AM131:$AM136,$AQ131:$AQ136))</f>
        <v>-0.1287158829787487</v>
      </c>
      <c r="BP131" s="84">
        <f>IF( OR(ISBLANK($P131:$P136),ISBLANK($AM131:$AM136), ISBLANK(U131:U136),ISBLANK(AR131:AR136)), "·", bdRateHermite( $P131:$P136,U131:U136, $AM131:$AM136,AR131:AR136))</f>
        <v>-0.13019769258548564</v>
      </c>
      <c r="BQ131" s="84">
        <f>IF( OR(ISBLANK($P131:$P136),ISBLANK($AM131:$AM136), ISBLANK(V131:V136),ISBLANK(AS131:AS136)), "·", bdRateHermite( $P131:$P136,V131:V136, $AM131:$AM136,AS131:AS136))</f>
        <v>-0.14772127841094973</v>
      </c>
      <c r="BR131" s="84">
        <f>IF( OR(ISBLANK($P131:$P136),ISBLANK($AM131:$AM136), ISBLANK(W131:W136),ISBLANK(AT131:AT136)), "·", bdRateHermite( $P131:$P136,W131:W136, $AM131:$AM136,AT131:AT136))</f>
        <v>4.125114921047679E-2</v>
      </c>
      <c r="BS131" s="84">
        <f>IF( OR(ISBLANK($P131:$P136),ISBLANK($AM131:$AM136), ISBLANK(X131:X136),ISBLANK(AU131:AU136)), "·", bdRateHermite( $P131:$P136,X131:X136, $AM131:$AM136,AU131:AU136))</f>
        <v>0.5379899286043055</v>
      </c>
      <c r="BT131" s="92"/>
      <c r="BV131" s="83">
        <f>IF( OR(ISBLANK($Q131:$Q135),ISBLANK($AN131:$AN135), ISBLANK($T131:$T135),ISBLANK($AQ131:$AQ135)), "·", bdRateHermite( $Q132:$Q136,$T132:$T136, $AN132:$AN136,$AQ132:$AQ136))</f>
        <v>0</v>
      </c>
      <c r="BW131" s="84">
        <f>IF(OR(ISBLANK($Q131:$Q136),ISBLANK($AN131:$AN136),ISBLANK(U131:U136),ISBLANK(AR131:AR136)),"·",bdRateHermite($Q132:$Q136,U132:U136,$AN132:$AN136,AR132:AR136))</f>
        <v>0</v>
      </c>
      <c r="BX131" s="225">
        <f>IF(OR(ISBLANK($R131:$R136),ISBLANK($AO131:$AO136),ISBLANK($V131:$V136),ISBLANK($AS131:$AS136)),"·",bdRateHermite($R132:$R136,$V132:$V136,$AO132:$AO136,$AS132:$AS136))</f>
        <v>-0.23756956079856817</v>
      </c>
      <c r="BY131" s="225">
        <f>IF(OR(ISBLANK($R131:$R136),ISBLANK($AO131:$AO136),ISBLANK($W131:$W136),ISBLANK($AT131:$AT136)),"·",bdRateHermite($R132:$R136,$W132:$W136,$AO132:$AO136,$AT132:$AT136))</f>
        <v>5.9027168324005563E-2</v>
      </c>
      <c r="BZ131" s="225">
        <f>IF(OR(ISBLANK($R131:$R136),ISBLANK($AO131:$AO136),ISBLANK($X131:$X136),ISBLANK($AU131:$AU136)),"·",bdRateHermite($R132:$R136,$X132:$X136,$AO132:$AO136,$AU132:$AU136))</f>
        <v>0.12611369711288756</v>
      </c>
      <c r="CA131" s="92"/>
      <c r="CC131" s="83">
        <f>IF( OR(ISBLANK($P131:$P136),ISBLANK($AM131:$AM136), ISBLANK($T131:$T136),ISBLANK($AQ131:$AQ136)), "·", bdRateHermite($P132:$P136,$T132:$T136, $AM132:$AM136,$AQ132:$AQ136))</f>
        <v>-0.15312504722359022</v>
      </c>
      <c r="CD131" s="84">
        <f>IF( OR(ISBLANK($P131:$P136),ISBLANK($AM131:$AM136), ISBLANK(U131:U136),ISBLANK(AR131:AR136)), "·", bdRateHermite( $P132:$P136,U132:U136, $AM132:$AM136,AR132:AR136))</f>
        <v>-0.15531902753406068</v>
      </c>
      <c r="CE131" s="84">
        <f>IF( OR(ISBLANK($P131:$P136),ISBLANK($AM131:$AM136), ISBLANK(V131:V136),ISBLANK(AS131:AS136)), "·", bdRateHermite( $P132:$P136,V132:V136, $AM132:$AM136,AS132:AS136))</f>
        <v>-0.16049925569076418</v>
      </c>
      <c r="CF131" s="84">
        <f>IF( OR(ISBLANK($P131:$P136),ISBLANK($AM131:$AM136), ISBLANK(W131:W136),ISBLANK(AT131:AT136)), "·", bdRateHermite( $P132:$P136,W132:W136, $AM132:$AM136,AT132:AT136))</f>
        <v>0.1168560765894715</v>
      </c>
      <c r="CG131" s="84">
        <f>IF( OR(ISBLANK($P131:$P136),ISBLANK($AM131:$AM136), ISBLANK(X131:X136),ISBLANK(AU131:AU136)), "·", bdRateHermite( $P132:$P136,X132:X136, $AM132:$AM136,AU132:AU136))</f>
        <v>0.18681712448749632</v>
      </c>
      <c r="CH131" s="92"/>
      <c r="CJ131" s="83">
        <f>IF( OR(ISBLANK($Q131:$Q135),ISBLANK($AN131:$AN135), ISBLANK($T131:$T135),ISBLANK($AQ131:$AQ135)), "·", bdRateHermite( $Q131:$Q135,$T131:$T135, $AN131:$AN135,$AQ131:$AQ135))</f>
        <v>0</v>
      </c>
      <c r="CK131" s="84">
        <f>IF(OR(ISBLANK($Q131:$Q135),ISBLANK($AN131:$AN135),ISBLANK(U131:U135),ISBLANK(AR131:AR135)),"·",bdRateHermite($Q131:$Q135,U131:U135,$AN131:$AN135,AR131:AR135))</f>
        <v>0</v>
      </c>
      <c r="CL131" s="225">
        <f>IF(OR(ISBLANK($R131:$R136),ISBLANK($AO131:$AO136),ISBLANK($V131:$V136),ISBLANK($AS131:$AS136)),"·",bdRateHermite($R131:$R135,$V131:$V135,$AO131:$AO135,$AS131:$AS135))</f>
        <v>-0.2448349666182501</v>
      </c>
      <c r="CM131" s="225">
        <f>IF(OR(ISBLANK($R131:$R136),ISBLANK($AO131:$AO136),ISBLANK($W131:$W136),ISBLANK($AT131:$AT136)),"·",bdRateHermite($R131:$R135,$W131:$W135,$AO131:$AO135,$AT131:$AT135))</f>
        <v>4.9021794781468175E-2</v>
      </c>
      <c r="CN131" s="225">
        <f>IF(OR(ISBLANK($R131:$R136),ISBLANK($AO131:$AO136),ISBLANK($X131:$X136),ISBLANK($AU131:$AU136)),"·",bdRateHermite($R131:$R135,$X131:$X135,$AO131:$AO135,$AU131:$AU135))</f>
        <v>0.66069342885966886</v>
      </c>
      <c r="CO131" s="92"/>
      <c r="CQ131" s="83">
        <f>IF( OR(ISBLANK($P131:$P135),ISBLANK($AM131:$AM135), ISBLANK($T131:$T135),ISBLANK($AQ131:$AQ135)), "·", bdRateHermite($P131:$P135,$T131:$T135, $AM131:$AM135,$AQ131:$AQ135))</f>
        <v>-0.12936889333256074</v>
      </c>
      <c r="CR131" s="84">
        <f>IF( OR(ISBLANK($P131:$P135),ISBLANK($AM131:$AM135), ISBLANK(U131:U135),ISBLANK(AR131:AR135)), "·", bdRateHermite( $P131:$P135,U131:U135, $AM131:$AM135,AR131:AR135))</f>
        <v>-0.13082920244704777</v>
      </c>
      <c r="CS131" s="84">
        <f>IF( OR(ISBLANK($P131:$P135),ISBLANK($AM131:$AM135), ISBLANK(V131:V135),ISBLANK(AS131:AS135)), "·", bdRateHermite( $P131:$P135,V131:V135, $AM131:$AM135,AS131:AS135))</f>
        <v>-0.15459172812809452</v>
      </c>
      <c r="CT131" s="84">
        <f>IF( OR(ISBLANK($P131:$P135),ISBLANK($AM131:$AM135), ISBLANK(W131:W135),ISBLANK(AT131:AT135)), "·", bdRateHermite( $P131:$P135,W131:W135, $AM131:$AM135,AT131:AT135))</f>
        <v>0.13488208608303398</v>
      </c>
      <c r="CU131" s="84">
        <f>IF( OR(ISBLANK($P131:$P135),ISBLANK($AM131:$AM135), ISBLANK(X131:X135),ISBLANK(AU131:AU135)), "·", bdRateHermite( $P131:$P135,X131:X135, $AM131:$AM135,AU131:AU135))</f>
        <v>0.79539792867142456</v>
      </c>
      <c r="CV131" s="92"/>
    </row>
    <row r="132" spans="1:100" s="1" customFormat="1" outlineLevel="1">
      <c r="A132" s="13"/>
      <c r="B132" s="24" t="s">
        <v>883</v>
      </c>
      <c r="C132" s="15" t="s">
        <v>132</v>
      </c>
      <c r="D132" s="465">
        <v>163936020</v>
      </c>
      <c r="E132" s="15">
        <v>11</v>
      </c>
      <c r="F132" s="25">
        <v>64</v>
      </c>
      <c r="G132" s="16">
        <v>30</v>
      </c>
      <c r="I132" s="30">
        <f t="shared" si="72"/>
        <v>2.9644762500000001</v>
      </c>
      <c r="J132" s="31">
        <f t="shared" si="73"/>
        <v>3.857734255107572E-2</v>
      </c>
      <c r="K132" s="31">
        <f t="shared" si="74"/>
        <v>1.9628535571377174E-2</v>
      </c>
      <c r="L132" s="31">
        <f t="shared" si="88"/>
        <v>1.8733991468134946E-2</v>
      </c>
      <c r="M132" s="51"/>
      <c r="N132" s="31">
        <f t="shared" si="76"/>
        <v>2.1959899204588504</v>
      </c>
      <c r="O132" s="356">
        <v>2879893</v>
      </c>
      <c r="P132" s="357">
        <v>6324216</v>
      </c>
      <c r="Q132" s="357">
        <v>3217824</v>
      </c>
      <c r="R132" s="208">
        <v>3071176</v>
      </c>
      <c r="S132" s="87"/>
      <c r="T132" s="358">
        <v>58.817439999999998</v>
      </c>
      <c r="U132" s="358">
        <v>54.181156000000001</v>
      </c>
      <c r="V132" s="358">
        <v>26.377714000000001</v>
      </c>
      <c r="W132" s="358">
        <v>36.455047999999998</v>
      </c>
      <c r="X132" s="621">
        <v>36.843814999999999</v>
      </c>
      <c r="Y132" s="87"/>
      <c r="Z132" s="359">
        <v>87.766999999999996</v>
      </c>
      <c r="AA132" s="359">
        <v>4.3069999999999986</v>
      </c>
      <c r="AB132" s="32">
        <v>0</v>
      </c>
      <c r="AC132" s="32">
        <v>0</v>
      </c>
      <c r="AD132" s="33"/>
      <c r="AF132" s="30">
        <f t="shared" si="77"/>
        <v>2.7320962500000001</v>
      </c>
      <c r="AG132" s="31">
        <f t="shared" si="78"/>
        <v>3.5553333550491222E-2</v>
      </c>
      <c r="AH132" s="31">
        <f t="shared" si="95"/>
        <v>1.9628535571377174E-2</v>
      </c>
      <c r="AI132" s="31">
        <f t="shared" si="85"/>
        <v>1.5709982467550451E-2</v>
      </c>
      <c r="AJ132" s="51"/>
      <c r="AK132" s="31">
        <f t="shared" si="81"/>
        <v>2.0238501916564262</v>
      </c>
      <c r="AL132" s="356">
        <v>2879893</v>
      </c>
      <c r="AM132" s="357">
        <v>5828472</v>
      </c>
      <c r="AN132" s="357">
        <v>3217824</v>
      </c>
      <c r="AO132" s="208">
        <v>2575432</v>
      </c>
      <c r="AP132" s="87"/>
      <c r="AQ132" s="358">
        <v>58.817439999999998</v>
      </c>
      <c r="AR132" s="358">
        <v>54.181156000000001</v>
      </c>
      <c r="AS132" s="358">
        <v>26.514887000000002</v>
      </c>
      <c r="AT132" s="358">
        <v>35.730975999999998</v>
      </c>
      <c r="AU132" s="621">
        <v>35.977707000000002</v>
      </c>
      <c r="AV132" s="87"/>
      <c r="AW132" s="359">
        <v>91.730999999999995</v>
      </c>
      <c r="AX132" s="359">
        <v>5.8950000000000022</v>
      </c>
      <c r="AY132" s="32">
        <v>0</v>
      </c>
      <c r="AZ132" s="32">
        <v>0</v>
      </c>
      <c r="BA132" s="33">
        <v>48</v>
      </c>
      <c r="BC132" s="56" t="e">
        <f t="shared" si="82"/>
        <v>#DIV/0!</v>
      </c>
      <c r="BD132" s="57" t="e">
        <f t="shared" si="83"/>
        <v>#DIV/0!</v>
      </c>
      <c r="BE132" s="57">
        <f t="shared" si="84"/>
        <v>4.3277119244285234E-2</v>
      </c>
      <c r="BF132" s="58"/>
      <c r="BH132" s="74"/>
      <c r="BI132" s="75"/>
      <c r="BJ132" s="75"/>
      <c r="BK132" s="75"/>
      <c r="BL132" s="75"/>
      <c r="BM132" s="87"/>
      <c r="BO132" s="74"/>
      <c r="BP132" s="75"/>
      <c r="BQ132" s="75"/>
      <c r="BR132" s="75"/>
      <c r="BS132" s="75"/>
      <c r="BT132" s="87"/>
      <c r="BV132" s="74"/>
      <c r="BW132" s="75"/>
      <c r="BX132" s="75"/>
      <c r="BY132" s="75"/>
      <c r="BZ132" s="75"/>
      <c r="CA132" s="87"/>
      <c r="CC132" s="74"/>
      <c r="CD132" s="75"/>
      <c r="CE132" s="75"/>
      <c r="CF132" s="75"/>
      <c r="CG132" s="75"/>
      <c r="CH132" s="87"/>
      <c r="CJ132" s="74"/>
      <c r="CK132" s="75"/>
      <c r="CL132" s="75"/>
      <c r="CM132" s="75"/>
      <c r="CN132" s="75"/>
      <c r="CO132" s="87"/>
      <c r="CQ132" s="74"/>
      <c r="CR132" s="75"/>
      <c r="CS132" s="75"/>
      <c r="CT132" s="75"/>
      <c r="CU132" s="75"/>
      <c r="CV132" s="87"/>
    </row>
    <row r="133" spans="1:100" s="1" customFormat="1" outlineLevel="1">
      <c r="A133" s="13"/>
      <c r="B133" s="24" t="s">
        <v>883</v>
      </c>
      <c r="C133" s="15" t="s">
        <v>133</v>
      </c>
      <c r="D133" s="465">
        <v>163936020</v>
      </c>
      <c r="E133" s="15">
        <v>11</v>
      </c>
      <c r="F133" s="25">
        <v>64</v>
      </c>
      <c r="G133" s="16">
        <v>30</v>
      </c>
      <c r="I133" s="30">
        <f t="shared" si="72"/>
        <v>14.4203475</v>
      </c>
      <c r="J133" s="31">
        <f t="shared" si="73"/>
        <v>0.18765496441843593</v>
      </c>
      <c r="K133" s="31">
        <f t="shared" si="74"/>
        <v>7.1804939512378055E-2</v>
      </c>
      <c r="L133" s="31">
        <f t="shared" si="88"/>
        <v>0.11563452620113628</v>
      </c>
      <c r="M133" s="51"/>
      <c r="N133" s="31">
        <f t="shared" si="76"/>
        <v>2.7036418749841258</v>
      </c>
      <c r="O133" s="356">
        <v>11378507</v>
      </c>
      <c r="P133" s="357">
        <v>30763408</v>
      </c>
      <c r="Q133" s="357">
        <v>11771416</v>
      </c>
      <c r="R133" s="208">
        <v>18956664</v>
      </c>
      <c r="S133" s="87"/>
      <c r="T133" s="358">
        <v>64.461928999999998</v>
      </c>
      <c r="U133" s="358">
        <v>60.201720999999999</v>
      </c>
      <c r="V133" s="358">
        <v>31.245301999999999</v>
      </c>
      <c r="W133" s="358">
        <v>38.713920999999999</v>
      </c>
      <c r="X133" s="621">
        <v>40.463734000000002</v>
      </c>
      <c r="Y133" s="87"/>
      <c r="Z133" s="359">
        <v>140.38800000000001</v>
      </c>
      <c r="AA133" s="359">
        <v>16.556999999999995</v>
      </c>
      <c r="AB133" s="32">
        <v>0</v>
      </c>
      <c r="AC133" s="32">
        <v>0</v>
      </c>
      <c r="AD133" s="33"/>
      <c r="AF133" s="30">
        <f t="shared" si="77"/>
        <v>11.8737975</v>
      </c>
      <c r="AG133" s="31">
        <f t="shared" si="78"/>
        <v>0.15451618259367284</v>
      </c>
      <c r="AH133" s="31">
        <f t="shared" si="95"/>
        <v>7.1804939512378055E-2</v>
      </c>
      <c r="AI133" s="31">
        <f t="shared" si="85"/>
        <v>8.2495744376373178E-2</v>
      </c>
      <c r="AJ133" s="51"/>
      <c r="AK133" s="31">
        <f t="shared" si="81"/>
        <v>2.2261943504538864</v>
      </c>
      <c r="AL133" s="356">
        <v>11378507</v>
      </c>
      <c r="AM133" s="357">
        <v>25330768</v>
      </c>
      <c r="AN133" s="357">
        <v>11771416</v>
      </c>
      <c r="AO133" s="208">
        <v>13524024</v>
      </c>
      <c r="AP133" s="87"/>
      <c r="AQ133" s="358">
        <v>64.461928999999998</v>
      </c>
      <c r="AR133" s="358">
        <v>60.201720999999999</v>
      </c>
      <c r="AS133" s="358">
        <v>31.312180999999999</v>
      </c>
      <c r="AT133" s="358">
        <v>36.998992999999999</v>
      </c>
      <c r="AU133" s="621">
        <v>37.921055000000003</v>
      </c>
      <c r="AV133" s="87"/>
      <c r="AW133" s="359">
        <v>129.35500000000002</v>
      </c>
      <c r="AX133" s="359">
        <v>24.786999999999995</v>
      </c>
      <c r="AY133" s="32">
        <v>0</v>
      </c>
      <c r="AZ133" s="32">
        <v>0</v>
      </c>
      <c r="BA133" s="33">
        <v>12</v>
      </c>
      <c r="BC133" s="56" t="e">
        <f t="shared" si="82"/>
        <v>#DIV/0!</v>
      </c>
      <c r="BD133" s="57" t="e">
        <f t="shared" si="83"/>
        <v>#DIV/0!</v>
      </c>
      <c r="BE133" s="57">
        <f t="shared" si="84"/>
        <v>8.2064784273193636E-2</v>
      </c>
      <c r="BF133" s="58"/>
      <c r="BH133" s="74"/>
      <c r="BI133" s="75"/>
      <c r="BJ133" s="75"/>
      <c r="BK133" s="75"/>
      <c r="BL133" s="75"/>
      <c r="BM133" s="87"/>
      <c r="BO133" s="74"/>
      <c r="BP133" s="75"/>
      <c r="BQ133" s="75"/>
      <c r="BR133" s="75"/>
      <c r="BS133" s="75"/>
      <c r="BT133" s="87"/>
      <c r="BV133" s="74"/>
      <c r="BW133" s="75"/>
      <c r="BX133" s="75"/>
      <c r="BY133" s="75"/>
      <c r="BZ133" s="75"/>
      <c r="CA133" s="87"/>
      <c r="CC133" s="74"/>
      <c r="CD133" s="75"/>
      <c r="CE133" s="75"/>
      <c r="CF133" s="75"/>
      <c r="CG133" s="75"/>
      <c r="CH133" s="87"/>
      <c r="CJ133" s="74"/>
      <c r="CK133" s="75"/>
      <c r="CL133" s="75"/>
      <c r="CM133" s="75"/>
      <c r="CN133" s="75"/>
      <c r="CO133" s="87"/>
      <c r="CQ133" s="74"/>
      <c r="CR133" s="75"/>
      <c r="CS133" s="75"/>
      <c r="CT133" s="75"/>
      <c r="CU133" s="75"/>
      <c r="CV133" s="87"/>
    </row>
    <row r="134" spans="1:100" s="1" customFormat="1" outlineLevel="1">
      <c r="A134" s="13"/>
      <c r="B134" s="24" t="s">
        <v>883</v>
      </c>
      <c r="C134" s="15" t="s">
        <v>134</v>
      </c>
      <c r="D134" s="465">
        <v>163936020</v>
      </c>
      <c r="E134" s="15">
        <v>11</v>
      </c>
      <c r="F134" s="25">
        <v>64</v>
      </c>
      <c r="G134" s="16">
        <v>30</v>
      </c>
      <c r="I134" s="30">
        <f t="shared" si="72"/>
        <v>67.063305</v>
      </c>
      <c r="J134" s="31">
        <f t="shared" si="73"/>
        <v>0.8727086579264276</v>
      </c>
      <c r="K134" s="31">
        <f t="shared" si="74"/>
        <v>0.26039841640659567</v>
      </c>
      <c r="L134" s="31">
        <f t="shared" si="88"/>
        <v>0.61208961886472535</v>
      </c>
      <c r="M134" s="51"/>
      <c r="N134" s="31">
        <f t="shared" si="76"/>
        <v>3.2445951152224142</v>
      </c>
      <c r="O134" s="356">
        <v>44094372</v>
      </c>
      <c r="P134" s="357">
        <v>143068384</v>
      </c>
      <c r="Q134" s="357">
        <v>42688680</v>
      </c>
      <c r="R134" s="208">
        <v>100343536</v>
      </c>
      <c r="S134" s="87"/>
      <c r="T134" s="358">
        <v>69.232819000000006</v>
      </c>
      <c r="U134" s="358">
        <v>66.222389000000007</v>
      </c>
      <c r="V134" s="358">
        <v>35.701630000000002</v>
      </c>
      <c r="W134" s="358">
        <v>43.352760000000004</v>
      </c>
      <c r="X134" s="621">
        <v>45.53566</v>
      </c>
      <c r="Y134" s="87"/>
      <c r="Z134" s="359">
        <v>261.983</v>
      </c>
      <c r="AA134" s="359">
        <v>80.505000000000024</v>
      </c>
      <c r="AB134" s="32">
        <v>0</v>
      </c>
      <c r="AC134" s="32">
        <v>0</v>
      </c>
      <c r="AD134" s="33"/>
      <c r="AF134" s="30">
        <f t="shared" si="77"/>
        <v>55.670268749999998</v>
      </c>
      <c r="AG134" s="31">
        <f t="shared" si="78"/>
        <v>0.72444872090953527</v>
      </c>
      <c r="AH134" s="31">
        <f t="shared" si="95"/>
        <v>0.26039841640659567</v>
      </c>
      <c r="AI134" s="31">
        <f t="shared" si="85"/>
        <v>0.46382968184783308</v>
      </c>
      <c r="AJ134" s="51"/>
      <c r="AK134" s="31">
        <f t="shared" si="81"/>
        <v>2.6933877185052095</v>
      </c>
      <c r="AL134" s="356">
        <v>44094372</v>
      </c>
      <c r="AM134" s="357">
        <v>118763240</v>
      </c>
      <c r="AN134" s="357">
        <v>42688680</v>
      </c>
      <c r="AO134" s="208">
        <v>76038392</v>
      </c>
      <c r="AP134" s="87"/>
      <c r="AQ134" s="358">
        <v>69.232819000000006</v>
      </c>
      <c r="AR134" s="358">
        <v>66.222389000000007</v>
      </c>
      <c r="AS134" s="358">
        <v>35.712100999999997</v>
      </c>
      <c r="AT134" s="358">
        <v>42.726745999999999</v>
      </c>
      <c r="AU134" s="621">
        <v>45.057898999999999</v>
      </c>
      <c r="AV134" s="87"/>
      <c r="AW134" s="359">
        <v>265.70600000000002</v>
      </c>
      <c r="AX134" s="359">
        <v>102.69399999999997</v>
      </c>
      <c r="AY134" s="32">
        <v>0</v>
      </c>
      <c r="AZ134" s="32">
        <v>0</v>
      </c>
      <c r="BA134" s="33">
        <v>3</v>
      </c>
      <c r="BC134" s="56" t="e">
        <f t="shared" si="82"/>
        <v>#DIV/0!</v>
      </c>
      <c r="BD134" s="57" t="e">
        <f t="shared" si="83"/>
        <v>#DIV/0!</v>
      </c>
      <c r="BE134" s="57">
        <f t="shared" si="84"/>
        <v>6.1063995248819891E-2</v>
      </c>
      <c r="BF134" s="58"/>
      <c r="BH134" s="74"/>
      <c r="BI134" s="75"/>
      <c r="BJ134" s="75"/>
      <c r="BK134" s="75"/>
      <c r="BL134" s="75"/>
      <c r="BM134" s="87"/>
      <c r="BO134" s="74"/>
      <c r="BP134" s="75"/>
      <c r="BQ134" s="75"/>
      <c r="BR134" s="75"/>
      <c r="BS134" s="75"/>
      <c r="BT134" s="87"/>
      <c r="BV134" s="74"/>
      <c r="BW134" s="75"/>
      <c r="BX134" s="75"/>
      <c r="BY134" s="75"/>
      <c r="BZ134" s="75"/>
      <c r="CA134" s="87"/>
      <c r="CC134" s="74"/>
      <c r="CD134" s="75"/>
      <c r="CE134" s="75"/>
      <c r="CF134" s="75"/>
      <c r="CG134" s="75"/>
      <c r="CH134" s="87"/>
      <c r="CJ134" s="74"/>
      <c r="CK134" s="75"/>
      <c r="CL134" s="75"/>
      <c r="CM134" s="75"/>
      <c r="CN134" s="75"/>
      <c r="CO134" s="87"/>
      <c r="CQ134" s="74"/>
      <c r="CR134" s="75"/>
      <c r="CS134" s="75"/>
      <c r="CT134" s="75"/>
      <c r="CU134" s="75"/>
      <c r="CV134" s="87"/>
    </row>
    <row r="135" spans="1:100" s="1" customFormat="1" outlineLevel="1">
      <c r="A135" s="13"/>
      <c r="B135" s="24" t="s">
        <v>883</v>
      </c>
      <c r="C135" s="15" t="s">
        <v>135</v>
      </c>
      <c r="D135" s="465">
        <v>163936020</v>
      </c>
      <c r="E135" s="15">
        <v>11</v>
      </c>
      <c r="F135" s="25">
        <v>64</v>
      </c>
      <c r="G135" s="16">
        <v>30</v>
      </c>
      <c r="I135" s="30">
        <f t="shared" si="72"/>
        <v>205.41194625</v>
      </c>
      <c r="J135" s="31">
        <f t="shared" si="73"/>
        <v>2.6730681396315465</v>
      </c>
      <c r="K135" s="31">
        <f t="shared" si="74"/>
        <v>0.58922713873375721</v>
      </c>
      <c r="L135" s="31">
        <f t="shared" si="88"/>
        <v>2.0836186214597623</v>
      </c>
      <c r="M135" s="51"/>
      <c r="N135" s="31">
        <f t="shared" si="76"/>
        <v>4.5785380076186559</v>
      </c>
      <c r="O135" s="356">
        <v>95710061</v>
      </c>
      <c r="P135" s="357">
        <v>438212152</v>
      </c>
      <c r="Q135" s="357">
        <v>96595552</v>
      </c>
      <c r="R135" s="208">
        <v>341580144</v>
      </c>
      <c r="S135" s="87"/>
      <c r="T135" s="358">
        <v>74.013855000000007</v>
      </c>
      <c r="U135" s="358">
        <v>69.747032000000004</v>
      </c>
      <c r="V135" s="358">
        <v>38.452717</v>
      </c>
      <c r="W135" s="358">
        <v>46.126759</v>
      </c>
      <c r="X135" s="621">
        <v>48.614384000000001</v>
      </c>
      <c r="Y135" s="87"/>
      <c r="Z135" s="359">
        <v>483.11500000000001</v>
      </c>
      <c r="AA135" s="359">
        <v>202.244</v>
      </c>
      <c r="AB135" s="32">
        <v>0</v>
      </c>
      <c r="AC135" s="32">
        <v>0</v>
      </c>
      <c r="AD135" s="33"/>
      <c r="AF135" s="30">
        <f t="shared" si="77"/>
        <v>176.39260125000001</v>
      </c>
      <c r="AG135" s="31">
        <f t="shared" si="78"/>
        <v>2.2954334013964717</v>
      </c>
      <c r="AH135" s="31">
        <f t="shared" si="95"/>
        <v>0.58922713873375721</v>
      </c>
      <c r="AI135" s="31">
        <f t="shared" si="85"/>
        <v>1.7059838832246872</v>
      </c>
      <c r="AJ135" s="51"/>
      <c r="AK135" s="31">
        <f t="shared" si="81"/>
        <v>3.931710126065012</v>
      </c>
      <c r="AL135" s="356">
        <v>95710061</v>
      </c>
      <c r="AM135" s="357">
        <v>376304216</v>
      </c>
      <c r="AN135" s="357">
        <v>96595552</v>
      </c>
      <c r="AO135" s="208">
        <v>279672208</v>
      </c>
      <c r="AP135" s="87"/>
      <c r="AQ135" s="358">
        <v>74.013855000000007</v>
      </c>
      <c r="AR135" s="358">
        <v>69.747032000000004</v>
      </c>
      <c r="AS135" s="358">
        <v>38.480598000000001</v>
      </c>
      <c r="AT135" s="358">
        <v>46.366604000000002</v>
      </c>
      <c r="AU135" s="621">
        <v>48.771366</v>
      </c>
      <c r="AV135" s="87"/>
      <c r="AW135" s="359">
        <v>534.55900000000008</v>
      </c>
      <c r="AX135" s="359">
        <v>264.29900000000004</v>
      </c>
      <c r="AY135" s="32">
        <v>0</v>
      </c>
      <c r="AZ135" s="32">
        <v>0</v>
      </c>
      <c r="BA135" s="33">
        <v>1.3324596093749999</v>
      </c>
      <c r="BC135" s="56" t="e">
        <f t="shared" si="82"/>
        <v>#DIV/0!</v>
      </c>
      <c r="BD135" s="57" t="e">
        <f t="shared" si="83"/>
        <v>#DIV/0!</v>
      </c>
      <c r="BE135" s="57">
        <f t="shared" si="84"/>
        <v>3.6264354607138866E-2</v>
      </c>
      <c r="BF135" s="58"/>
      <c r="BH135" s="74"/>
      <c r="BI135" s="75"/>
      <c r="BJ135" s="75"/>
      <c r="BK135" s="75"/>
      <c r="BL135" s="75"/>
      <c r="BM135" s="87"/>
      <c r="BO135" s="74"/>
      <c r="BP135" s="75"/>
      <c r="BQ135" s="75"/>
      <c r="BR135" s="75"/>
      <c r="BS135" s="75"/>
      <c r="BT135" s="87"/>
      <c r="BV135" s="74"/>
      <c r="BW135" s="75"/>
      <c r="BX135" s="75"/>
      <c r="BY135" s="75"/>
      <c r="BZ135" s="75"/>
      <c r="CA135" s="87"/>
      <c r="CC135" s="74"/>
      <c r="CD135" s="75"/>
      <c r="CE135" s="75"/>
      <c r="CF135" s="75"/>
      <c r="CG135" s="75"/>
      <c r="CH135" s="87"/>
      <c r="CJ135" s="74"/>
      <c r="CK135" s="75"/>
      <c r="CL135" s="75"/>
      <c r="CM135" s="75"/>
      <c r="CN135" s="75"/>
      <c r="CO135" s="87"/>
      <c r="CQ135" s="74"/>
      <c r="CR135" s="75"/>
      <c r="CS135" s="75"/>
      <c r="CT135" s="75"/>
      <c r="CU135" s="75"/>
      <c r="CV135" s="87"/>
    </row>
    <row r="136" spans="1:100" s="1" customFormat="1" ht="14.25" outlineLevel="1" thickBot="1">
      <c r="A136" s="17"/>
      <c r="B136" s="18" t="s">
        <v>883</v>
      </c>
      <c r="C136" s="19" t="s">
        <v>136</v>
      </c>
      <c r="D136" s="467">
        <v>163936020</v>
      </c>
      <c r="E136" s="19">
        <v>11</v>
      </c>
      <c r="F136" s="189">
        <v>64</v>
      </c>
      <c r="G136" s="20">
        <v>30</v>
      </c>
      <c r="I136" s="34">
        <f t="shared" si="72"/>
        <v>402.25540124999998</v>
      </c>
      <c r="J136" s="35">
        <f t="shared" si="73"/>
        <v>5.2346327305005937</v>
      </c>
      <c r="K136" s="35">
        <f t="shared" si="74"/>
        <v>0.78394183291750041</v>
      </c>
      <c r="L136" s="35">
        <f t="shared" si="88"/>
        <v>4.4504694453360525</v>
      </c>
      <c r="M136" s="52"/>
      <c r="N136" s="35">
        <f t="shared" si="76"/>
        <v>6.7101831946901793</v>
      </c>
      <c r="O136" s="360">
        <v>127886949</v>
      </c>
      <c r="P136" s="361">
        <v>858144856</v>
      </c>
      <c r="Q136" s="361">
        <v>128516304</v>
      </c>
      <c r="R136" s="209">
        <v>729592248</v>
      </c>
      <c r="S136" s="88"/>
      <c r="T136" s="362">
        <v>75.725516999999996</v>
      </c>
      <c r="U136" s="362">
        <v>71.086639000000005</v>
      </c>
      <c r="V136" s="362">
        <v>41.766758000000003</v>
      </c>
      <c r="W136" s="362">
        <v>49.755904999999998</v>
      </c>
      <c r="X136" s="622">
        <v>51.718913999999998</v>
      </c>
      <c r="Y136" s="88"/>
      <c r="Z136" s="363">
        <v>624.14799999999991</v>
      </c>
      <c r="AA136" s="363">
        <v>287.97499999999997</v>
      </c>
      <c r="AB136" s="36">
        <v>0</v>
      </c>
      <c r="AC136" s="36">
        <v>0</v>
      </c>
      <c r="AD136" s="37"/>
      <c r="AF136" s="34">
        <f t="shared" si="77"/>
        <v>376.5133725</v>
      </c>
      <c r="AG136" s="35">
        <f t="shared" si="78"/>
        <v>4.8996463864378308</v>
      </c>
      <c r="AH136" s="35">
        <f t="shared" si="95"/>
        <v>0.78394183291750041</v>
      </c>
      <c r="AI136" s="35">
        <f t="shared" si="85"/>
        <v>4.1154831012732895</v>
      </c>
      <c r="AJ136" s="52"/>
      <c r="AK136" s="35">
        <f t="shared" si="81"/>
        <v>6.2807701198657888</v>
      </c>
      <c r="AL136" s="360">
        <v>127886949</v>
      </c>
      <c r="AM136" s="361">
        <v>803228528</v>
      </c>
      <c r="AN136" s="361">
        <v>128516304</v>
      </c>
      <c r="AO136" s="209">
        <v>674675920</v>
      </c>
      <c r="AP136" s="88"/>
      <c r="AQ136" s="362">
        <v>75.725516999999996</v>
      </c>
      <c r="AR136" s="362">
        <v>71.086639000000005</v>
      </c>
      <c r="AS136" s="362">
        <v>41.764156</v>
      </c>
      <c r="AT136" s="362">
        <v>49.877502</v>
      </c>
      <c r="AU136" s="622">
        <v>52.014640999999997</v>
      </c>
      <c r="AV136" s="88"/>
      <c r="AW136" s="363">
        <v>674.4849999999999</v>
      </c>
      <c r="AX136" s="363">
        <v>366.25899999999996</v>
      </c>
      <c r="AY136" s="36">
        <v>0</v>
      </c>
      <c r="AZ136" s="36">
        <v>0</v>
      </c>
      <c r="BA136" s="37">
        <v>0.97879993750000005</v>
      </c>
      <c r="BC136" s="59" t="e">
        <f t="shared" si="82"/>
        <v>#DIV/0!</v>
      </c>
      <c r="BD136" s="60" t="e">
        <f t="shared" si="83"/>
        <v>#DIV/0!</v>
      </c>
      <c r="BE136" s="60">
        <f t="shared" si="84"/>
        <v>1.0239057671533963E-2</v>
      </c>
      <c r="BF136" s="61"/>
      <c r="BH136" s="77"/>
      <c r="BI136" s="78"/>
      <c r="BJ136" s="78"/>
      <c r="BK136" s="78"/>
      <c r="BL136" s="78"/>
      <c r="BM136" s="88"/>
      <c r="BO136" s="77"/>
      <c r="BP136" s="78"/>
      <c r="BQ136" s="78"/>
      <c r="BR136" s="78"/>
      <c r="BS136" s="78"/>
      <c r="BT136" s="88"/>
      <c r="BV136" s="77"/>
      <c r="BW136" s="78"/>
      <c r="BX136" s="78"/>
      <c r="BY136" s="78"/>
      <c r="BZ136" s="78"/>
      <c r="CA136" s="88"/>
      <c r="CC136" s="77"/>
      <c r="CD136" s="78"/>
      <c r="CE136" s="78"/>
      <c r="CF136" s="78"/>
      <c r="CG136" s="78"/>
      <c r="CH136" s="88"/>
      <c r="CJ136" s="77"/>
      <c r="CK136" s="78"/>
      <c r="CL136" s="78"/>
      <c r="CM136" s="78"/>
      <c r="CN136" s="78"/>
      <c r="CO136" s="88"/>
      <c r="CQ136" s="77"/>
      <c r="CR136" s="78"/>
      <c r="CS136" s="78"/>
      <c r="CT136" s="78"/>
      <c r="CU136" s="78"/>
      <c r="CV136" s="88"/>
    </row>
    <row r="137" spans="1:100" s="1" customFormat="1">
      <c r="B137" s="6" t="s">
        <v>1125</v>
      </c>
      <c r="D137" s="471"/>
      <c r="J137" s="7">
        <f>AVERAGE(J5:J40)</f>
        <v>7.0809523790119755</v>
      </c>
      <c r="K137" s="7">
        <f>AVERAGE(K5:K40)</f>
        <v>3.1693878638889181</v>
      </c>
      <c r="L137" s="248"/>
      <c r="M137" s="7">
        <f>AVERAGE(M5:M40)</f>
        <v>3.9114738738805723</v>
      </c>
      <c r="Z137" s="7" t="e">
        <f>AVERAGE(Z5:Z40)</f>
        <v>#DIV/0!</v>
      </c>
      <c r="AA137" s="7" t="e">
        <f>AVERAGE(AA5:AA40)</f>
        <v>#DIV/0!</v>
      </c>
      <c r="AB137" s="571">
        <f t="shared" ref="AB137:AD137" si="96">AVERAGE(AB5:AB40)</f>
        <v>0</v>
      </c>
      <c r="AC137" s="571">
        <f t="shared" si="96"/>
        <v>0</v>
      </c>
      <c r="AD137" s="7" t="e">
        <f t="shared" si="96"/>
        <v>#DIV/0!</v>
      </c>
      <c r="AG137" s="7">
        <f>AVERAGE(AG5:AG40)</f>
        <v>7.0809523790119755</v>
      </c>
      <c r="AH137" s="7">
        <f>AVERAGE(AH5:AH40)</f>
        <v>3.1693878638889181</v>
      </c>
      <c r="AI137" s="248"/>
      <c r="AJ137" s="7">
        <f>AVERAGE(AJ5:AJ40)</f>
        <v>3.9114738738805723</v>
      </c>
      <c r="AW137" s="7">
        <f>AVERAGE(AW5:AW40)</f>
        <v>22.165722222222222</v>
      </c>
      <c r="AX137" s="7">
        <f>AVERAGE(AX5:AX40)</f>
        <v>8.1980555555555537</v>
      </c>
      <c r="AY137" s="571">
        <f t="shared" ref="AY137:BA137" si="97">AVERAGE(AY5:AY40)</f>
        <v>0</v>
      </c>
      <c r="AZ137" s="571">
        <f t="shared" si="97"/>
        <v>0</v>
      </c>
      <c r="BA137" s="7">
        <f t="shared" si="97"/>
        <v>41411.555555555555</v>
      </c>
      <c r="BC137" s="2" t="e">
        <f>AVERAGE(BC5:BC40)</f>
        <v>#DIV/0!</v>
      </c>
      <c r="BD137" s="2" t="e">
        <f>AVERAGE(BD5:BD40)</f>
        <v>#DIV/0!</v>
      </c>
      <c r="BE137" s="2">
        <f>AVERAGE(BE5:BE40)</f>
        <v>0</v>
      </c>
      <c r="BF137" s="2">
        <f>AVERAGE(BF5:BF40)</f>
        <v>0</v>
      </c>
      <c r="BG137" s="590"/>
      <c r="BH137" s="2">
        <f>AVERAGE(BH5:BH40)</f>
        <v>0</v>
      </c>
      <c r="BI137" s="2">
        <f>AVERAGE(BI5:BI40)</f>
        <v>0</v>
      </c>
      <c r="BJ137" s="591"/>
      <c r="BK137" s="591"/>
      <c r="BL137" s="592"/>
      <c r="BM137" s="2">
        <f>AVERAGE(BM5:BM40)</f>
        <v>0</v>
      </c>
      <c r="BO137" s="2">
        <f>AVERAGE(BO5:BO40)</f>
        <v>0</v>
      </c>
      <c r="BP137" s="2">
        <f>AVERAGE(BP5:BP40)</f>
        <v>0</v>
      </c>
      <c r="BQ137" s="591"/>
      <c r="BR137" s="591"/>
      <c r="BS137" s="592"/>
      <c r="BT137" s="2">
        <f>AVERAGE(BT5:BT40)</f>
        <v>0</v>
      </c>
      <c r="BU137" s="590"/>
      <c r="BV137" s="2">
        <f>AVERAGE(BV5:BV40)</f>
        <v>0</v>
      </c>
      <c r="BW137" s="2">
        <f>AVERAGE(BW5:BW40)</f>
        <v>0</v>
      </c>
      <c r="BX137" s="591"/>
      <c r="BY137" s="591"/>
      <c r="BZ137" s="592"/>
      <c r="CA137" s="2">
        <f>AVERAGE(CA5:CA40)</f>
        <v>0</v>
      </c>
      <c r="CB137" s="590"/>
      <c r="CC137" s="2">
        <f>AVERAGE(CC5:CC40)</f>
        <v>0</v>
      </c>
      <c r="CD137" s="2">
        <f>AVERAGE(CD5:CD40)</f>
        <v>0</v>
      </c>
      <c r="CE137" s="591"/>
      <c r="CF137" s="591"/>
      <c r="CG137" s="592"/>
      <c r="CH137" s="2">
        <f>AVERAGE(CH5:CH40)</f>
        <v>0</v>
      </c>
      <c r="CI137" s="590"/>
      <c r="CJ137" s="2">
        <f>AVERAGE(CJ5:CJ40)</f>
        <v>0</v>
      </c>
      <c r="CK137" s="2">
        <f>AVERAGE(CK5:CK40)</f>
        <v>0</v>
      </c>
      <c r="CL137" s="591"/>
      <c r="CM137" s="591"/>
      <c r="CN137" s="592"/>
      <c r="CO137" s="2">
        <f>AVERAGE(CO5:CO40)</f>
        <v>0</v>
      </c>
      <c r="CP137" s="590"/>
      <c r="CQ137" s="2">
        <f>AVERAGE(CQ5:CQ40)</f>
        <v>0</v>
      </c>
      <c r="CR137" s="2">
        <f>AVERAGE(CR5:CR40)</f>
        <v>0</v>
      </c>
      <c r="CS137" s="591"/>
      <c r="CT137" s="591"/>
      <c r="CU137" s="592"/>
      <c r="CV137" s="2">
        <f>AVERAGE(CV5:CV40)</f>
        <v>0</v>
      </c>
    </row>
    <row r="138" spans="1:100" s="1" customFormat="1">
      <c r="B138" s="6" t="s">
        <v>1124</v>
      </c>
      <c r="D138" s="471"/>
      <c r="J138" s="7">
        <f>AVERAGE(J41:J82)</f>
        <v>5.83874873124127</v>
      </c>
      <c r="K138" s="7">
        <f>AVERAGE(K41:K82)</f>
        <v>3.4008747764740459</v>
      </c>
      <c r="L138" s="7">
        <f>AVERAGE(L41:L82)</f>
        <v>2.4377895198343373</v>
      </c>
      <c r="M138" s="247"/>
      <c r="Z138" s="7">
        <f>AVERAGE(Z41:Z82)</f>
        <v>78.230333333333306</v>
      </c>
      <c r="AA138" s="7">
        <f>AVERAGE(AA41:AA82)</f>
        <v>33.103785714285699</v>
      </c>
      <c r="AB138" s="571">
        <f t="shared" ref="AB138:AD138" si="98">AVERAGE(AB41:AB82)</f>
        <v>0</v>
      </c>
      <c r="AC138" s="571">
        <f t="shared" si="98"/>
        <v>0</v>
      </c>
      <c r="AD138" s="7" t="e">
        <f t="shared" si="98"/>
        <v>#DIV/0!</v>
      </c>
      <c r="AG138" s="7">
        <f>AVERAGE(AG41:AG82)</f>
        <v>5.3907150481535897</v>
      </c>
      <c r="AH138" s="7">
        <f>AVERAGE(AH41:AH82)</f>
        <v>3.4008747764740459</v>
      </c>
      <c r="AI138" s="7">
        <f>AVERAGE(AI41:AI82)</f>
        <v>1.9897558367466588</v>
      </c>
      <c r="AJ138" s="247"/>
      <c r="AW138" s="7">
        <f>AVERAGE(AW41:AW82)</f>
        <v>121.87109523809518</v>
      </c>
      <c r="AX138" s="7">
        <f>AVERAGE(AX41:AX82)</f>
        <v>62.593619047619065</v>
      </c>
      <c r="AY138" s="571">
        <f t="shared" ref="AY138:BA138" si="99">AVERAGE(AY41:AY82)</f>
        <v>0</v>
      </c>
      <c r="AZ138" s="571">
        <f t="shared" si="99"/>
        <v>0</v>
      </c>
      <c r="BA138" s="7">
        <f t="shared" si="99"/>
        <v>35550.602615571428</v>
      </c>
      <c r="BC138" s="2" t="e">
        <f>AVERAGE(BC41:BC82)</f>
        <v>#DIV/0!</v>
      </c>
      <c r="BD138" s="2" t="e">
        <f>AVERAGE(BD41:BD82)</f>
        <v>#DIV/0!</v>
      </c>
      <c r="BE138" s="2">
        <f>AVERAGE(BE41:BE82)</f>
        <v>6.5216358602488186E-2</v>
      </c>
      <c r="BF138" s="2">
        <f>AVERAGE(BF41:BF82)</f>
        <v>6.52163586024882E-2</v>
      </c>
      <c r="BG138" s="590"/>
      <c r="BH138" s="2">
        <f>AVERAGE(BH41:BH82)</f>
        <v>0</v>
      </c>
      <c r="BI138" s="2">
        <f>AVERAGE(BI41:BI82)</f>
        <v>0</v>
      </c>
      <c r="BJ138" s="2">
        <f>AVERAGE(BJ41:BJ82)</f>
        <v>-0.31450122151754994</v>
      </c>
      <c r="BK138" s="2">
        <f>AVERAGE(BK41:BK82)</f>
        <v>-0.62950367493967907</v>
      </c>
      <c r="BL138" s="2">
        <f>AVERAGE(BL41:BL82)</f>
        <v>-0.56400026436141915</v>
      </c>
      <c r="BM138" s="591"/>
      <c r="BO138" s="2">
        <f>AVERAGE(BO41:BO82)</f>
        <v>-0.16848614155927333</v>
      </c>
      <c r="BP138" s="2">
        <f>AVERAGE(BP41:BP82)</f>
        <v>-0.16930282559650062</v>
      </c>
      <c r="BQ138" s="2">
        <f>AVERAGE(BQ41:BQ82)</f>
        <v>-0.18193492470675951</v>
      </c>
      <c r="BR138" s="2">
        <f>AVERAGE(BR41:BR82)</f>
        <v>-0.55152885015928732</v>
      </c>
      <c r="BS138" s="2">
        <f>AVERAGE(BS41:BS82)</f>
        <v>-0.45324141171346272</v>
      </c>
      <c r="BT138" s="591"/>
      <c r="BU138" s="590"/>
      <c r="BV138" s="2">
        <f>AVERAGE(BV41:BV82)</f>
        <v>0</v>
      </c>
      <c r="BW138" s="2">
        <f>AVERAGE(BW41:BW82)</f>
        <v>0</v>
      </c>
      <c r="BX138" s="2">
        <f>AVERAGE(BX41:BX82)</f>
        <v>-0.30842543269338724</v>
      </c>
      <c r="BY138" s="2">
        <f>AVERAGE(BY41:BY82)</f>
        <v>-0.54421315378196744</v>
      </c>
      <c r="BZ138" s="2">
        <f>AVERAGE(BZ41:BZ82)</f>
        <v>-0.52781065211516454</v>
      </c>
      <c r="CA138" s="591"/>
      <c r="CB138" s="590"/>
      <c r="CC138" s="2">
        <f>AVERAGE(CC41:CC82)</f>
        <v>-0.16542860799894474</v>
      </c>
      <c r="CD138" s="2">
        <f>AVERAGE(CD41:CD82)</f>
        <v>-0.16680301973598669</v>
      </c>
      <c r="CE138" s="2">
        <f>AVERAGE(CE41:CE82)</f>
        <v>-0.17776014731311227</v>
      </c>
      <c r="CF138" s="2">
        <f>AVERAGE(CF41:CF82)</f>
        <v>-0.45716132838145379</v>
      </c>
      <c r="CG138" s="2">
        <f>AVERAGE(CG41:CG82)</f>
        <v>-0.42787743542649087</v>
      </c>
      <c r="CH138" s="591"/>
      <c r="CI138" s="590"/>
      <c r="CJ138" s="2">
        <f>AVERAGE(CJ41:CJ82)</f>
        <v>0</v>
      </c>
      <c r="CK138" s="2">
        <f>AVERAGE(CK41:CK82)</f>
        <v>0</v>
      </c>
      <c r="CL138" s="2">
        <f>AVERAGE(CL41:CL82)</f>
        <v>-0.34744771356677706</v>
      </c>
      <c r="CM138" s="2">
        <f>AVERAGE(CM41:CM82)</f>
        <v>-0.68980613319302031</v>
      </c>
      <c r="CN138" s="2">
        <f>AVERAGE(CN41:CN82)</f>
        <v>-0.61899882762354907</v>
      </c>
      <c r="CO138" s="591"/>
      <c r="CP138" s="590"/>
      <c r="CQ138" s="2">
        <f>AVERAGE(CQ41:CQ82)</f>
        <v>-0.18366569908280042</v>
      </c>
      <c r="CR138" s="2">
        <f>AVERAGE(CR41:CR82)</f>
        <v>-0.18487543702699985</v>
      </c>
      <c r="CS138" s="2">
        <f>AVERAGE(CS41:CS82)</f>
        <v>-0.20924416523772202</v>
      </c>
      <c r="CT138" s="2">
        <f>AVERAGE(CT41:CT82)</f>
        <v>-0.61795925508361316</v>
      </c>
      <c r="CU138" s="2">
        <f>AVERAGE(CU41:CU82)</f>
        <v>-0.50490928718743822</v>
      </c>
      <c r="CV138" s="591"/>
    </row>
    <row r="139" spans="1:100" ht="27">
      <c r="B139" s="6" t="s">
        <v>1129</v>
      </c>
      <c r="J139" s="7">
        <f>AVERAGE(J83:J112)</f>
        <v>7.8166785848461791</v>
      </c>
      <c r="K139" s="7">
        <f>AVERAGE(K83:K112)</f>
        <v>6.2242640892716121</v>
      </c>
      <c r="L139" s="247"/>
      <c r="M139" s="7">
        <f>AVERAGE(M83:M112)</f>
        <v>1.5854272428254816</v>
      </c>
      <c r="V139" s="1"/>
      <c r="W139" s="1"/>
      <c r="X139" s="1"/>
      <c r="Z139" s="7" t="e">
        <f>AVERAGE(Z83:Z112)</f>
        <v>#DIV/0!</v>
      </c>
      <c r="AA139" s="7" t="e">
        <f>AVERAGE(AA83:AA112)</f>
        <v>#DIV/0!</v>
      </c>
      <c r="AB139" s="571">
        <f t="shared" ref="AB139:AD139" si="100">AVERAGE(AB83:AB112)</f>
        <v>0</v>
      </c>
      <c r="AC139" s="571">
        <f t="shared" si="100"/>
        <v>0</v>
      </c>
      <c r="AD139" s="7" t="e">
        <f t="shared" si="100"/>
        <v>#DIV/0!</v>
      </c>
      <c r="AG139" s="7">
        <f>AVERAGE(AG83:AG112)</f>
        <v>7.8166785848461791</v>
      </c>
      <c r="AH139" s="7">
        <f>AVERAGE(AH83:AH112)</f>
        <v>6.2242640892716121</v>
      </c>
      <c r="AI139" s="247"/>
      <c r="AJ139" s="7">
        <f>AVERAGE(AJ83:AJ112)</f>
        <v>1.5854272428254816</v>
      </c>
      <c r="AS139" s="1"/>
      <c r="AT139" s="1"/>
      <c r="AU139" s="1"/>
      <c r="AW139" s="7">
        <f>AVERAGE(AW83:AW112)</f>
        <v>368.7548000000001</v>
      </c>
      <c r="AX139" s="7">
        <f>AVERAGE(AX83:AX112)</f>
        <v>89.568733333333356</v>
      </c>
      <c r="AY139" s="571">
        <f t="shared" ref="AY139:BA139" si="101">AVERAGE(AY83:AY112)</f>
        <v>0</v>
      </c>
      <c r="AZ139" s="571">
        <f t="shared" si="101"/>
        <v>0</v>
      </c>
      <c r="BA139" s="7">
        <f t="shared" si="101"/>
        <v>40571.798704995686</v>
      </c>
      <c r="BC139" s="2" t="e">
        <f>AVERAGE(BC83:BC112)</f>
        <v>#DIV/0!</v>
      </c>
      <c r="BD139" s="2" t="e">
        <f>AVERAGE(BD83:BD112)</f>
        <v>#DIV/0!</v>
      </c>
      <c r="BE139" s="2">
        <f>AVERAGE(BE83:BE112)</f>
        <v>0</v>
      </c>
      <c r="BF139" s="2">
        <f>AVERAGE(BF83:BF112)</f>
        <v>0</v>
      </c>
      <c r="BG139" s="590"/>
      <c r="BH139" s="2">
        <f>AVERAGE(BH83:BH112)</f>
        <v>0</v>
      </c>
      <c r="BI139" s="2">
        <f>AVERAGE(BI83:BI112)</f>
        <v>0</v>
      </c>
      <c r="BJ139" s="591"/>
      <c r="BK139" s="591"/>
      <c r="BL139" s="591"/>
      <c r="BM139" s="2">
        <f t="shared" ref="BM139" si="102">AVERAGE(BM83:BM112)</f>
        <v>0</v>
      </c>
      <c r="BO139" s="2">
        <f>AVERAGE(BO83:BO112)</f>
        <v>0</v>
      </c>
      <c r="BP139" s="2">
        <f>AVERAGE(BP83:BP112)</f>
        <v>0</v>
      </c>
      <c r="BQ139" s="591"/>
      <c r="BR139" s="591"/>
      <c r="BS139" s="591"/>
      <c r="BT139" s="2">
        <f t="shared" ref="BT139" si="103">AVERAGE(BT83:BT112)</f>
        <v>0</v>
      </c>
      <c r="BU139" s="590"/>
      <c r="BV139" s="2">
        <f>AVERAGE(BV83:BV112)</f>
        <v>0</v>
      </c>
      <c r="BW139" s="2">
        <f>AVERAGE(BW83:BW112)</f>
        <v>0</v>
      </c>
      <c r="BX139" s="591"/>
      <c r="BY139" s="591"/>
      <c r="BZ139" s="591"/>
      <c r="CA139" s="2">
        <f t="shared" ref="CA139" si="104">AVERAGE(CA83:CA112)</f>
        <v>0</v>
      </c>
      <c r="CB139" s="590"/>
      <c r="CC139" s="2">
        <f>AVERAGE(CC83:CC112)</f>
        <v>0</v>
      </c>
      <c r="CD139" s="2">
        <f>AVERAGE(CD83:CD112)</f>
        <v>0</v>
      </c>
      <c r="CE139" s="591"/>
      <c r="CF139" s="591"/>
      <c r="CG139" s="591"/>
      <c r="CH139" s="2">
        <f t="shared" ref="CH139" si="105">AVERAGE(CH83:CH112)</f>
        <v>0</v>
      </c>
      <c r="CI139" s="590"/>
      <c r="CJ139" s="2">
        <f>AVERAGE(CJ83:CJ112)</f>
        <v>0</v>
      </c>
      <c r="CK139" s="2">
        <f>AVERAGE(CK83:CK112)</f>
        <v>0</v>
      </c>
      <c r="CL139" s="591"/>
      <c r="CM139" s="591"/>
      <c r="CN139" s="591"/>
      <c r="CO139" s="2">
        <f t="shared" ref="CO139" si="106">AVERAGE(CO83:CO112)</f>
        <v>0</v>
      </c>
      <c r="CP139" s="590"/>
      <c r="CQ139" s="2">
        <f>AVERAGE(CQ83:CQ112)</f>
        <v>0</v>
      </c>
      <c r="CR139" s="2">
        <f>AVERAGE(CR83:CR112)</f>
        <v>0</v>
      </c>
      <c r="CS139" s="591"/>
      <c r="CT139" s="591"/>
      <c r="CU139" s="591"/>
      <c r="CV139" s="2">
        <f t="shared" ref="CV139" si="107">AVERAGE(CV83:CV112)</f>
        <v>0</v>
      </c>
    </row>
    <row r="140" spans="1:100" s="1" customFormat="1">
      <c r="B140" s="6" t="s">
        <v>903</v>
      </c>
      <c r="D140" s="471"/>
      <c r="J140" s="7">
        <f>AVERAGE(J113:J136)</f>
        <v>1.496217160609679</v>
      </c>
      <c r="K140" s="7">
        <f t="shared" ref="K140:L140" si="108">AVERAGE(K113:K136)</f>
        <v>0.29845685870750349</v>
      </c>
      <c r="L140" s="7">
        <f t="shared" si="108"/>
        <v>1.1975472589627643</v>
      </c>
      <c r="M140" s="247"/>
      <c r="Z140" s="7">
        <f t="shared" ref="Z140" si="109">AVERAGE(Z113:Z136)</f>
        <v>264.23775000000001</v>
      </c>
      <c r="AA140" s="7">
        <f t="shared" ref="AA140:AD140" si="110">AVERAGE(AA113:AA136)</f>
        <v>91.651458333333338</v>
      </c>
      <c r="AB140" s="571">
        <f t="shared" si="110"/>
        <v>0</v>
      </c>
      <c r="AC140" s="571">
        <f t="shared" si="110"/>
        <v>0</v>
      </c>
      <c r="AD140" s="7" t="e">
        <f t="shared" si="110"/>
        <v>#DIV/0!</v>
      </c>
      <c r="AG140" s="7">
        <f>AVERAGE(AG113:AG136)</f>
        <v>1.3412854167076487</v>
      </c>
      <c r="AH140" s="7">
        <f t="shared" ref="AH140:AI140" si="111">AVERAGE(AH113:AH136)</f>
        <v>0.29845685870750349</v>
      </c>
      <c r="AI140" s="7">
        <f t="shared" si="111"/>
        <v>1.0426155150607335</v>
      </c>
      <c r="AJ140" s="247"/>
      <c r="AW140" s="7">
        <f t="shared" ref="AW140:AX140" si="112">AVERAGE(AW113:AW136)</f>
        <v>296.54399999999993</v>
      </c>
      <c r="AX140" s="7">
        <f t="shared" si="112"/>
        <v>121.65641666666663</v>
      </c>
      <c r="AY140" s="571">
        <f t="shared" ref="AY140:BA140" si="113">AVERAGE(AY113:AY136)</f>
        <v>0</v>
      </c>
      <c r="AZ140" s="571">
        <f t="shared" si="113"/>
        <v>0</v>
      </c>
      <c r="BA140" s="7">
        <f t="shared" si="113"/>
        <v>42.885139225911466</v>
      </c>
      <c r="BC140" s="2" t="e">
        <f t="shared" ref="BC140" si="114">AVERAGE(BC113:BC136)</f>
        <v>#DIV/0!</v>
      </c>
      <c r="BD140" s="2" t="e">
        <f t="shared" ref="BD140:BF140" si="115">AVERAGE(BD113:BD136)</f>
        <v>#DIV/0!</v>
      </c>
      <c r="BE140" s="2">
        <f t="shared" ref="BE140" si="116">AVERAGE(BE113:BE136)</f>
        <v>5.7198211835412911E-2</v>
      </c>
      <c r="BF140" s="2">
        <f t="shared" si="115"/>
        <v>5.7198211835412904E-2</v>
      </c>
      <c r="BG140" s="590"/>
      <c r="BH140" s="2">
        <f t="shared" ref="BH140:BL140" si="117">AVERAGE(BH113:BH136)</f>
        <v>0</v>
      </c>
      <c r="BI140" s="2">
        <f t="shared" ref="BI140" si="118">AVERAGE(BI113:BI136)</f>
        <v>0</v>
      </c>
      <c r="BJ140" s="2">
        <f t="shared" si="117"/>
        <v>-0.28739012765695449</v>
      </c>
      <c r="BK140" s="2">
        <f t="shared" si="117"/>
        <v>-0.3136799837345336</v>
      </c>
      <c r="BL140" s="2">
        <f t="shared" si="117"/>
        <v>-0.21929525588189924</v>
      </c>
      <c r="BM140" s="591"/>
      <c r="BO140" s="2">
        <f t="shared" ref="BO140:BS140" si="119">AVERAGE(BO113:BO136)</f>
        <v>-0.14143969929505343</v>
      </c>
      <c r="BP140" s="2">
        <f t="shared" si="119"/>
        <v>-0.14198524635262866</v>
      </c>
      <c r="BQ140" s="2">
        <f t="shared" si="119"/>
        <v>-0.1663163364321483</v>
      </c>
      <c r="BR140" s="2">
        <f t="shared" si="119"/>
        <v>-0.20890492668969809</v>
      </c>
      <c r="BS140" s="2">
        <f t="shared" si="119"/>
        <v>-0.10087120999271412</v>
      </c>
      <c r="BT140" s="591"/>
      <c r="BU140" s="590"/>
      <c r="BV140" s="2">
        <f t="shared" ref="BV140:BZ140" si="120">AVERAGE(BV113:BV136)</f>
        <v>0</v>
      </c>
      <c r="BW140" s="2">
        <f t="shared" si="120"/>
        <v>0</v>
      </c>
      <c r="BX140" s="2">
        <f t="shared" si="120"/>
        <v>-0.28504601145729813</v>
      </c>
      <c r="BY140" s="2">
        <f t="shared" si="120"/>
        <v>-0.27190099133752332</v>
      </c>
      <c r="BZ140" s="2">
        <f t="shared" si="120"/>
        <v>-0.2438547972416153</v>
      </c>
      <c r="CA140" s="591"/>
      <c r="CB140" s="590"/>
      <c r="CC140" s="2">
        <f t="shared" ref="CC140:CG140" si="121">AVERAGE(CC113:CC136)</f>
        <v>-0.16433394587194244</v>
      </c>
      <c r="CD140" s="2">
        <f t="shared" si="121"/>
        <v>-0.1653512516707252</v>
      </c>
      <c r="CE140" s="2">
        <f t="shared" si="121"/>
        <v>-0.17547959853461123</v>
      </c>
      <c r="CF140" s="2">
        <f t="shared" si="121"/>
        <v>-0.17069838486615393</v>
      </c>
      <c r="CG140" s="2">
        <f t="shared" si="121"/>
        <v>-0.14033972972366204</v>
      </c>
      <c r="CH140" s="591"/>
      <c r="CI140" s="590"/>
      <c r="CJ140" s="2">
        <f t="shared" ref="CJ140:CN140" si="122">AVERAGE(CJ113:CJ136)</f>
        <v>0</v>
      </c>
      <c r="CK140" s="2">
        <f t="shared" si="122"/>
        <v>0</v>
      </c>
      <c r="CL140" s="2">
        <f t="shared" si="122"/>
        <v>-0.31224476483591929</v>
      </c>
      <c r="CM140" s="2">
        <f t="shared" si="122"/>
        <v>-0.33541249948392443</v>
      </c>
      <c r="CN140" s="2">
        <f t="shared" si="122"/>
        <v>-0.18511430038182686</v>
      </c>
      <c r="CO140" s="591"/>
      <c r="CP140" s="590"/>
      <c r="CQ140" s="2">
        <f t="shared" ref="CQ140:CU140" si="123">AVERAGE(CQ113:CQ136)</f>
        <v>-0.14215449449681419</v>
      </c>
      <c r="CR140" s="2">
        <f t="shared" si="123"/>
        <v>-0.14252639453361524</v>
      </c>
      <c r="CS140" s="2">
        <f t="shared" si="123"/>
        <v>-0.17502361386080467</v>
      </c>
      <c r="CT140" s="2">
        <f t="shared" si="123"/>
        <v>-0.21382638312028002</v>
      </c>
      <c r="CU140" s="2">
        <f t="shared" si="123"/>
        <v>-4.7268265726621544E-2</v>
      </c>
      <c r="CV140" s="591"/>
    </row>
    <row r="141" spans="1:100" s="1" customFormat="1">
      <c r="B141" s="595" t="s">
        <v>1132</v>
      </c>
      <c r="D141" s="471"/>
      <c r="J141" s="7">
        <f>AVERAGE(J5:J40,J83:J112)</f>
        <v>7.4153733816638869</v>
      </c>
      <c r="K141" s="7">
        <f>AVERAGE(K5:K40,K83:K112)</f>
        <v>4.5579679663355961</v>
      </c>
      <c r="L141" s="247"/>
      <c r="M141" s="7">
        <f>AVERAGE(M5:M40,M83:M112)</f>
        <v>2.854179950673712</v>
      </c>
      <c r="Z141" s="7" t="e">
        <f>AVERAGE(Z5:Z40,Z83:Z112)</f>
        <v>#DIV/0!</v>
      </c>
      <c r="AA141" s="7" t="e">
        <f>AVERAGE(AA5:AA40,AA83:AA112)</f>
        <v>#DIV/0!</v>
      </c>
      <c r="AB141" s="571">
        <f t="shared" ref="AB141:AD141" si="124">AVERAGE(AB5:AB40,AB83:AB112)</f>
        <v>0</v>
      </c>
      <c r="AC141" s="571">
        <f t="shared" si="124"/>
        <v>0</v>
      </c>
      <c r="AD141" s="7" t="e">
        <f t="shared" si="124"/>
        <v>#DIV/0!</v>
      </c>
      <c r="AG141" s="7">
        <f>AVERAGE(AG5:AG40,AG83:AG112)</f>
        <v>7.4153733816638869</v>
      </c>
      <c r="AH141" s="7">
        <f>AVERAGE(AH5:AH40,AH83:AH112)</f>
        <v>4.5579679663355961</v>
      </c>
      <c r="AI141" s="247"/>
      <c r="AJ141" s="7">
        <f>AVERAGE(AJ5:AJ40,AJ83:AJ112)</f>
        <v>2.854179950673712</v>
      </c>
      <c r="AW141" s="7">
        <f>AVERAGE(AW5:AW40,AW83:AW112)</f>
        <v>179.70621212121216</v>
      </c>
      <c r="AX141" s="7">
        <f>AVERAGE(AX5:AX40,AX83:AX112)</f>
        <v>45.18472727272728</v>
      </c>
      <c r="AY141" s="571">
        <f t="shared" ref="AY141:BA141" si="125">AVERAGE(AY5:AY40,AY83:AY112)</f>
        <v>0</v>
      </c>
      <c r="AZ141" s="571">
        <f t="shared" si="125"/>
        <v>0</v>
      </c>
      <c r="BA141" s="7">
        <f t="shared" si="125"/>
        <v>41029.847896210165</v>
      </c>
      <c r="BC141" s="2" t="e">
        <f>AVERAGE(BC5:BC40,BC83:BC112)</f>
        <v>#DIV/0!</v>
      </c>
      <c r="BD141" s="2" t="e">
        <f>AVERAGE(BD5:BD40,BD83:BD112)</f>
        <v>#DIV/0!</v>
      </c>
      <c r="BE141" s="2">
        <f>AVERAGE(BE5:BE40,BE83:BE112)</f>
        <v>0</v>
      </c>
      <c r="BF141" s="2">
        <f>AVERAGE(BF5:BF40,BF83:BF112)</f>
        <v>0</v>
      </c>
      <c r="BG141" s="590"/>
      <c r="BH141" s="2">
        <f>AVERAGE(BH5:BH40,BH83:BH112)</f>
        <v>0</v>
      </c>
      <c r="BI141" s="2">
        <f>AVERAGE(BI5:BI40,BI83:BI112)</f>
        <v>0</v>
      </c>
      <c r="BJ141" s="591"/>
      <c r="BK141" s="591"/>
      <c r="BL141" s="591"/>
      <c r="BM141" s="2">
        <f>AVERAGE(BM5:BM40,BM83:BM112)</f>
        <v>0</v>
      </c>
      <c r="BO141" s="2">
        <f>AVERAGE(BO5:BO40,BO83:BO112)</f>
        <v>0</v>
      </c>
      <c r="BP141" s="2">
        <f>AVERAGE(BP5:BP40,BP83:BP112)</f>
        <v>0</v>
      </c>
      <c r="BQ141" s="591"/>
      <c r="BR141" s="591"/>
      <c r="BS141" s="591"/>
      <c r="BT141" s="2">
        <f>AVERAGE(BT5:BT40,BT83:BT112)</f>
        <v>0</v>
      </c>
      <c r="BU141" s="590"/>
      <c r="BV141" s="2">
        <f>AVERAGE(BV5:BV40,BV83:BV112)</f>
        <v>0</v>
      </c>
      <c r="BW141" s="2">
        <f>AVERAGE(BW5:BW40,BW83:BW112)</f>
        <v>0</v>
      </c>
      <c r="BX141" s="591"/>
      <c r="BY141" s="591"/>
      <c r="BZ141" s="591"/>
      <c r="CA141" s="2">
        <f>AVERAGE(CA5:CA40,CA83:CA112)</f>
        <v>0</v>
      </c>
      <c r="CB141" s="590"/>
      <c r="CC141" s="2">
        <f>AVERAGE(CC5:CC40,CC83:CC112)</f>
        <v>0</v>
      </c>
      <c r="CD141" s="2">
        <f>AVERAGE(CD5:CD40,CD83:CD112)</f>
        <v>0</v>
      </c>
      <c r="CE141" s="591"/>
      <c r="CF141" s="591"/>
      <c r="CG141" s="591"/>
      <c r="CH141" s="2">
        <f>AVERAGE(CH5:CH40,CH83:CH112)</f>
        <v>0</v>
      </c>
      <c r="CI141" s="590"/>
      <c r="CJ141" s="2">
        <f>AVERAGE(CJ5:CJ40,CJ83:CJ112)</f>
        <v>0</v>
      </c>
      <c r="CK141" s="2">
        <f>AVERAGE(CK5:CK40,CK83:CK112)</f>
        <v>0</v>
      </c>
      <c r="CL141" s="591"/>
      <c r="CM141" s="591"/>
      <c r="CN141" s="591"/>
      <c r="CO141" s="2">
        <f>AVERAGE(CO5:CO40,CO83:CO112)</f>
        <v>0</v>
      </c>
      <c r="CP141" s="590"/>
      <c r="CQ141" s="2">
        <f>AVERAGE(CQ5:CQ40,CQ83:CQ112)</f>
        <v>0</v>
      </c>
      <c r="CR141" s="2">
        <f>AVERAGE(CR5:CR40,CR83:CR112)</f>
        <v>0</v>
      </c>
      <c r="CS141" s="591"/>
      <c r="CT141" s="591"/>
      <c r="CU141" s="591"/>
      <c r="CV141" s="2">
        <f>AVERAGE(CV5:CV40,CV83:CV112)</f>
        <v>0</v>
      </c>
    </row>
    <row r="142" spans="1:100">
      <c r="B142" s="6" t="s">
        <v>1134</v>
      </c>
      <c r="J142" s="7">
        <f>AVERAGE(J5:J136)</f>
        <v>5.8375098617922898</v>
      </c>
      <c r="K142" s="7">
        <f>AVERAGE(K5:K136)</f>
        <v>3.4153453863563579</v>
      </c>
      <c r="L142" s="7">
        <f>AVERAGE(L5:L136)</f>
        <v>1.9867923340628564</v>
      </c>
      <c r="M142" s="7">
        <f>AVERAGE(M5:M136)</f>
        <v>2.854179950673712</v>
      </c>
      <c r="V142" s="1"/>
      <c r="W142" s="1"/>
      <c r="X142" s="1"/>
      <c r="Z142" s="7">
        <f>AVERAGE(Z5:Z136)</f>
        <v>145.86939393939389</v>
      </c>
      <c r="AA142" s="7">
        <f>AVERAGE(AA5:AA136)</f>
        <v>54.393848484848469</v>
      </c>
      <c r="AB142" s="571">
        <f t="shared" ref="AB142:AD142" si="126">AVERAGE(AB5:AB136)</f>
        <v>0</v>
      </c>
      <c r="AC142" s="571">
        <f t="shared" si="126"/>
        <v>0</v>
      </c>
      <c r="AD142" s="7" t="e">
        <f t="shared" si="126"/>
        <v>#DIV/0!</v>
      </c>
      <c r="AG142" s="7">
        <f>AVERAGE(AG5:AG136)</f>
        <v>5.6667842819185665</v>
      </c>
      <c r="AH142" s="7">
        <f>AVERAGE(AH5:AH136)</f>
        <v>3.4153453863563579</v>
      </c>
      <c r="AI142" s="7">
        <f>AVERAGE(AI5:AI136)</f>
        <v>1.6453411743154129</v>
      </c>
      <c r="AJ142" s="7">
        <f>AVERAGE(AJ5:AJ136)</f>
        <v>2.854179950673712</v>
      </c>
      <c r="AS142" s="1"/>
      <c r="AT142" s="1"/>
      <c r="AU142" s="1"/>
      <c r="AW142" s="7">
        <f>AVERAGE(AW5:AW136)</f>
        <v>182.54736363636357</v>
      </c>
      <c r="AX142" s="7">
        <f>AVERAGE(AX5:AX136)</f>
        <v>64.627863636363671</v>
      </c>
      <c r="AY142" s="571">
        <f t="shared" ref="AY142:BA142" si="127">AVERAGE(AY5:AY136)</f>
        <v>0</v>
      </c>
      <c r="AZ142" s="571">
        <f t="shared" si="127"/>
        <v>0</v>
      </c>
      <c r="BA142" s="7">
        <f t="shared" si="127"/>
        <v>31834.276623827969</v>
      </c>
      <c r="BC142" s="2" t="e">
        <f>AVERAGE(BC5:BC136)</f>
        <v>#DIV/0!</v>
      </c>
      <c r="BD142" s="2" t="e">
        <f>AVERAGE(BD5:BD136)</f>
        <v>#DIV/0!</v>
      </c>
      <c r="BE142" s="2">
        <f>AVERAGE(BE5:BE136)</f>
        <v>3.115033443450314E-2</v>
      </c>
      <c r="BF142" s="2">
        <f>AVERAGE(BF5:BF136)</f>
        <v>3.1150334434503137E-2</v>
      </c>
      <c r="BG142" s="590"/>
      <c r="BH142" s="2">
        <f t="shared" ref="BH142:BM142" si="128">AVERAGE(BH5:BH136)</f>
        <v>0</v>
      </c>
      <c r="BI142" s="2">
        <f t="shared" si="128"/>
        <v>0</v>
      </c>
      <c r="BJ142" s="2">
        <f t="shared" si="128"/>
        <v>-0.30464264193187884</v>
      </c>
      <c r="BK142" s="2">
        <f t="shared" si="128"/>
        <v>-0.51465869631962624</v>
      </c>
      <c r="BL142" s="2">
        <f t="shared" si="128"/>
        <v>-0.43865298855068474</v>
      </c>
      <c r="BM142" s="2">
        <f t="shared" si="128"/>
        <v>0</v>
      </c>
      <c r="BO142" s="2">
        <f t="shared" ref="BO142:BT142" si="129">AVERAGE(BO5:BO136)</f>
        <v>-7.9325535822505774E-2</v>
      </c>
      <c r="BP142" s="2">
        <f t="shared" si="129"/>
        <v>-7.9684580208455411E-2</v>
      </c>
      <c r="BQ142" s="2">
        <f t="shared" si="129"/>
        <v>-0.17625543806144633</v>
      </c>
      <c r="BR142" s="2">
        <f t="shared" si="129"/>
        <v>-0.42693833253398217</v>
      </c>
      <c r="BS142" s="2">
        <f t="shared" si="129"/>
        <v>-0.32510679290591782</v>
      </c>
      <c r="BT142" s="2">
        <f t="shared" si="129"/>
        <v>0</v>
      </c>
      <c r="BU142" s="590"/>
      <c r="BV142" s="2">
        <f t="shared" ref="BV142:CA142" si="130">AVERAGE(BV5:BV136)</f>
        <v>0</v>
      </c>
      <c r="BW142" s="2">
        <f t="shared" si="130"/>
        <v>0</v>
      </c>
      <c r="BX142" s="2">
        <f t="shared" si="130"/>
        <v>-0.29992382497117304</v>
      </c>
      <c r="BY142" s="2">
        <f t="shared" si="130"/>
        <v>-0.44519054925671497</v>
      </c>
      <c r="BZ142" s="2">
        <f t="shared" si="130"/>
        <v>-0.42455397761569208</v>
      </c>
      <c r="CA142" s="2">
        <f t="shared" si="130"/>
        <v>0</v>
      </c>
      <c r="CB142" s="590"/>
      <c r="CC142" s="2">
        <f t="shared" ref="CC142:CH142" si="131">AVERAGE(CC5:CC136)</f>
        <v>-8.2515274521835588E-2</v>
      </c>
      <c r="CD142" s="2">
        <f t="shared" si="131"/>
        <v>-8.3137552037945803E-2</v>
      </c>
      <c r="CE142" s="2">
        <f t="shared" si="131"/>
        <v>-0.17693085684820281</v>
      </c>
      <c r="CF142" s="2">
        <f t="shared" si="131"/>
        <v>-0.35299298528498108</v>
      </c>
      <c r="CG142" s="2">
        <f t="shared" si="131"/>
        <v>-0.32331826971637129</v>
      </c>
      <c r="CH142" s="2">
        <f t="shared" si="131"/>
        <v>0</v>
      </c>
      <c r="CI142" s="590"/>
      <c r="CJ142" s="2">
        <f t="shared" ref="CJ142:CO142" si="132">AVERAGE(CJ5:CJ136)</f>
        <v>0</v>
      </c>
      <c r="CK142" s="2">
        <f t="shared" si="132"/>
        <v>0</v>
      </c>
      <c r="CL142" s="2">
        <f t="shared" si="132"/>
        <v>-0.33464664130101068</v>
      </c>
      <c r="CM142" s="2">
        <f t="shared" si="132"/>
        <v>-0.5609357209351673</v>
      </c>
      <c r="CN142" s="2">
        <f t="shared" si="132"/>
        <v>-0.46122263589928642</v>
      </c>
      <c r="CO142" s="2">
        <f t="shared" si="132"/>
        <v>0</v>
      </c>
      <c r="CP142" s="590"/>
      <c r="CQ142" s="2">
        <f t="shared" ref="CQ142:CV142" si="133">AVERAGE(CQ5:CQ136)</f>
        <v>-8.4285357798493624E-2</v>
      </c>
      <c r="CR142" s="2">
        <f t="shared" si="133"/>
        <v>-8.4737892605611806E-2</v>
      </c>
      <c r="CS142" s="2">
        <f t="shared" si="133"/>
        <v>-0.19680032837338846</v>
      </c>
      <c r="CT142" s="2">
        <f t="shared" si="133"/>
        <v>-0.47100184709694665</v>
      </c>
      <c r="CU142" s="2">
        <f t="shared" si="133"/>
        <v>-0.33849437029259577</v>
      </c>
      <c r="CV142" s="2">
        <f t="shared" si="133"/>
        <v>0</v>
      </c>
    </row>
    <row r="143" spans="1:100" outlineLevel="2">
      <c r="A143" s="338" t="s">
        <v>138</v>
      </c>
      <c r="B143" s="6" t="s">
        <v>1127</v>
      </c>
      <c r="Z143" s="8"/>
      <c r="AA143" s="8"/>
      <c r="AW143" s="12" t="e">
        <f>AW137/Z137</f>
        <v>#DIV/0!</v>
      </c>
      <c r="AX143" s="12" t="e">
        <f>AX137/AA137</f>
        <v>#DIV/0!</v>
      </c>
      <c r="AY143" s="12" t="e">
        <f t="shared" ref="AY143:BA148" si="134">AY137/AB137</f>
        <v>#DIV/0!</v>
      </c>
      <c r="AZ143" s="12" t="e">
        <f t="shared" si="134"/>
        <v>#DIV/0!</v>
      </c>
      <c r="BA143" s="12" t="e">
        <f t="shared" si="134"/>
        <v>#DIV/0!</v>
      </c>
    </row>
    <row r="144" spans="1:100" outlineLevel="2">
      <c r="B144" s="6" t="s">
        <v>1128</v>
      </c>
      <c r="AW144" s="12">
        <f t="shared" ref="AW144:AX144" si="135">AW138/Z138</f>
        <v>1.5578496223301519</v>
      </c>
      <c r="AX144" s="12">
        <f t="shared" si="135"/>
        <v>1.8908296346483189</v>
      </c>
      <c r="AY144" s="12" t="e">
        <f t="shared" si="134"/>
        <v>#DIV/0!</v>
      </c>
      <c r="AZ144" s="12" t="e">
        <f t="shared" si="134"/>
        <v>#DIV/0!</v>
      </c>
      <c r="BA144" s="12" t="e">
        <f t="shared" si="134"/>
        <v>#DIV/0!</v>
      </c>
    </row>
    <row r="145" spans="1:53" s="1" customFormat="1" ht="27" outlineLevel="2">
      <c r="A145" s="6"/>
      <c r="B145" s="6" t="s">
        <v>1130</v>
      </c>
      <c r="D145" s="471"/>
      <c r="Z145" s="8"/>
      <c r="AA145" s="8"/>
      <c r="AW145" s="12" t="e">
        <f t="shared" ref="AW145:AX145" si="136">AW139/Z139</f>
        <v>#DIV/0!</v>
      </c>
      <c r="AX145" s="12" t="e">
        <f t="shared" si="136"/>
        <v>#DIV/0!</v>
      </c>
      <c r="AY145" s="12" t="e">
        <f t="shared" si="134"/>
        <v>#DIV/0!</v>
      </c>
      <c r="AZ145" s="12" t="e">
        <f t="shared" si="134"/>
        <v>#DIV/0!</v>
      </c>
      <c r="BA145" s="12" t="e">
        <f t="shared" si="134"/>
        <v>#DIV/0!</v>
      </c>
    </row>
    <row r="146" spans="1:53" s="1" customFormat="1" outlineLevel="2">
      <c r="B146" s="6" t="s">
        <v>1131</v>
      </c>
      <c r="D146" s="471"/>
      <c r="AW146" s="12">
        <f t="shared" ref="AW146:AX146" si="137">AW140/Z140</f>
        <v>1.1222620537754349</v>
      </c>
      <c r="AX146" s="12">
        <f t="shared" si="137"/>
        <v>1.3273811336880887</v>
      </c>
      <c r="AY146" s="12" t="e">
        <f t="shared" si="134"/>
        <v>#DIV/0!</v>
      </c>
      <c r="AZ146" s="12" t="e">
        <f t="shared" si="134"/>
        <v>#DIV/0!</v>
      </c>
      <c r="BA146" s="12" t="e">
        <f t="shared" si="134"/>
        <v>#DIV/0!</v>
      </c>
    </row>
    <row r="147" spans="1:53" ht="27" outlineLevel="2">
      <c r="B147" s="6" t="s">
        <v>1133</v>
      </c>
      <c r="Z147" s="8"/>
      <c r="AA147" s="8"/>
      <c r="AW147" s="12" t="e">
        <f t="shared" ref="AW147:AX147" si="138">AW141/Z141</f>
        <v>#DIV/0!</v>
      </c>
      <c r="AX147" s="12" t="e">
        <f t="shared" si="138"/>
        <v>#DIV/0!</v>
      </c>
      <c r="AY147" s="12" t="e">
        <f t="shared" si="134"/>
        <v>#DIV/0!</v>
      </c>
      <c r="AZ147" s="12" t="e">
        <f t="shared" si="134"/>
        <v>#DIV/0!</v>
      </c>
      <c r="BA147" s="12" t="e">
        <f t="shared" si="134"/>
        <v>#DIV/0!</v>
      </c>
    </row>
    <row r="148" spans="1:53" outlineLevel="2" collapsed="1">
      <c r="B148" s="6" t="s">
        <v>1135</v>
      </c>
      <c r="AW148" s="12">
        <f t="shared" ref="AW148" si="139">AW142/Z142</f>
        <v>1.2514439027025006</v>
      </c>
      <c r="AX148" s="12">
        <f t="shared" ref="AX148" si="140">AX142/AA142</f>
        <v>1.1881465540053837</v>
      </c>
      <c r="AY148" s="12" t="e">
        <f t="shared" si="134"/>
        <v>#DIV/0!</v>
      </c>
      <c r="AZ148" s="12" t="e">
        <f t="shared" si="134"/>
        <v>#DIV/0!</v>
      </c>
      <c r="BA148" s="12" t="e">
        <f t="shared" si="134"/>
        <v>#DIV/0!</v>
      </c>
    </row>
  </sheetData>
  <mergeCells count="54">
    <mergeCell ref="CC1:CH1"/>
    <mergeCell ref="CC2:CH2"/>
    <mergeCell ref="CJ1:CO1"/>
    <mergeCell ref="CQ1:CV1"/>
    <mergeCell ref="CJ2:CK2"/>
    <mergeCell ref="CL2:CO2"/>
    <mergeCell ref="CQ2:CV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B2:AB3"/>
    <mergeCell ref="AC2:AC3"/>
    <mergeCell ref="AD2:AD3"/>
    <mergeCell ref="AF2:AF3"/>
    <mergeCell ref="O2:O3"/>
    <mergeCell ref="P2:S2"/>
    <mergeCell ref="T2:U2"/>
    <mergeCell ref="V2:Y2"/>
    <mergeCell ref="Z2:Z3"/>
    <mergeCell ref="A1:G1"/>
    <mergeCell ref="I1:AD1"/>
    <mergeCell ref="AF1:BA1"/>
    <mergeCell ref="BA2:BA3"/>
    <mergeCell ref="BC2:BC3"/>
    <mergeCell ref="AS2:AV2"/>
    <mergeCell ref="AW2:AW3"/>
    <mergeCell ref="AX2:AX3"/>
    <mergeCell ref="AY2:AY3"/>
    <mergeCell ref="AZ2:AZ3"/>
    <mergeCell ref="AG2:AJ2"/>
    <mergeCell ref="AK2:AK3"/>
    <mergeCell ref="AL2:AL3"/>
    <mergeCell ref="AM2:AP2"/>
    <mergeCell ref="AQ2:AR2"/>
    <mergeCell ref="AA2:AA3"/>
    <mergeCell ref="BC1:BF1"/>
    <mergeCell ref="BD2:BD3"/>
    <mergeCell ref="BE2:BE3"/>
    <mergeCell ref="BF2:BF3"/>
    <mergeCell ref="BV1:CA1"/>
    <mergeCell ref="BV2:BW2"/>
    <mergeCell ref="BX2:CA2"/>
    <mergeCell ref="BH1:BM1"/>
    <mergeCell ref="BO1:BT1"/>
    <mergeCell ref="BH2:BI2"/>
    <mergeCell ref="BJ2:BM2"/>
    <mergeCell ref="BO2:BT2"/>
  </mergeCells>
  <phoneticPr fontId="2" type="noConversion"/>
  <conditionalFormatting sqref="CJ83:CN88 CQ83:CU88 CQ90:CU94 CJ90:CN94 CJ96:CN100 CQ96:CU100">
    <cfRule type="cellIs" dxfId="5383" priority="2491" operator="greaterThanOrEqual">
      <formula>0.03</formula>
    </cfRule>
    <cfRule type="cellIs" dxfId="5382" priority="2492" operator="lessThanOrEqual">
      <formula>-0.03</formula>
    </cfRule>
  </conditionalFormatting>
  <conditionalFormatting sqref="CO84:CO88 CO90:CO94 CO96:CO100">
    <cfRule type="cellIs" dxfId="5381" priority="2489" operator="greaterThanOrEqual">
      <formula>0.03</formula>
    </cfRule>
    <cfRule type="cellIs" dxfId="5380" priority="2490" operator="lessThanOrEqual">
      <formula>-0.03</formula>
    </cfRule>
  </conditionalFormatting>
  <conditionalFormatting sqref="CV84:CV88 CV90:CV94 CV96:CV100">
    <cfRule type="cellIs" dxfId="5379" priority="2487" operator="greaterThanOrEqual">
      <formula>0.03</formula>
    </cfRule>
    <cfRule type="cellIs" dxfId="5378" priority="2488" operator="lessThanOrEqual">
      <formula>-0.03</formula>
    </cfRule>
  </conditionalFormatting>
  <conditionalFormatting sqref="BV84:BZ88 CC84:CG88 CC90:CG94 BV90:BZ94 BV96:BZ100 CC96:CG100 BX83:BZ83 CE83:CG83">
    <cfRule type="cellIs" dxfId="5377" priority="2473" operator="greaterThanOrEqual">
      <formula>0.03</formula>
    </cfRule>
    <cfRule type="cellIs" dxfId="5376" priority="2474" operator="lessThanOrEqual">
      <formula>-0.03</formula>
    </cfRule>
  </conditionalFormatting>
  <conditionalFormatting sqref="CA84:CA88 CA90:CA94 CA96:CA100">
    <cfRule type="cellIs" dxfId="5375" priority="2471" operator="greaterThanOrEqual">
      <formula>0.03</formula>
    </cfRule>
    <cfRule type="cellIs" dxfId="5374" priority="2472" operator="lessThanOrEqual">
      <formula>-0.03</formula>
    </cfRule>
  </conditionalFormatting>
  <conditionalFormatting sqref="CH84:CH88 CH90:CH94 CH96:CH100">
    <cfRule type="cellIs" dxfId="5373" priority="2469" operator="greaterThanOrEqual">
      <formula>0.03</formula>
    </cfRule>
    <cfRule type="cellIs" dxfId="5372" priority="2470" operator="lessThanOrEqual">
      <formula>-0.03</formula>
    </cfRule>
  </conditionalFormatting>
  <conditionalFormatting sqref="BH83:BL88 BO84:BS88 BO90:BS94 BH90:BL94 BH96:BL100 BO96:BS100 BO83:BQ83 BS83">
    <cfRule type="cellIs" dxfId="5371" priority="2455" operator="greaterThanOrEqual">
      <formula>0.03</formula>
    </cfRule>
    <cfRule type="cellIs" dxfId="5370" priority="2456" operator="lessThanOrEqual">
      <formula>-0.03</formula>
    </cfRule>
  </conditionalFormatting>
  <conditionalFormatting sqref="BM84:BM88 BM90:BM94 BM96:BM100">
    <cfRule type="cellIs" dxfId="5369" priority="2453" operator="greaterThanOrEqual">
      <formula>0.03</formula>
    </cfRule>
    <cfRule type="cellIs" dxfId="5368" priority="2454" operator="lessThanOrEqual">
      <formula>-0.03</formula>
    </cfRule>
  </conditionalFormatting>
  <conditionalFormatting sqref="BT84:BT88 BT90:BT94 BT96:BT100">
    <cfRule type="cellIs" dxfId="5367" priority="2451" operator="greaterThanOrEqual">
      <formula>0.03</formula>
    </cfRule>
    <cfRule type="cellIs" dxfId="5366" priority="2452" operator="lessThanOrEqual">
      <formula>-0.03</formula>
    </cfRule>
  </conditionalFormatting>
  <conditionalFormatting sqref="BR101">
    <cfRule type="cellIs" dxfId="5365" priority="2193" operator="greaterThanOrEqual">
      <formula>0.03</formula>
    </cfRule>
    <cfRule type="cellIs" dxfId="5364" priority="2194" operator="lessThanOrEqual">
      <formula>-0.03</formula>
    </cfRule>
  </conditionalFormatting>
  <conditionalFormatting sqref="BV101">
    <cfRule type="cellIs" dxfId="5363" priority="2191" operator="greaterThanOrEqual">
      <formula>0.03</formula>
    </cfRule>
    <cfRule type="cellIs" dxfId="5362" priority="2192" operator="lessThanOrEqual">
      <formula>-0.03</formula>
    </cfRule>
  </conditionalFormatting>
  <conditionalFormatting sqref="BW101">
    <cfRule type="cellIs" dxfId="5361" priority="2189" operator="greaterThanOrEqual">
      <formula>0.03</formula>
    </cfRule>
    <cfRule type="cellIs" dxfId="5360" priority="2190" operator="lessThanOrEqual">
      <formula>-0.03</formula>
    </cfRule>
  </conditionalFormatting>
  <conditionalFormatting sqref="CC101:CD101">
    <cfRule type="cellIs" dxfId="5359" priority="2187" operator="greaterThanOrEqual">
      <formula>0.03</formula>
    </cfRule>
    <cfRule type="cellIs" dxfId="5358" priority="2188" operator="lessThanOrEqual">
      <formula>-0.03</formula>
    </cfRule>
  </conditionalFormatting>
  <conditionalFormatting sqref="CH101">
    <cfRule type="cellIs" dxfId="5357" priority="2185" operator="greaterThanOrEqual">
      <formula>0.03</formula>
    </cfRule>
    <cfRule type="cellIs" dxfId="5356" priority="2186" operator="lessThanOrEqual">
      <formula>-0.03</formula>
    </cfRule>
  </conditionalFormatting>
  <conditionalFormatting sqref="BH101:BL101 BO101:BQ101 BS101">
    <cfRule type="cellIs" dxfId="5355" priority="2199" operator="greaterThanOrEqual">
      <formula>0.03</formula>
    </cfRule>
    <cfRule type="cellIs" dxfId="5354" priority="2200" operator="lessThanOrEqual">
      <formula>-0.03</formula>
    </cfRule>
  </conditionalFormatting>
  <conditionalFormatting sqref="BM101">
    <cfRule type="cellIs" dxfId="5353" priority="2197" operator="greaterThanOrEqual">
      <formula>0.03</formula>
    </cfRule>
    <cfRule type="cellIs" dxfId="5352" priority="2198" operator="lessThanOrEqual">
      <formula>-0.03</formula>
    </cfRule>
  </conditionalFormatting>
  <conditionalFormatting sqref="BT101">
    <cfRule type="cellIs" dxfId="5351" priority="2195" operator="greaterThanOrEqual">
      <formula>0.03</formula>
    </cfRule>
    <cfRule type="cellIs" dxfId="5350" priority="2196" operator="lessThanOrEqual">
      <formula>-0.03</formula>
    </cfRule>
  </conditionalFormatting>
  <conditionalFormatting sqref="BT102:BT106">
    <cfRule type="cellIs" dxfId="5349" priority="2377" operator="greaterThanOrEqual">
      <formula>0.03</formula>
    </cfRule>
    <cfRule type="cellIs" dxfId="5348" priority="2378" operator="lessThanOrEqual">
      <formula>-0.03</formula>
    </cfRule>
  </conditionalFormatting>
  <conditionalFormatting sqref="CJ102:CN106 CQ102:CU106">
    <cfRule type="cellIs" dxfId="5347" priority="2393" operator="greaterThanOrEqual">
      <formula>0.03</formula>
    </cfRule>
    <cfRule type="cellIs" dxfId="5346" priority="2394" operator="lessThanOrEqual">
      <formula>-0.03</formula>
    </cfRule>
  </conditionalFormatting>
  <conditionalFormatting sqref="CO102:CO106">
    <cfRule type="cellIs" dxfId="5345" priority="2391" operator="greaterThanOrEqual">
      <formula>0.03</formula>
    </cfRule>
    <cfRule type="cellIs" dxfId="5344" priority="2392" operator="lessThanOrEqual">
      <formula>-0.03</formula>
    </cfRule>
  </conditionalFormatting>
  <conditionalFormatting sqref="CV102:CV106">
    <cfRule type="cellIs" dxfId="5343" priority="2389" operator="greaterThanOrEqual">
      <formula>0.03</formula>
    </cfRule>
    <cfRule type="cellIs" dxfId="5342" priority="2390" operator="lessThanOrEqual">
      <formula>-0.03</formula>
    </cfRule>
  </conditionalFormatting>
  <conditionalFormatting sqref="BV102:BZ106 CC102:CG106">
    <cfRule type="cellIs" dxfId="5341" priority="2387" operator="greaterThanOrEqual">
      <formula>0.03</formula>
    </cfRule>
    <cfRule type="cellIs" dxfId="5340" priority="2388" operator="lessThanOrEqual">
      <formula>-0.03</formula>
    </cfRule>
  </conditionalFormatting>
  <conditionalFormatting sqref="CA102:CA106">
    <cfRule type="cellIs" dxfId="5339" priority="2385" operator="greaterThanOrEqual">
      <formula>0.03</formula>
    </cfRule>
    <cfRule type="cellIs" dxfId="5338" priority="2386" operator="lessThanOrEqual">
      <formula>-0.03</formula>
    </cfRule>
  </conditionalFormatting>
  <conditionalFormatting sqref="CH102:CH106">
    <cfRule type="cellIs" dxfId="5337" priority="2383" operator="greaterThanOrEqual">
      <formula>0.03</formula>
    </cfRule>
    <cfRule type="cellIs" dxfId="5336" priority="2384" operator="lessThanOrEqual">
      <formula>-0.03</formula>
    </cfRule>
  </conditionalFormatting>
  <conditionalFormatting sqref="BH102:BL106 BO102:BS106">
    <cfRule type="cellIs" dxfId="5335" priority="2381" operator="greaterThanOrEqual">
      <formula>0.03</formula>
    </cfRule>
    <cfRule type="cellIs" dxfId="5334" priority="2382" operator="lessThanOrEqual">
      <formula>-0.03</formula>
    </cfRule>
  </conditionalFormatting>
  <conditionalFormatting sqref="BM102:BM106">
    <cfRule type="cellIs" dxfId="5333" priority="2379" operator="greaterThanOrEqual">
      <formula>0.03</formula>
    </cfRule>
    <cfRule type="cellIs" dxfId="5332" priority="2380" operator="lessThanOrEqual">
      <formula>-0.03</formula>
    </cfRule>
  </conditionalFormatting>
  <conditionalFormatting sqref="CJ101:CN101 CQ101:CU101">
    <cfRule type="cellIs" dxfId="5331" priority="2209" operator="greaterThanOrEqual">
      <formula>0.03</formula>
    </cfRule>
    <cfRule type="cellIs" dxfId="5330" priority="2210" operator="lessThanOrEqual">
      <formula>-0.03</formula>
    </cfRule>
  </conditionalFormatting>
  <conditionalFormatting sqref="CO101">
    <cfRule type="cellIs" dxfId="5329" priority="2207" operator="greaterThanOrEqual">
      <formula>0.03</formula>
    </cfRule>
    <cfRule type="cellIs" dxfId="5328" priority="2208" operator="lessThanOrEqual">
      <formula>-0.03</formula>
    </cfRule>
  </conditionalFormatting>
  <conditionalFormatting sqref="CV101">
    <cfRule type="cellIs" dxfId="5327" priority="2205" operator="greaterThanOrEqual">
      <formula>0.03</formula>
    </cfRule>
    <cfRule type="cellIs" dxfId="5326" priority="2206" operator="lessThanOrEqual">
      <formula>-0.03</formula>
    </cfRule>
  </conditionalFormatting>
  <conditionalFormatting sqref="BX101:BZ101 CE101:CG101">
    <cfRule type="cellIs" dxfId="5325" priority="2203" operator="greaterThanOrEqual">
      <formula>0.03</formula>
    </cfRule>
    <cfRule type="cellIs" dxfId="5324" priority="2204" operator="lessThanOrEqual">
      <formula>-0.03</formula>
    </cfRule>
  </conditionalFormatting>
  <conditionalFormatting sqref="BV95">
    <cfRule type="cellIs" dxfId="5323" priority="2217" operator="greaterThanOrEqual">
      <formula>0.03</formula>
    </cfRule>
    <cfRule type="cellIs" dxfId="5322" priority="2218" operator="lessThanOrEqual">
      <formula>-0.03</formula>
    </cfRule>
  </conditionalFormatting>
  <conditionalFormatting sqref="BW95">
    <cfRule type="cellIs" dxfId="5321" priority="2215" operator="greaterThanOrEqual">
      <formula>0.03</formula>
    </cfRule>
    <cfRule type="cellIs" dxfId="5320" priority="2216" operator="lessThanOrEqual">
      <formula>-0.03</formula>
    </cfRule>
  </conditionalFormatting>
  <conditionalFormatting sqref="CC95:CD95">
    <cfRule type="cellIs" dxfId="5319" priority="2213" operator="greaterThanOrEqual">
      <formula>0.03</formula>
    </cfRule>
    <cfRule type="cellIs" dxfId="5318" priority="2214" operator="lessThanOrEqual">
      <formula>-0.03</formula>
    </cfRule>
  </conditionalFormatting>
  <conditionalFormatting sqref="CH95">
    <cfRule type="cellIs" dxfId="5317" priority="2211" operator="greaterThanOrEqual">
      <formula>0.03</formula>
    </cfRule>
    <cfRule type="cellIs" dxfId="5316" priority="2212" operator="lessThanOrEqual">
      <formula>-0.03</formula>
    </cfRule>
  </conditionalFormatting>
  <conditionalFormatting sqref="BV83">
    <cfRule type="cellIs" dxfId="5315" priority="2269" operator="greaterThanOrEqual">
      <formula>0.03</formula>
    </cfRule>
    <cfRule type="cellIs" dxfId="5314" priority="2270" operator="lessThanOrEqual">
      <formula>-0.03</formula>
    </cfRule>
  </conditionalFormatting>
  <conditionalFormatting sqref="BW83">
    <cfRule type="cellIs" dxfId="5313" priority="2267" operator="greaterThanOrEqual">
      <formula>0.03</formula>
    </cfRule>
    <cfRule type="cellIs" dxfId="5312" priority="2268" operator="lessThanOrEqual">
      <formula>-0.03</formula>
    </cfRule>
  </conditionalFormatting>
  <conditionalFormatting sqref="CC83:CD83">
    <cfRule type="cellIs" dxfId="5311" priority="2265" operator="greaterThanOrEqual">
      <formula>0.03</formula>
    </cfRule>
    <cfRule type="cellIs" dxfId="5310" priority="2266" operator="lessThanOrEqual">
      <formula>-0.03</formula>
    </cfRule>
  </conditionalFormatting>
  <conditionalFormatting sqref="CJ89:CN89 CQ89:CU89">
    <cfRule type="cellIs" dxfId="5309" priority="2261" operator="greaterThanOrEqual">
      <formula>0.03</formula>
    </cfRule>
    <cfRule type="cellIs" dxfId="5308" priority="2262" operator="lessThanOrEqual">
      <formula>-0.03</formula>
    </cfRule>
  </conditionalFormatting>
  <conditionalFormatting sqref="CO89">
    <cfRule type="cellIs" dxfId="5307" priority="2259" operator="greaterThanOrEqual">
      <formula>0.03</formula>
    </cfRule>
    <cfRule type="cellIs" dxfId="5306" priority="2260" operator="lessThanOrEqual">
      <formula>-0.03</formula>
    </cfRule>
  </conditionalFormatting>
  <conditionalFormatting sqref="CV89">
    <cfRule type="cellIs" dxfId="5305" priority="2257" operator="greaterThanOrEqual">
      <formula>0.03</formula>
    </cfRule>
    <cfRule type="cellIs" dxfId="5304" priority="2258" operator="lessThanOrEqual">
      <formula>-0.03</formula>
    </cfRule>
  </conditionalFormatting>
  <conditionalFormatting sqref="BX89:BZ89 CE89:CG89">
    <cfRule type="cellIs" dxfId="5303" priority="2255" operator="greaterThanOrEqual">
      <formula>0.03</formula>
    </cfRule>
    <cfRule type="cellIs" dxfId="5302" priority="2256" operator="lessThanOrEqual">
      <formula>-0.03</formula>
    </cfRule>
  </conditionalFormatting>
  <conditionalFormatting sqref="CJ95:CN95 CQ95:CU95">
    <cfRule type="cellIs" dxfId="5301" priority="2235" operator="greaterThanOrEqual">
      <formula>0.03</formula>
    </cfRule>
    <cfRule type="cellIs" dxfId="5300" priority="2236" operator="lessThanOrEqual">
      <formula>-0.03</formula>
    </cfRule>
  </conditionalFormatting>
  <conditionalFormatting sqref="BV89">
    <cfRule type="cellIs" dxfId="5299" priority="2243" operator="greaterThanOrEqual">
      <formula>0.03</formula>
    </cfRule>
    <cfRule type="cellIs" dxfId="5298" priority="2244" operator="lessThanOrEqual">
      <formula>-0.03</formula>
    </cfRule>
  </conditionalFormatting>
  <conditionalFormatting sqref="BR83">
    <cfRule type="cellIs" dxfId="5297" priority="2271" operator="greaterThanOrEqual">
      <formula>0.03</formula>
    </cfRule>
    <cfRule type="cellIs" dxfId="5296" priority="2272" operator="lessThanOrEqual">
      <formula>-0.03</formula>
    </cfRule>
  </conditionalFormatting>
  <conditionalFormatting sqref="BH89:BL89 BO89:BQ89 BS89">
    <cfRule type="cellIs" dxfId="5295" priority="2251" operator="greaterThanOrEqual">
      <formula>0.03</formula>
    </cfRule>
    <cfRule type="cellIs" dxfId="5294" priority="2252" operator="lessThanOrEqual">
      <formula>-0.03</formula>
    </cfRule>
  </conditionalFormatting>
  <conditionalFormatting sqref="BM89">
    <cfRule type="cellIs" dxfId="5293" priority="2249" operator="greaterThanOrEqual">
      <formula>0.03</formula>
    </cfRule>
    <cfRule type="cellIs" dxfId="5292" priority="2250" operator="lessThanOrEqual">
      <formula>-0.03</formula>
    </cfRule>
  </conditionalFormatting>
  <conditionalFormatting sqref="BT89">
    <cfRule type="cellIs" dxfId="5291" priority="2247" operator="greaterThanOrEqual">
      <formula>0.03</formula>
    </cfRule>
    <cfRule type="cellIs" dxfId="5290" priority="2248" operator="lessThanOrEqual">
      <formula>-0.03</formula>
    </cfRule>
  </conditionalFormatting>
  <conditionalFormatting sqref="BR89">
    <cfRule type="cellIs" dxfId="5289" priority="2245" operator="greaterThanOrEqual">
      <formula>0.03</formula>
    </cfRule>
    <cfRule type="cellIs" dxfId="5288" priority="2246" operator="lessThanOrEqual">
      <formula>-0.03</formula>
    </cfRule>
  </conditionalFormatting>
  <conditionalFormatting sqref="BW89">
    <cfRule type="cellIs" dxfId="5287" priority="2241" operator="greaterThanOrEqual">
      <formula>0.03</formula>
    </cfRule>
    <cfRule type="cellIs" dxfId="5286" priority="2242" operator="lessThanOrEqual">
      <formula>-0.03</formula>
    </cfRule>
  </conditionalFormatting>
  <conditionalFormatting sqref="CC89:CD89">
    <cfRule type="cellIs" dxfId="5285" priority="2239" operator="greaterThanOrEqual">
      <formula>0.03</formula>
    </cfRule>
    <cfRule type="cellIs" dxfId="5284" priority="2240" operator="lessThanOrEqual">
      <formula>-0.03</formula>
    </cfRule>
  </conditionalFormatting>
  <conditionalFormatting sqref="CH89">
    <cfRule type="cellIs" dxfId="5283" priority="2237" operator="greaterThanOrEqual">
      <formula>0.03</formula>
    </cfRule>
    <cfRule type="cellIs" dxfId="5282" priority="2238" operator="lessThanOrEqual">
      <formula>-0.03</formula>
    </cfRule>
  </conditionalFormatting>
  <conditionalFormatting sqref="CO95">
    <cfRule type="cellIs" dxfId="5281" priority="2233" operator="greaterThanOrEqual">
      <formula>0.03</formula>
    </cfRule>
    <cfRule type="cellIs" dxfId="5280" priority="2234" operator="lessThanOrEqual">
      <formula>-0.03</formula>
    </cfRule>
  </conditionalFormatting>
  <conditionalFormatting sqref="CV95">
    <cfRule type="cellIs" dxfId="5279" priority="2231" operator="greaterThanOrEqual">
      <formula>0.03</formula>
    </cfRule>
    <cfRule type="cellIs" dxfId="5278" priority="2232" operator="lessThanOrEqual">
      <formula>-0.03</formula>
    </cfRule>
  </conditionalFormatting>
  <conditionalFormatting sqref="BX95:BZ95 CE95:CG95">
    <cfRule type="cellIs" dxfId="5277" priority="2229" operator="greaterThanOrEqual">
      <formula>0.03</formula>
    </cfRule>
    <cfRule type="cellIs" dxfId="5276" priority="2230" operator="lessThanOrEqual">
      <formula>-0.03</formula>
    </cfRule>
  </conditionalFormatting>
  <conditionalFormatting sqref="BH95:BL95 BO95:BQ95 BS95">
    <cfRule type="cellIs" dxfId="5275" priority="2225" operator="greaterThanOrEqual">
      <formula>0.03</formula>
    </cfRule>
    <cfRule type="cellIs" dxfId="5274" priority="2226" operator="lessThanOrEqual">
      <formula>-0.03</formula>
    </cfRule>
  </conditionalFormatting>
  <conditionalFormatting sqref="BM95">
    <cfRule type="cellIs" dxfId="5273" priority="2223" operator="greaterThanOrEqual">
      <formula>0.03</formula>
    </cfRule>
    <cfRule type="cellIs" dxfId="5272" priority="2224" operator="lessThanOrEqual">
      <formula>-0.03</formula>
    </cfRule>
  </conditionalFormatting>
  <conditionalFormatting sqref="BT95">
    <cfRule type="cellIs" dxfId="5271" priority="2221" operator="greaterThanOrEqual">
      <formula>0.03</formula>
    </cfRule>
    <cfRule type="cellIs" dxfId="5270" priority="2222" operator="lessThanOrEqual">
      <formula>-0.03</formula>
    </cfRule>
  </conditionalFormatting>
  <conditionalFormatting sqref="BR95">
    <cfRule type="cellIs" dxfId="5269" priority="2219" operator="greaterThanOrEqual">
      <formula>0.03</formula>
    </cfRule>
    <cfRule type="cellIs" dxfId="5268" priority="2220" operator="lessThanOrEqual">
      <formula>-0.03</formula>
    </cfRule>
  </conditionalFormatting>
  <conditionalFormatting sqref="CQ120:CQ124 CJ120:CJ124 CJ126:CJ130 CQ126:CQ130 CJ114:CN118 CQ113:CU118 CJ113:CK113">
    <cfRule type="cellIs" dxfId="5267" priority="2013" operator="greaterThanOrEqual">
      <formula>0.03</formula>
    </cfRule>
    <cfRule type="cellIs" dxfId="5266" priority="2014" operator="lessThanOrEqual">
      <formula>-0.03</formula>
    </cfRule>
  </conditionalFormatting>
  <conditionalFormatting sqref="CC120:CC124 CC126:CC130 BV114:BZ118 CC114:CG118">
    <cfRule type="cellIs" dxfId="5265" priority="2007" operator="greaterThanOrEqual">
      <formula>0.03</formula>
    </cfRule>
    <cfRule type="cellIs" dxfId="5264" priority="2008" operator="lessThanOrEqual">
      <formula>-0.03</formula>
    </cfRule>
  </conditionalFormatting>
  <conditionalFormatting sqref="BM130 BH126:BL130 BH120:BL124 BH113:BL118 BO120:BO124 BO126:BO130 BO113:BT118 BT120:BT123 BT126:BT130">
    <cfRule type="cellIs" dxfId="5263" priority="2001" operator="greaterThanOrEqual">
      <formula>0.03</formula>
    </cfRule>
    <cfRule type="cellIs" dxfId="5262" priority="2002" operator="lessThanOrEqual">
      <formula>-0.03</formula>
    </cfRule>
  </conditionalFormatting>
  <conditionalFormatting sqref="BO119 BH119 BT119">
    <cfRule type="cellIs" dxfId="5261" priority="1945" operator="greaterThanOrEqual">
      <formula>0.03</formula>
    </cfRule>
    <cfRule type="cellIs" dxfId="5260" priority="1946" operator="lessThanOrEqual">
      <formula>-0.03</formula>
    </cfRule>
  </conditionalFormatting>
  <conditionalFormatting sqref="CC113:CG113">
    <cfRule type="cellIs" dxfId="5259" priority="1959" operator="greaterThanOrEqual">
      <formula>0.03</formula>
    </cfRule>
    <cfRule type="cellIs" dxfId="5258" priority="1960" operator="lessThanOrEqual">
      <formula>-0.03</formula>
    </cfRule>
  </conditionalFormatting>
  <conditionalFormatting sqref="CJ132:CJ136 CQ132:CQ136">
    <cfRule type="cellIs" dxfId="5257" priority="1987" operator="greaterThanOrEqual">
      <formula>0.03</formula>
    </cfRule>
    <cfRule type="cellIs" dxfId="5256" priority="1988" operator="lessThanOrEqual">
      <formula>-0.03</formula>
    </cfRule>
  </conditionalFormatting>
  <conditionalFormatting sqref="CC132:CC136">
    <cfRule type="cellIs" dxfId="5255" priority="1981" operator="greaterThanOrEqual">
      <formula>0.03</formula>
    </cfRule>
    <cfRule type="cellIs" dxfId="5254" priority="1982" operator="lessThanOrEqual">
      <formula>-0.03</formula>
    </cfRule>
  </conditionalFormatting>
  <conditionalFormatting sqref="BH132:BL136 BO132:BO136 BT132:BT136">
    <cfRule type="cellIs" dxfId="5253" priority="1975" operator="greaterThanOrEqual">
      <formula>0.03</formula>
    </cfRule>
    <cfRule type="cellIs" dxfId="5252" priority="1976" operator="lessThanOrEqual">
      <formula>-0.03</formula>
    </cfRule>
  </conditionalFormatting>
  <conditionalFormatting sqref="CJ108:CN112 CQ108:CU112">
    <cfRule type="cellIs" dxfId="5251" priority="2113" operator="greaterThanOrEqual">
      <formula>0.03</formula>
    </cfRule>
    <cfRule type="cellIs" dxfId="5250" priority="2114" operator="lessThanOrEqual">
      <formula>-0.03</formula>
    </cfRule>
  </conditionalFormatting>
  <conditionalFormatting sqref="CO108:CO112">
    <cfRule type="cellIs" dxfId="5249" priority="2111" operator="greaterThanOrEqual">
      <formula>0.03</formula>
    </cfRule>
    <cfRule type="cellIs" dxfId="5248" priority="2112" operator="lessThanOrEqual">
      <formula>-0.03</formula>
    </cfRule>
  </conditionalFormatting>
  <conditionalFormatting sqref="CV108:CV112">
    <cfRule type="cellIs" dxfId="5247" priority="2109" operator="greaterThanOrEqual">
      <formula>0.03</formula>
    </cfRule>
    <cfRule type="cellIs" dxfId="5246" priority="2110" operator="lessThanOrEqual">
      <formula>-0.03</formula>
    </cfRule>
  </conditionalFormatting>
  <conditionalFormatting sqref="BV108:BZ112 CC108:CG112">
    <cfRule type="cellIs" dxfId="5245" priority="2107" operator="greaterThanOrEqual">
      <formula>0.03</formula>
    </cfRule>
    <cfRule type="cellIs" dxfId="5244" priority="2108" operator="lessThanOrEqual">
      <formula>-0.03</formula>
    </cfRule>
  </conditionalFormatting>
  <conditionalFormatting sqref="CA108:CA112">
    <cfRule type="cellIs" dxfId="5243" priority="2105" operator="greaterThanOrEqual">
      <formula>0.03</formula>
    </cfRule>
    <cfRule type="cellIs" dxfId="5242" priority="2106" operator="lessThanOrEqual">
      <formula>-0.03</formula>
    </cfRule>
  </conditionalFormatting>
  <conditionalFormatting sqref="CH108:CH112">
    <cfRule type="cellIs" dxfId="5241" priority="2103" operator="greaterThanOrEqual">
      <formula>0.03</formula>
    </cfRule>
    <cfRule type="cellIs" dxfId="5240" priority="2104" operator="lessThanOrEqual">
      <formula>-0.03</formula>
    </cfRule>
  </conditionalFormatting>
  <conditionalFormatting sqref="BH108:BL112 BO108:BS112">
    <cfRule type="cellIs" dxfId="5239" priority="2101" operator="greaterThanOrEqual">
      <formula>0.03</formula>
    </cfRule>
    <cfRule type="cellIs" dxfId="5238" priority="2102" operator="lessThanOrEqual">
      <formula>-0.03</formula>
    </cfRule>
  </conditionalFormatting>
  <conditionalFormatting sqref="BM108:BM112">
    <cfRule type="cellIs" dxfId="5237" priority="2099" operator="greaterThanOrEqual">
      <formula>0.03</formula>
    </cfRule>
    <cfRule type="cellIs" dxfId="5236" priority="2100" operator="lessThanOrEqual">
      <formula>-0.03</formula>
    </cfRule>
  </conditionalFormatting>
  <conditionalFormatting sqref="BT108:BT112">
    <cfRule type="cellIs" dxfId="5235" priority="2097" operator="greaterThanOrEqual">
      <formula>0.03</formula>
    </cfRule>
    <cfRule type="cellIs" dxfId="5234" priority="2098" operator="lessThanOrEqual">
      <formula>-0.03</formula>
    </cfRule>
  </conditionalFormatting>
  <conditionalFormatting sqref="CJ107:CN107 CQ107:CU107">
    <cfRule type="cellIs" dxfId="5233" priority="2095" operator="greaterThanOrEqual">
      <formula>0.03</formula>
    </cfRule>
    <cfRule type="cellIs" dxfId="5232" priority="2096" operator="lessThanOrEqual">
      <formula>-0.03</formula>
    </cfRule>
  </conditionalFormatting>
  <conditionalFormatting sqref="CO107">
    <cfRule type="cellIs" dxfId="5231" priority="2093" operator="greaterThanOrEqual">
      <formula>0.03</formula>
    </cfRule>
    <cfRule type="cellIs" dxfId="5230" priority="2094" operator="lessThanOrEqual">
      <formula>-0.03</formula>
    </cfRule>
  </conditionalFormatting>
  <conditionalFormatting sqref="CV107">
    <cfRule type="cellIs" dxfId="5229" priority="2091" operator="greaterThanOrEqual">
      <formula>0.03</formula>
    </cfRule>
    <cfRule type="cellIs" dxfId="5228" priority="2092" operator="lessThanOrEqual">
      <formula>-0.03</formula>
    </cfRule>
  </conditionalFormatting>
  <conditionalFormatting sqref="BX107:BZ107 CE107:CG107">
    <cfRule type="cellIs" dxfId="5227" priority="2089" operator="greaterThanOrEqual">
      <formula>0.03</formula>
    </cfRule>
    <cfRule type="cellIs" dxfId="5226" priority="2090" operator="lessThanOrEqual">
      <formula>-0.03</formula>
    </cfRule>
  </conditionalFormatting>
  <conditionalFormatting sqref="BW107">
    <cfRule type="cellIs" dxfId="5225" priority="2075" operator="greaterThanOrEqual">
      <formula>0.03</formula>
    </cfRule>
    <cfRule type="cellIs" dxfId="5224" priority="2076" operator="lessThanOrEqual">
      <formula>-0.03</formula>
    </cfRule>
  </conditionalFormatting>
  <conditionalFormatting sqref="BH107:BL107 BO107:BQ107 BS107">
    <cfRule type="cellIs" dxfId="5223" priority="2085" operator="greaterThanOrEqual">
      <formula>0.03</formula>
    </cfRule>
    <cfRule type="cellIs" dxfId="5222" priority="2086" operator="lessThanOrEqual">
      <formula>-0.03</formula>
    </cfRule>
  </conditionalFormatting>
  <conditionalFormatting sqref="BM107">
    <cfRule type="cellIs" dxfId="5221" priority="2083" operator="greaterThanOrEqual">
      <formula>0.03</formula>
    </cfRule>
    <cfRule type="cellIs" dxfId="5220" priority="2084" operator="lessThanOrEqual">
      <formula>-0.03</formula>
    </cfRule>
  </conditionalFormatting>
  <conditionalFormatting sqref="BT107">
    <cfRule type="cellIs" dxfId="5219" priority="2081" operator="greaterThanOrEqual">
      <formula>0.03</formula>
    </cfRule>
    <cfRule type="cellIs" dxfId="5218" priority="2082" operator="lessThanOrEqual">
      <formula>-0.03</formula>
    </cfRule>
  </conditionalFormatting>
  <conditionalFormatting sqref="BR107">
    <cfRule type="cellIs" dxfId="5217" priority="2079" operator="greaterThanOrEqual">
      <formula>0.03</formula>
    </cfRule>
    <cfRule type="cellIs" dxfId="5216" priority="2080" operator="lessThanOrEqual">
      <formula>-0.03</formula>
    </cfRule>
  </conditionalFormatting>
  <conditionalFormatting sqref="BV107">
    <cfRule type="cellIs" dxfId="5215" priority="2077" operator="greaterThanOrEqual">
      <formula>0.03</formula>
    </cfRule>
    <cfRule type="cellIs" dxfId="5214" priority="2078" operator="lessThanOrEqual">
      <formula>-0.03</formula>
    </cfRule>
  </conditionalFormatting>
  <conditionalFormatting sqref="CC107:CD107">
    <cfRule type="cellIs" dxfId="5213" priority="2073" operator="greaterThanOrEqual">
      <formula>0.03</formula>
    </cfRule>
    <cfRule type="cellIs" dxfId="5212" priority="2074" operator="lessThanOrEqual">
      <formula>-0.03</formula>
    </cfRule>
  </conditionalFormatting>
  <conditionalFormatting sqref="CH107">
    <cfRule type="cellIs" dxfId="5211" priority="2071" operator="greaterThanOrEqual">
      <formula>0.03</formula>
    </cfRule>
    <cfRule type="cellIs" dxfId="5210" priority="2072" operator="lessThanOrEqual">
      <formula>-0.03</formula>
    </cfRule>
  </conditionalFormatting>
  <conditionalFormatting sqref="CJ125 CQ125">
    <cfRule type="cellIs" dxfId="5209" priority="1929" operator="greaterThanOrEqual">
      <formula>0.03</formula>
    </cfRule>
    <cfRule type="cellIs" dxfId="5208" priority="1930" operator="lessThanOrEqual">
      <formula>-0.03</formula>
    </cfRule>
  </conditionalFormatting>
  <conditionalFormatting sqref="BO125 BH125">
    <cfRule type="cellIs" dxfId="5207" priority="1919" operator="greaterThanOrEqual">
      <formula>0.03</formula>
    </cfRule>
    <cfRule type="cellIs" dxfId="5206" priority="1920" operator="lessThanOrEqual">
      <formula>-0.03</formula>
    </cfRule>
  </conditionalFormatting>
  <conditionalFormatting sqref="CC125">
    <cfRule type="cellIs" dxfId="5205" priority="1907" operator="greaterThanOrEqual">
      <formula>0.03</formula>
    </cfRule>
    <cfRule type="cellIs" dxfId="5204" priority="1908" operator="lessThanOrEqual">
      <formula>-0.03</formula>
    </cfRule>
  </conditionalFormatting>
  <conditionalFormatting sqref="CJ131 CQ131">
    <cfRule type="cellIs" dxfId="5203" priority="1903" operator="greaterThanOrEqual">
      <formula>0.03</formula>
    </cfRule>
    <cfRule type="cellIs" dxfId="5202" priority="1904" operator="lessThanOrEqual">
      <formula>-0.03</formula>
    </cfRule>
  </conditionalFormatting>
  <conditionalFormatting sqref="BO131 BH131 BT131">
    <cfRule type="cellIs" dxfId="5201" priority="1893" operator="greaterThanOrEqual">
      <formula>0.03</formula>
    </cfRule>
    <cfRule type="cellIs" dxfId="5200" priority="1894" operator="lessThanOrEqual">
      <formula>-0.03</formula>
    </cfRule>
  </conditionalFormatting>
  <conditionalFormatting sqref="CC131">
    <cfRule type="cellIs" dxfId="5199" priority="1881" operator="greaterThanOrEqual">
      <formula>0.03</formula>
    </cfRule>
    <cfRule type="cellIs" dxfId="5198" priority="1882" operator="lessThanOrEqual">
      <formula>-0.03</formula>
    </cfRule>
  </conditionalFormatting>
  <conditionalFormatting sqref="BV113:BW113">
    <cfRule type="cellIs" dxfId="5197" priority="1963" operator="greaterThanOrEqual">
      <formula>0.03</formula>
    </cfRule>
    <cfRule type="cellIs" dxfId="5196" priority="1964" operator="lessThanOrEqual">
      <formula>-0.03</formula>
    </cfRule>
  </conditionalFormatting>
  <conditionalFormatting sqref="CJ119 CQ119">
    <cfRule type="cellIs" dxfId="5195" priority="1955" operator="greaterThanOrEqual">
      <formula>0.03</formula>
    </cfRule>
    <cfRule type="cellIs" dxfId="5194" priority="1956" operator="lessThanOrEqual">
      <formula>-0.03</formula>
    </cfRule>
  </conditionalFormatting>
  <conditionalFormatting sqref="CC119">
    <cfRule type="cellIs" dxfId="5193" priority="1933" operator="greaterThanOrEqual">
      <formula>0.03</formula>
    </cfRule>
    <cfRule type="cellIs" dxfId="5192" priority="1934" operator="lessThanOrEqual">
      <formula>-0.03</formula>
    </cfRule>
  </conditionalFormatting>
  <conditionalFormatting sqref="BI119:BL119">
    <cfRule type="cellIs" dxfId="5191" priority="1833" operator="greaterThanOrEqual">
      <formula>0.03</formula>
    </cfRule>
    <cfRule type="cellIs" dxfId="5190" priority="1834" operator="lessThanOrEqual">
      <formula>-0.03</formula>
    </cfRule>
  </conditionalFormatting>
  <conditionalFormatting sqref="BI125:BL125">
    <cfRule type="cellIs" dxfId="5189" priority="1831" operator="greaterThanOrEqual">
      <formula>0.03</formula>
    </cfRule>
    <cfRule type="cellIs" dxfId="5188" priority="1832" operator="lessThanOrEqual">
      <formula>-0.03</formula>
    </cfRule>
  </conditionalFormatting>
  <conditionalFormatting sqref="BI131:BL131">
    <cfRule type="cellIs" dxfId="5187" priority="1829" operator="greaterThanOrEqual">
      <formula>0.03</formula>
    </cfRule>
    <cfRule type="cellIs" dxfId="5186" priority="1830" operator="lessThanOrEqual">
      <formula>-0.03</formula>
    </cfRule>
  </conditionalFormatting>
  <conditionalFormatting sqref="BM113:BM117">
    <cfRule type="cellIs" dxfId="5185" priority="1857" operator="greaterThanOrEqual">
      <formula>0.03</formula>
    </cfRule>
    <cfRule type="cellIs" dxfId="5184" priority="1858" operator="lessThanOrEqual">
      <formula>-0.03</formula>
    </cfRule>
  </conditionalFormatting>
  <conditionalFormatting sqref="BM119:BM123">
    <cfRule type="cellIs" dxfId="5183" priority="1855" operator="greaterThanOrEqual">
      <formula>0.03</formula>
    </cfRule>
    <cfRule type="cellIs" dxfId="5182" priority="1856" operator="lessThanOrEqual">
      <formula>-0.03</formula>
    </cfRule>
  </conditionalFormatting>
  <conditionalFormatting sqref="BM125:BM129">
    <cfRule type="cellIs" dxfId="5181" priority="1853" operator="greaterThanOrEqual">
      <formula>0.03</formula>
    </cfRule>
    <cfRule type="cellIs" dxfId="5180" priority="1854" operator="lessThanOrEqual">
      <formula>-0.03</formula>
    </cfRule>
  </conditionalFormatting>
  <conditionalFormatting sqref="BM132:BM136">
    <cfRule type="cellIs" dxfId="5179" priority="1849" operator="greaterThanOrEqual">
      <formula>0.03</formula>
    </cfRule>
    <cfRule type="cellIs" dxfId="5178" priority="1850" operator="lessThanOrEqual">
      <formula>-0.03</formula>
    </cfRule>
  </conditionalFormatting>
  <conditionalFormatting sqref="BM131">
    <cfRule type="cellIs" dxfId="5177" priority="1847" operator="greaterThanOrEqual">
      <formula>0.03</formula>
    </cfRule>
    <cfRule type="cellIs" dxfId="5176" priority="1848" operator="lessThanOrEqual">
      <formula>-0.03</formula>
    </cfRule>
  </conditionalFormatting>
  <conditionalFormatting sqref="BM124">
    <cfRule type="cellIs" dxfId="5175" priority="1845" operator="greaterThanOrEqual">
      <formula>0.03</formula>
    </cfRule>
    <cfRule type="cellIs" dxfId="5174" priority="1846" operator="lessThanOrEqual">
      <formula>-0.03</formula>
    </cfRule>
  </conditionalFormatting>
  <conditionalFormatting sqref="BM118">
    <cfRule type="cellIs" dxfId="5173" priority="1843" operator="greaterThanOrEqual">
      <formula>0.03</formula>
    </cfRule>
    <cfRule type="cellIs" dxfId="5172" priority="1844" operator="lessThanOrEqual">
      <formula>-0.03</formula>
    </cfRule>
  </conditionalFormatting>
  <conditionalFormatting sqref="BT124">
    <cfRule type="cellIs" dxfId="5171" priority="1827" operator="greaterThanOrEqual">
      <formula>0.03</formula>
    </cfRule>
    <cfRule type="cellIs" dxfId="5170" priority="1828" operator="lessThanOrEqual">
      <formula>-0.03</formula>
    </cfRule>
  </conditionalFormatting>
  <conditionalFormatting sqref="BT125">
    <cfRule type="cellIs" dxfId="5169" priority="1825" operator="greaterThanOrEqual">
      <formula>0.03</formula>
    </cfRule>
    <cfRule type="cellIs" dxfId="5168" priority="1826" operator="lessThanOrEqual">
      <formula>-0.03</formula>
    </cfRule>
  </conditionalFormatting>
  <conditionalFormatting sqref="BP119:BS124">
    <cfRule type="cellIs" dxfId="5167" priority="1823" operator="greaterThanOrEqual">
      <formula>0.03</formula>
    </cfRule>
    <cfRule type="cellIs" dxfId="5166" priority="1824" operator="lessThanOrEqual">
      <formula>-0.03</formula>
    </cfRule>
  </conditionalFormatting>
  <conditionalFormatting sqref="BP125:BS130">
    <cfRule type="cellIs" dxfId="5165" priority="1821" operator="greaterThanOrEqual">
      <formula>0.03</formula>
    </cfRule>
    <cfRule type="cellIs" dxfId="5164" priority="1822" operator="lessThanOrEqual">
      <formula>-0.03</formula>
    </cfRule>
  </conditionalFormatting>
  <conditionalFormatting sqref="BP131:BS136">
    <cfRule type="cellIs" dxfId="5163" priority="1819" operator="greaterThanOrEqual">
      <formula>0.03</formula>
    </cfRule>
    <cfRule type="cellIs" dxfId="5162" priority="1820" operator="lessThanOrEqual">
      <formula>-0.03</formula>
    </cfRule>
  </conditionalFormatting>
  <conditionalFormatting sqref="CA113:CA118">
    <cfRule type="cellIs" dxfId="5161" priority="1817" operator="greaterThanOrEqual">
      <formula>0.03</formula>
    </cfRule>
    <cfRule type="cellIs" dxfId="5160" priority="1818" operator="lessThanOrEqual">
      <formula>-0.03</formula>
    </cfRule>
  </conditionalFormatting>
  <conditionalFormatting sqref="CA119:CA124">
    <cfRule type="cellIs" dxfId="5159" priority="1815" operator="greaterThanOrEqual">
      <formula>0.03</formula>
    </cfRule>
    <cfRule type="cellIs" dxfId="5158" priority="1816" operator="lessThanOrEqual">
      <formula>-0.03</formula>
    </cfRule>
  </conditionalFormatting>
  <conditionalFormatting sqref="CA125:CA130">
    <cfRule type="cellIs" dxfId="5157" priority="1813" operator="greaterThanOrEqual">
      <formula>0.03</formula>
    </cfRule>
    <cfRule type="cellIs" dxfId="5156" priority="1814" operator="lessThanOrEqual">
      <formula>-0.03</formula>
    </cfRule>
  </conditionalFormatting>
  <conditionalFormatting sqref="CA131:CA136">
    <cfRule type="cellIs" dxfId="5155" priority="1811" operator="greaterThanOrEqual">
      <formula>0.03</formula>
    </cfRule>
    <cfRule type="cellIs" dxfId="5154" priority="1812" operator="lessThanOrEqual">
      <formula>-0.03</formula>
    </cfRule>
  </conditionalFormatting>
  <conditionalFormatting sqref="BV120:BZ124">
    <cfRule type="cellIs" dxfId="5153" priority="1809" operator="greaterThanOrEqual">
      <formula>0.03</formula>
    </cfRule>
    <cfRule type="cellIs" dxfId="5152" priority="1810" operator="lessThanOrEqual">
      <formula>-0.03</formula>
    </cfRule>
  </conditionalFormatting>
  <conditionalFormatting sqref="BW119">
    <cfRule type="cellIs" dxfId="5151" priority="1805" operator="greaterThanOrEqual">
      <formula>0.03</formula>
    </cfRule>
    <cfRule type="cellIs" dxfId="5150" priority="1806" operator="lessThanOrEqual">
      <formula>-0.03</formula>
    </cfRule>
  </conditionalFormatting>
  <conditionalFormatting sqref="BV119">
    <cfRule type="cellIs" dxfId="5149" priority="1807" operator="greaterThanOrEqual">
      <formula>0.03</formula>
    </cfRule>
    <cfRule type="cellIs" dxfId="5148" priority="1808" operator="lessThanOrEqual">
      <formula>-0.03</formula>
    </cfRule>
  </conditionalFormatting>
  <conditionalFormatting sqref="BV126:BZ130">
    <cfRule type="cellIs" dxfId="5147" priority="1803" operator="greaterThanOrEqual">
      <formula>0.03</formula>
    </cfRule>
    <cfRule type="cellIs" dxfId="5146" priority="1804" operator="lessThanOrEqual">
      <formula>-0.03</formula>
    </cfRule>
  </conditionalFormatting>
  <conditionalFormatting sqref="BW125">
    <cfRule type="cellIs" dxfId="5145" priority="1799" operator="greaterThanOrEqual">
      <formula>0.03</formula>
    </cfRule>
    <cfRule type="cellIs" dxfId="5144" priority="1800" operator="lessThanOrEqual">
      <formula>-0.03</formula>
    </cfRule>
  </conditionalFormatting>
  <conditionalFormatting sqref="BV125">
    <cfRule type="cellIs" dxfId="5143" priority="1801" operator="greaterThanOrEqual">
      <formula>0.03</formula>
    </cfRule>
    <cfRule type="cellIs" dxfId="5142" priority="1802" operator="lessThanOrEqual">
      <formula>-0.03</formula>
    </cfRule>
  </conditionalFormatting>
  <conditionalFormatting sqref="BV132:BZ136">
    <cfRule type="cellIs" dxfId="5141" priority="1797" operator="greaterThanOrEqual">
      <formula>0.03</formula>
    </cfRule>
    <cfRule type="cellIs" dxfId="5140" priority="1798" operator="lessThanOrEqual">
      <formula>-0.03</formula>
    </cfRule>
  </conditionalFormatting>
  <conditionalFormatting sqref="BW131">
    <cfRule type="cellIs" dxfId="5139" priority="1793" operator="greaterThanOrEqual">
      <formula>0.03</formula>
    </cfRule>
    <cfRule type="cellIs" dxfId="5138" priority="1794" operator="lessThanOrEqual">
      <formula>-0.03</formula>
    </cfRule>
  </conditionalFormatting>
  <conditionalFormatting sqref="BV131">
    <cfRule type="cellIs" dxfId="5137" priority="1795" operator="greaterThanOrEqual">
      <formula>0.03</formula>
    </cfRule>
    <cfRule type="cellIs" dxfId="5136" priority="1796" operator="lessThanOrEqual">
      <formula>-0.03</formula>
    </cfRule>
  </conditionalFormatting>
  <conditionalFormatting sqref="CH113:CH118">
    <cfRule type="cellIs" dxfId="5135" priority="1791" operator="greaterThanOrEqual">
      <formula>0.03</formula>
    </cfRule>
    <cfRule type="cellIs" dxfId="5134" priority="1792" operator="lessThanOrEqual">
      <formula>-0.03</formula>
    </cfRule>
  </conditionalFormatting>
  <conditionalFormatting sqref="CH119:CH124">
    <cfRule type="cellIs" dxfId="5133" priority="1789" operator="greaterThanOrEqual">
      <formula>0.03</formula>
    </cfRule>
    <cfRule type="cellIs" dxfId="5132" priority="1790" operator="lessThanOrEqual">
      <formula>-0.03</formula>
    </cfRule>
  </conditionalFormatting>
  <conditionalFormatting sqref="CH125:CH130">
    <cfRule type="cellIs" dxfId="5131" priority="1787" operator="greaterThanOrEqual">
      <formula>0.03</formula>
    </cfRule>
    <cfRule type="cellIs" dxfId="5130" priority="1788" operator="lessThanOrEqual">
      <formula>-0.03</formula>
    </cfRule>
  </conditionalFormatting>
  <conditionalFormatting sqref="CH131:CH136">
    <cfRule type="cellIs" dxfId="5129" priority="1785" operator="greaterThanOrEqual">
      <formula>0.03</formula>
    </cfRule>
    <cfRule type="cellIs" dxfId="5128" priority="1786" operator="lessThanOrEqual">
      <formula>-0.03</formula>
    </cfRule>
  </conditionalFormatting>
  <conditionalFormatting sqref="CO113:CO118">
    <cfRule type="cellIs" dxfId="5127" priority="1783" operator="greaterThanOrEqual">
      <formula>0.03</formula>
    </cfRule>
    <cfRule type="cellIs" dxfId="5126" priority="1784" operator="lessThanOrEqual">
      <formula>-0.03</formula>
    </cfRule>
  </conditionalFormatting>
  <conditionalFormatting sqref="CO119:CO124">
    <cfRule type="cellIs" dxfId="5125" priority="1781" operator="greaterThanOrEqual">
      <formula>0.03</formula>
    </cfRule>
    <cfRule type="cellIs" dxfId="5124" priority="1782" operator="lessThanOrEqual">
      <formula>-0.03</formula>
    </cfRule>
  </conditionalFormatting>
  <conditionalFormatting sqref="CO125:CO130">
    <cfRule type="cellIs" dxfId="5123" priority="1779" operator="greaterThanOrEqual">
      <formula>0.03</formula>
    </cfRule>
    <cfRule type="cellIs" dxfId="5122" priority="1780" operator="lessThanOrEqual">
      <formula>-0.03</formula>
    </cfRule>
  </conditionalFormatting>
  <conditionalFormatting sqref="CO131:CO136">
    <cfRule type="cellIs" dxfId="5121" priority="1777" operator="greaterThanOrEqual">
      <formula>0.03</formula>
    </cfRule>
    <cfRule type="cellIs" dxfId="5120" priority="1778" operator="lessThanOrEqual">
      <formula>-0.03</formula>
    </cfRule>
  </conditionalFormatting>
  <conditionalFormatting sqref="CK120:CN124 CK119">
    <cfRule type="cellIs" dxfId="5119" priority="1775" operator="greaterThanOrEqual">
      <formula>0.03</formula>
    </cfRule>
    <cfRule type="cellIs" dxfId="5118" priority="1776" operator="lessThanOrEqual">
      <formula>-0.03</formula>
    </cfRule>
  </conditionalFormatting>
  <conditionalFormatting sqref="CK126:CN130 CK125">
    <cfRule type="cellIs" dxfId="5117" priority="1773" operator="greaterThanOrEqual">
      <formula>0.03</formula>
    </cfRule>
    <cfRule type="cellIs" dxfId="5116" priority="1774" operator="lessThanOrEqual">
      <formula>-0.03</formula>
    </cfRule>
  </conditionalFormatting>
  <conditionalFormatting sqref="CK132:CN136 CK131">
    <cfRule type="cellIs" dxfId="5115" priority="1771" operator="greaterThanOrEqual">
      <formula>0.03</formula>
    </cfRule>
    <cfRule type="cellIs" dxfId="5114" priority="1772" operator="lessThanOrEqual">
      <formula>-0.03</formula>
    </cfRule>
  </conditionalFormatting>
  <conditionalFormatting sqref="CV113:CV118">
    <cfRule type="cellIs" dxfId="5113" priority="1769" operator="greaterThanOrEqual">
      <formula>0.03</formula>
    </cfRule>
    <cfRule type="cellIs" dxfId="5112" priority="1770" operator="lessThanOrEqual">
      <formula>-0.03</formula>
    </cfRule>
  </conditionalFormatting>
  <conditionalFormatting sqref="CV119:CV124">
    <cfRule type="cellIs" dxfId="5111" priority="1767" operator="greaterThanOrEqual">
      <formula>0.03</formula>
    </cfRule>
    <cfRule type="cellIs" dxfId="5110" priority="1768" operator="lessThanOrEqual">
      <formula>-0.03</formula>
    </cfRule>
  </conditionalFormatting>
  <conditionalFormatting sqref="CV125:CV130">
    <cfRule type="cellIs" dxfId="5109" priority="1765" operator="greaterThanOrEqual">
      <formula>0.03</formula>
    </cfRule>
    <cfRule type="cellIs" dxfId="5108" priority="1766" operator="lessThanOrEqual">
      <formula>-0.03</formula>
    </cfRule>
  </conditionalFormatting>
  <conditionalFormatting sqref="CV131:CV136">
    <cfRule type="cellIs" dxfId="5107" priority="1763" operator="greaterThanOrEqual">
      <formula>0.03</formula>
    </cfRule>
    <cfRule type="cellIs" dxfId="5106" priority="1764" operator="lessThanOrEqual">
      <formula>-0.03</formula>
    </cfRule>
  </conditionalFormatting>
  <conditionalFormatting sqref="CR119:CU124">
    <cfRule type="cellIs" dxfId="5105" priority="1761" operator="greaterThanOrEqual">
      <formula>0.03</formula>
    </cfRule>
    <cfRule type="cellIs" dxfId="5104" priority="1762" operator="lessThanOrEqual">
      <formula>-0.03</formula>
    </cfRule>
  </conditionalFormatting>
  <conditionalFormatting sqref="CR125:CU130">
    <cfRule type="cellIs" dxfId="5103" priority="1759" operator="greaterThanOrEqual">
      <formula>0.03</formula>
    </cfRule>
    <cfRule type="cellIs" dxfId="5102" priority="1760" operator="lessThanOrEqual">
      <formula>-0.03</formula>
    </cfRule>
  </conditionalFormatting>
  <conditionalFormatting sqref="CR131:CU136">
    <cfRule type="cellIs" dxfId="5101" priority="1757" operator="greaterThanOrEqual">
      <formula>0.03</formula>
    </cfRule>
    <cfRule type="cellIs" dxfId="5100" priority="1758" operator="lessThanOrEqual">
      <formula>-0.03</formula>
    </cfRule>
  </conditionalFormatting>
  <conditionalFormatting sqref="CD120:CG124">
    <cfRule type="cellIs" dxfId="5099" priority="1755" operator="greaterThanOrEqual">
      <formula>0.03</formula>
    </cfRule>
    <cfRule type="cellIs" dxfId="5098" priority="1756" operator="lessThanOrEqual">
      <formula>-0.03</formula>
    </cfRule>
  </conditionalFormatting>
  <conditionalFormatting sqref="CD119:CG119">
    <cfRule type="cellIs" dxfId="5097" priority="1753" operator="greaterThanOrEqual">
      <formula>0.03</formula>
    </cfRule>
    <cfRule type="cellIs" dxfId="5096" priority="1754" operator="lessThanOrEqual">
      <formula>-0.03</formula>
    </cfRule>
  </conditionalFormatting>
  <conditionalFormatting sqref="CD126:CG130">
    <cfRule type="cellIs" dxfId="5095" priority="1751" operator="greaterThanOrEqual">
      <formula>0.03</formula>
    </cfRule>
    <cfRule type="cellIs" dxfId="5094" priority="1752" operator="lessThanOrEqual">
      <formula>-0.03</formula>
    </cfRule>
  </conditionalFormatting>
  <conditionalFormatting sqref="CD125:CG125">
    <cfRule type="cellIs" dxfId="5093" priority="1749" operator="greaterThanOrEqual">
      <formula>0.03</formula>
    </cfRule>
    <cfRule type="cellIs" dxfId="5092" priority="1750" operator="lessThanOrEqual">
      <formula>-0.03</formula>
    </cfRule>
  </conditionalFormatting>
  <conditionalFormatting sqref="CD132:CG136">
    <cfRule type="cellIs" dxfId="5091" priority="1747" operator="greaterThanOrEqual">
      <formula>0.03</formula>
    </cfRule>
    <cfRule type="cellIs" dxfId="5090" priority="1748" operator="lessThanOrEqual">
      <formula>-0.03</formula>
    </cfRule>
  </conditionalFormatting>
  <conditionalFormatting sqref="CD131:CG131">
    <cfRule type="cellIs" dxfId="5089" priority="1745" operator="greaterThanOrEqual">
      <formula>0.03</formula>
    </cfRule>
    <cfRule type="cellIs" dxfId="5088" priority="1746" operator="lessThanOrEqual">
      <formula>-0.03</formula>
    </cfRule>
  </conditionalFormatting>
  <conditionalFormatting sqref="BM83">
    <cfRule type="cellIs" dxfId="5087" priority="1743" operator="greaterThanOrEqual">
      <formula>0.03</formula>
    </cfRule>
    <cfRule type="cellIs" dxfId="5086" priority="1744" operator="lessThanOrEqual">
      <formula>-0.03</formula>
    </cfRule>
  </conditionalFormatting>
  <conditionalFormatting sqref="BT83">
    <cfRule type="cellIs" dxfId="5085" priority="1741" operator="greaterThanOrEqual">
      <formula>0.03</formula>
    </cfRule>
    <cfRule type="cellIs" dxfId="5084" priority="1742" operator="lessThanOrEqual">
      <formula>-0.03</formula>
    </cfRule>
  </conditionalFormatting>
  <conditionalFormatting sqref="CH83">
    <cfRule type="cellIs" dxfId="5083" priority="1729" operator="greaterThanOrEqual">
      <formula>0.03</formula>
    </cfRule>
    <cfRule type="cellIs" dxfId="5082" priority="1730" operator="lessThanOrEqual">
      <formula>-0.03</formula>
    </cfRule>
  </conditionalFormatting>
  <conditionalFormatting sqref="CO83">
    <cfRule type="cellIs" dxfId="5081" priority="1727" operator="greaterThanOrEqual">
      <formula>0.03</formula>
    </cfRule>
    <cfRule type="cellIs" dxfId="5080" priority="1728" operator="lessThanOrEqual">
      <formula>-0.03</formula>
    </cfRule>
  </conditionalFormatting>
  <conditionalFormatting sqref="CV83">
    <cfRule type="cellIs" dxfId="5079" priority="1725" operator="greaterThanOrEqual">
      <formula>0.03</formula>
    </cfRule>
    <cfRule type="cellIs" dxfId="5078" priority="1726" operator="lessThanOrEqual">
      <formula>-0.03</formula>
    </cfRule>
  </conditionalFormatting>
  <conditionalFormatting sqref="CA83">
    <cfRule type="cellIs" dxfId="5077" priority="1703" operator="greaterThanOrEqual">
      <formula>0.03</formula>
    </cfRule>
    <cfRule type="cellIs" dxfId="5076" priority="1704" operator="lessThanOrEqual">
      <formula>-0.03</formula>
    </cfRule>
  </conditionalFormatting>
  <conditionalFormatting sqref="CA89">
    <cfRule type="cellIs" dxfId="5075" priority="1701" operator="greaterThanOrEqual">
      <formula>0.03</formula>
    </cfRule>
    <cfRule type="cellIs" dxfId="5074" priority="1702" operator="lessThanOrEqual">
      <formula>-0.03</formula>
    </cfRule>
  </conditionalFormatting>
  <conditionalFormatting sqref="CA95">
    <cfRule type="cellIs" dxfId="5073" priority="1699" operator="greaterThanOrEqual">
      <formula>0.03</formula>
    </cfRule>
    <cfRule type="cellIs" dxfId="5072" priority="1700" operator="lessThanOrEqual">
      <formula>-0.03</formula>
    </cfRule>
  </conditionalFormatting>
  <conditionalFormatting sqref="CA101">
    <cfRule type="cellIs" dxfId="5071" priority="1697" operator="greaterThanOrEqual">
      <formula>0.03</formula>
    </cfRule>
    <cfRule type="cellIs" dxfId="5070" priority="1698" operator="lessThanOrEqual">
      <formula>-0.03</formula>
    </cfRule>
  </conditionalFormatting>
  <conditionalFormatting sqref="CA107">
    <cfRule type="cellIs" dxfId="5069" priority="1695" operator="greaterThanOrEqual">
      <formula>0.03</formula>
    </cfRule>
    <cfRule type="cellIs" dxfId="5068" priority="1696" operator="lessThanOrEqual">
      <formula>-0.03</formula>
    </cfRule>
  </conditionalFormatting>
  <conditionalFormatting sqref="BX113:BZ113">
    <cfRule type="cellIs" dxfId="5067" priority="1693" operator="greaterThanOrEqual">
      <formula>0.03</formula>
    </cfRule>
    <cfRule type="cellIs" dxfId="5066" priority="1694" operator="lessThanOrEqual">
      <formula>-0.03</formula>
    </cfRule>
  </conditionalFormatting>
  <conditionalFormatting sqref="CL119:CN119">
    <cfRule type="cellIs" dxfId="5065" priority="1677" operator="greaterThanOrEqual">
      <formula>0.03</formula>
    </cfRule>
    <cfRule type="cellIs" dxfId="5064" priority="1678" operator="lessThanOrEqual">
      <formula>-0.03</formula>
    </cfRule>
  </conditionalFormatting>
  <conditionalFormatting sqref="BX119:BZ119">
    <cfRule type="cellIs" dxfId="5063" priority="1685" operator="greaterThanOrEqual">
      <formula>0.03</formula>
    </cfRule>
    <cfRule type="cellIs" dxfId="5062" priority="1686" operator="lessThanOrEqual">
      <formula>-0.03</formula>
    </cfRule>
  </conditionalFormatting>
  <conditionalFormatting sqref="BX125:BZ125">
    <cfRule type="cellIs" dxfId="5061" priority="1683" operator="greaterThanOrEqual">
      <formula>0.03</formula>
    </cfRule>
    <cfRule type="cellIs" dxfId="5060" priority="1684" operator="lessThanOrEqual">
      <formula>-0.03</formula>
    </cfRule>
  </conditionalFormatting>
  <conditionalFormatting sqref="BX131:BZ131">
    <cfRule type="cellIs" dxfId="5059" priority="1681" operator="greaterThanOrEqual">
      <formula>0.03</formula>
    </cfRule>
    <cfRule type="cellIs" dxfId="5058" priority="1682" operator="lessThanOrEqual">
      <formula>-0.03</formula>
    </cfRule>
  </conditionalFormatting>
  <conditionalFormatting sqref="CL113:CN113">
    <cfRule type="cellIs" dxfId="5057" priority="1679" operator="greaterThanOrEqual">
      <formula>0.03</formula>
    </cfRule>
    <cfRule type="cellIs" dxfId="5056" priority="1680" operator="lessThanOrEqual">
      <formula>-0.03</formula>
    </cfRule>
  </conditionalFormatting>
  <conditionalFormatting sqref="CL125:CN125">
    <cfRule type="cellIs" dxfId="5055" priority="1675" operator="greaterThanOrEqual">
      <formula>0.03</formula>
    </cfRule>
    <cfRule type="cellIs" dxfId="5054" priority="1676" operator="lessThanOrEqual">
      <formula>-0.03</formula>
    </cfRule>
  </conditionalFormatting>
  <conditionalFormatting sqref="CL131:CN131">
    <cfRule type="cellIs" dxfId="5053" priority="1673" operator="greaterThanOrEqual">
      <formula>0.03</formula>
    </cfRule>
    <cfRule type="cellIs" dxfId="5052" priority="1674" operator="lessThanOrEqual">
      <formula>-0.03</formula>
    </cfRule>
  </conditionalFormatting>
  <conditionalFormatting sqref="CO29">
    <cfRule type="cellIs" dxfId="5051" priority="1639" operator="greaterThanOrEqual">
      <formula>0.03</formula>
    </cfRule>
    <cfRule type="cellIs" dxfId="5050" priority="1640" operator="lessThanOrEqual">
      <formula>-0.03</formula>
    </cfRule>
  </conditionalFormatting>
  <conditionalFormatting sqref="CJ23:CN28 CQ23:CU28 CQ30:CU34 CJ30:CN34 CJ36:CN40 CQ36:CU40">
    <cfRule type="cellIs" dxfId="5049" priority="1667" operator="greaterThanOrEqual">
      <formula>0.03</formula>
    </cfRule>
    <cfRule type="cellIs" dxfId="5048" priority="1668" operator="lessThanOrEqual">
      <formula>-0.03</formula>
    </cfRule>
  </conditionalFormatting>
  <conditionalFormatting sqref="CO24:CO28 CO30:CO34 CO36:CO40">
    <cfRule type="cellIs" dxfId="5047" priority="1665" operator="greaterThanOrEqual">
      <formula>0.03</formula>
    </cfRule>
    <cfRule type="cellIs" dxfId="5046" priority="1666" operator="lessThanOrEqual">
      <formula>-0.03</formula>
    </cfRule>
  </conditionalFormatting>
  <conditionalFormatting sqref="CV24:CV28 CV30:CV34 CV36:CV40">
    <cfRule type="cellIs" dxfId="5045" priority="1663" operator="greaterThanOrEqual">
      <formula>0.03</formula>
    </cfRule>
    <cfRule type="cellIs" dxfId="5044" priority="1664" operator="lessThanOrEqual">
      <formula>-0.03</formula>
    </cfRule>
  </conditionalFormatting>
  <conditionalFormatting sqref="BV24:BZ28 CC24:CG28 CC30:CG34 BV30:BZ34 BV36:BZ40 CC36:CG40 BX23:BZ23 CE23:CG23">
    <cfRule type="cellIs" dxfId="5043" priority="1661" operator="greaterThanOrEqual">
      <formula>0.03</formula>
    </cfRule>
    <cfRule type="cellIs" dxfId="5042" priority="1662" operator="lessThanOrEqual">
      <formula>-0.03</formula>
    </cfRule>
  </conditionalFormatting>
  <conditionalFormatting sqref="CA24:CA28 CA30:CA34 CA36:CA40">
    <cfRule type="cellIs" dxfId="5041" priority="1659" operator="greaterThanOrEqual">
      <formula>0.03</formula>
    </cfRule>
    <cfRule type="cellIs" dxfId="5040" priority="1660" operator="lessThanOrEqual">
      <formula>-0.03</formula>
    </cfRule>
  </conditionalFormatting>
  <conditionalFormatting sqref="CH24:CH28 CH30:CH34 CH36:CH40">
    <cfRule type="cellIs" dxfId="5039" priority="1657" operator="greaterThanOrEqual">
      <formula>0.03</formula>
    </cfRule>
    <cfRule type="cellIs" dxfId="5038" priority="1658" operator="lessThanOrEqual">
      <formula>-0.03</formula>
    </cfRule>
  </conditionalFormatting>
  <conditionalFormatting sqref="BH23:BL28 BO24:BS28 BO30:BS34 BH30:BL34 BH36:BL40 BO36:BS40 BO23:BQ23 BS23">
    <cfRule type="cellIs" dxfId="5037" priority="1655" operator="greaterThanOrEqual">
      <formula>0.03</formula>
    </cfRule>
    <cfRule type="cellIs" dxfId="5036" priority="1656" operator="lessThanOrEqual">
      <formula>-0.03</formula>
    </cfRule>
  </conditionalFormatting>
  <conditionalFormatting sqref="BM24:BM28 BM30:BM34 BM36:BM40">
    <cfRule type="cellIs" dxfId="5035" priority="1653" operator="greaterThanOrEqual">
      <formula>0.03</formula>
    </cfRule>
    <cfRule type="cellIs" dxfId="5034" priority="1654" operator="lessThanOrEqual">
      <formula>-0.03</formula>
    </cfRule>
  </conditionalFormatting>
  <conditionalFormatting sqref="BT24:BT28 BT30:BT34 BT36:BT40">
    <cfRule type="cellIs" dxfId="5033" priority="1651" operator="greaterThanOrEqual">
      <formula>0.03</formula>
    </cfRule>
    <cfRule type="cellIs" dxfId="5032" priority="1652" operator="lessThanOrEqual">
      <formula>-0.03</formula>
    </cfRule>
  </conditionalFormatting>
  <conditionalFormatting sqref="BV35">
    <cfRule type="cellIs" dxfId="5031" priority="1601" operator="greaterThanOrEqual">
      <formula>0.03</formula>
    </cfRule>
    <cfRule type="cellIs" dxfId="5030" priority="1602" operator="lessThanOrEqual">
      <formula>-0.03</formula>
    </cfRule>
  </conditionalFormatting>
  <conditionalFormatting sqref="BW35">
    <cfRule type="cellIs" dxfId="5029" priority="1599" operator="greaterThanOrEqual">
      <formula>0.03</formula>
    </cfRule>
    <cfRule type="cellIs" dxfId="5028" priority="1600" operator="lessThanOrEqual">
      <formula>-0.03</formula>
    </cfRule>
  </conditionalFormatting>
  <conditionalFormatting sqref="CC35:CD35">
    <cfRule type="cellIs" dxfId="5027" priority="1597" operator="greaterThanOrEqual">
      <formula>0.03</formula>
    </cfRule>
    <cfRule type="cellIs" dxfId="5026" priority="1598" operator="lessThanOrEqual">
      <formula>-0.03</formula>
    </cfRule>
  </conditionalFormatting>
  <conditionalFormatting sqref="CH35">
    <cfRule type="cellIs" dxfId="5025" priority="1595" operator="greaterThanOrEqual">
      <formula>0.03</formula>
    </cfRule>
    <cfRule type="cellIs" dxfId="5024" priority="1596" operator="lessThanOrEqual">
      <formula>-0.03</formula>
    </cfRule>
  </conditionalFormatting>
  <conditionalFormatting sqref="BV23">
    <cfRule type="cellIs" dxfId="5023" priority="1647" operator="greaterThanOrEqual">
      <formula>0.03</formula>
    </cfRule>
    <cfRule type="cellIs" dxfId="5022" priority="1648" operator="lessThanOrEqual">
      <formula>-0.03</formula>
    </cfRule>
  </conditionalFormatting>
  <conditionalFormatting sqref="BW23">
    <cfRule type="cellIs" dxfId="5021" priority="1645" operator="greaterThanOrEqual">
      <formula>0.03</formula>
    </cfRule>
    <cfRule type="cellIs" dxfId="5020" priority="1646" operator="lessThanOrEqual">
      <formula>-0.03</formula>
    </cfRule>
  </conditionalFormatting>
  <conditionalFormatting sqref="CC23:CD23">
    <cfRule type="cellIs" dxfId="5019" priority="1643" operator="greaterThanOrEqual">
      <formula>0.03</formula>
    </cfRule>
    <cfRule type="cellIs" dxfId="5018" priority="1644" operator="lessThanOrEqual">
      <formula>-0.03</formula>
    </cfRule>
  </conditionalFormatting>
  <conditionalFormatting sqref="CJ29:CN29 CQ29:CU29">
    <cfRule type="cellIs" dxfId="5017" priority="1641" operator="greaterThanOrEqual">
      <formula>0.03</formula>
    </cfRule>
    <cfRule type="cellIs" dxfId="5016" priority="1642" operator="lessThanOrEqual">
      <formula>-0.03</formula>
    </cfRule>
  </conditionalFormatting>
  <conditionalFormatting sqref="CV29">
    <cfRule type="cellIs" dxfId="5015" priority="1637" operator="greaterThanOrEqual">
      <formula>0.03</formula>
    </cfRule>
    <cfRule type="cellIs" dxfId="5014" priority="1638" operator="lessThanOrEqual">
      <formula>-0.03</formula>
    </cfRule>
  </conditionalFormatting>
  <conditionalFormatting sqref="BX29:BZ29 CE29:CG29">
    <cfRule type="cellIs" dxfId="5013" priority="1635" operator="greaterThanOrEqual">
      <formula>0.03</formula>
    </cfRule>
    <cfRule type="cellIs" dxfId="5012" priority="1636" operator="lessThanOrEqual">
      <formula>-0.03</formula>
    </cfRule>
  </conditionalFormatting>
  <conditionalFormatting sqref="CJ35:CN35 CQ35:CU35">
    <cfRule type="cellIs" dxfId="5011" priority="1617" operator="greaterThanOrEqual">
      <formula>0.03</formula>
    </cfRule>
    <cfRule type="cellIs" dxfId="5010" priority="1618" operator="lessThanOrEqual">
      <formula>-0.03</formula>
    </cfRule>
  </conditionalFormatting>
  <conditionalFormatting sqref="BR23">
    <cfRule type="cellIs" dxfId="5009" priority="1649" operator="greaterThanOrEqual">
      <formula>0.03</formula>
    </cfRule>
    <cfRule type="cellIs" dxfId="5008" priority="1650" operator="lessThanOrEqual">
      <formula>-0.03</formula>
    </cfRule>
  </conditionalFormatting>
  <conditionalFormatting sqref="BH29:BL29 BO29:BQ29 BS29">
    <cfRule type="cellIs" dxfId="5007" priority="1633" operator="greaterThanOrEqual">
      <formula>0.03</formula>
    </cfRule>
    <cfRule type="cellIs" dxfId="5006" priority="1634" operator="lessThanOrEqual">
      <formula>-0.03</formula>
    </cfRule>
  </conditionalFormatting>
  <conditionalFormatting sqref="BM29">
    <cfRule type="cellIs" dxfId="5005" priority="1631" operator="greaterThanOrEqual">
      <formula>0.03</formula>
    </cfRule>
    <cfRule type="cellIs" dxfId="5004" priority="1632" operator="lessThanOrEqual">
      <formula>-0.03</formula>
    </cfRule>
  </conditionalFormatting>
  <conditionalFormatting sqref="BT29">
    <cfRule type="cellIs" dxfId="5003" priority="1629" operator="greaterThanOrEqual">
      <formula>0.03</formula>
    </cfRule>
    <cfRule type="cellIs" dxfId="5002" priority="1630" operator="lessThanOrEqual">
      <formula>-0.03</formula>
    </cfRule>
  </conditionalFormatting>
  <conditionalFormatting sqref="BR29">
    <cfRule type="cellIs" dxfId="5001" priority="1627" operator="greaterThanOrEqual">
      <formula>0.03</formula>
    </cfRule>
    <cfRule type="cellIs" dxfId="5000" priority="1628" operator="lessThanOrEqual">
      <formula>-0.03</formula>
    </cfRule>
  </conditionalFormatting>
  <conditionalFormatting sqref="BV29">
    <cfRule type="cellIs" dxfId="4999" priority="1625" operator="greaterThanOrEqual">
      <formula>0.03</formula>
    </cfRule>
    <cfRule type="cellIs" dxfId="4998" priority="1626" operator="lessThanOrEqual">
      <formula>-0.03</formula>
    </cfRule>
  </conditionalFormatting>
  <conditionalFormatting sqref="BW29">
    <cfRule type="cellIs" dxfId="4997" priority="1623" operator="greaterThanOrEqual">
      <formula>0.03</formula>
    </cfRule>
    <cfRule type="cellIs" dxfId="4996" priority="1624" operator="lessThanOrEqual">
      <formula>-0.03</formula>
    </cfRule>
  </conditionalFormatting>
  <conditionalFormatting sqref="CC29:CD29">
    <cfRule type="cellIs" dxfId="4995" priority="1621" operator="greaterThanOrEqual">
      <formula>0.03</formula>
    </cfRule>
    <cfRule type="cellIs" dxfId="4994" priority="1622" operator="lessThanOrEqual">
      <formula>-0.03</formula>
    </cfRule>
  </conditionalFormatting>
  <conditionalFormatting sqref="CH29">
    <cfRule type="cellIs" dxfId="4993" priority="1619" operator="greaterThanOrEqual">
      <formula>0.03</formula>
    </cfRule>
    <cfRule type="cellIs" dxfId="4992" priority="1620" operator="lessThanOrEqual">
      <formula>-0.03</formula>
    </cfRule>
  </conditionalFormatting>
  <conditionalFormatting sqref="CO35">
    <cfRule type="cellIs" dxfId="4991" priority="1615" operator="greaterThanOrEqual">
      <formula>0.03</formula>
    </cfRule>
    <cfRule type="cellIs" dxfId="4990" priority="1616" operator="lessThanOrEqual">
      <formula>-0.03</formula>
    </cfRule>
  </conditionalFormatting>
  <conditionalFormatting sqref="CV35">
    <cfRule type="cellIs" dxfId="4989" priority="1613" operator="greaterThanOrEqual">
      <formula>0.03</formula>
    </cfRule>
    <cfRule type="cellIs" dxfId="4988" priority="1614" operator="lessThanOrEqual">
      <formula>-0.03</formula>
    </cfRule>
  </conditionalFormatting>
  <conditionalFormatting sqref="BX35:BZ35 CE35:CG35">
    <cfRule type="cellIs" dxfId="4987" priority="1611" operator="greaterThanOrEqual">
      <formula>0.03</formula>
    </cfRule>
    <cfRule type="cellIs" dxfId="4986" priority="1612" operator="lessThanOrEqual">
      <formula>-0.03</formula>
    </cfRule>
  </conditionalFormatting>
  <conditionalFormatting sqref="BH35:BL35 BO35:BQ35 BS35">
    <cfRule type="cellIs" dxfId="4985" priority="1609" operator="greaterThanOrEqual">
      <formula>0.03</formula>
    </cfRule>
    <cfRule type="cellIs" dxfId="4984" priority="1610" operator="lessThanOrEqual">
      <formula>-0.03</formula>
    </cfRule>
  </conditionalFormatting>
  <conditionalFormatting sqref="BM35">
    <cfRule type="cellIs" dxfId="4983" priority="1607" operator="greaterThanOrEqual">
      <formula>0.03</formula>
    </cfRule>
    <cfRule type="cellIs" dxfId="4982" priority="1608" operator="lessThanOrEqual">
      <formula>-0.03</formula>
    </cfRule>
  </conditionalFormatting>
  <conditionalFormatting sqref="BT35">
    <cfRule type="cellIs" dxfId="4981" priority="1605" operator="greaterThanOrEqual">
      <formula>0.03</formula>
    </cfRule>
    <cfRule type="cellIs" dxfId="4980" priority="1606" operator="lessThanOrEqual">
      <formula>-0.03</formula>
    </cfRule>
  </conditionalFormatting>
  <conditionalFormatting sqref="BR35">
    <cfRule type="cellIs" dxfId="4979" priority="1603" operator="greaterThanOrEqual">
      <formula>0.03</formula>
    </cfRule>
    <cfRule type="cellIs" dxfId="4978" priority="1604" operator="lessThanOrEqual">
      <formula>-0.03</formula>
    </cfRule>
  </conditionalFormatting>
  <conditionalFormatting sqref="BM23">
    <cfRule type="cellIs" dxfId="4977" priority="1593" operator="greaterThanOrEqual">
      <formula>0.03</formula>
    </cfRule>
    <cfRule type="cellIs" dxfId="4976" priority="1594" operator="lessThanOrEqual">
      <formula>-0.03</formula>
    </cfRule>
  </conditionalFormatting>
  <conditionalFormatting sqref="BT23">
    <cfRule type="cellIs" dxfId="4975" priority="1591" operator="greaterThanOrEqual">
      <formula>0.03</formula>
    </cfRule>
    <cfRule type="cellIs" dxfId="4974" priority="1592" operator="lessThanOrEqual">
      <formula>-0.03</formula>
    </cfRule>
  </conditionalFormatting>
  <conditionalFormatting sqref="CH23">
    <cfRule type="cellIs" dxfId="4973" priority="1589" operator="greaterThanOrEqual">
      <formula>0.03</formula>
    </cfRule>
    <cfRule type="cellIs" dxfId="4972" priority="1590" operator="lessThanOrEqual">
      <formula>-0.03</formula>
    </cfRule>
  </conditionalFormatting>
  <conditionalFormatting sqref="CO23">
    <cfRule type="cellIs" dxfId="4971" priority="1587" operator="greaterThanOrEqual">
      <formula>0.03</formula>
    </cfRule>
    <cfRule type="cellIs" dxfId="4970" priority="1588" operator="lessThanOrEqual">
      <formula>-0.03</formula>
    </cfRule>
  </conditionalFormatting>
  <conditionalFormatting sqref="CV23">
    <cfRule type="cellIs" dxfId="4969" priority="1585" operator="greaterThanOrEqual">
      <formula>0.03</formula>
    </cfRule>
    <cfRule type="cellIs" dxfId="4968" priority="1586" operator="lessThanOrEqual">
      <formula>-0.03</formula>
    </cfRule>
  </conditionalFormatting>
  <conditionalFormatting sqref="BT6:BT10 BT12:BT16 BT18:BT22">
    <cfRule type="cellIs" dxfId="4967" priority="1549" operator="greaterThanOrEqual">
      <formula>0.03</formula>
    </cfRule>
    <cfRule type="cellIs" dxfId="4966" priority="1550" operator="lessThanOrEqual">
      <formula>-0.03</formula>
    </cfRule>
  </conditionalFormatting>
  <conditionalFormatting sqref="CA23">
    <cfRule type="cellIs" dxfId="4965" priority="1575" operator="greaterThanOrEqual">
      <formula>0.03</formula>
    </cfRule>
    <cfRule type="cellIs" dxfId="4964" priority="1576" operator="lessThanOrEqual">
      <formula>-0.03</formula>
    </cfRule>
  </conditionalFormatting>
  <conditionalFormatting sqref="CA29">
    <cfRule type="cellIs" dxfId="4963" priority="1573" operator="greaterThanOrEqual">
      <formula>0.03</formula>
    </cfRule>
    <cfRule type="cellIs" dxfId="4962" priority="1574" operator="lessThanOrEqual">
      <formula>-0.03</formula>
    </cfRule>
  </conditionalFormatting>
  <conditionalFormatting sqref="CA35">
    <cfRule type="cellIs" dxfId="4961" priority="1571" operator="greaterThanOrEqual">
      <formula>0.03</formula>
    </cfRule>
    <cfRule type="cellIs" dxfId="4960" priority="1572" operator="lessThanOrEqual">
      <formula>-0.03</formula>
    </cfRule>
  </conditionalFormatting>
  <conditionalFormatting sqref="CO11">
    <cfRule type="cellIs" dxfId="4959" priority="1537" operator="greaterThanOrEqual">
      <formula>0.03</formula>
    </cfRule>
    <cfRule type="cellIs" dxfId="4958" priority="1538" operator="lessThanOrEqual">
      <formula>-0.03</formula>
    </cfRule>
  </conditionalFormatting>
  <conditionalFormatting sqref="CJ5:CN10 CQ5:CU10 CQ12:CU16 CJ12:CN16 CJ18:CN22 CQ18:CU22">
    <cfRule type="cellIs" dxfId="4957" priority="1565" operator="greaterThanOrEqual">
      <formula>0.03</formula>
    </cfRule>
    <cfRule type="cellIs" dxfId="4956" priority="1566" operator="lessThanOrEqual">
      <formula>-0.03</formula>
    </cfRule>
  </conditionalFormatting>
  <conditionalFormatting sqref="CO6:CO10 CO12:CO16 CO18:CO22">
    <cfRule type="cellIs" dxfId="4955" priority="1563" operator="greaterThanOrEqual">
      <formula>0.03</formula>
    </cfRule>
    <cfRule type="cellIs" dxfId="4954" priority="1564" operator="lessThanOrEqual">
      <formula>-0.03</formula>
    </cfRule>
  </conditionalFormatting>
  <conditionalFormatting sqref="CV6:CV10 CV12:CV16 CV18:CV22">
    <cfRule type="cellIs" dxfId="4953" priority="1561" operator="greaterThanOrEqual">
      <formula>0.03</formula>
    </cfRule>
    <cfRule type="cellIs" dxfId="4952" priority="1562" operator="lessThanOrEqual">
      <formula>-0.03</formula>
    </cfRule>
  </conditionalFormatting>
  <conditionalFormatting sqref="BV6:BZ10 CC6:CG10 CC12:CG16 BV12:BZ16 BV18:BZ22 CC18:CG22 BX5:BZ5 CE5:CG5">
    <cfRule type="cellIs" dxfId="4951" priority="1559" operator="greaterThanOrEqual">
      <formula>0.03</formula>
    </cfRule>
    <cfRule type="cellIs" dxfId="4950" priority="1560" operator="lessThanOrEqual">
      <formula>-0.03</formula>
    </cfRule>
  </conditionalFormatting>
  <conditionalFormatting sqref="CA6:CA10 CA12:CA16 CA18:CA22">
    <cfRule type="cellIs" dxfId="4949" priority="1557" operator="greaterThanOrEqual">
      <formula>0.03</formula>
    </cfRule>
    <cfRule type="cellIs" dxfId="4948" priority="1558" operator="lessThanOrEqual">
      <formula>-0.03</formula>
    </cfRule>
  </conditionalFormatting>
  <conditionalFormatting sqref="CH6:CH10 CH12:CH16 CH18:CH22">
    <cfRule type="cellIs" dxfId="4947" priority="1555" operator="greaterThanOrEqual">
      <formula>0.03</formula>
    </cfRule>
    <cfRule type="cellIs" dxfId="4946" priority="1556" operator="lessThanOrEqual">
      <formula>-0.03</formula>
    </cfRule>
  </conditionalFormatting>
  <conditionalFormatting sqref="BH5:BL10 BO6:BS10 BO12:BS16 BH12:BL16 BH18:BL22 BO18:BS22 BO5:BQ5 BS5">
    <cfRule type="cellIs" dxfId="4945" priority="1553" operator="greaterThanOrEqual">
      <formula>0.03</formula>
    </cfRule>
    <cfRule type="cellIs" dxfId="4944" priority="1554" operator="lessThanOrEqual">
      <formula>-0.03</formula>
    </cfRule>
  </conditionalFormatting>
  <conditionalFormatting sqref="BM6:BM10 BM12:BM16 BM18:BM22">
    <cfRule type="cellIs" dxfId="4943" priority="1551" operator="greaterThanOrEqual">
      <formula>0.03</formula>
    </cfRule>
    <cfRule type="cellIs" dxfId="4942" priority="1552" operator="lessThanOrEqual">
      <formula>-0.03</formula>
    </cfRule>
  </conditionalFormatting>
  <conditionalFormatting sqref="BV17">
    <cfRule type="cellIs" dxfId="4941" priority="1499" operator="greaterThanOrEqual">
      <formula>0.03</formula>
    </cfRule>
    <cfRule type="cellIs" dxfId="4940" priority="1500" operator="lessThanOrEqual">
      <formula>-0.03</formula>
    </cfRule>
  </conditionalFormatting>
  <conditionalFormatting sqref="BW17">
    <cfRule type="cellIs" dxfId="4939" priority="1497" operator="greaterThanOrEqual">
      <formula>0.03</formula>
    </cfRule>
    <cfRule type="cellIs" dxfId="4938" priority="1498" operator="lessThanOrEqual">
      <formula>-0.03</formula>
    </cfRule>
  </conditionalFormatting>
  <conditionalFormatting sqref="CC17:CD17">
    <cfRule type="cellIs" dxfId="4937" priority="1495" operator="greaterThanOrEqual">
      <formula>0.03</formula>
    </cfRule>
    <cfRule type="cellIs" dxfId="4936" priority="1496" operator="lessThanOrEqual">
      <formula>-0.03</formula>
    </cfRule>
  </conditionalFormatting>
  <conditionalFormatting sqref="CH17">
    <cfRule type="cellIs" dxfId="4935" priority="1493" operator="greaterThanOrEqual">
      <formula>0.03</formula>
    </cfRule>
    <cfRule type="cellIs" dxfId="4934" priority="1494" operator="lessThanOrEqual">
      <formula>-0.03</formula>
    </cfRule>
  </conditionalFormatting>
  <conditionalFormatting sqref="BV5">
    <cfRule type="cellIs" dxfId="4933" priority="1545" operator="greaterThanOrEqual">
      <formula>0.03</formula>
    </cfRule>
    <cfRule type="cellIs" dxfId="4932" priority="1546" operator="lessThanOrEqual">
      <formula>-0.03</formula>
    </cfRule>
  </conditionalFormatting>
  <conditionalFormatting sqref="BW5">
    <cfRule type="cellIs" dxfId="4931" priority="1543" operator="greaterThanOrEqual">
      <formula>0.03</formula>
    </cfRule>
    <cfRule type="cellIs" dxfId="4930" priority="1544" operator="lessThanOrEqual">
      <formula>-0.03</formula>
    </cfRule>
  </conditionalFormatting>
  <conditionalFormatting sqref="CC5:CD5">
    <cfRule type="cellIs" dxfId="4929" priority="1541" operator="greaterThanOrEqual">
      <formula>0.03</formula>
    </cfRule>
    <cfRule type="cellIs" dxfId="4928" priority="1542" operator="lessThanOrEqual">
      <formula>-0.03</formula>
    </cfRule>
  </conditionalFormatting>
  <conditionalFormatting sqref="CJ11:CN11 CQ11:CU11">
    <cfRule type="cellIs" dxfId="4927" priority="1539" operator="greaterThanOrEqual">
      <formula>0.03</formula>
    </cfRule>
    <cfRule type="cellIs" dxfId="4926" priority="1540" operator="lessThanOrEqual">
      <formula>-0.03</formula>
    </cfRule>
  </conditionalFormatting>
  <conditionalFormatting sqref="CV11">
    <cfRule type="cellIs" dxfId="4925" priority="1535" operator="greaterThanOrEqual">
      <formula>0.03</formula>
    </cfRule>
    <cfRule type="cellIs" dxfId="4924" priority="1536" operator="lessThanOrEqual">
      <formula>-0.03</formula>
    </cfRule>
  </conditionalFormatting>
  <conditionalFormatting sqref="BX11:BZ11 CE11:CG11">
    <cfRule type="cellIs" dxfId="4923" priority="1533" operator="greaterThanOrEqual">
      <formula>0.03</formula>
    </cfRule>
    <cfRule type="cellIs" dxfId="4922" priority="1534" operator="lessThanOrEqual">
      <formula>-0.03</formula>
    </cfRule>
  </conditionalFormatting>
  <conditionalFormatting sqref="CJ17:CN17 CQ17:CU17">
    <cfRule type="cellIs" dxfId="4921" priority="1515" operator="greaterThanOrEqual">
      <formula>0.03</formula>
    </cfRule>
    <cfRule type="cellIs" dxfId="4920" priority="1516" operator="lessThanOrEqual">
      <formula>-0.03</formula>
    </cfRule>
  </conditionalFormatting>
  <conditionalFormatting sqref="BR5">
    <cfRule type="cellIs" dxfId="4919" priority="1547" operator="greaterThanOrEqual">
      <formula>0.03</formula>
    </cfRule>
    <cfRule type="cellIs" dxfId="4918" priority="1548" operator="lessThanOrEqual">
      <formula>-0.03</formula>
    </cfRule>
  </conditionalFormatting>
  <conditionalFormatting sqref="BH11:BL11 BO11:BQ11 BS11">
    <cfRule type="cellIs" dxfId="4917" priority="1531" operator="greaterThanOrEqual">
      <formula>0.03</formula>
    </cfRule>
    <cfRule type="cellIs" dxfId="4916" priority="1532" operator="lessThanOrEqual">
      <formula>-0.03</formula>
    </cfRule>
  </conditionalFormatting>
  <conditionalFormatting sqref="BM11">
    <cfRule type="cellIs" dxfId="4915" priority="1529" operator="greaterThanOrEqual">
      <formula>0.03</formula>
    </cfRule>
    <cfRule type="cellIs" dxfId="4914" priority="1530" operator="lessThanOrEqual">
      <formula>-0.03</formula>
    </cfRule>
  </conditionalFormatting>
  <conditionalFormatting sqref="BT11">
    <cfRule type="cellIs" dxfId="4913" priority="1527" operator="greaterThanOrEqual">
      <formula>0.03</formula>
    </cfRule>
    <cfRule type="cellIs" dxfId="4912" priority="1528" operator="lessThanOrEqual">
      <formula>-0.03</formula>
    </cfRule>
  </conditionalFormatting>
  <conditionalFormatting sqref="BR11">
    <cfRule type="cellIs" dxfId="4911" priority="1525" operator="greaterThanOrEqual">
      <formula>0.03</formula>
    </cfRule>
    <cfRule type="cellIs" dxfId="4910" priority="1526" operator="lessThanOrEqual">
      <formula>-0.03</formula>
    </cfRule>
  </conditionalFormatting>
  <conditionalFormatting sqref="BV11">
    <cfRule type="cellIs" dxfId="4909" priority="1523" operator="greaterThanOrEqual">
      <formula>0.03</formula>
    </cfRule>
    <cfRule type="cellIs" dxfId="4908" priority="1524" operator="lessThanOrEqual">
      <formula>-0.03</formula>
    </cfRule>
  </conditionalFormatting>
  <conditionalFormatting sqref="BW11">
    <cfRule type="cellIs" dxfId="4907" priority="1521" operator="greaterThanOrEqual">
      <formula>0.03</formula>
    </cfRule>
    <cfRule type="cellIs" dxfId="4906" priority="1522" operator="lessThanOrEqual">
      <formula>-0.03</formula>
    </cfRule>
  </conditionalFormatting>
  <conditionalFormatting sqref="CC11:CD11">
    <cfRule type="cellIs" dxfId="4905" priority="1519" operator="greaterThanOrEqual">
      <formula>0.03</formula>
    </cfRule>
    <cfRule type="cellIs" dxfId="4904" priority="1520" operator="lessThanOrEqual">
      <formula>-0.03</formula>
    </cfRule>
  </conditionalFormatting>
  <conditionalFormatting sqref="CH11">
    <cfRule type="cellIs" dxfId="4903" priority="1517" operator="greaterThanOrEqual">
      <formula>0.03</formula>
    </cfRule>
    <cfRule type="cellIs" dxfId="4902" priority="1518" operator="lessThanOrEqual">
      <formula>-0.03</formula>
    </cfRule>
  </conditionalFormatting>
  <conditionalFormatting sqref="CO17">
    <cfRule type="cellIs" dxfId="4901" priority="1513" operator="greaterThanOrEqual">
      <formula>0.03</formula>
    </cfRule>
    <cfRule type="cellIs" dxfId="4900" priority="1514" operator="lessThanOrEqual">
      <formula>-0.03</formula>
    </cfRule>
  </conditionalFormatting>
  <conditionalFormatting sqref="CV17">
    <cfRule type="cellIs" dxfId="4899" priority="1511" operator="greaterThanOrEqual">
      <formula>0.03</formula>
    </cfRule>
    <cfRule type="cellIs" dxfId="4898" priority="1512" operator="lessThanOrEqual">
      <formula>-0.03</formula>
    </cfRule>
  </conditionalFormatting>
  <conditionalFormatting sqref="BX17:BZ17 CE17:CG17">
    <cfRule type="cellIs" dxfId="4897" priority="1509" operator="greaterThanOrEqual">
      <formula>0.03</formula>
    </cfRule>
    <cfRule type="cellIs" dxfId="4896" priority="1510" operator="lessThanOrEqual">
      <formula>-0.03</formula>
    </cfRule>
  </conditionalFormatting>
  <conditionalFormatting sqref="BH17:BL17 BO17:BQ17 BS17">
    <cfRule type="cellIs" dxfId="4895" priority="1507" operator="greaterThanOrEqual">
      <formula>0.03</formula>
    </cfRule>
    <cfRule type="cellIs" dxfId="4894" priority="1508" operator="lessThanOrEqual">
      <formula>-0.03</formula>
    </cfRule>
  </conditionalFormatting>
  <conditionalFormatting sqref="BM17">
    <cfRule type="cellIs" dxfId="4893" priority="1505" operator="greaterThanOrEqual">
      <formula>0.03</formula>
    </cfRule>
    <cfRule type="cellIs" dxfId="4892" priority="1506" operator="lessThanOrEqual">
      <formula>-0.03</formula>
    </cfRule>
  </conditionalFormatting>
  <conditionalFormatting sqref="BT17">
    <cfRule type="cellIs" dxfId="4891" priority="1503" operator="greaterThanOrEqual">
      <formula>0.03</formula>
    </cfRule>
    <cfRule type="cellIs" dxfId="4890" priority="1504" operator="lessThanOrEqual">
      <formula>-0.03</formula>
    </cfRule>
  </conditionalFormatting>
  <conditionalFormatting sqref="BR17">
    <cfRule type="cellIs" dxfId="4889" priority="1501" operator="greaterThanOrEqual">
      <formula>0.03</formula>
    </cfRule>
    <cfRule type="cellIs" dxfId="4888" priority="1502" operator="lessThanOrEqual">
      <formula>-0.03</formula>
    </cfRule>
  </conditionalFormatting>
  <conditionalFormatting sqref="BM5">
    <cfRule type="cellIs" dxfId="4887" priority="1491" operator="greaterThanOrEqual">
      <formula>0.03</formula>
    </cfRule>
    <cfRule type="cellIs" dxfId="4886" priority="1492" operator="lessThanOrEqual">
      <formula>-0.03</formula>
    </cfRule>
  </conditionalFormatting>
  <conditionalFormatting sqref="BT5">
    <cfRule type="cellIs" dxfId="4885" priority="1489" operator="greaterThanOrEqual">
      <formula>0.03</formula>
    </cfRule>
    <cfRule type="cellIs" dxfId="4884" priority="1490" operator="lessThanOrEqual">
      <formula>-0.03</formula>
    </cfRule>
  </conditionalFormatting>
  <conditionalFormatting sqref="CH5">
    <cfRule type="cellIs" dxfId="4883" priority="1487" operator="greaterThanOrEqual">
      <formula>0.03</formula>
    </cfRule>
    <cfRule type="cellIs" dxfId="4882" priority="1488" operator="lessThanOrEqual">
      <formula>-0.03</formula>
    </cfRule>
  </conditionalFormatting>
  <conditionalFormatting sqref="CO5">
    <cfRule type="cellIs" dxfId="4881" priority="1485" operator="greaterThanOrEqual">
      <formula>0.03</formula>
    </cfRule>
    <cfRule type="cellIs" dxfId="4880" priority="1486" operator="lessThanOrEqual">
      <formula>-0.03</formula>
    </cfRule>
  </conditionalFormatting>
  <conditionalFormatting sqref="CV5">
    <cfRule type="cellIs" dxfId="4879" priority="1483" operator="greaterThanOrEqual">
      <formula>0.03</formula>
    </cfRule>
    <cfRule type="cellIs" dxfId="4878" priority="1484" operator="lessThanOrEqual">
      <formula>-0.03</formula>
    </cfRule>
  </conditionalFormatting>
  <conditionalFormatting sqref="CA5">
    <cfRule type="cellIs" dxfId="4877" priority="1473" operator="greaterThanOrEqual">
      <formula>0.03</formula>
    </cfRule>
    <cfRule type="cellIs" dxfId="4876" priority="1474" operator="lessThanOrEqual">
      <formula>-0.03</formula>
    </cfRule>
  </conditionalFormatting>
  <conditionalFormatting sqref="CA11">
    <cfRule type="cellIs" dxfId="4875" priority="1471" operator="greaterThanOrEqual">
      <formula>0.03</formula>
    </cfRule>
    <cfRule type="cellIs" dxfId="4874" priority="1472" operator="lessThanOrEqual">
      <formula>-0.03</formula>
    </cfRule>
  </conditionalFormatting>
  <conditionalFormatting sqref="CA17">
    <cfRule type="cellIs" dxfId="4873" priority="1469" operator="greaterThanOrEqual">
      <formula>0.03</formula>
    </cfRule>
    <cfRule type="cellIs" dxfId="4872" priority="1470" operator="lessThanOrEqual">
      <formula>-0.03</formula>
    </cfRule>
  </conditionalFormatting>
  <conditionalFormatting sqref="CC41:CG41">
    <cfRule type="cellIs" dxfId="4871" priority="1347" operator="greaterThanOrEqual">
      <formula>0.03</formula>
    </cfRule>
    <cfRule type="cellIs" dxfId="4870" priority="1348" operator="lessThanOrEqual">
      <formula>-0.03</formula>
    </cfRule>
  </conditionalFormatting>
  <conditionalFormatting sqref="CJ47 CQ47">
    <cfRule type="cellIs" dxfId="4869" priority="1345" operator="greaterThanOrEqual">
      <formula>0.03</formula>
    </cfRule>
    <cfRule type="cellIs" dxfId="4868" priority="1346" operator="lessThanOrEqual">
      <formula>-0.03</formula>
    </cfRule>
  </conditionalFormatting>
  <conditionalFormatting sqref="BO47 BH47 BT47">
    <cfRule type="cellIs" dxfId="4867" priority="1343" operator="greaterThanOrEqual">
      <formula>0.03</formula>
    </cfRule>
    <cfRule type="cellIs" dxfId="4866" priority="1344" operator="lessThanOrEqual">
      <formula>-0.03</formula>
    </cfRule>
  </conditionalFormatting>
  <conditionalFormatting sqref="CC47">
    <cfRule type="cellIs" dxfId="4865" priority="1341" operator="greaterThanOrEqual">
      <formula>0.03</formula>
    </cfRule>
    <cfRule type="cellIs" dxfId="4864" priority="1342" operator="lessThanOrEqual">
      <formula>-0.03</formula>
    </cfRule>
  </conditionalFormatting>
  <conditionalFormatting sqref="CJ53 CQ53">
    <cfRule type="cellIs" dxfId="4863" priority="1339" operator="greaterThanOrEqual">
      <formula>0.03</formula>
    </cfRule>
    <cfRule type="cellIs" dxfId="4862" priority="1340" operator="lessThanOrEqual">
      <formula>-0.03</formula>
    </cfRule>
  </conditionalFormatting>
  <conditionalFormatting sqref="CJ59 CQ59">
    <cfRule type="cellIs" dxfId="4861" priority="1333" operator="greaterThanOrEqual">
      <formula>0.03</formula>
    </cfRule>
    <cfRule type="cellIs" dxfId="4860" priority="1334" operator="lessThanOrEqual">
      <formula>-0.03</formula>
    </cfRule>
  </conditionalFormatting>
  <conditionalFormatting sqref="BO53 BH53">
    <cfRule type="cellIs" dxfId="4859" priority="1337" operator="greaterThanOrEqual">
      <formula>0.03</formula>
    </cfRule>
    <cfRule type="cellIs" dxfId="4858" priority="1338" operator="lessThanOrEqual">
      <formula>-0.03</formula>
    </cfRule>
  </conditionalFormatting>
  <conditionalFormatting sqref="CC53">
    <cfRule type="cellIs" dxfId="4857" priority="1335" operator="greaterThanOrEqual">
      <formula>0.03</formula>
    </cfRule>
    <cfRule type="cellIs" dxfId="4856" priority="1336" operator="lessThanOrEqual">
      <formula>-0.03</formula>
    </cfRule>
  </conditionalFormatting>
  <conditionalFormatting sqref="BO59 BH59 BT59">
    <cfRule type="cellIs" dxfId="4855" priority="1331" operator="greaterThanOrEqual">
      <formula>0.03</formula>
    </cfRule>
    <cfRule type="cellIs" dxfId="4854" priority="1332" operator="lessThanOrEqual">
      <formula>-0.03</formula>
    </cfRule>
  </conditionalFormatting>
  <conditionalFormatting sqref="CC59">
    <cfRule type="cellIs" dxfId="4853" priority="1329" operator="greaterThanOrEqual">
      <formula>0.03</formula>
    </cfRule>
    <cfRule type="cellIs" dxfId="4852" priority="1330" operator="lessThanOrEqual">
      <formula>-0.03</formula>
    </cfRule>
  </conditionalFormatting>
  <conditionalFormatting sqref="BM41:BM45">
    <cfRule type="cellIs" dxfId="4851" priority="1327" operator="greaterThanOrEqual">
      <formula>0.03</formula>
    </cfRule>
    <cfRule type="cellIs" dxfId="4850" priority="1328" operator="lessThanOrEqual">
      <formula>-0.03</formula>
    </cfRule>
  </conditionalFormatting>
  <conditionalFormatting sqref="BM47:BM51">
    <cfRule type="cellIs" dxfId="4849" priority="1325" operator="greaterThanOrEqual">
      <formula>0.03</formula>
    </cfRule>
    <cfRule type="cellIs" dxfId="4848" priority="1326" operator="lessThanOrEqual">
      <formula>-0.03</formula>
    </cfRule>
  </conditionalFormatting>
  <conditionalFormatting sqref="BM53:BM57">
    <cfRule type="cellIs" dxfId="4847" priority="1323" operator="greaterThanOrEqual">
      <formula>0.03</formula>
    </cfRule>
    <cfRule type="cellIs" dxfId="4846" priority="1324" operator="lessThanOrEqual">
      <formula>-0.03</formula>
    </cfRule>
  </conditionalFormatting>
  <conditionalFormatting sqref="BM52">
    <cfRule type="cellIs" dxfId="4845" priority="1317" operator="greaterThanOrEqual">
      <formula>0.03</formula>
    </cfRule>
    <cfRule type="cellIs" dxfId="4844" priority="1318" operator="lessThanOrEqual">
      <formula>-0.03</formula>
    </cfRule>
  </conditionalFormatting>
  <conditionalFormatting sqref="BM60:BM64">
    <cfRule type="cellIs" dxfId="4843" priority="1321" operator="greaterThanOrEqual">
      <formula>0.03</formula>
    </cfRule>
    <cfRule type="cellIs" dxfId="4842" priority="1322" operator="lessThanOrEqual">
      <formula>-0.03</formula>
    </cfRule>
  </conditionalFormatting>
  <conditionalFormatting sqref="BM59">
    <cfRule type="cellIs" dxfId="4841" priority="1319" operator="greaterThanOrEqual">
      <formula>0.03</formula>
    </cfRule>
    <cfRule type="cellIs" dxfId="4840" priority="1320" operator="lessThanOrEqual">
      <formula>-0.03</formula>
    </cfRule>
  </conditionalFormatting>
  <conditionalFormatting sqref="CQ48:CQ52 CJ48:CJ52 CJ54:CJ58 CQ54:CQ58 CJ42:CN46 CQ41:CU46 CJ41:CK41">
    <cfRule type="cellIs" dxfId="4839" priority="1361" operator="greaterThanOrEqual">
      <formula>0.03</formula>
    </cfRule>
    <cfRule type="cellIs" dxfId="4838" priority="1362" operator="lessThanOrEqual">
      <formula>-0.03</formula>
    </cfRule>
  </conditionalFormatting>
  <conditionalFormatting sqref="CC48:CC52 CC54:CC58 BV42:BZ46 CC42:CG46">
    <cfRule type="cellIs" dxfId="4837" priority="1359" operator="greaterThanOrEqual">
      <formula>0.03</formula>
    </cfRule>
    <cfRule type="cellIs" dxfId="4836" priority="1360" operator="lessThanOrEqual">
      <formula>-0.03</formula>
    </cfRule>
  </conditionalFormatting>
  <conditionalFormatting sqref="BM58 BH54:BL58 BH48:BL52 BH41:BL46 BO48:BO52 BO54:BO58 BO41:BT46 BT48:BT51 BT54:BT58">
    <cfRule type="cellIs" dxfId="4835" priority="1357" operator="greaterThanOrEqual">
      <formula>0.03</formula>
    </cfRule>
    <cfRule type="cellIs" dxfId="4834" priority="1358" operator="lessThanOrEqual">
      <formula>-0.03</formula>
    </cfRule>
  </conditionalFormatting>
  <conditionalFormatting sqref="CJ60:CJ64 CQ60:CQ64">
    <cfRule type="cellIs" dxfId="4833" priority="1355" operator="greaterThanOrEqual">
      <formula>0.03</formula>
    </cfRule>
    <cfRule type="cellIs" dxfId="4832" priority="1356" operator="lessThanOrEqual">
      <formula>-0.03</formula>
    </cfRule>
  </conditionalFormatting>
  <conditionalFormatting sqref="CC60:CC64">
    <cfRule type="cellIs" dxfId="4831" priority="1353" operator="greaterThanOrEqual">
      <formula>0.03</formula>
    </cfRule>
    <cfRule type="cellIs" dxfId="4830" priority="1354" operator="lessThanOrEqual">
      <formula>-0.03</formula>
    </cfRule>
  </conditionalFormatting>
  <conditionalFormatting sqref="BH60:BL64 BO60:BO64 BT60:BT64">
    <cfRule type="cellIs" dxfId="4829" priority="1351" operator="greaterThanOrEqual">
      <formula>0.03</formula>
    </cfRule>
    <cfRule type="cellIs" dxfId="4828" priority="1352" operator="lessThanOrEqual">
      <formula>-0.03</formula>
    </cfRule>
  </conditionalFormatting>
  <conditionalFormatting sqref="BV41">
    <cfRule type="cellIs" dxfId="4827" priority="1349" operator="greaterThanOrEqual">
      <formula>0.03</formula>
    </cfRule>
    <cfRule type="cellIs" dxfId="4826" priority="1350" operator="lessThanOrEqual">
      <formula>-0.03</formula>
    </cfRule>
  </conditionalFormatting>
  <conditionalFormatting sqref="BI47:BL47">
    <cfRule type="cellIs" dxfId="4825" priority="1313" operator="greaterThanOrEqual">
      <formula>0.03</formula>
    </cfRule>
    <cfRule type="cellIs" dxfId="4824" priority="1314" operator="lessThanOrEqual">
      <formula>-0.03</formula>
    </cfRule>
  </conditionalFormatting>
  <conditionalFormatting sqref="BI53:BL53">
    <cfRule type="cellIs" dxfId="4823" priority="1311" operator="greaterThanOrEqual">
      <formula>0.03</formula>
    </cfRule>
    <cfRule type="cellIs" dxfId="4822" priority="1312" operator="lessThanOrEqual">
      <formula>-0.03</formula>
    </cfRule>
  </conditionalFormatting>
  <conditionalFormatting sqref="BI59:BL59">
    <cfRule type="cellIs" dxfId="4821" priority="1309" operator="greaterThanOrEqual">
      <formula>0.03</formula>
    </cfRule>
    <cfRule type="cellIs" dxfId="4820" priority="1310" operator="lessThanOrEqual">
      <formula>-0.03</formula>
    </cfRule>
  </conditionalFormatting>
  <conditionalFormatting sqref="BM46">
    <cfRule type="cellIs" dxfId="4819" priority="1315" operator="greaterThanOrEqual">
      <formula>0.03</formula>
    </cfRule>
    <cfRule type="cellIs" dxfId="4818" priority="1316" operator="lessThanOrEqual">
      <formula>-0.03</formula>
    </cfRule>
  </conditionalFormatting>
  <conditionalFormatting sqref="BT52">
    <cfRule type="cellIs" dxfId="4817" priority="1307" operator="greaterThanOrEqual">
      <formula>0.03</formula>
    </cfRule>
    <cfRule type="cellIs" dxfId="4816" priority="1308" operator="lessThanOrEqual">
      <formula>-0.03</formula>
    </cfRule>
  </conditionalFormatting>
  <conditionalFormatting sqref="BT53">
    <cfRule type="cellIs" dxfId="4815" priority="1305" operator="greaterThanOrEqual">
      <formula>0.03</formula>
    </cfRule>
    <cfRule type="cellIs" dxfId="4814" priority="1306" operator="lessThanOrEqual">
      <formula>-0.03</formula>
    </cfRule>
  </conditionalFormatting>
  <conditionalFormatting sqref="BP47:BS52">
    <cfRule type="cellIs" dxfId="4813" priority="1303" operator="greaterThanOrEqual">
      <formula>0.03</formula>
    </cfRule>
    <cfRule type="cellIs" dxfId="4812" priority="1304" operator="lessThanOrEqual">
      <formula>-0.03</formula>
    </cfRule>
  </conditionalFormatting>
  <conditionalFormatting sqref="BP53:BS58">
    <cfRule type="cellIs" dxfId="4811" priority="1301" operator="greaterThanOrEqual">
      <formula>0.03</formula>
    </cfRule>
    <cfRule type="cellIs" dxfId="4810" priority="1302" operator="lessThanOrEqual">
      <formula>-0.03</formula>
    </cfRule>
  </conditionalFormatting>
  <conditionalFormatting sqref="BP59:BS64">
    <cfRule type="cellIs" dxfId="4809" priority="1299" operator="greaterThanOrEqual">
      <formula>0.03</formula>
    </cfRule>
    <cfRule type="cellIs" dxfId="4808" priority="1300" operator="lessThanOrEqual">
      <formula>-0.03</formula>
    </cfRule>
  </conditionalFormatting>
  <conditionalFormatting sqref="CA41:CA46">
    <cfRule type="cellIs" dxfId="4807" priority="1297" operator="greaterThanOrEqual">
      <formula>0.03</formula>
    </cfRule>
    <cfRule type="cellIs" dxfId="4806" priority="1298" operator="lessThanOrEqual">
      <formula>-0.03</formula>
    </cfRule>
  </conditionalFormatting>
  <conditionalFormatting sqref="CA47:CA52">
    <cfRule type="cellIs" dxfId="4805" priority="1295" operator="greaterThanOrEqual">
      <formula>0.03</formula>
    </cfRule>
    <cfRule type="cellIs" dxfId="4804" priority="1296" operator="lessThanOrEqual">
      <formula>-0.03</formula>
    </cfRule>
  </conditionalFormatting>
  <conditionalFormatting sqref="CA53:CA58">
    <cfRule type="cellIs" dxfId="4803" priority="1293" operator="greaterThanOrEqual">
      <formula>0.03</formula>
    </cfRule>
    <cfRule type="cellIs" dxfId="4802" priority="1294" operator="lessThanOrEqual">
      <formula>-0.03</formula>
    </cfRule>
  </conditionalFormatting>
  <conditionalFormatting sqref="CA59:CA64">
    <cfRule type="cellIs" dxfId="4801" priority="1291" operator="greaterThanOrEqual">
      <formula>0.03</formula>
    </cfRule>
    <cfRule type="cellIs" dxfId="4800" priority="1292" operator="lessThanOrEqual">
      <formula>-0.03</formula>
    </cfRule>
  </conditionalFormatting>
  <conditionalFormatting sqref="BV48:BZ52">
    <cfRule type="cellIs" dxfId="4799" priority="1289" operator="greaterThanOrEqual">
      <formula>0.03</formula>
    </cfRule>
    <cfRule type="cellIs" dxfId="4798" priority="1290" operator="lessThanOrEqual">
      <formula>-0.03</formula>
    </cfRule>
  </conditionalFormatting>
  <conditionalFormatting sqref="BW47">
    <cfRule type="cellIs" dxfId="4797" priority="1285" operator="greaterThanOrEqual">
      <formula>0.03</formula>
    </cfRule>
    <cfRule type="cellIs" dxfId="4796" priority="1286" operator="lessThanOrEqual">
      <formula>-0.03</formula>
    </cfRule>
  </conditionalFormatting>
  <conditionalFormatting sqref="BV47">
    <cfRule type="cellIs" dxfId="4795" priority="1287" operator="greaterThanOrEqual">
      <formula>0.03</formula>
    </cfRule>
    <cfRule type="cellIs" dxfId="4794" priority="1288" operator="lessThanOrEqual">
      <formula>-0.03</formula>
    </cfRule>
  </conditionalFormatting>
  <conditionalFormatting sqref="BV54:BZ58">
    <cfRule type="cellIs" dxfId="4793" priority="1283" operator="greaterThanOrEqual">
      <formula>0.03</formula>
    </cfRule>
    <cfRule type="cellIs" dxfId="4792" priority="1284" operator="lessThanOrEqual">
      <formula>-0.03</formula>
    </cfRule>
  </conditionalFormatting>
  <conditionalFormatting sqref="BW53">
    <cfRule type="cellIs" dxfId="4791" priority="1279" operator="greaterThanOrEqual">
      <formula>0.03</formula>
    </cfRule>
    <cfRule type="cellIs" dxfId="4790" priority="1280" operator="lessThanOrEqual">
      <formula>-0.03</formula>
    </cfRule>
  </conditionalFormatting>
  <conditionalFormatting sqref="BV53">
    <cfRule type="cellIs" dxfId="4789" priority="1281" operator="greaterThanOrEqual">
      <formula>0.03</formula>
    </cfRule>
    <cfRule type="cellIs" dxfId="4788" priority="1282" operator="lessThanOrEqual">
      <formula>-0.03</formula>
    </cfRule>
  </conditionalFormatting>
  <conditionalFormatting sqref="BV60:BZ64">
    <cfRule type="cellIs" dxfId="4787" priority="1277" operator="greaterThanOrEqual">
      <formula>0.03</formula>
    </cfRule>
    <cfRule type="cellIs" dxfId="4786" priority="1278" operator="lessThanOrEqual">
      <formula>-0.03</formula>
    </cfRule>
  </conditionalFormatting>
  <conditionalFormatting sqref="BW59">
    <cfRule type="cellIs" dxfId="4785" priority="1273" operator="greaterThanOrEqual">
      <formula>0.03</formula>
    </cfRule>
    <cfRule type="cellIs" dxfId="4784" priority="1274" operator="lessThanOrEqual">
      <formula>-0.03</formula>
    </cfRule>
  </conditionalFormatting>
  <conditionalFormatting sqref="BV59">
    <cfRule type="cellIs" dxfId="4783" priority="1275" operator="greaterThanOrEqual">
      <formula>0.03</formula>
    </cfRule>
    <cfRule type="cellIs" dxfId="4782" priority="1276" operator="lessThanOrEqual">
      <formula>-0.03</formula>
    </cfRule>
  </conditionalFormatting>
  <conditionalFormatting sqref="CH41:CH46">
    <cfRule type="cellIs" dxfId="4781" priority="1271" operator="greaterThanOrEqual">
      <formula>0.03</formula>
    </cfRule>
    <cfRule type="cellIs" dxfId="4780" priority="1272" operator="lessThanOrEqual">
      <formula>-0.03</formula>
    </cfRule>
  </conditionalFormatting>
  <conditionalFormatting sqref="CH47:CH52">
    <cfRule type="cellIs" dxfId="4779" priority="1269" operator="greaterThanOrEqual">
      <formula>0.03</formula>
    </cfRule>
    <cfRule type="cellIs" dxfId="4778" priority="1270" operator="lessThanOrEqual">
      <formula>-0.03</formula>
    </cfRule>
  </conditionalFormatting>
  <conditionalFormatting sqref="CH53:CH58">
    <cfRule type="cellIs" dxfId="4777" priority="1267" operator="greaterThanOrEqual">
      <formula>0.03</formula>
    </cfRule>
    <cfRule type="cellIs" dxfId="4776" priority="1268" operator="lessThanOrEqual">
      <formula>-0.03</formula>
    </cfRule>
  </conditionalFormatting>
  <conditionalFormatting sqref="CH59:CH64">
    <cfRule type="cellIs" dxfId="4775" priority="1265" operator="greaterThanOrEqual">
      <formula>0.03</formula>
    </cfRule>
    <cfRule type="cellIs" dxfId="4774" priority="1266" operator="lessThanOrEqual">
      <formula>-0.03</formula>
    </cfRule>
  </conditionalFormatting>
  <conditionalFormatting sqref="CO41:CO46">
    <cfRule type="cellIs" dxfId="4773" priority="1263" operator="greaterThanOrEqual">
      <formula>0.03</formula>
    </cfRule>
    <cfRule type="cellIs" dxfId="4772" priority="1264" operator="lessThanOrEqual">
      <formula>-0.03</formula>
    </cfRule>
  </conditionalFormatting>
  <conditionalFormatting sqref="CO47:CO52">
    <cfRule type="cellIs" dxfId="4771" priority="1261" operator="greaterThanOrEqual">
      <formula>0.03</formula>
    </cfRule>
    <cfRule type="cellIs" dxfId="4770" priority="1262" operator="lessThanOrEqual">
      <formula>-0.03</formula>
    </cfRule>
  </conditionalFormatting>
  <conditionalFormatting sqref="CO53:CO58">
    <cfRule type="cellIs" dxfId="4769" priority="1259" operator="greaterThanOrEqual">
      <formula>0.03</formula>
    </cfRule>
    <cfRule type="cellIs" dxfId="4768" priority="1260" operator="lessThanOrEqual">
      <formula>-0.03</formula>
    </cfRule>
  </conditionalFormatting>
  <conditionalFormatting sqref="CO59:CO64">
    <cfRule type="cellIs" dxfId="4767" priority="1257" operator="greaterThanOrEqual">
      <formula>0.03</formula>
    </cfRule>
    <cfRule type="cellIs" dxfId="4766" priority="1258" operator="lessThanOrEqual">
      <formula>-0.03</formula>
    </cfRule>
  </conditionalFormatting>
  <conditionalFormatting sqref="CK48:CN52 CK47">
    <cfRule type="cellIs" dxfId="4765" priority="1255" operator="greaterThanOrEqual">
      <formula>0.03</formula>
    </cfRule>
    <cfRule type="cellIs" dxfId="4764" priority="1256" operator="lessThanOrEqual">
      <formula>-0.03</formula>
    </cfRule>
  </conditionalFormatting>
  <conditionalFormatting sqref="CK54:CN58 CK53">
    <cfRule type="cellIs" dxfId="4763" priority="1253" operator="greaterThanOrEqual">
      <formula>0.03</formula>
    </cfRule>
    <cfRule type="cellIs" dxfId="4762" priority="1254" operator="lessThanOrEqual">
      <formula>-0.03</formula>
    </cfRule>
  </conditionalFormatting>
  <conditionalFormatting sqref="CK60:CN64 CK59">
    <cfRule type="cellIs" dxfId="4761" priority="1251" operator="greaterThanOrEqual">
      <formula>0.03</formula>
    </cfRule>
    <cfRule type="cellIs" dxfId="4760" priority="1252" operator="lessThanOrEqual">
      <formula>-0.03</formula>
    </cfRule>
  </conditionalFormatting>
  <conditionalFormatting sqref="CV41:CV46">
    <cfRule type="cellIs" dxfId="4759" priority="1249" operator="greaterThanOrEqual">
      <formula>0.03</formula>
    </cfRule>
    <cfRule type="cellIs" dxfId="4758" priority="1250" operator="lessThanOrEqual">
      <formula>-0.03</formula>
    </cfRule>
  </conditionalFormatting>
  <conditionalFormatting sqref="CV47:CV52">
    <cfRule type="cellIs" dxfId="4757" priority="1247" operator="greaterThanOrEqual">
      <formula>0.03</formula>
    </cfRule>
    <cfRule type="cellIs" dxfId="4756" priority="1248" operator="lessThanOrEqual">
      <formula>-0.03</formula>
    </cfRule>
  </conditionalFormatting>
  <conditionalFormatting sqref="CV53:CV58">
    <cfRule type="cellIs" dxfId="4755" priority="1245" operator="greaterThanOrEqual">
      <formula>0.03</formula>
    </cfRule>
    <cfRule type="cellIs" dxfId="4754" priority="1246" operator="lessThanOrEqual">
      <formula>-0.03</formula>
    </cfRule>
  </conditionalFormatting>
  <conditionalFormatting sqref="CV59:CV64">
    <cfRule type="cellIs" dxfId="4753" priority="1243" operator="greaterThanOrEqual">
      <formula>0.03</formula>
    </cfRule>
    <cfRule type="cellIs" dxfId="4752" priority="1244" operator="lessThanOrEqual">
      <formula>-0.03</formula>
    </cfRule>
  </conditionalFormatting>
  <conditionalFormatting sqref="CR47:CU52">
    <cfRule type="cellIs" dxfId="4751" priority="1241" operator="greaterThanOrEqual">
      <formula>0.03</formula>
    </cfRule>
    <cfRule type="cellIs" dxfId="4750" priority="1242" operator="lessThanOrEqual">
      <formula>-0.03</formula>
    </cfRule>
  </conditionalFormatting>
  <conditionalFormatting sqref="CR53:CU58">
    <cfRule type="cellIs" dxfId="4749" priority="1239" operator="greaterThanOrEqual">
      <formula>0.03</formula>
    </cfRule>
    <cfRule type="cellIs" dxfId="4748" priority="1240" operator="lessThanOrEqual">
      <formula>-0.03</formula>
    </cfRule>
  </conditionalFormatting>
  <conditionalFormatting sqref="CR59:CU64">
    <cfRule type="cellIs" dxfId="4747" priority="1237" operator="greaterThanOrEqual">
      <formula>0.03</formula>
    </cfRule>
    <cfRule type="cellIs" dxfId="4746" priority="1238" operator="lessThanOrEqual">
      <formula>-0.03</formula>
    </cfRule>
  </conditionalFormatting>
  <conditionalFormatting sqref="CD48:CG52">
    <cfRule type="cellIs" dxfId="4745" priority="1235" operator="greaterThanOrEqual">
      <formula>0.03</formula>
    </cfRule>
    <cfRule type="cellIs" dxfId="4744" priority="1236" operator="lessThanOrEqual">
      <formula>-0.03</formula>
    </cfRule>
  </conditionalFormatting>
  <conditionalFormatting sqref="CD47:CG47">
    <cfRule type="cellIs" dxfId="4743" priority="1233" operator="greaterThanOrEqual">
      <formula>0.03</formula>
    </cfRule>
    <cfRule type="cellIs" dxfId="4742" priority="1234" operator="lessThanOrEqual">
      <formula>-0.03</formula>
    </cfRule>
  </conditionalFormatting>
  <conditionalFormatting sqref="CD54:CG58">
    <cfRule type="cellIs" dxfId="4741" priority="1231" operator="greaterThanOrEqual">
      <formula>0.03</formula>
    </cfRule>
    <cfRule type="cellIs" dxfId="4740" priority="1232" operator="lessThanOrEqual">
      <formula>-0.03</formula>
    </cfRule>
  </conditionalFormatting>
  <conditionalFormatting sqref="CD53:CG53">
    <cfRule type="cellIs" dxfId="4739" priority="1229" operator="greaterThanOrEqual">
      <formula>0.03</formula>
    </cfRule>
    <cfRule type="cellIs" dxfId="4738" priority="1230" operator="lessThanOrEqual">
      <formula>-0.03</formula>
    </cfRule>
  </conditionalFormatting>
  <conditionalFormatting sqref="CD60:CG64">
    <cfRule type="cellIs" dxfId="4737" priority="1227" operator="greaterThanOrEqual">
      <formula>0.03</formula>
    </cfRule>
    <cfRule type="cellIs" dxfId="4736" priority="1228" operator="lessThanOrEqual">
      <formula>-0.03</formula>
    </cfRule>
  </conditionalFormatting>
  <conditionalFormatting sqref="CD59:CG59">
    <cfRule type="cellIs" dxfId="4735" priority="1225" operator="greaterThanOrEqual">
      <formula>0.03</formula>
    </cfRule>
    <cfRule type="cellIs" dxfId="4734" priority="1226" operator="lessThanOrEqual">
      <formula>-0.03</formula>
    </cfRule>
  </conditionalFormatting>
  <conditionalFormatting sqref="BX41:BZ41">
    <cfRule type="cellIs" dxfId="4733" priority="1223" operator="greaterThanOrEqual">
      <formula>0.03</formula>
    </cfRule>
    <cfRule type="cellIs" dxfId="4732" priority="1224" operator="lessThanOrEqual">
      <formula>-0.03</formula>
    </cfRule>
  </conditionalFormatting>
  <conditionalFormatting sqref="CL47:CN47">
    <cfRule type="cellIs" dxfId="4731" priority="1213" operator="greaterThanOrEqual">
      <formula>0.03</formula>
    </cfRule>
    <cfRule type="cellIs" dxfId="4730" priority="1214" operator="lessThanOrEqual">
      <formula>-0.03</formula>
    </cfRule>
  </conditionalFormatting>
  <conditionalFormatting sqref="BX47:BZ47">
    <cfRule type="cellIs" dxfId="4729" priority="1221" operator="greaterThanOrEqual">
      <formula>0.03</formula>
    </cfRule>
    <cfRule type="cellIs" dxfId="4728" priority="1222" operator="lessThanOrEqual">
      <formula>-0.03</formula>
    </cfRule>
  </conditionalFormatting>
  <conditionalFormatting sqref="BX53:BZ53">
    <cfRule type="cellIs" dxfId="4727" priority="1219" operator="greaterThanOrEqual">
      <formula>0.03</formula>
    </cfRule>
    <cfRule type="cellIs" dxfId="4726" priority="1220" operator="lessThanOrEqual">
      <formula>-0.03</formula>
    </cfRule>
  </conditionalFormatting>
  <conditionalFormatting sqref="BX59:BZ59">
    <cfRule type="cellIs" dxfId="4725" priority="1217" operator="greaterThanOrEqual">
      <formula>0.03</formula>
    </cfRule>
    <cfRule type="cellIs" dxfId="4724" priority="1218" operator="lessThanOrEqual">
      <formula>-0.03</formula>
    </cfRule>
  </conditionalFormatting>
  <conditionalFormatting sqref="CL41:CN41">
    <cfRule type="cellIs" dxfId="4723" priority="1215" operator="greaterThanOrEqual">
      <formula>0.03</formula>
    </cfRule>
    <cfRule type="cellIs" dxfId="4722" priority="1216" operator="lessThanOrEqual">
      <formula>-0.03</formula>
    </cfRule>
  </conditionalFormatting>
  <conditionalFormatting sqref="CL53:CN53">
    <cfRule type="cellIs" dxfId="4721" priority="1211" operator="greaterThanOrEqual">
      <formula>0.03</formula>
    </cfRule>
    <cfRule type="cellIs" dxfId="4720" priority="1212" operator="lessThanOrEqual">
      <formula>-0.03</formula>
    </cfRule>
  </conditionalFormatting>
  <conditionalFormatting sqref="CL59:CN59">
    <cfRule type="cellIs" dxfId="4719" priority="1209" operator="greaterThanOrEqual">
      <formula>0.03</formula>
    </cfRule>
    <cfRule type="cellIs" dxfId="4718" priority="1210" operator="lessThanOrEqual">
      <formula>-0.03</formula>
    </cfRule>
  </conditionalFormatting>
  <conditionalFormatting sqref="CQ66:CQ70 CJ66:CJ70 CJ72:CJ76 CQ72:CQ76">
    <cfRule type="cellIs" dxfId="4717" priority="1207" operator="greaterThanOrEqual">
      <formula>0.03</formula>
    </cfRule>
    <cfRule type="cellIs" dxfId="4716" priority="1208" operator="lessThanOrEqual">
      <formula>-0.03</formula>
    </cfRule>
  </conditionalFormatting>
  <conditionalFormatting sqref="CC66:CC70 CC72:CC76">
    <cfRule type="cellIs" dxfId="4715" priority="1205" operator="greaterThanOrEqual">
      <formula>0.03</formula>
    </cfRule>
    <cfRule type="cellIs" dxfId="4714" priority="1206" operator="lessThanOrEqual">
      <formula>-0.03</formula>
    </cfRule>
  </conditionalFormatting>
  <conditionalFormatting sqref="BM76 BH72:BL76 BH66:BL70 BO66:BO70 BO72:BO76 BT66:BT69 BT72:BT76">
    <cfRule type="cellIs" dxfId="4713" priority="1203" operator="greaterThanOrEqual">
      <formula>0.03</formula>
    </cfRule>
    <cfRule type="cellIs" dxfId="4712" priority="1204" operator="lessThanOrEqual">
      <formula>-0.03</formula>
    </cfRule>
  </conditionalFormatting>
  <conditionalFormatting sqref="BO65 BH65 BT65">
    <cfRule type="cellIs" dxfId="4711" priority="1189" operator="greaterThanOrEqual">
      <formula>0.03</formula>
    </cfRule>
    <cfRule type="cellIs" dxfId="4710" priority="1190" operator="lessThanOrEqual">
      <formula>-0.03</formula>
    </cfRule>
  </conditionalFormatting>
  <conditionalFormatting sqref="CJ78:CJ82 CQ78:CQ82">
    <cfRule type="cellIs" dxfId="4709" priority="1201" operator="greaterThanOrEqual">
      <formula>0.03</formula>
    </cfRule>
    <cfRule type="cellIs" dxfId="4708" priority="1202" operator="lessThanOrEqual">
      <formula>-0.03</formula>
    </cfRule>
  </conditionalFormatting>
  <conditionalFormatting sqref="CC78:CC82">
    <cfRule type="cellIs" dxfId="4707" priority="1199" operator="greaterThanOrEqual">
      <formula>0.03</formula>
    </cfRule>
    <cfRule type="cellIs" dxfId="4706" priority="1200" operator="lessThanOrEqual">
      <formula>-0.03</formula>
    </cfRule>
  </conditionalFormatting>
  <conditionalFormatting sqref="BH78:BL82 BO78:BO82 BT78:BT82">
    <cfRule type="cellIs" dxfId="4705" priority="1197" operator="greaterThanOrEqual">
      <formula>0.03</formula>
    </cfRule>
    <cfRule type="cellIs" dxfId="4704" priority="1198" operator="lessThanOrEqual">
      <formula>-0.03</formula>
    </cfRule>
  </conditionalFormatting>
  <conditionalFormatting sqref="CJ71 CQ71">
    <cfRule type="cellIs" dxfId="4703" priority="1185" operator="greaterThanOrEqual">
      <formula>0.03</formula>
    </cfRule>
    <cfRule type="cellIs" dxfId="4702" priority="1186" operator="lessThanOrEqual">
      <formula>-0.03</formula>
    </cfRule>
  </conditionalFormatting>
  <conditionalFormatting sqref="BO71 BH71">
    <cfRule type="cellIs" dxfId="4701" priority="1183" operator="greaterThanOrEqual">
      <formula>0.03</formula>
    </cfRule>
    <cfRule type="cellIs" dxfId="4700" priority="1184" operator="lessThanOrEqual">
      <formula>-0.03</formula>
    </cfRule>
  </conditionalFormatting>
  <conditionalFormatting sqref="CC71">
    <cfRule type="cellIs" dxfId="4699" priority="1181" operator="greaterThanOrEqual">
      <formula>0.03</formula>
    </cfRule>
    <cfRule type="cellIs" dxfId="4698" priority="1182" operator="lessThanOrEqual">
      <formula>-0.03</formula>
    </cfRule>
  </conditionalFormatting>
  <conditionalFormatting sqref="CJ77 CQ77">
    <cfRule type="cellIs" dxfId="4697" priority="1179" operator="greaterThanOrEqual">
      <formula>0.03</formula>
    </cfRule>
    <cfRule type="cellIs" dxfId="4696" priority="1180" operator="lessThanOrEqual">
      <formula>-0.03</formula>
    </cfRule>
  </conditionalFormatting>
  <conditionalFormatting sqref="BO77 BH77 BT77">
    <cfRule type="cellIs" dxfId="4695" priority="1177" operator="greaterThanOrEqual">
      <formula>0.03</formula>
    </cfRule>
    <cfRule type="cellIs" dxfId="4694" priority="1178" operator="lessThanOrEqual">
      <formula>-0.03</formula>
    </cfRule>
  </conditionalFormatting>
  <conditionalFormatting sqref="CC77">
    <cfRule type="cellIs" dxfId="4693" priority="1175" operator="greaterThanOrEqual">
      <formula>0.03</formula>
    </cfRule>
    <cfRule type="cellIs" dxfId="4692" priority="1176" operator="lessThanOrEqual">
      <formula>-0.03</formula>
    </cfRule>
  </conditionalFormatting>
  <conditionalFormatting sqref="CJ65 CQ65">
    <cfRule type="cellIs" dxfId="4691" priority="1191" operator="greaterThanOrEqual">
      <formula>0.03</formula>
    </cfRule>
    <cfRule type="cellIs" dxfId="4690" priority="1192" operator="lessThanOrEqual">
      <formula>-0.03</formula>
    </cfRule>
  </conditionalFormatting>
  <conditionalFormatting sqref="CC65">
    <cfRule type="cellIs" dxfId="4689" priority="1187" operator="greaterThanOrEqual">
      <formula>0.03</formula>
    </cfRule>
    <cfRule type="cellIs" dxfId="4688" priority="1188" operator="lessThanOrEqual">
      <formula>-0.03</formula>
    </cfRule>
  </conditionalFormatting>
  <conditionalFormatting sqref="BI65:BL65">
    <cfRule type="cellIs" dxfId="4687" priority="1159" operator="greaterThanOrEqual">
      <formula>0.03</formula>
    </cfRule>
    <cfRule type="cellIs" dxfId="4686" priority="1160" operator="lessThanOrEqual">
      <formula>-0.03</formula>
    </cfRule>
  </conditionalFormatting>
  <conditionalFormatting sqref="BI71:BL71">
    <cfRule type="cellIs" dxfId="4685" priority="1157" operator="greaterThanOrEqual">
      <formula>0.03</formula>
    </cfRule>
    <cfRule type="cellIs" dxfId="4684" priority="1158" operator="lessThanOrEqual">
      <formula>-0.03</formula>
    </cfRule>
  </conditionalFormatting>
  <conditionalFormatting sqref="BI77:BL77">
    <cfRule type="cellIs" dxfId="4683" priority="1155" operator="greaterThanOrEqual">
      <formula>0.03</formula>
    </cfRule>
    <cfRule type="cellIs" dxfId="4682" priority="1156" operator="lessThanOrEqual">
      <formula>-0.03</formula>
    </cfRule>
  </conditionalFormatting>
  <conditionalFormatting sqref="BM65:BM69">
    <cfRule type="cellIs" dxfId="4681" priority="1171" operator="greaterThanOrEqual">
      <formula>0.03</formula>
    </cfRule>
    <cfRule type="cellIs" dxfId="4680" priority="1172" operator="lessThanOrEqual">
      <formula>-0.03</formula>
    </cfRule>
  </conditionalFormatting>
  <conditionalFormatting sqref="BM71:BM75">
    <cfRule type="cellIs" dxfId="4679" priority="1169" operator="greaterThanOrEqual">
      <formula>0.03</formula>
    </cfRule>
    <cfRule type="cellIs" dxfId="4678" priority="1170" operator="lessThanOrEqual">
      <formula>-0.03</formula>
    </cfRule>
  </conditionalFormatting>
  <conditionalFormatting sqref="BM78:BM82">
    <cfRule type="cellIs" dxfId="4677" priority="1167" operator="greaterThanOrEqual">
      <formula>0.03</formula>
    </cfRule>
    <cfRule type="cellIs" dxfId="4676" priority="1168" operator="lessThanOrEqual">
      <formula>-0.03</formula>
    </cfRule>
  </conditionalFormatting>
  <conditionalFormatting sqref="BM77">
    <cfRule type="cellIs" dxfId="4675" priority="1165" operator="greaterThanOrEqual">
      <formula>0.03</formula>
    </cfRule>
    <cfRule type="cellIs" dxfId="4674" priority="1166" operator="lessThanOrEqual">
      <formula>-0.03</formula>
    </cfRule>
  </conditionalFormatting>
  <conditionalFormatting sqref="BM70">
    <cfRule type="cellIs" dxfId="4673" priority="1163" operator="greaterThanOrEqual">
      <formula>0.03</formula>
    </cfRule>
    <cfRule type="cellIs" dxfId="4672" priority="1164" operator="lessThanOrEqual">
      <formula>-0.03</formula>
    </cfRule>
  </conditionalFormatting>
  <conditionalFormatting sqref="BT70">
    <cfRule type="cellIs" dxfId="4671" priority="1153" operator="greaterThanOrEqual">
      <formula>0.03</formula>
    </cfRule>
    <cfRule type="cellIs" dxfId="4670" priority="1154" operator="lessThanOrEqual">
      <formula>-0.03</formula>
    </cfRule>
  </conditionalFormatting>
  <conditionalFormatting sqref="BT71">
    <cfRule type="cellIs" dxfId="4669" priority="1151" operator="greaterThanOrEqual">
      <formula>0.03</formula>
    </cfRule>
    <cfRule type="cellIs" dxfId="4668" priority="1152" operator="lessThanOrEqual">
      <formula>-0.03</formula>
    </cfRule>
  </conditionalFormatting>
  <conditionalFormatting sqref="BP65:BS70">
    <cfRule type="cellIs" dxfId="4667" priority="1149" operator="greaterThanOrEqual">
      <formula>0.03</formula>
    </cfRule>
    <cfRule type="cellIs" dxfId="4666" priority="1150" operator="lessThanOrEqual">
      <formula>-0.03</formula>
    </cfRule>
  </conditionalFormatting>
  <conditionalFormatting sqref="BP71:BS76">
    <cfRule type="cellIs" dxfId="4665" priority="1147" operator="greaterThanOrEqual">
      <formula>0.03</formula>
    </cfRule>
    <cfRule type="cellIs" dxfId="4664" priority="1148" operator="lessThanOrEqual">
      <formula>-0.03</formula>
    </cfRule>
  </conditionalFormatting>
  <conditionalFormatting sqref="BP77:BS82">
    <cfRule type="cellIs" dxfId="4663" priority="1145" operator="greaterThanOrEqual">
      <formula>0.03</formula>
    </cfRule>
    <cfRule type="cellIs" dxfId="4662" priority="1146" operator="lessThanOrEqual">
      <formula>-0.03</formula>
    </cfRule>
  </conditionalFormatting>
  <conditionalFormatting sqref="CA65:CA70">
    <cfRule type="cellIs" dxfId="4661" priority="1141" operator="greaterThanOrEqual">
      <formula>0.03</formula>
    </cfRule>
    <cfRule type="cellIs" dxfId="4660" priority="1142" operator="lessThanOrEqual">
      <formula>-0.03</formula>
    </cfRule>
  </conditionalFormatting>
  <conditionalFormatting sqref="CA71:CA76">
    <cfRule type="cellIs" dxfId="4659" priority="1139" operator="greaterThanOrEqual">
      <formula>0.03</formula>
    </cfRule>
    <cfRule type="cellIs" dxfId="4658" priority="1140" operator="lessThanOrEqual">
      <formula>-0.03</formula>
    </cfRule>
  </conditionalFormatting>
  <conditionalFormatting sqref="CA77:CA82">
    <cfRule type="cellIs" dxfId="4657" priority="1137" operator="greaterThanOrEqual">
      <formula>0.03</formula>
    </cfRule>
    <cfRule type="cellIs" dxfId="4656" priority="1138" operator="lessThanOrEqual">
      <formula>-0.03</formula>
    </cfRule>
  </conditionalFormatting>
  <conditionalFormatting sqref="BV66:BZ70">
    <cfRule type="cellIs" dxfId="4655" priority="1135" operator="greaterThanOrEqual">
      <formula>0.03</formula>
    </cfRule>
    <cfRule type="cellIs" dxfId="4654" priority="1136" operator="lessThanOrEqual">
      <formula>-0.03</formula>
    </cfRule>
  </conditionalFormatting>
  <conditionalFormatting sqref="BW65">
    <cfRule type="cellIs" dxfId="4653" priority="1131" operator="greaterThanOrEqual">
      <formula>0.03</formula>
    </cfRule>
    <cfRule type="cellIs" dxfId="4652" priority="1132" operator="lessThanOrEqual">
      <formula>-0.03</formula>
    </cfRule>
  </conditionalFormatting>
  <conditionalFormatting sqref="BV65">
    <cfRule type="cellIs" dxfId="4651" priority="1133" operator="greaterThanOrEqual">
      <formula>0.03</formula>
    </cfRule>
    <cfRule type="cellIs" dxfId="4650" priority="1134" operator="lessThanOrEqual">
      <formula>-0.03</formula>
    </cfRule>
  </conditionalFormatting>
  <conditionalFormatting sqref="BV72:BZ76">
    <cfRule type="cellIs" dxfId="4649" priority="1129" operator="greaterThanOrEqual">
      <formula>0.03</formula>
    </cfRule>
    <cfRule type="cellIs" dxfId="4648" priority="1130" operator="lessThanOrEqual">
      <formula>-0.03</formula>
    </cfRule>
  </conditionalFormatting>
  <conditionalFormatting sqref="BW71">
    <cfRule type="cellIs" dxfId="4647" priority="1125" operator="greaterThanOrEqual">
      <formula>0.03</formula>
    </cfRule>
    <cfRule type="cellIs" dxfId="4646" priority="1126" operator="lessThanOrEqual">
      <formula>-0.03</formula>
    </cfRule>
  </conditionalFormatting>
  <conditionalFormatting sqref="BV71">
    <cfRule type="cellIs" dxfId="4645" priority="1127" operator="greaterThanOrEqual">
      <formula>0.03</formula>
    </cfRule>
    <cfRule type="cellIs" dxfId="4644" priority="1128" operator="lessThanOrEqual">
      <formula>-0.03</formula>
    </cfRule>
  </conditionalFormatting>
  <conditionalFormatting sqref="BV78:BZ82">
    <cfRule type="cellIs" dxfId="4643" priority="1123" operator="greaterThanOrEqual">
      <formula>0.03</formula>
    </cfRule>
    <cfRule type="cellIs" dxfId="4642" priority="1124" operator="lessThanOrEqual">
      <formula>-0.03</formula>
    </cfRule>
  </conditionalFormatting>
  <conditionalFormatting sqref="BW77">
    <cfRule type="cellIs" dxfId="4641" priority="1119" operator="greaterThanOrEqual">
      <formula>0.03</formula>
    </cfRule>
    <cfRule type="cellIs" dxfId="4640" priority="1120" operator="lessThanOrEqual">
      <formula>-0.03</formula>
    </cfRule>
  </conditionalFormatting>
  <conditionalFormatting sqref="BV77">
    <cfRule type="cellIs" dxfId="4639" priority="1121" operator="greaterThanOrEqual">
      <formula>0.03</formula>
    </cfRule>
    <cfRule type="cellIs" dxfId="4638" priority="1122" operator="lessThanOrEqual">
      <formula>-0.03</formula>
    </cfRule>
  </conditionalFormatting>
  <conditionalFormatting sqref="CH65:CH70">
    <cfRule type="cellIs" dxfId="4637" priority="1115" operator="greaterThanOrEqual">
      <formula>0.03</formula>
    </cfRule>
    <cfRule type="cellIs" dxfId="4636" priority="1116" operator="lessThanOrEqual">
      <formula>-0.03</formula>
    </cfRule>
  </conditionalFormatting>
  <conditionalFormatting sqref="CH71:CH76">
    <cfRule type="cellIs" dxfId="4635" priority="1113" operator="greaterThanOrEqual">
      <formula>0.03</formula>
    </cfRule>
    <cfRule type="cellIs" dxfId="4634" priority="1114" operator="lessThanOrEqual">
      <formula>-0.03</formula>
    </cfRule>
  </conditionalFormatting>
  <conditionalFormatting sqref="CH77:CH82">
    <cfRule type="cellIs" dxfId="4633" priority="1111" operator="greaterThanOrEqual">
      <formula>0.03</formula>
    </cfRule>
    <cfRule type="cellIs" dxfId="4632" priority="1112" operator="lessThanOrEqual">
      <formula>-0.03</formula>
    </cfRule>
  </conditionalFormatting>
  <conditionalFormatting sqref="CO65:CO70">
    <cfRule type="cellIs" dxfId="4631" priority="1107" operator="greaterThanOrEqual">
      <formula>0.03</formula>
    </cfRule>
    <cfRule type="cellIs" dxfId="4630" priority="1108" operator="lessThanOrEqual">
      <formula>-0.03</formula>
    </cfRule>
  </conditionalFormatting>
  <conditionalFormatting sqref="CO71:CO76">
    <cfRule type="cellIs" dxfId="4629" priority="1105" operator="greaterThanOrEqual">
      <formula>0.03</formula>
    </cfRule>
    <cfRule type="cellIs" dxfId="4628" priority="1106" operator="lessThanOrEqual">
      <formula>-0.03</formula>
    </cfRule>
  </conditionalFormatting>
  <conditionalFormatting sqref="CO77:CO82">
    <cfRule type="cellIs" dxfId="4627" priority="1103" operator="greaterThanOrEqual">
      <formula>0.03</formula>
    </cfRule>
    <cfRule type="cellIs" dxfId="4626" priority="1104" operator="lessThanOrEqual">
      <formula>-0.03</formula>
    </cfRule>
  </conditionalFormatting>
  <conditionalFormatting sqref="CK66:CN70 CK65">
    <cfRule type="cellIs" dxfId="4625" priority="1101" operator="greaterThanOrEqual">
      <formula>0.03</formula>
    </cfRule>
    <cfRule type="cellIs" dxfId="4624" priority="1102" operator="lessThanOrEqual">
      <formula>-0.03</formula>
    </cfRule>
  </conditionalFormatting>
  <conditionalFormatting sqref="CK72:CN76 CK71">
    <cfRule type="cellIs" dxfId="4623" priority="1099" operator="greaterThanOrEqual">
      <formula>0.03</formula>
    </cfRule>
    <cfRule type="cellIs" dxfId="4622" priority="1100" operator="lessThanOrEqual">
      <formula>-0.03</formula>
    </cfRule>
  </conditionalFormatting>
  <conditionalFormatting sqref="CK78:CN82 CK77">
    <cfRule type="cellIs" dxfId="4621" priority="1097" operator="greaterThanOrEqual">
      <formula>0.03</formula>
    </cfRule>
    <cfRule type="cellIs" dxfId="4620" priority="1098" operator="lessThanOrEqual">
      <formula>-0.03</formula>
    </cfRule>
  </conditionalFormatting>
  <conditionalFormatting sqref="CV65:CV70">
    <cfRule type="cellIs" dxfId="4619" priority="1093" operator="greaterThanOrEqual">
      <formula>0.03</formula>
    </cfRule>
    <cfRule type="cellIs" dxfId="4618" priority="1094" operator="lessThanOrEqual">
      <formula>-0.03</formula>
    </cfRule>
  </conditionalFormatting>
  <conditionalFormatting sqref="CV71:CV76">
    <cfRule type="cellIs" dxfId="4617" priority="1091" operator="greaterThanOrEqual">
      <formula>0.03</formula>
    </cfRule>
    <cfRule type="cellIs" dxfId="4616" priority="1092" operator="lessThanOrEqual">
      <formula>-0.03</formula>
    </cfRule>
  </conditionalFormatting>
  <conditionalFormatting sqref="CV77:CV82">
    <cfRule type="cellIs" dxfId="4615" priority="1089" operator="greaterThanOrEqual">
      <formula>0.03</formula>
    </cfRule>
    <cfRule type="cellIs" dxfId="4614" priority="1090" operator="lessThanOrEqual">
      <formula>-0.03</formula>
    </cfRule>
  </conditionalFormatting>
  <conditionalFormatting sqref="CR65:CU70">
    <cfRule type="cellIs" dxfId="4613" priority="1087" operator="greaterThanOrEqual">
      <formula>0.03</formula>
    </cfRule>
    <cfRule type="cellIs" dxfId="4612" priority="1088" operator="lessThanOrEqual">
      <formula>-0.03</formula>
    </cfRule>
  </conditionalFormatting>
  <conditionalFormatting sqref="CR71:CU76">
    <cfRule type="cellIs" dxfId="4611" priority="1085" operator="greaterThanOrEqual">
      <formula>0.03</formula>
    </cfRule>
    <cfRule type="cellIs" dxfId="4610" priority="1086" operator="lessThanOrEqual">
      <formula>-0.03</formula>
    </cfRule>
  </conditionalFormatting>
  <conditionalFormatting sqref="CR77:CU82">
    <cfRule type="cellIs" dxfId="4609" priority="1083" operator="greaterThanOrEqual">
      <formula>0.03</formula>
    </cfRule>
    <cfRule type="cellIs" dxfId="4608" priority="1084" operator="lessThanOrEqual">
      <formula>-0.03</formula>
    </cfRule>
  </conditionalFormatting>
  <conditionalFormatting sqref="CD66:CG70">
    <cfRule type="cellIs" dxfId="4607" priority="1081" operator="greaterThanOrEqual">
      <formula>0.03</formula>
    </cfRule>
    <cfRule type="cellIs" dxfId="4606" priority="1082" operator="lessThanOrEqual">
      <formula>-0.03</formula>
    </cfRule>
  </conditionalFormatting>
  <conditionalFormatting sqref="CD65:CG65">
    <cfRule type="cellIs" dxfId="4605" priority="1079" operator="greaterThanOrEqual">
      <formula>0.03</formula>
    </cfRule>
    <cfRule type="cellIs" dxfId="4604" priority="1080" operator="lessThanOrEqual">
      <formula>-0.03</formula>
    </cfRule>
  </conditionalFormatting>
  <conditionalFormatting sqref="CD72:CG76">
    <cfRule type="cellIs" dxfId="4603" priority="1077" operator="greaterThanOrEqual">
      <formula>0.03</formula>
    </cfRule>
    <cfRule type="cellIs" dxfId="4602" priority="1078" operator="lessThanOrEqual">
      <formula>-0.03</formula>
    </cfRule>
  </conditionalFormatting>
  <conditionalFormatting sqref="CD71:CG71">
    <cfRule type="cellIs" dxfId="4601" priority="1075" operator="greaterThanOrEqual">
      <formula>0.03</formula>
    </cfRule>
    <cfRule type="cellIs" dxfId="4600" priority="1076" operator="lessThanOrEqual">
      <formula>-0.03</formula>
    </cfRule>
  </conditionalFormatting>
  <conditionalFormatting sqref="CD78:CG82">
    <cfRule type="cellIs" dxfId="4599" priority="1073" operator="greaterThanOrEqual">
      <formula>0.03</formula>
    </cfRule>
    <cfRule type="cellIs" dxfId="4598" priority="1074" operator="lessThanOrEqual">
      <formula>-0.03</formula>
    </cfRule>
  </conditionalFormatting>
  <conditionalFormatting sqref="CD77:CG77">
    <cfRule type="cellIs" dxfId="4597" priority="1071" operator="greaterThanOrEqual">
      <formula>0.03</formula>
    </cfRule>
    <cfRule type="cellIs" dxfId="4596" priority="1072" operator="lessThanOrEqual">
      <formula>-0.03</formula>
    </cfRule>
  </conditionalFormatting>
  <conditionalFormatting sqref="CL65:CN65">
    <cfRule type="cellIs" dxfId="4595" priority="1059" operator="greaterThanOrEqual">
      <formula>0.03</formula>
    </cfRule>
    <cfRule type="cellIs" dxfId="4594" priority="1060" operator="lessThanOrEqual">
      <formula>-0.03</formula>
    </cfRule>
  </conditionalFormatting>
  <conditionalFormatting sqref="BX65:BZ65">
    <cfRule type="cellIs" dxfId="4593" priority="1067" operator="greaterThanOrEqual">
      <formula>0.03</formula>
    </cfRule>
    <cfRule type="cellIs" dxfId="4592" priority="1068" operator="lessThanOrEqual">
      <formula>-0.03</formula>
    </cfRule>
  </conditionalFormatting>
  <conditionalFormatting sqref="BX71:BZ71">
    <cfRule type="cellIs" dxfId="4591" priority="1065" operator="greaterThanOrEqual">
      <formula>0.03</formula>
    </cfRule>
    <cfRule type="cellIs" dxfId="4590" priority="1066" operator="lessThanOrEqual">
      <formula>-0.03</formula>
    </cfRule>
  </conditionalFormatting>
  <conditionalFormatting sqref="BX77:BZ77">
    <cfRule type="cellIs" dxfId="4589" priority="1063" operator="greaterThanOrEqual">
      <formula>0.03</formula>
    </cfRule>
    <cfRule type="cellIs" dxfId="4588" priority="1064" operator="lessThanOrEqual">
      <formula>-0.03</formula>
    </cfRule>
  </conditionalFormatting>
  <conditionalFormatting sqref="CL71:CN71">
    <cfRule type="cellIs" dxfId="4587" priority="1057" operator="greaterThanOrEqual">
      <formula>0.03</formula>
    </cfRule>
    <cfRule type="cellIs" dxfId="4586" priority="1058" operator="lessThanOrEqual">
      <formula>-0.03</formula>
    </cfRule>
  </conditionalFormatting>
  <conditionalFormatting sqref="CL77:CN77">
    <cfRule type="cellIs" dxfId="4585" priority="1055" operator="greaterThanOrEqual">
      <formula>0.03</formula>
    </cfRule>
    <cfRule type="cellIs" dxfId="4584" priority="1056" operator="lessThanOrEqual">
      <formula>-0.03</formula>
    </cfRule>
  </conditionalFormatting>
  <conditionalFormatting sqref="BW41">
    <cfRule type="cellIs" dxfId="4583" priority="1035" operator="greaterThanOrEqual">
      <formula>0.03</formula>
    </cfRule>
    <cfRule type="cellIs" dxfId="4582" priority="1036" operator="lessThanOrEqual">
      <formula>-0.03</formula>
    </cfRule>
  </conditionalFormatting>
  <conditionalFormatting sqref="BE137:CV142">
    <cfRule type="cellIs" dxfId="4581" priority="739" operator="lessThanOrEqual">
      <formula>-0.03</formula>
    </cfRule>
    <cfRule type="cellIs" dxfId="4580" priority="740" operator="greaterThanOrEqual">
      <formula>0.03</formula>
    </cfRule>
  </conditionalFormatting>
  <conditionalFormatting sqref="BC137:BD142">
    <cfRule type="cellIs" dxfId="4579" priority="737" operator="greaterThanOrEqual">
      <formula>1.03</formula>
    </cfRule>
    <cfRule type="cellIs" dxfId="4578" priority="738" operator="lessThanOrEqual">
      <formula>0.97</formula>
    </cfRule>
  </conditionalFormatting>
  <conditionalFormatting sqref="V89:X100">
    <cfRule type="cellIs" dxfId="4577" priority="91" operator="greaterThanOrEqual">
      <formula>0.03</formula>
    </cfRule>
    <cfRule type="cellIs" dxfId="4576" priority="92" operator="lessThanOrEqual">
      <formula>-0.03</formula>
    </cfRule>
  </conditionalFormatting>
  <conditionalFormatting sqref="W101:X106">
    <cfRule type="cellIs" dxfId="4575" priority="89" operator="greaterThanOrEqual">
      <formula>0.03</formula>
    </cfRule>
    <cfRule type="cellIs" dxfId="4574" priority="90" operator="lessThanOrEqual">
      <formula>-0.03</formula>
    </cfRule>
  </conditionalFormatting>
  <conditionalFormatting sqref="V101:V106">
    <cfRule type="cellIs" dxfId="4573" priority="87" operator="greaterThanOrEqual">
      <formula>0.03</formula>
    </cfRule>
    <cfRule type="cellIs" dxfId="4572" priority="88" operator="lessThanOrEqual">
      <formula>-0.03</formula>
    </cfRule>
  </conditionalFormatting>
  <conditionalFormatting sqref="W107:X112">
    <cfRule type="cellIs" dxfId="4571" priority="85" operator="greaterThanOrEqual">
      <formula>0.03</formula>
    </cfRule>
    <cfRule type="cellIs" dxfId="4570" priority="86" operator="lessThanOrEqual">
      <formula>-0.03</formula>
    </cfRule>
  </conditionalFormatting>
  <conditionalFormatting sqref="V107:V112">
    <cfRule type="cellIs" dxfId="4569" priority="83" operator="greaterThanOrEqual">
      <formula>0.03</formula>
    </cfRule>
    <cfRule type="cellIs" dxfId="4568" priority="84" operator="lessThanOrEqual">
      <formula>-0.03</formula>
    </cfRule>
  </conditionalFormatting>
  <conditionalFormatting sqref="S131:S136">
    <cfRule type="cellIs" dxfId="4567" priority="77" operator="greaterThanOrEqual">
      <formula>0.03</formula>
    </cfRule>
    <cfRule type="cellIs" dxfId="4566" priority="78" operator="lessThanOrEqual">
      <formula>-0.03</formula>
    </cfRule>
  </conditionalFormatting>
  <conditionalFormatting sqref="S119:S130">
    <cfRule type="cellIs" dxfId="4565" priority="81" operator="greaterThanOrEqual">
      <formula>0.03</formula>
    </cfRule>
    <cfRule type="cellIs" dxfId="4564" priority="82" operator="lessThanOrEqual">
      <formula>-0.03</formula>
    </cfRule>
  </conditionalFormatting>
  <conditionalFormatting sqref="S113:S118">
    <cfRule type="cellIs" dxfId="4563" priority="79" operator="greaterThanOrEqual">
      <formula>0.03</formula>
    </cfRule>
    <cfRule type="cellIs" dxfId="4562" priority="80" operator="lessThanOrEqual">
      <formula>-0.03</formula>
    </cfRule>
  </conditionalFormatting>
  <conditionalFormatting sqref="Y119:Y130">
    <cfRule type="cellIs" dxfId="4561" priority="75" operator="greaterThanOrEqual">
      <formula>0.03</formula>
    </cfRule>
    <cfRule type="cellIs" dxfId="4560" priority="76" operator="lessThanOrEqual">
      <formula>-0.03</formula>
    </cfRule>
  </conditionalFormatting>
  <conditionalFormatting sqref="Y113:Y118">
    <cfRule type="cellIs" dxfId="4559" priority="73" operator="greaterThanOrEqual">
      <formula>0.03</formula>
    </cfRule>
    <cfRule type="cellIs" dxfId="4558" priority="74" operator="lessThanOrEqual">
      <formula>-0.03</formula>
    </cfRule>
  </conditionalFormatting>
  <conditionalFormatting sqref="Y131:Y136">
    <cfRule type="cellIs" dxfId="4557" priority="71" operator="greaterThanOrEqual">
      <formula>0.03</formula>
    </cfRule>
    <cfRule type="cellIs" dxfId="4556" priority="72" operator="lessThanOrEqual">
      <formula>-0.03</formula>
    </cfRule>
  </conditionalFormatting>
  <conditionalFormatting sqref="V83:X88">
    <cfRule type="cellIs" dxfId="4555" priority="69" operator="greaterThanOrEqual">
      <formula>0.03</formula>
    </cfRule>
    <cfRule type="cellIs" dxfId="4554" priority="70" operator="lessThanOrEqual">
      <formula>-0.03</formula>
    </cfRule>
  </conditionalFormatting>
  <conditionalFormatting sqref="V29:X40">
    <cfRule type="cellIs" dxfId="4553" priority="67" operator="greaterThanOrEqual">
      <formula>0.03</formula>
    </cfRule>
    <cfRule type="cellIs" dxfId="4552" priority="68" operator="lessThanOrEqual">
      <formula>-0.03</formula>
    </cfRule>
  </conditionalFormatting>
  <conditionalFormatting sqref="V23:X27">
    <cfRule type="cellIs" dxfId="4551" priority="61" operator="greaterThanOrEqual">
      <formula>0.03</formula>
    </cfRule>
    <cfRule type="cellIs" dxfId="4550" priority="62" operator="lessThanOrEqual">
      <formula>-0.03</formula>
    </cfRule>
  </conditionalFormatting>
  <conditionalFormatting sqref="V11:X22">
    <cfRule type="cellIs" dxfId="4549" priority="65" operator="greaterThanOrEqual">
      <formula>0.03</formula>
    </cfRule>
    <cfRule type="cellIs" dxfId="4548" priority="66" operator="lessThanOrEqual">
      <formula>-0.03</formula>
    </cfRule>
  </conditionalFormatting>
  <conditionalFormatting sqref="V5:X10">
    <cfRule type="cellIs" dxfId="4547" priority="63" operator="greaterThanOrEqual">
      <formula>0.03</formula>
    </cfRule>
    <cfRule type="cellIs" dxfId="4546" priority="64" operator="lessThanOrEqual">
      <formula>-0.03</formula>
    </cfRule>
  </conditionalFormatting>
  <conditionalFormatting sqref="S41:S46">
    <cfRule type="cellIs" dxfId="4545" priority="59" operator="greaterThanOrEqual">
      <formula>0.03</formula>
    </cfRule>
    <cfRule type="cellIs" dxfId="4544" priority="60" operator="lessThanOrEqual">
      <formula>-0.03</formula>
    </cfRule>
  </conditionalFormatting>
  <conditionalFormatting sqref="Y41:Y46">
    <cfRule type="cellIs" dxfId="4543" priority="57" operator="greaterThanOrEqual">
      <formula>0.03</formula>
    </cfRule>
    <cfRule type="cellIs" dxfId="4542" priority="58" operator="lessThanOrEqual">
      <formula>-0.03</formula>
    </cfRule>
  </conditionalFormatting>
  <conditionalFormatting sqref="S47:S52">
    <cfRule type="cellIs" dxfId="4541" priority="55" operator="greaterThanOrEqual">
      <formula>0.03</formula>
    </cfRule>
    <cfRule type="cellIs" dxfId="4540" priority="56" operator="lessThanOrEqual">
      <formula>-0.03</formula>
    </cfRule>
  </conditionalFormatting>
  <conditionalFormatting sqref="Y47:Y52">
    <cfRule type="cellIs" dxfId="4539" priority="53" operator="greaterThanOrEqual">
      <formula>0.03</formula>
    </cfRule>
    <cfRule type="cellIs" dxfId="4538" priority="54" operator="lessThanOrEqual">
      <formula>-0.03</formula>
    </cfRule>
  </conditionalFormatting>
  <conditionalFormatting sqref="S53:S82">
    <cfRule type="cellIs" dxfId="4537" priority="51" operator="greaterThanOrEqual">
      <formula>0.03</formula>
    </cfRule>
    <cfRule type="cellIs" dxfId="4536" priority="52" operator="lessThanOrEqual">
      <formula>-0.03</formula>
    </cfRule>
  </conditionalFormatting>
  <conditionalFormatting sqref="Y53:Y82">
    <cfRule type="cellIs" dxfId="4535" priority="49" operator="greaterThanOrEqual">
      <formula>0.03</formula>
    </cfRule>
    <cfRule type="cellIs" dxfId="4534" priority="50" operator="lessThanOrEqual">
      <formula>-0.03</formula>
    </cfRule>
  </conditionalFormatting>
  <conditionalFormatting sqref="V28:X28">
    <cfRule type="cellIs" dxfId="4533" priority="47" operator="greaterThanOrEqual">
      <formula>0.03</formula>
    </cfRule>
    <cfRule type="cellIs" dxfId="4532" priority="48" operator="lessThanOrEqual">
      <formula>-0.03</formula>
    </cfRule>
  </conditionalFormatting>
  <conditionalFormatting sqref="AS89:AU100">
    <cfRule type="cellIs" dxfId="4531" priority="45" operator="greaterThanOrEqual">
      <formula>0.03</formula>
    </cfRule>
    <cfRule type="cellIs" dxfId="4530" priority="46" operator="lessThanOrEqual">
      <formula>-0.03</formula>
    </cfRule>
  </conditionalFormatting>
  <conditionalFormatting sqref="AT101:AU106">
    <cfRule type="cellIs" dxfId="4529" priority="43" operator="greaterThanOrEqual">
      <formula>0.03</formula>
    </cfRule>
    <cfRule type="cellIs" dxfId="4528" priority="44" operator="lessThanOrEqual">
      <formula>-0.03</formula>
    </cfRule>
  </conditionalFormatting>
  <conditionalFormatting sqref="AS101:AS106">
    <cfRule type="cellIs" dxfId="4527" priority="41" operator="greaterThanOrEqual">
      <formula>0.03</formula>
    </cfRule>
    <cfRule type="cellIs" dxfId="4526" priority="42" operator="lessThanOrEqual">
      <formula>-0.03</formula>
    </cfRule>
  </conditionalFormatting>
  <conditionalFormatting sqref="AT107:AU112">
    <cfRule type="cellIs" dxfId="4525" priority="39" operator="greaterThanOrEqual">
      <formula>0.03</formula>
    </cfRule>
    <cfRule type="cellIs" dxfId="4524" priority="40" operator="lessThanOrEqual">
      <formula>-0.03</formula>
    </cfRule>
  </conditionalFormatting>
  <conditionalFormatting sqref="AS107:AS112">
    <cfRule type="cellIs" dxfId="4523" priority="37" operator="greaterThanOrEqual">
      <formula>0.03</formula>
    </cfRule>
    <cfRule type="cellIs" dxfId="4522" priority="38" operator="lessThanOrEqual">
      <formula>-0.03</formula>
    </cfRule>
  </conditionalFormatting>
  <conditionalFormatting sqref="AP131:AP136">
    <cfRule type="cellIs" dxfId="4521" priority="31" operator="greaterThanOrEqual">
      <formula>0.03</formula>
    </cfRule>
    <cfRule type="cellIs" dxfId="4520" priority="32" operator="lessThanOrEqual">
      <formula>-0.03</formula>
    </cfRule>
  </conditionalFormatting>
  <conditionalFormatting sqref="AP119:AP130">
    <cfRule type="cellIs" dxfId="4519" priority="35" operator="greaterThanOrEqual">
      <formula>0.03</formula>
    </cfRule>
    <cfRule type="cellIs" dxfId="4518" priority="36" operator="lessThanOrEqual">
      <formula>-0.03</formula>
    </cfRule>
  </conditionalFormatting>
  <conditionalFormatting sqref="AP113:AP118">
    <cfRule type="cellIs" dxfId="4517" priority="33" operator="greaterThanOrEqual">
      <formula>0.03</formula>
    </cfRule>
    <cfRule type="cellIs" dxfId="4516" priority="34" operator="lessThanOrEqual">
      <formula>-0.03</formula>
    </cfRule>
  </conditionalFormatting>
  <conditionalFormatting sqref="AV119:AV130">
    <cfRule type="cellIs" dxfId="4515" priority="29" operator="greaterThanOrEqual">
      <formula>0.03</formula>
    </cfRule>
    <cfRule type="cellIs" dxfId="4514" priority="30" operator="lessThanOrEqual">
      <formula>-0.03</formula>
    </cfRule>
  </conditionalFormatting>
  <conditionalFormatting sqref="AV113:AV118">
    <cfRule type="cellIs" dxfId="4513" priority="27" operator="greaterThanOrEqual">
      <formula>0.03</formula>
    </cfRule>
    <cfRule type="cellIs" dxfId="4512" priority="28" operator="lessThanOrEqual">
      <formula>-0.03</formula>
    </cfRule>
  </conditionalFormatting>
  <conditionalFormatting sqref="AV131:AV136">
    <cfRule type="cellIs" dxfId="4511" priority="25" operator="greaterThanOrEqual">
      <formula>0.03</formula>
    </cfRule>
    <cfRule type="cellIs" dxfId="4510" priority="26" operator="lessThanOrEqual">
      <formula>-0.03</formula>
    </cfRule>
  </conditionalFormatting>
  <conditionalFormatting sqref="AS83:AU88">
    <cfRule type="cellIs" dxfId="4509" priority="23" operator="greaterThanOrEqual">
      <formula>0.03</formula>
    </cfRule>
    <cfRule type="cellIs" dxfId="4508" priority="24" operator="lessThanOrEqual">
      <formula>-0.03</formula>
    </cfRule>
  </conditionalFormatting>
  <conditionalFormatting sqref="AS29:AU40">
    <cfRule type="cellIs" dxfId="4507" priority="21" operator="greaterThanOrEqual">
      <formula>0.03</formula>
    </cfRule>
    <cfRule type="cellIs" dxfId="4506" priority="22" operator="lessThanOrEqual">
      <formula>-0.03</formula>
    </cfRule>
  </conditionalFormatting>
  <conditionalFormatting sqref="AS23:AU27">
    <cfRule type="cellIs" dxfId="4505" priority="15" operator="greaterThanOrEqual">
      <formula>0.03</formula>
    </cfRule>
    <cfRule type="cellIs" dxfId="4504" priority="16" operator="lessThanOrEqual">
      <formula>-0.03</formula>
    </cfRule>
  </conditionalFormatting>
  <conditionalFormatting sqref="AS11:AU22">
    <cfRule type="cellIs" dxfId="4503" priority="19" operator="greaterThanOrEqual">
      <formula>0.03</formula>
    </cfRule>
    <cfRule type="cellIs" dxfId="4502" priority="20" operator="lessThanOrEqual">
      <formula>-0.03</formula>
    </cfRule>
  </conditionalFormatting>
  <conditionalFormatting sqref="AS5:AU10">
    <cfRule type="cellIs" dxfId="4501" priority="17" operator="greaterThanOrEqual">
      <formula>0.03</formula>
    </cfRule>
    <cfRule type="cellIs" dxfId="4500" priority="18" operator="lessThanOrEqual">
      <formula>-0.03</formula>
    </cfRule>
  </conditionalFormatting>
  <conditionalFormatting sqref="AP41:AP46">
    <cfRule type="cellIs" dxfId="4499" priority="13" operator="greaterThanOrEqual">
      <formula>0.03</formula>
    </cfRule>
    <cfRule type="cellIs" dxfId="4498" priority="14" operator="lessThanOrEqual">
      <formula>-0.03</formula>
    </cfRule>
  </conditionalFormatting>
  <conditionalFormatting sqref="AV41:AV46">
    <cfRule type="cellIs" dxfId="4497" priority="11" operator="greaterThanOrEqual">
      <formula>0.03</formula>
    </cfRule>
    <cfRule type="cellIs" dxfId="4496" priority="12" operator="lessThanOrEqual">
      <formula>-0.03</formula>
    </cfRule>
  </conditionalFormatting>
  <conditionalFormatting sqref="AP47:AP52">
    <cfRule type="cellIs" dxfId="4495" priority="9" operator="greaterThanOrEqual">
      <formula>0.03</formula>
    </cfRule>
    <cfRule type="cellIs" dxfId="4494" priority="10" operator="lessThanOrEqual">
      <formula>-0.03</formula>
    </cfRule>
  </conditionalFormatting>
  <conditionalFormatting sqref="AV47:AV52">
    <cfRule type="cellIs" dxfId="4493" priority="7" operator="greaterThanOrEqual">
      <formula>0.03</formula>
    </cfRule>
    <cfRule type="cellIs" dxfId="4492" priority="8" operator="lessThanOrEqual">
      <formula>-0.03</formula>
    </cfRule>
  </conditionalFormatting>
  <conditionalFormatting sqref="AP53:AP82">
    <cfRule type="cellIs" dxfId="4491" priority="5" operator="greaterThanOrEqual">
      <formula>0.03</formula>
    </cfRule>
    <cfRule type="cellIs" dxfId="4490" priority="6" operator="lessThanOrEqual">
      <formula>-0.03</formula>
    </cfRule>
  </conditionalFormatting>
  <conditionalFormatting sqref="AV53:AV82">
    <cfRule type="cellIs" dxfId="4489" priority="3" operator="greaterThanOrEqual">
      <formula>0.03</formula>
    </cfRule>
    <cfRule type="cellIs" dxfId="4488" priority="4" operator="lessThanOrEqual">
      <formula>-0.03</formula>
    </cfRule>
  </conditionalFormatting>
  <conditionalFormatting sqref="AS28:AU28">
    <cfRule type="cellIs" dxfId="4487" priority="1" operator="greaterThanOrEqual">
      <formula>0.03</formula>
    </cfRule>
    <cfRule type="cellIs" dxfId="4486" priority="2" operator="lessThanOrEqual">
      <formula>-0.03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CG148"/>
  <sheetViews>
    <sheetView workbookViewId="0">
      <pane xSplit="2" ySplit="4" topLeftCell="AU5" activePane="bottomRight" state="frozen"/>
      <selection pane="topRight" activeCell="C1" sqref="C1"/>
      <selection pane="bottomLeft" activeCell="A5" sqref="A5"/>
      <selection pane="bottomRight" activeCell="AJ5" sqref="AJ5:AT136"/>
    </sheetView>
  </sheetViews>
  <sheetFormatPr defaultColWidth="8.875" defaultRowHeight="13.5" outlineLevelRow="2"/>
  <cols>
    <col min="2" max="2" width="24.875" customWidth="1"/>
    <col min="4" max="5" width="10.875" customWidth="1"/>
    <col min="8" max="8" width="1.875" style="251" customWidth="1"/>
    <col min="10" max="12" width="10.875" customWidth="1"/>
    <col min="13" max="13" width="11.875" customWidth="1"/>
    <col min="14" max="14" width="12.875" customWidth="1"/>
    <col min="15" max="15" width="10.875" customWidth="1"/>
    <col min="16" max="19" width="12.875" customWidth="1"/>
    <col min="20" max="20" width="10.875" customWidth="1"/>
    <col min="21" max="22" width="11.875" customWidth="1"/>
    <col min="23" max="23" width="13.125" customWidth="1"/>
    <col min="24" max="28" width="9.125" customWidth="1"/>
    <col min="29" max="29" width="1.875" customWidth="1"/>
    <col min="30" max="30" width="9.125" customWidth="1"/>
    <col min="31" max="33" width="10.875" customWidth="1"/>
    <col min="34" max="34" width="11.875" customWidth="1"/>
    <col min="35" max="35" width="12.875" customWidth="1"/>
    <col min="36" max="36" width="10.875" customWidth="1"/>
    <col min="37" max="40" width="12.875" customWidth="1"/>
    <col min="41" max="44" width="11.875" customWidth="1"/>
    <col min="50" max="50" width="1.875" customWidth="1"/>
    <col min="55" max="55" width="1.875" customWidth="1"/>
    <col min="56" max="59" width="11.875" customWidth="1"/>
    <col min="60" max="60" width="1.875" customWidth="1"/>
    <col min="61" max="64" width="11.875" customWidth="1"/>
    <col min="65" max="65" width="1.875" customWidth="1"/>
    <col min="66" max="69" width="11.875" style="1" customWidth="1"/>
    <col min="70" max="70" width="1.875" style="1" customWidth="1"/>
    <col min="71" max="74" width="11.875" style="1" customWidth="1"/>
    <col min="75" max="75" width="1.875" style="1" customWidth="1"/>
    <col min="76" max="79" width="11.875" style="1" customWidth="1"/>
    <col min="80" max="80" width="1.875" style="1" customWidth="1"/>
    <col min="81" max="84" width="11.875" style="1" customWidth="1"/>
    <col min="85" max="85" width="1.875" style="1" customWidth="1"/>
  </cols>
  <sheetData>
    <row r="1" spans="1:84" ht="14.25" thickBot="1">
      <c r="A1" s="734" t="s">
        <v>184</v>
      </c>
      <c r="B1" s="735"/>
      <c r="C1" s="735"/>
      <c r="D1" s="735"/>
      <c r="E1" s="735"/>
      <c r="F1" s="735"/>
      <c r="G1" s="736"/>
      <c r="I1" s="705" t="str">
        <f>Summary!C1</f>
        <v>pcrm-dev-3.2-attr-ccp</v>
      </c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6"/>
      <c r="U1" s="706"/>
      <c r="V1" s="706"/>
      <c r="W1" s="706"/>
      <c r="X1" s="706"/>
      <c r="Y1" s="706"/>
      <c r="Z1" s="706"/>
      <c r="AA1" s="706"/>
      <c r="AB1" s="707"/>
      <c r="AD1" s="708" t="str">
        <f>Summary!C2</f>
        <v>pcrm-dev-3.3-attr-cache-impr</v>
      </c>
      <c r="AE1" s="623"/>
      <c r="AF1" s="623"/>
      <c r="AG1" s="623"/>
      <c r="AH1" s="623"/>
      <c r="AI1" s="623"/>
      <c r="AJ1" s="623"/>
      <c r="AK1" s="623"/>
      <c r="AL1" s="623"/>
      <c r="AM1" s="623"/>
      <c r="AN1" s="623"/>
      <c r="AO1" s="623"/>
      <c r="AP1" s="623"/>
      <c r="AQ1" s="623"/>
      <c r="AR1" s="623"/>
      <c r="AS1" s="623"/>
      <c r="AT1" s="623"/>
      <c r="AU1" s="623"/>
      <c r="AV1" s="623"/>
      <c r="AW1" s="624"/>
      <c r="BD1" s="755" t="s">
        <v>808</v>
      </c>
      <c r="BE1" s="756"/>
      <c r="BF1" s="756"/>
      <c r="BG1" s="756"/>
      <c r="BI1" s="755" t="s">
        <v>808</v>
      </c>
      <c r="BJ1" s="756"/>
      <c r="BK1" s="756"/>
      <c r="BL1" s="756"/>
      <c r="BN1" s="755" t="s">
        <v>811</v>
      </c>
      <c r="BO1" s="756"/>
      <c r="BP1" s="756"/>
      <c r="BQ1" s="756"/>
      <c r="BS1" s="755" t="s">
        <v>806</v>
      </c>
      <c r="BT1" s="756"/>
      <c r="BU1" s="756"/>
      <c r="BV1" s="756"/>
      <c r="BX1" s="755" t="s">
        <v>807</v>
      </c>
      <c r="BY1" s="756"/>
      <c r="BZ1" s="756"/>
      <c r="CA1" s="756"/>
      <c r="CC1" s="755" t="s">
        <v>807</v>
      </c>
      <c r="CD1" s="756"/>
      <c r="CE1" s="756"/>
      <c r="CF1" s="756"/>
    </row>
    <row r="2" spans="1:84" ht="30" customHeight="1" thickBot="1">
      <c r="A2" s="753" t="s">
        <v>48</v>
      </c>
      <c r="B2" s="749" t="s">
        <v>50</v>
      </c>
      <c r="C2" s="749" t="s">
        <v>52</v>
      </c>
      <c r="D2" s="749" t="s">
        <v>54</v>
      </c>
      <c r="E2" s="749" t="s">
        <v>56</v>
      </c>
      <c r="F2" s="749" t="s">
        <v>58</v>
      </c>
      <c r="G2" s="751" t="s">
        <v>60</v>
      </c>
      <c r="I2" s="725" t="s">
        <v>62</v>
      </c>
      <c r="J2" s="715" t="s">
        <v>64</v>
      </c>
      <c r="K2" s="715"/>
      <c r="L2" s="715"/>
      <c r="M2" s="715"/>
      <c r="N2" s="715" t="s">
        <v>484</v>
      </c>
      <c r="O2" s="715" t="s">
        <v>14</v>
      </c>
      <c r="P2" s="715" t="s">
        <v>75</v>
      </c>
      <c r="Q2" s="715"/>
      <c r="R2" s="715"/>
      <c r="S2" s="715"/>
      <c r="T2" s="715" t="s">
        <v>490</v>
      </c>
      <c r="U2" s="715"/>
      <c r="V2" s="715"/>
      <c r="W2" s="715"/>
      <c r="X2" s="715" t="s">
        <v>88</v>
      </c>
      <c r="Y2" s="715" t="s">
        <v>90</v>
      </c>
      <c r="Z2" s="715" t="s">
        <v>92</v>
      </c>
      <c r="AA2" s="715" t="s">
        <v>94</v>
      </c>
      <c r="AB2" s="717" t="s">
        <v>11</v>
      </c>
      <c r="AD2" s="719" t="s">
        <v>62</v>
      </c>
      <c r="AE2" s="713" t="s">
        <v>64</v>
      </c>
      <c r="AF2" s="713"/>
      <c r="AG2" s="713"/>
      <c r="AH2" s="713"/>
      <c r="AI2" s="713" t="s">
        <v>485</v>
      </c>
      <c r="AJ2" s="713" t="s">
        <v>14</v>
      </c>
      <c r="AK2" s="713" t="s">
        <v>75</v>
      </c>
      <c r="AL2" s="713"/>
      <c r="AM2" s="713"/>
      <c r="AN2" s="713"/>
      <c r="AO2" s="713" t="s">
        <v>503</v>
      </c>
      <c r="AP2" s="713"/>
      <c r="AQ2" s="713"/>
      <c r="AR2" s="713"/>
      <c r="AS2" s="713" t="s">
        <v>486</v>
      </c>
      <c r="AT2" s="713" t="s">
        <v>492</v>
      </c>
      <c r="AU2" s="713" t="s">
        <v>92</v>
      </c>
      <c r="AV2" s="713" t="s">
        <v>94</v>
      </c>
      <c r="AW2" s="709" t="s">
        <v>11</v>
      </c>
      <c r="AY2" s="747" t="s">
        <v>117</v>
      </c>
      <c r="AZ2" s="737" t="s">
        <v>119</v>
      </c>
      <c r="BA2" s="737" t="s">
        <v>493</v>
      </c>
      <c r="BB2" s="739" t="s">
        <v>494</v>
      </c>
      <c r="BD2" s="741" t="s">
        <v>502</v>
      </c>
      <c r="BE2" s="742"/>
      <c r="BF2" s="742"/>
      <c r="BG2" s="743"/>
      <c r="BI2" s="744" t="s">
        <v>126</v>
      </c>
      <c r="BJ2" s="745"/>
      <c r="BK2" s="745"/>
      <c r="BL2" s="746"/>
      <c r="BN2" s="741" t="s">
        <v>502</v>
      </c>
      <c r="BO2" s="742"/>
      <c r="BP2" s="742"/>
      <c r="BQ2" s="743"/>
      <c r="BS2" s="744" t="s">
        <v>126</v>
      </c>
      <c r="BT2" s="745"/>
      <c r="BU2" s="745"/>
      <c r="BV2" s="746"/>
      <c r="BX2" s="741" t="s">
        <v>502</v>
      </c>
      <c r="BY2" s="742"/>
      <c r="BZ2" s="742"/>
      <c r="CA2" s="743"/>
      <c r="CC2" s="744" t="s">
        <v>126</v>
      </c>
      <c r="CD2" s="745"/>
      <c r="CE2" s="745"/>
      <c r="CF2" s="746"/>
    </row>
    <row r="3" spans="1:84" ht="27.75" thickBot="1">
      <c r="A3" s="754"/>
      <c r="B3" s="750"/>
      <c r="C3" s="750"/>
      <c r="D3" s="750"/>
      <c r="E3" s="750"/>
      <c r="F3" s="750"/>
      <c r="G3" s="752"/>
      <c r="I3" s="726"/>
      <c r="J3" s="229" t="s">
        <v>65</v>
      </c>
      <c r="K3" s="229" t="s">
        <v>67</v>
      </c>
      <c r="L3" s="229" t="s">
        <v>69</v>
      </c>
      <c r="M3" s="229" t="s">
        <v>71</v>
      </c>
      <c r="N3" s="716"/>
      <c r="O3" s="716"/>
      <c r="P3" s="229" t="s">
        <v>65</v>
      </c>
      <c r="Q3" s="229" t="s">
        <v>67</v>
      </c>
      <c r="R3" s="229" t="s">
        <v>78</v>
      </c>
      <c r="S3" s="229" t="s">
        <v>71</v>
      </c>
      <c r="T3" s="229" t="s">
        <v>81</v>
      </c>
      <c r="U3" s="229" t="s">
        <v>83</v>
      </c>
      <c r="V3" s="229" t="s">
        <v>85</v>
      </c>
      <c r="W3" s="229" t="s">
        <v>71</v>
      </c>
      <c r="X3" s="716"/>
      <c r="Y3" s="716"/>
      <c r="Z3" s="716"/>
      <c r="AA3" s="716"/>
      <c r="AB3" s="718"/>
      <c r="AD3" s="720"/>
      <c r="AE3" s="230" t="s">
        <v>65</v>
      </c>
      <c r="AF3" s="230" t="s">
        <v>67</v>
      </c>
      <c r="AG3" s="230" t="s">
        <v>69</v>
      </c>
      <c r="AH3" s="230" t="s">
        <v>71</v>
      </c>
      <c r="AI3" s="714"/>
      <c r="AJ3" s="714"/>
      <c r="AK3" s="230" t="s">
        <v>65</v>
      </c>
      <c r="AL3" s="230" t="s">
        <v>67</v>
      </c>
      <c r="AM3" s="230" t="s">
        <v>78</v>
      </c>
      <c r="AN3" s="230" t="s">
        <v>71</v>
      </c>
      <c r="AO3" s="230" t="s">
        <v>81</v>
      </c>
      <c r="AP3" s="230" t="s">
        <v>83</v>
      </c>
      <c r="AQ3" s="230" t="s">
        <v>85</v>
      </c>
      <c r="AR3" s="230" t="s">
        <v>71</v>
      </c>
      <c r="AS3" s="714"/>
      <c r="AT3" s="714"/>
      <c r="AU3" s="714"/>
      <c r="AV3" s="714"/>
      <c r="AW3" s="710"/>
      <c r="AY3" s="748"/>
      <c r="AZ3" s="738"/>
      <c r="BA3" s="738"/>
      <c r="BB3" s="740"/>
      <c r="BD3" s="71" t="s">
        <v>81</v>
      </c>
      <c r="BE3" s="72" t="s">
        <v>83</v>
      </c>
      <c r="BF3" s="72" t="s">
        <v>85</v>
      </c>
      <c r="BG3" s="73" t="s">
        <v>71</v>
      </c>
      <c r="BI3" s="111" t="s">
        <v>81</v>
      </c>
      <c r="BJ3" s="112" t="s">
        <v>83</v>
      </c>
      <c r="BK3" s="112" t="s">
        <v>85</v>
      </c>
      <c r="BL3" s="113" t="s">
        <v>71</v>
      </c>
      <c r="BN3" s="212" t="s">
        <v>81</v>
      </c>
      <c r="BO3" s="213" t="s">
        <v>83</v>
      </c>
      <c r="BP3" s="213" t="s">
        <v>85</v>
      </c>
      <c r="BQ3" s="214" t="s">
        <v>71</v>
      </c>
      <c r="BS3" s="111" t="s">
        <v>81</v>
      </c>
      <c r="BT3" s="112" t="s">
        <v>83</v>
      </c>
      <c r="BU3" s="112" t="s">
        <v>85</v>
      </c>
      <c r="BV3" s="113" t="s">
        <v>71</v>
      </c>
      <c r="BX3" s="212" t="s">
        <v>81</v>
      </c>
      <c r="BY3" s="213" t="s">
        <v>83</v>
      </c>
      <c r="BZ3" s="213" t="s">
        <v>85</v>
      </c>
      <c r="CA3" s="214" t="s">
        <v>71</v>
      </c>
      <c r="CC3" s="111" t="s">
        <v>81</v>
      </c>
      <c r="CD3" s="112" t="s">
        <v>83</v>
      </c>
      <c r="CE3" s="112" t="s">
        <v>85</v>
      </c>
      <c r="CF3" s="113" t="s">
        <v>71</v>
      </c>
    </row>
    <row r="4" spans="1:84" ht="14.45" hidden="1" customHeight="1" thickBot="1">
      <c r="A4" s="93" t="s">
        <v>49</v>
      </c>
      <c r="B4" s="94" t="s">
        <v>51</v>
      </c>
      <c r="C4" s="94" t="s">
        <v>53</v>
      </c>
      <c r="D4" s="94" t="s">
        <v>55</v>
      </c>
      <c r="E4" s="94" t="s">
        <v>57</v>
      </c>
      <c r="F4" s="94" t="s">
        <v>59</v>
      </c>
      <c r="G4" s="95" t="s">
        <v>61</v>
      </c>
      <c r="I4" s="93" t="s">
        <v>63</v>
      </c>
      <c r="J4" s="94" t="s">
        <v>66</v>
      </c>
      <c r="K4" s="94" t="s">
        <v>68</v>
      </c>
      <c r="L4" s="94" t="s">
        <v>70</v>
      </c>
      <c r="M4" s="94" t="s">
        <v>72</v>
      </c>
      <c r="N4" s="94" t="s">
        <v>73</v>
      </c>
      <c r="O4" s="94" t="s">
        <v>74</v>
      </c>
      <c r="P4" s="94" t="s">
        <v>76</v>
      </c>
      <c r="Q4" s="94" t="s">
        <v>77</v>
      </c>
      <c r="R4" s="94" t="s">
        <v>79</v>
      </c>
      <c r="S4" s="94" t="s">
        <v>80</v>
      </c>
      <c r="T4" s="94" t="s">
        <v>82</v>
      </c>
      <c r="U4" s="94" t="s">
        <v>84</v>
      </c>
      <c r="V4" s="94" t="s">
        <v>86</v>
      </c>
      <c r="W4" s="94" t="s">
        <v>87</v>
      </c>
      <c r="X4" s="94" t="s">
        <v>89</v>
      </c>
      <c r="Y4" s="94" t="s">
        <v>91</v>
      </c>
      <c r="Z4" s="94" t="s">
        <v>93</v>
      </c>
      <c r="AA4" s="94" t="s">
        <v>95</v>
      </c>
      <c r="AB4" s="95" t="s">
        <v>96</v>
      </c>
      <c r="AD4" s="93" t="s">
        <v>97</v>
      </c>
      <c r="AE4" s="94" t="s">
        <v>98</v>
      </c>
      <c r="AF4" s="94" t="s">
        <v>99</v>
      </c>
      <c r="AG4" s="94" t="s">
        <v>100</v>
      </c>
      <c r="AH4" s="94" t="s">
        <v>101</v>
      </c>
      <c r="AI4" s="94" t="s">
        <v>102</v>
      </c>
      <c r="AJ4" s="94" t="s">
        <v>103</v>
      </c>
      <c r="AK4" s="94" t="s">
        <v>104</v>
      </c>
      <c r="AL4" s="94" t="s">
        <v>105</v>
      </c>
      <c r="AM4" s="94" t="s">
        <v>106</v>
      </c>
      <c r="AN4" s="94" t="s">
        <v>107</v>
      </c>
      <c r="AO4" s="94" t="s">
        <v>108</v>
      </c>
      <c r="AP4" s="94" t="s">
        <v>109</v>
      </c>
      <c r="AQ4" s="94" t="s">
        <v>110</v>
      </c>
      <c r="AR4" s="94" t="s">
        <v>111</v>
      </c>
      <c r="AS4" s="94" t="s">
        <v>112</v>
      </c>
      <c r="AT4" s="94" t="s">
        <v>113</v>
      </c>
      <c r="AU4" s="94" t="s">
        <v>114</v>
      </c>
      <c r="AV4" s="94" t="s">
        <v>115</v>
      </c>
      <c r="AW4" s="95" t="s">
        <v>116</v>
      </c>
      <c r="AY4" s="93" t="s">
        <v>118</v>
      </c>
      <c r="AZ4" s="94" t="s">
        <v>120</v>
      </c>
      <c r="BA4" s="94" t="s">
        <v>507</v>
      </c>
      <c r="BB4" s="95" t="s">
        <v>508</v>
      </c>
      <c r="BD4" s="100" t="s">
        <v>122</v>
      </c>
      <c r="BE4" s="101" t="s">
        <v>123</v>
      </c>
      <c r="BF4" s="101" t="s">
        <v>124</v>
      </c>
      <c r="BG4" s="102" t="s">
        <v>125</v>
      </c>
      <c r="BI4" s="93" t="s">
        <v>127</v>
      </c>
      <c r="BJ4" s="94" t="s">
        <v>128</v>
      </c>
      <c r="BK4" s="94" t="s">
        <v>129</v>
      </c>
      <c r="BL4" s="95" t="s">
        <v>130</v>
      </c>
      <c r="BN4" s="100" t="s">
        <v>122</v>
      </c>
      <c r="BO4" s="101" t="s">
        <v>123</v>
      </c>
      <c r="BP4" s="101" t="s">
        <v>124</v>
      </c>
      <c r="BQ4" s="102" t="s">
        <v>125</v>
      </c>
      <c r="BS4" s="93" t="s">
        <v>127</v>
      </c>
      <c r="BT4" s="94" t="s">
        <v>128</v>
      </c>
      <c r="BU4" s="94" t="s">
        <v>129</v>
      </c>
      <c r="BV4" s="95" t="s">
        <v>130</v>
      </c>
      <c r="BX4" s="100" t="s">
        <v>122</v>
      </c>
      <c r="BY4" s="101" t="s">
        <v>123</v>
      </c>
      <c r="BZ4" s="101" t="s">
        <v>124</v>
      </c>
      <c r="CA4" s="102" t="s">
        <v>125</v>
      </c>
      <c r="CC4" s="93" t="s">
        <v>127</v>
      </c>
      <c r="CD4" s="94" t="s">
        <v>128</v>
      </c>
      <c r="CE4" s="94" t="s">
        <v>129</v>
      </c>
      <c r="CF4" s="95" t="s">
        <v>130</v>
      </c>
    </row>
    <row r="5" spans="1:84" s="1" customFormat="1">
      <c r="A5" s="96" t="s">
        <v>1140</v>
      </c>
      <c r="B5" s="290" t="s">
        <v>983</v>
      </c>
      <c r="C5" s="28" t="s">
        <v>131</v>
      </c>
      <c r="D5" s="300">
        <v>9378695</v>
      </c>
      <c r="E5" s="299">
        <v>17</v>
      </c>
      <c r="F5" s="299">
        <v>1</v>
      </c>
      <c r="G5" s="29"/>
      <c r="H5" s="251"/>
      <c r="I5" s="46" t="str">
        <f t="shared" ref="I5:I22" si="0">IF(OR(ISBLANK(P5),ISBLANK(G5)),"·",P5*G5/F5/1000000)</f>
        <v>·</v>
      </c>
      <c r="J5" s="47">
        <f t="shared" ref="J5:J22" si="1">IF(ISBLANK(P5),"·",P5/D5)</f>
        <v>18.395946131098196</v>
      </c>
      <c r="K5" s="47">
        <f t="shared" ref="K5:K22" si="2">IF(Q5="","·",Q5/D5)</f>
        <v>15.231585204551379</v>
      </c>
      <c r="L5" s="92"/>
      <c r="M5" s="47">
        <f t="shared" ref="M5:M22" si="3">IF(ISBLANK(Q5),"·",S5/D5)</f>
        <v>3.1642867157957477</v>
      </c>
      <c r="N5" s="47">
        <f t="shared" ref="N5:N22" si="4">IF(ISBLANK(P5),"·",P5/O5)</f>
        <v>18.395946131098196</v>
      </c>
      <c r="O5" s="520">
        <v>9378695</v>
      </c>
      <c r="P5" s="502">
        <v>172529968</v>
      </c>
      <c r="Q5" s="353">
        <v>142852392</v>
      </c>
      <c r="R5" s="92"/>
      <c r="S5" s="546">
        <v>29676880</v>
      </c>
      <c r="T5" s="266"/>
      <c r="U5" s="104"/>
      <c r="V5" s="104"/>
      <c r="W5" s="514">
        <v>70.997748999999999</v>
      </c>
      <c r="X5" s="506"/>
      <c r="Y5" s="355"/>
      <c r="Z5" s="572">
        <v>0</v>
      </c>
      <c r="AA5" s="572">
        <v>0</v>
      </c>
      <c r="AB5" s="49"/>
      <c r="AD5" s="46">
        <v>0</v>
      </c>
      <c r="AE5" s="47">
        <f>IF(ISBLANK(AK5),"·",AK5/D5)</f>
        <v>18.395946131098196</v>
      </c>
      <c r="AF5" s="47">
        <f t="shared" ref="AF5" si="5">IF(AL5="","·",AL5/D5)</f>
        <v>15.231585204551379</v>
      </c>
      <c r="AG5" s="92" t="str">
        <f>IF(ISBLANK(AM5),"·",AM5/D5)</f>
        <v>·</v>
      </c>
      <c r="AH5" s="47">
        <f>IF(ISBLANK(AN5),"·",AN5/D5)</f>
        <v>3.1642867157957477</v>
      </c>
      <c r="AI5" s="47">
        <f>IF(ISBLANK(AK5),"·",AK5/AJ5)</f>
        <v>18.395946131098196</v>
      </c>
      <c r="AJ5" s="520">
        <v>9378695</v>
      </c>
      <c r="AK5" s="502">
        <v>172529968</v>
      </c>
      <c r="AL5" s="353">
        <v>142852392</v>
      </c>
      <c r="AM5" s="92"/>
      <c r="AN5" s="546">
        <v>29676880</v>
      </c>
      <c r="AO5" s="266"/>
      <c r="AP5" s="104"/>
      <c r="AQ5" s="104"/>
      <c r="AR5" s="514">
        <v>70.997748999999999</v>
      </c>
      <c r="AS5" s="506">
        <v>32.378</v>
      </c>
      <c r="AT5" s="355">
        <v>23.378</v>
      </c>
      <c r="AU5" s="572">
        <v>0</v>
      </c>
      <c r="AV5" s="572">
        <v>0</v>
      </c>
      <c r="AW5" s="49"/>
      <c r="AY5" s="68" t="e">
        <f t="shared" ref="AY5:AY22" si="6">AU5/Z5</f>
        <v>#DIV/0!</v>
      </c>
      <c r="AZ5" s="69" t="e">
        <f t="shared" ref="AZ5:AZ22" si="7">AV5/AA5</f>
        <v>#DIV/0!</v>
      </c>
      <c r="BA5" s="69">
        <f t="shared" ref="BA5:BA22" si="8">(AL5/AK5) - (Q5/P5)</f>
        <v>0</v>
      </c>
      <c r="BB5" s="70">
        <f t="array" ref="BB5">AVERAGE(AL5:AL10/AK5:AK10) - AVERAGE(Q5:Q10/P5:P10)</f>
        <v>0</v>
      </c>
      <c r="BD5" s="103"/>
      <c r="BE5" s="104"/>
      <c r="BF5" s="104"/>
      <c r="BG5" s="86">
        <f>IF( OR(ISBLANK($S5:$S10),ISBLANK($AN5:$AN10), ISBLANK($W5:$W10),ISBLANK($AR5:$AR10)), "·", bdRateHermite( $S5:$S10,$W5:$W10, $AN5:$AN10,$AR5:$AR10))</f>
        <v>0</v>
      </c>
      <c r="BI5" s="103"/>
      <c r="BJ5" s="104"/>
      <c r="BK5" s="104"/>
      <c r="BL5" s="85">
        <f>IF(OR(ISBLANK($P5:$P10),ISBLANK($AK5:$AK10),ISBLANK($W5:$W10),ISBLANK($AR5:$AR10)),"·",bdRateHermite($P5:$P10,$W5:$W10,$AK5:$AK10,$AR5:$AR10))</f>
        <v>0</v>
      </c>
      <c r="BN5" s="103"/>
      <c r="BO5" s="104"/>
      <c r="BP5" s="104"/>
      <c r="BQ5" s="86">
        <f>IF( OR(ISBLANK($S5:$S10),ISBLANK($AN5:$AN10), ISBLANK($W5:$W10),ISBLANK($AR5:$AR10)), "·", bdRateHermite( $S6:$S10,$W6:$W10, $AN6:$AN10,$AR6:$AR10))</f>
        <v>0</v>
      </c>
      <c r="BS5" s="103"/>
      <c r="BT5" s="104"/>
      <c r="BU5" s="104"/>
      <c r="BV5" s="85">
        <f>IF(OR(ISBLANK($P5:$P10),ISBLANK($AK5:$AK10),ISBLANK($W5:$W10),ISBLANK($AR5:$AR10)),"·",bdRateHermite($P6:$P10,$W6:$W10,$AK6:$AK10,$AR6:$AR10))</f>
        <v>0</v>
      </c>
      <c r="BX5" s="103"/>
      <c r="BY5" s="104"/>
      <c r="BZ5" s="104"/>
      <c r="CA5" s="86">
        <f>IF( OR(ISBLANK($S5:$S9),ISBLANK($AN5:$AN9), ISBLANK($W5:$W9),ISBLANK($AR5:$AR9)), "·", bdRateHermite( $S5:$S9,$W5:$W9, $AN5:$AN9,$AR5:$AR9))</f>
        <v>0</v>
      </c>
      <c r="CC5" s="103"/>
      <c r="CD5" s="104"/>
      <c r="CE5" s="104"/>
      <c r="CF5" s="85">
        <f>IF(OR(ISBLANK($P5:$P9),ISBLANK($AK5:$AK9),ISBLANK($W5:$W9),ISBLANK($AR5:$AR9)),"·",bdRateHermite($P5:$P9,$W5:$W9,$AK5:$AK9,$AR5:$AR9))</f>
        <v>0</v>
      </c>
    </row>
    <row r="6" spans="1:84" s="1" customFormat="1" outlineLevel="1">
      <c r="A6" s="13"/>
      <c r="B6" s="291" t="s">
        <v>983</v>
      </c>
      <c r="C6" s="15" t="s">
        <v>132</v>
      </c>
      <c r="D6" s="300">
        <v>9378695</v>
      </c>
      <c r="E6" s="299">
        <v>17</v>
      </c>
      <c r="F6" s="299">
        <v>1</v>
      </c>
      <c r="G6" s="16"/>
      <c r="H6" s="251"/>
      <c r="I6" s="30" t="str">
        <f t="shared" si="0"/>
        <v>·</v>
      </c>
      <c r="J6" s="31">
        <f t="shared" si="1"/>
        <v>19.557640375340068</v>
      </c>
      <c r="K6" s="31">
        <f t="shared" si="2"/>
        <v>15.231585204551379</v>
      </c>
      <c r="L6" s="87"/>
      <c r="M6" s="31">
        <f t="shared" si="3"/>
        <v>4.3259809600376169</v>
      </c>
      <c r="N6" s="31">
        <f t="shared" si="4"/>
        <v>19.557640375340068</v>
      </c>
      <c r="O6" s="521">
        <v>9378695</v>
      </c>
      <c r="P6" s="503">
        <v>183425144</v>
      </c>
      <c r="Q6" s="357">
        <v>142852392</v>
      </c>
      <c r="R6" s="87"/>
      <c r="S6" s="547">
        <v>40572056</v>
      </c>
      <c r="T6" s="267"/>
      <c r="U6" s="106"/>
      <c r="V6" s="106"/>
      <c r="W6" s="515">
        <v>77.007507000000004</v>
      </c>
      <c r="X6" s="507"/>
      <c r="Y6" s="359"/>
      <c r="Z6" s="573">
        <v>0</v>
      </c>
      <c r="AA6" s="573">
        <v>0</v>
      </c>
      <c r="AB6" s="33"/>
      <c r="AD6" s="30">
        <v>0</v>
      </c>
      <c r="AE6" s="31">
        <f t="shared" ref="AE6:AE69" si="9">IF(ISBLANK(AK6),"·",AK6/D6)</f>
        <v>19.557640375340068</v>
      </c>
      <c r="AF6" s="31">
        <f t="shared" ref="AF6:AF69" si="10">IF(AL6="","·",AL6/D6)</f>
        <v>15.231585204551379</v>
      </c>
      <c r="AG6" s="87" t="str">
        <f t="shared" ref="AG6:AG69" si="11">IF(ISBLANK(AM6),"·",AM6/D6)</f>
        <v>·</v>
      </c>
      <c r="AH6" s="31">
        <f t="shared" ref="AH6:AH69" si="12">IF(ISBLANK(AN6),"·",AN6/D6)</f>
        <v>4.3259809600376169</v>
      </c>
      <c r="AI6" s="31">
        <f t="shared" ref="AI6:AI69" si="13">IF(ISBLANK(AK6),"·",AK6/AJ6)</f>
        <v>19.557640375340068</v>
      </c>
      <c r="AJ6" s="521">
        <v>9378695</v>
      </c>
      <c r="AK6" s="503">
        <v>183425144</v>
      </c>
      <c r="AL6" s="357">
        <v>142852392</v>
      </c>
      <c r="AM6" s="87"/>
      <c r="AN6" s="547">
        <v>40572056</v>
      </c>
      <c r="AO6" s="267"/>
      <c r="AP6" s="106"/>
      <c r="AQ6" s="106"/>
      <c r="AR6" s="515">
        <v>77.007507000000004</v>
      </c>
      <c r="AS6" s="507">
        <v>35.237000000000002</v>
      </c>
      <c r="AT6" s="359">
        <v>24.707999999999998</v>
      </c>
      <c r="AU6" s="573">
        <v>0</v>
      </c>
      <c r="AV6" s="573">
        <v>0</v>
      </c>
      <c r="AW6" s="33"/>
      <c r="AY6" s="56" t="e">
        <f t="shared" si="6"/>
        <v>#DIV/0!</v>
      </c>
      <c r="AZ6" s="57" t="e">
        <f t="shared" si="7"/>
        <v>#DIV/0!</v>
      </c>
      <c r="BA6" s="57">
        <f t="shared" si="8"/>
        <v>0</v>
      </c>
      <c r="BB6" s="58"/>
      <c r="BD6" s="105"/>
      <c r="BE6" s="106"/>
      <c r="BF6" s="106"/>
      <c r="BG6" s="76"/>
      <c r="BI6" s="105"/>
      <c r="BJ6" s="106"/>
      <c r="BK6" s="106"/>
      <c r="BL6" s="76"/>
      <c r="BN6" s="105"/>
      <c r="BO6" s="106"/>
      <c r="BP6" s="106"/>
      <c r="BQ6" s="76"/>
      <c r="BS6" s="105"/>
      <c r="BT6" s="106"/>
      <c r="BU6" s="106"/>
      <c r="BV6" s="76"/>
      <c r="BX6" s="105"/>
      <c r="BY6" s="106"/>
      <c r="BZ6" s="106"/>
      <c r="CA6" s="76"/>
      <c r="CC6" s="105"/>
      <c r="CD6" s="106"/>
      <c r="CE6" s="106"/>
      <c r="CF6" s="76"/>
    </row>
    <row r="7" spans="1:84" s="1" customFormat="1" outlineLevel="1">
      <c r="A7" s="13"/>
      <c r="B7" s="291" t="s">
        <v>983</v>
      </c>
      <c r="C7" s="15" t="s">
        <v>133</v>
      </c>
      <c r="D7" s="300">
        <v>9378695</v>
      </c>
      <c r="E7" s="299">
        <v>17</v>
      </c>
      <c r="F7" s="299">
        <v>1</v>
      </c>
      <c r="G7" s="16"/>
      <c r="H7" s="251"/>
      <c r="I7" s="30" t="str">
        <f t="shared" si="0"/>
        <v>·</v>
      </c>
      <c r="J7" s="31">
        <f t="shared" si="1"/>
        <v>20.950519875099893</v>
      </c>
      <c r="K7" s="31">
        <f t="shared" si="2"/>
        <v>15.231585204551379</v>
      </c>
      <c r="L7" s="87"/>
      <c r="M7" s="31">
        <f t="shared" si="3"/>
        <v>5.7188604597974448</v>
      </c>
      <c r="N7" s="31">
        <f t="shared" si="4"/>
        <v>20.950519875099893</v>
      </c>
      <c r="O7" s="521">
        <v>9378695</v>
      </c>
      <c r="P7" s="503">
        <v>196488536</v>
      </c>
      <c r="Q7" s="357">
        <v>142852392</v>
      </c>
      <c r="R7" s="87"/>
      <c r="S7" s="547">
        <v>53635448</v>
      </c>
      <c r="T7" s="267"/>
      <c r="U7" s="106"/>
      <c r="V7" s="106"/>
      <c r="W7" s="515">
        <v>83.005607999999995</v>
      </c>
      <c r="X7" s="507"/>
      <c r="Y7" s="359"/>
      <c r="Z7" s="573">
        <v>0</v>
      </c>
      <c r="AA7" s="573">
        <v>0</v>
      </c>
      <c r="AB7" s="33"/>
      <c r="AD7" s="30">
        <v>0</v>
      </c>
      <c r="AE7" s="31">
        <f t="shared" si="9"/>
        <v>20.950519875099893</v>
      </c>
      <c r="AF7" s="31">
        <f t="shared" si="10"/>
        <v>15.231585204551379</v>
      </c>
      <c r="AG7" s="87" t="str">
        <f t="shared" si="11"/>
        <v>·</v>
      </c>
      <c r="AH7" s="31">
        <f t="shared" si="12"/>
        <v>5.7188604597974448</v>
      </c>
      <c r="AI7" s="31">
        <f t="shared" si="13"/>
        <v>20.950519875099893</v>
      </c>
      <c r="AJ7" s="521">
        <v>9378695</v>
      </c>
      <c r="AK7" s="503">
        <v>196488536</v>
      </c>
      <c r="AL7" s="357">
        <v>142852392</v>
      </c>
      <c r="AM7" s="87"/>
      <c r="AN7" s="547">
        <v>53635448</v>
      </c>
      <c r="AO7" s="267"/>
      <c r="AP7" s="106"/>
      <c r="AQ7" s="106"/>
      <c r="AR7" s="515">
        <v>83.005607999999995</v>
      </c>
      <c r="AS7" s="507">
        <v>32.816000000000003</v>
      </c>
      <c r="AT7" s="359">
        <v>23.416</v>
      </c>
      <c r="AU7" s="573">
        <v>0</v>
      </c>
      <c r="AV7" s="573">
        <v>0</v>
      </c>
      <c r="AW7" s="33"/>
      <c r="AY7" s="56" t="e">
        <f t="shared" si="6"/>
        <v>#DIV/0!</v>
      </c>
      <c r="AZ7" s="57" t="e">
        <f t="shared" si="7"/>
        <v>#DIV/0!</v>
      </c>
      <c r="BA7" s="57">
        <f t="shared" si="8"/>
        <v>0</v>
      </c>
      <c r="BB7" s="58"/>
      <c r="BD7" s="105"/>
      <c r="BE7" s="106"/>
      <c r="BF7" s="106"/>
      <c r="BG7" s="76"/>
      <c r="BI7" s="105"/>
      <c r="BJ7" s="106"/>
      <c r="BK7" s="106"/>
      <c r="BL7" s="76"/>
      <c r="BN7" s="105"/>
      <c r="BO7" s="106"/>
      <c r="BP7" s="106"/>
      <c r="BQ7" s="76"/>
      <c r="BS7" s="105"/>
      <c r="BT7" s="106"/>
      <c r="BU7" s="106"/>
      <c r="BV7" s="76"/>
      <c r="BX7" s="105"/>
      <c r="BY7" s="106"/>
      <c r="BZ7" s="106"/>
      <c r="CA7" s="76"/>
      <c r="CC7" s="105"/>
      <c r="CD7" s="106"/>
      <c r="CE7" s="106"/>
      <c r="CF7" s="76"/>
    </row>
    <row r="8" spans="1:84" s="1" customFormat="1" outlineLevel="1">
      <c r="A8" s="13"/>
      <c r="B8" s="291" t="s">
        <v>983</v>
      </c>
      <c r="C8" s="15" t="s">
        <v>134</v>
      </c>
      <c r="D8" s="300">
        <v>9378695</v>
      </c>
      <c r="E8" s="299">
        <v>17</v>
      </c>
      <c r="F8" s="299">
        <v>1</v>
      </c>
      <c r="G8" s="16"/>
      <c r="H8" s="251"/>
      <c r="I8" s="30" t="str">
        <f t="shared" si="0"/>
        <v>·</v>
      </c>
      <c r="J8" s="31">
        <f t="shared" si="1"/>
        <v>22.585188237809206</v>
      </c>
      <c r="K8" s="31">
        <f t="shared" si="2"/>
        <v>15.231585204551379</v>
      </c>
      <c r="L8" s="87"/>
      <c r="M8" s="31">
        <f t="shared" si="3"/>
        <v>7.3535296755038946</v>
      </c>
      <c r="N8" s="31">
        <f t="shared" si="4"/>
        <v>22.585188237809206</v>
      </c>
      <c r="O8" s="521">
        <v>9378695</v>
      </c>
      <c r="P8" s="503">
        <v>211819592</v>
      </c>
      <c r="Q8" s="357">
        <v>142852392</v>
      </c>
      <c r="R8" s="87"/>
      <c r="S8" s="547">
        <v>68966512</v>
      </c>
      <c r="T8" s="267"/>
      <c r="U8" s="106"/>
      <c r="V8" s="106"/>
      <c r="W8" s="515">
        <v>88.925278000000006</v>
      </c>
      <c r="X8" s="507"/>
      <c r="Y8" s="359"/>
      <c r="Z8" s="573">
        <v>0</v>
      </c>
      <c r="AA8" s="573">
        <v>0</v>
      </c>
      <c r="AB8" s="33"/>
      <c r="AD8" s="30">
        <v>0</v>
      </c>
      <c r="AE8" s="31">
        <f t="shared" si="9"/>
        <v>22.585188237809206</v>
      </c>
      <c r="AF8" s="31">
        <f t="shared" si="10"/>
        <v>15.231585204551379</v>
      </c>
      <c r="AG8" s="87" t="str">
        <f t="shared" si="11"/>
        <v>·</v>
      </c>
      <c r="AH8" s="31">
        <f t="shared" si="12"/>
        <v>7.3535296755038946</v>
      </c>
      <c r="AI8" s="31">
        <f t="shared" si="13"/>
        <v>22.585188237809206</v>
      </c>
      <c r="AJ8" s="521">
        <v>9378695</v>
      </c>
      <c r="AK8" s="503">
        <v>211819592</v>
      </c>
      <c r="AL8" s="357">
        <v>142852392</v>
      </c>
      <c r="AM8" s="87"/>
      <c r="AN8" s="547">
        <v>68966512</v>
      </c>
      <c r="AO8" s="267"/>
      <c r="AP8" s="106"/>
      <c r="AQ8" s="106"/>
      <c r="AR8" s="515">
        <v>88.925278000000006</v>
      </c>
      <c r="AS8" s="507">
        <v>32.534999999999997</v>
      </c>
      <c r="AT8" s="359">
        <v>23.178999999999998</v>
      </c>
      <c r="AU8" s="573">
        <v>0</v>
      </c>
      <c r="AV8" s="573">
        <v>0</v>
      </c>
      <c r="AW8" s="33"/>
      <c r="AY8" s="56" t="e">
        <f t="shared" si="6"/>
        <v>#DIV/0!</v>
      </c>
      <c r="AZ8" s="57" t="e">
        <f t="shared" si="7"/>
        <v>#DIV/0!</v>
      </c>
      <c r="BA8" s="57">
        <f t="shared" si="8"/>
        <v>0</v>
      </c>
      <c r="BB8" s="58"/>
      <c r="BD8" s="105"/>
      <c r="BE8" s="106"/>
      <c r="BF8" s="106"/>
      <c r="BG8" s="76"/>
      <c r="BI8" s="105"/>
      <c r="BJ8" s="106"/>
      <c r="BK8" s="106"/>
      <c r="BL8" s="76"/>
      <c r="BN8" s="105"/>
      <c r="BO8" s="106"/>
      <c r="BP8" s="106"/>
      <c r="BQ8" s="76"/>
      <c r="BS8" s="105"/>
      <c r="BT8" s="106"/>
      <c r="BU8" s="106"/>
      <c r="BV8" s="76"/>
      <c r="BX8" s="105"/>
      <c r="BY8" s="106"/>
      <c r="BZ8" s="106"/>
      <c r="CA8" s="76"/>
      <c r="CC8" s="105"/>
      <c r="CD8" s="106"/>
      <c r="CE8" s="106"/>
      <c r="CF8" s="76"/>
    </row>
    <row r="9" spans="1:84" s="1" customFormat="1" outlineLevel="1">
      <c r="A9" s="13"/>
      <c r="B9" s="291" t="s">
        <v>983</v>
      </c>
      <c r="C9" s="15" t="s">
        <v>135</v>
      </c>
      <c r="D9" s="300">
        <v>9378695</v>
      </c>
      <c r="E9" s="299">
        <v>17</v>
      </c>
      <c r="F9" s="299">
        <v>1</v>
      </c>
      <c r="G9" s="16"/>
      <c r="H9" s="251"/>
      <c r="I9" s="30" t="str">
        <f t="shared" si="0"/>
        <v>·</v>
      </c>
      <c r="J9" s="31">
        <f t="shared" si="1"/>
        <v>23.706683285894254</v>
      </c>
      <c r="K9" s="31">
        <f t="shared" si="2"/>
        <v>15.231585204551379</v>
      </c>
      <c r="L9" s="87"/>
      <c r="M9" s="31">
        <f t="shared" si="3"/>
        <v>8.4750247235889429</v>
      </c>
      <c r="N9" s="31">
        <f t="shared" si="4"/>
        <v>23.706683285894254</v>
      </c>
      <c r="O9" s="521">
        <v>9378695</v>
      </c>
      <c r="P9" s="503">
        <v>222337752</v>
      </c>
      <c r="Q9" s="357">
        <v>142852392</v>
      </c>
      <c r="R9" s="87"/>
      <c r="S9" s="547">
        <v>79484672</v>
      </c>
      <c r="T9" s="267"/>
      <c r="U9" s="106"/>
      <c r="V9" s="106"/>
      <c r="W9" s="515">
        <v>94.569305</v>
      </c>
      <c r="X9" s="507"/>
      <c r="Y9" s="359"/>
      <c r="Z9" s="573">
        <v>0</v>
      </c>
      <c r="AA9" s="573">
        <v>0</v>
      </c>
      <c r="AB9" s="33"/>
      <c r="AD9" s="30">
        <v>0</v>
      </c>
      <c r="AE9" s="31">
        <f t="shared" si="9"/>
        <v>23.706683285894254</v>
      </c>
      <c r="AF9" s="31">
        <f t="shared" si="10"/>
        <v>15.231585204551379</v>
      </c>
      <c r="AG9" s="87" t="str">
        <f t="shared" si="11"/>
        <v>·</v>
      </c>
      <c r="AH9" s="31">
        <f t="shared" si="12"/>
        <v>8.4750247235889429</v>
      </c>
      <c r="AI9" s="31">
        <f t="shared" si="13"/>
        <v>23.706683285894254</v>
      </c>
      <c r="AJ9" s="521">
        <v>9378695</v>
      </c>
      <c r="AK9" s="503">
        <v>222337752</v>
      </c>
      <c r="AL9" s="357">
        <v>142852392</v>
      </c>
      <c r="AM9" s="87"/>
      <c r="AN9" s="547">
        <v>79484672</v>
      </c>
      <c r="AO9" s="267"/>
      <c r="AP9" s="106"/>
      <c r="AQ9" s="106"/>
      <c r="AR9" s="515">
        <v>94.569305</v>
      </c>
      <c r="AS9" s="507">
        <v>38.722999999999999</v>
      </c>
      <c r="AT9" s="359">
        <v>24.268000000000001</v>
      </c>
      <c r="AU9" s="573">
        <v>0</v>
      </c>
      <c r="AV9" s="573">
        <v>0</v>
      </c>
      <c r="AW9" s="33"/>
      <c r="AY9" s="56" t="e">
        <f t="shared" si="6"/>
        <v>#DIV/0!</v>
      </c>
      <c r="AZ9" s="57" t="e">
        <f t="shared" si="7"/>
        <v>#DIV/0!</v>
      </c>
      <c r="BA9" s="57">
        <f t="shared" si="8"/>
        <v>0</v>
      </c>
      <c r="BB9" s="58"/>
      <c r="BD9" s="105"/>
      <c r="BE9" s="106"/>
      <c r="BF9" s="106"/>
      <c r="BG9" s="76"/>
      <c r="BI9" s="105"/>
      <c r="BJ9" s="106"/>
      <c r="BK9" s="106"/>
      <c r="BL9" s="76"/>
      <c r="BN9" s="105"/>
      <c r="BO9" s="106"/>
      <c r="BP9" s="106"/>
      <c r="BQ9" s="76"/>
      <c r="BS9" s="105"/>
      <c r="BT9" s="106"/>
      <c r="BU9" s="106"/>
      <c r="BV9" s="76"/>
      <c r="BX9" s="105"/>
      <c r="BY9" s="106"/>
      <c r="BZ9" s="106"/>
      <c r="CA9" s="76"/>
      <c r="CC9" s="105"/>
      <c r="CD9" s="106"/>
      <c r="CE9" s="106"/>
      <c r="CF9" s="76"/>
    </row>
    <row r="10" spans="1:84" s="1" customFormat="1" ht="14.25" outlineLevel="1" thickBot="1">
      <c r="A10" s="13"/>
      <c r="B10" s="292" t="s">
        <v>983</v>
      </c>
      <c r="C10" s="22" t="s">
        <v>136</v>
      </c>
      <c r="D10" s="301">
        <v>9378695</v>
      </c>
      <c r="E10" s="302">
        <v>17</v>
      </c>
      <c r="F10" s="302">
        <v>1</v>
      </c>
      <c r="G10" s="23"/>
      <c r="H10" s="251"/>
      <c r="I10" s="34" t="str">
        <f t="shared" si="0"/>
        <v>·</v>
      </c>
      <c r="J10" s="35">
        <f t="shared" si="1"/>
        <v>24.92800117713605</v>
      </c>
      <c r="K10" s="35">
        <f t="shared" si="2"/>
        <v>15.231585204551379</v>
      </c>
      <c r="L10" s="88"/>
      <c r="M10" s="35">
        <f t="shared" si="3"/>
        <v>9.6963426148307406</v>
      </c>
      <c r="N10" s="35">
        <f t="shared" si="4"/>
        <v>24.92800117713605</v>
      </c>
      <c r="O10" s="522">
        <v>9378695</v>
      </c>
      <c r="P10" s="505">
        <v>233792120</v>
      </c>
      <c r="Q10" s="361">
        <v>142852392</v>
      </c>
      <c r="R10" s="88"/>
      <c r="S10" s="548">
        <v>90939040</v>
      </c>
      <c r="T10" s="545"/>
      <c r="U10" s="109"/>
      <c r="V10" s="109"/>
      <c r="W10" s="517">
        <v>99.340401</v>
      </c>
      <c r="X10" s="509"/>
      <c r="Y10" s="363"/>
      <c r="Z10" s="575">
        <v>0</v>
      </c>
      <c r="AA10" s="575">
        <v>0</v>
      </c>
      <c r="AB10" s="37"/>
      <c r="AD10" s="34">
        <v>0</v>
      </c>
      <c r="AE10" s="35">
        <f t="shared" si="9"/>
        <v>24.92800117713605</v>
      </c>
      <c r="AF10" s="35">
        <f t="shared" si="10"/>
        <v>15.231585204551379</v>
      </c>
      <c r="AG10" s="88" t="str">
        <f t="shared" si="11"/>
        <v>·</v>
      </c>
      <c r="AH10" s="35">
        <f t="shared" si="12"/>
        <v>9.6963426148307406</v>
      </c>
      <c r="AI10" s="35">
        <f t="shared" si="13"/>
        <v>24.92800117713605</v>
      </c>
      <c r="AJ10" s="522">
        <v>9378695</v>
      </c>
      <c r="AK10" s="505">
        <v>233792120</v>
      </c>
      <c r="AL10" s="361">
        <v>142852392</v>
      </c>
      <c r="AM10" s="88"/>
      <c r="AN10" s="548">
        <v>90939040</v>
      </c>
      <c r="AO10" s="545"/>
      <c r="AP10" s="109"/>
      <c r="AQ10" s="109"/>
      <c r="AR10" s="517">
        <v>99.340401</v>
      </c>
      <c r="AS10" s="509">
        <v>37.552999999999997</v>
      </c>
      <c r="AT10" s="363">
        <v>24.117999999999999</v>
      </c>
      <c r="AU10" s="575">
        <v>0</v>
      </c>
      <c r="AV10" s="575">
        <v>0</v>
      </c>
      <c r="AW10" s="37"/>
      <c r="AY10" s="59" t="e">
        <f t="shared" si="6"/>
        <v>#DIV/0!</v>
      </c>
      <c r="AZ10" s="60" t="e">
        <f t="shared" si="7"/>
        <v>#DIV/0!</v>
      </c>
      <c r="BA10" s="60">
        <f t="shared" si="8"/>
        <v>0</v>
      </c>
      <c r="BB10" s="61"/>
      <c r="BD10" s="108"/>
      <c r="BE10" s="109"/>
      <c r="BF10" s="109"/>
      <c r="BG10" s="79"/>
      <c r="BI10" s="108"/>
      <c r="BJ10" s="109"/>
      <c r="BK10" s="109"/>
      <c r="BL10" s="82"/>
      <c r="BN10" s="134"/>
      <c r="BO10" s="135"/>
      <c r="BP10" s="135"/>
      <c r="BQ10" s="82"/>
      <c r="BS10" s="134"/>
      <c r="BT10" s="135"/>
      <c r="BU10" s="135"/>
      <c r="BV10" s="82"/>
      <c r="BX10" s="134"/>
      <c r="BY10" s="135"/>
      <c r="BZ10" s="135"/>
      <c r="CA10" s="82"/>
      <c r="CC10" s="134"/>
      <c r="CD10" s="135"/>
      <c r="CE10" s="135"/>
      <c r="CF10" s="82"/>
    </row>
    <row r="11" spans="1:84" s="1" customFormat="1">
      <c r="A11" s="13"/>
      <c r="B11" s="294" t="s">
        <v>984</v>
      </c>
      <c r="C11" s="28" t="s">
        <v>131</v>
      </c>
      <c r="D11" s="303">
        <v>9477876</v>
      </c>
      <c r="E11" s="304">
        <v>19</v>
      </c>
      <c r="F11" s="304">
        <v>1</v>
      </c>
      <c r="G11" s="29"/>
      <c r="H11" s="251"/>
      <c r="I11" s="46" t="str">
        <f t="shared" si="0"/>
        <v>·</v>
      </c>
      <c r="J11" s="47">
        <f t="shared" si="1"/>
        <v>20.03955991827705</v>
      </c>
      <c r="K11" s="47">
        <f t="shared" si="2"/>
        <v>16.495123590981777</v>
      </c>
      <c r="L11" s="87"/>
      <c r="M11" s="47">
        <f t="shared" si="3"/>
        <v>3.5443578286949524</v>
      </c>
      <c r="N11" s="47">
        <f t="shared" si="4"/>
        <v>20.03955991827705</v>
      </c>
      <c r="O11" s="520">
        <v>9477876</v>
      </c>
      <c r="P11" s="502">
        <v>189932464</v>
      </c>
      <c r="Q11" s="353">
        <v>156338736</v>
      </c>
      <c r="R11" s="87"/>
      <c r="S11" s="546">
        <v>33592984</v>
      </c>
      <c r="T11" s="266"/>
      <c r="U11" s="104"/>
      <c r="V11" s="104"/>
      <c r="W11" s="514">
        <v>70.996391000000003</v>
      </c>
      <c r="X11" s="506"/>
      <c r="Y11" s="355"/>
      <c r="Z11" s="572">
        <v>0</v>
      </c>
      <c r="AA11" s="572">
        <v>0</v>
      </c>
      <c r="AB11" s="49"/>
      <c r="AD11" s="46">
        <v>0</v>
      </c>
      <c r="AE11" s="47">
        <f t="shared" si="9"/>
        <v>20.03955991827705</v>
      </c>
      <c r="AF11" s="47">
        <f t="shared" si="10"/>
        <v>16.495123590981777</v>
      </c>
      <c r="AG11" s="87" t="str">
        <f t="shared" si="11"/>
        <v>·</v>
      </c>
      <c r="AH11" s="47">
        <f t="shared" si="12"/>
        <v>3.5443578286949524</v>
      </c>
      <c r="AI11" s="47">
        <f t="shared" si="13"/>
        <v>20.03955991827705</v>
      </c>
      <c r="AJ11" s="520">
        <v>9477876</v>
      </c>
      <c r="AK11" s="502">
        <v>189932464</v>
      </c>
      <c r="AL11" s="353">
        <v>156338736</v>
      </c>
      <c r="AM11" s="87"/>
      <c r="AN11" s="546">
        <v>33592984</v>
      </c>
      <c r="AO11" s="266"/>
      <c r="AP11" s="104"/>
      <c r="AQ11" s="104"/>
      <c r="AR11" s="514">
        <v>70.996391000000003</v>
      </c>
      <c r="AS11" s="506">
        <v>34.198999999999998</v>
      </c>
      <c r="AT11" s="355">
        <v>22.277999999999999</v>
      </c>
      <c r="AU11" s="572">
        <v>0</v>
      </c>
      <c r="AV11" s="572">
        <v>0</v>
      </c>
      <c r="AW11" s="49"/>
      <c r="AY11" s="68" t="e">
        <f t="shared" si="6"/>
        <v>#DIV/0!</v>
      </c>
      <c r="AZ11" s="69" t="e">
        <f t="shared" si="7"/>
        <v>#DIV/0!</v>
      </c>
      <c r="BA11" s="69">
        <f t="shared" si="8"/>
        <v>0</v>
      </c>
      <c r="BB11" s="70">
        <f t="array" ref="BB11">AVERAGE(AL11:AL16/AK11:AK16) - AVERAGE(Q11:Q16/P11:P16)</f>
        <v>0</v>
      </c>
      <c r="BD11" s="103"/>
      <c r="BE11" s="104"/>
      <c r="BF11" s="104"/>
      <c r="BG11" s="86">
        <f>IF( OR(ISBLANK($S11:$S16),ISBLANK($AN11:$AN16), ISBLANK($W11:$W16),ISBLANK($AR11:$AR16)), "·", bdRateHermite( $S11:$S16,$W11:$W16, $AN11:$AN16,$AR11:$AR16))</f>
        <v>0</v>
      </c>
      <c r="BI11" s="103"/>
      <c r="BJ11" s="104"/>
      <c r="BK11" s="104"/>
      <c r="BL11" s="85">
        <f>IF(OR(ISBLANK($P11:$P16),ISBLANK($AK11:$AK16),ISBLANK($W11:$W16),ISBLANK($AR11:$AR16)),"·",bdRateHermite($P11:$P16,$W11:$W16,$AK11:$AK16,$AR11:$AR16))</f>
        <v>0</v>
      </c>
      <c r="BN11" s="103"/>
      <c r="BO11" s="104"/>
      <c r="BP11" s="104"/>
      <c r="BQ11" s="86">
        <f>IF( OR(ISBLANK($S11:$S16),ISBLANK($AN11:$AN16), ISBLANK($W11:$W16),ISBLANK($AR11:$AR16)), "·", bdRateHermite( $S12:$S16,$W12:$W16, $AN12:$AN16,$AR12:$AR16))</f>
        <v>0</v>
      </c>
      <c r="BS11" s="103"/>
      <c r="BT11" s="104"/>
      <c r="BU11" s="104"/>
      <c r="BV11" s="85">
        <f>IF(OR(ISBLANK($P11:$P16),ISBLANK($AK11:$AK16),ISBLANK($W11:$W16),ISBLANK($AR11:$AR16)),"·",bdRateHermite($P12:$P16,$W12:$W16,$AK12:$AK16,$AR12:$AR16))</f>
        <v>0</v>
      </c>
      <c r="BX11" s="103"/>
      <c r="BY11" s="104"/>
      <c r="BZ11" s="104"/>
      <c r="CA11" s="86">
        <f>IF( OR(ISBLANK($S11:$S15),ISBLANK($AN11:$AN15), ISBLANK($W11:$W15),ISBLANK($AR11:$AR15)), "·", bdRateHermite( $S11:$S15,$W11:$W15, $AN11:$AN15,$AR11:$AR15))</f>
        <v>0</v>
      </c>
      <c r="CC11" s="103"/>
      <c r="CD11" s="104"/>
      <c r="CE11" s="104"/>
      <c r="CF11" s="85">
        <f>IF(OR(ISBLANK($P11:$P15),ISBLANK($AK11:$AK15),ISBLANK($W11:$W15),ISBLANK($AR11:$AR15)),"·",bdRateHermite($P11:$P15,$W11:$W15,$AK11:$AK15,$AR11:$AR15))</f>
        <v>0</v>
      </c>
    </row>
    <row r="12" spans="1:84" s="1" customFormat="1" outlineLevel="1">
      <c r="A12" s="13"/>
      <c r="B12" s="295" t="s">
        <v>984</v>
      </c>
      <c r="C12" s="15" t="s">
        <v>132</v>
      </c>
      <c r="D12" s="300">
        <v>9477876</v>
      </c>
      <c r="E12" s="299">
        <v>19</v>
      </c>
      <c r="F12" s="299">
        <v>1</v>
      </c>
      <c r="G12" s="16"/>
      <c r="H12" s="251"/>
      <c r="I12" s="30" t="str">
        <f t="shared" si="0"/>
        <v>·</v>
      </c>
      <c r="J12" s="31">
        <f t="shared" si="1"/>
        <v>21.240647588130503</v>
      </c>
      <c r="K12" s="31">
        <f t="shared" si="2"/>
        <v>16.495123590981777</v>
      </c>
      <c r="L12" s="87"/>
      <c r="M12" s="31">
        <f t="shared" si="3"/>
        <v>4.7454454985484089</v>
      </c>
      <c r="N12" s="31">
        <f t="shared" si="4"/>
        <v>21.240647588130503</v>
      </c>
      <c r="O12" s="521">
        <v>9477876</v>
      </c>
      <c r="P12" s="503">
        <v>201316224</v>
      </c>
      <c r="Q12" s="357">
        <v>156338736</v>
      </c>
      <c r="R12" s="87"/>
      <c r="S12" s="547">
        <v>44976744</v>
      </c>
      <c r="T12" s="267"/>
      <c r="U12" s="106"/>
      <c r="V12" s="106"/>
      <c r="W12" s="515">
        <v>77.010093999999995</v>
      </c>
      <c r="X12" s="507"/>
      <c r="Y12" s="359"/>
      <c r="Z12" s="573">
        <v>0</v>
      </c>
      <c r="AA12" s="573">
        <v>0</v>
      </c>
      <c r="AB12" s="33"/>
      <c r="AD12" s="30">
        <v>0</v>
      </c>
      <c r="AE12" s="31">
        <f t="shared" si="9"/>
        <v>21.240647588130503</v>
      </c>
      <c r="AF12" s="31">
        <f t="shared" si="10"/>
        <v>16.495123590981777</v>
      </c>
      <c r="AG12" s="87" t="str">
        <f t="shared" si="11"/>
        <v>·</v>
      </c>
      <c r="AH12" s="31">
        <f t="shared" si="12"/>
        <v>4.7454454985484089</v>
      </c>
      <c r="AI12" s="31">
        <f t="shared" si="13"/>
        <v>21.240647588130503</v>
      </c>
      <c r="AJ12" s="521">
        <v>9477876</v>
      </c>
      <c r="AK12" s="503">
        <v>201316224</v>
      </c>
      <c r="AL12" s="357">
        <v>156338736</v>
      </c>
      <c r="AM12" s="87"/>
      <c r="AN12" s="547">
        <v>44976744</v>
      </c>
      <c r="AO12" s="267"/>
      <c r="AP12" s="106"/>
      <c r="AQ12" s="106"/>
      <c r="AR12" s="515">
        <v>77.010093999999995</v>
      </c>
      <c r="AS12" s="507">
        <v>33.347999999999999</v>
      </c>
      <c r="AT12" s="359">
        <v>22.571000000000002</v>
      </c>
      <c r="AU12" s="573">
        <v>0</v>
      </c>
      <c r="AV12" s="573">
        <v>0</v>
      </c>
      <c r="AW12" s="33"/>
      <c r="AY12" s="56" t="e">
        <f t="shared" si="6"/>
        <v>#DIV/0!</v>
      </c>
      <c r="AZ12" s="57" t="e">
        <f t="shared" si="7"/>
        <v>#DIV/0!</v>
      </c>
      <c r="BA12" s="57">
        <f t="shared" si="8"/>
        <v>0</v>
      </c>
      <c r="BB12" s="58"/>
      <c r="BD12" s="105"/>
      <c r="BE12" s="106"/>
      <c r="BF12" s="106"/>
      <c r="BG12" s="76"/>
      <c r="BI12" s="105"/>
      <c r="BJ12" s="106"/>
      <c r="BK12" s="106"/>
      <c r="BL12" s="76"/>
      <c r="BN12" s="105"/>
      <c r="BO12" s="106"/>
      <c r="BP12" s="106"/>
      <c r="BQ12" s="76"/>
      <c r="BS12" s="105"/>
      <c r="BT12" s="106"/>
      <c r="BU12" s="106"/>
      <c r="BV12" s="76"/>
      <c r="BX12" s="105"/>
      <c r="BY12" s="106"/>
      <c r="BZ12" s="106"/>
      <c r="CA12" s="76"/>
      <c r="CC12" s="105"/>
      <c r="CD12" s="106"/>
      <c r="CE12" s="106"/>
      <c r="CF12" s="76"/>
    </row>
    <row r="13" spans="1:84" s="1" customFormat="1" outlineLevel="1">
      <c r="A13" s="13"/>
      <c r="B13" s="295" t="s">
        <v>984</v>
      </c>
      <c r="C13" s="15" t="s">
        <v>133</v>
      </c>
      <c r="D13" s="300">
        <v>9477876</v>
      </c>
      <c r="E13" s="299">
        <v>19</v>
      </c>
      <c r="F13" s="299">
        <v>1</v>
      </c>
      <c r="G13" s="16"/>
      <c r="H13" s="251"/>
      <c r="I13" s="30" t="str">
        <f t="shared" si="0"/>
        <v>·</v>
      </c>
      <c r="J13" s="31">
        <f t="shared" si="1"/>
        <v>22.703985576515244</v>
      </c>
      <c r="K13" s="31">
        <f t="shared" si="2"/>
        <v>16.495123590981777</v>
      </c>
      <c r="L13" s="87"/>
      <c r="M13" s="31">
        <f t="shared" si="3"/>
        <v>6.2087834869331484</v>
      </c>
      <c r="N13" s="31">
        <f t="shared" si="4"/>
        <v>22.703985576515244</v>
      </c>
      <c r="O13" s="521">
        <v>9477876</v>
      </c>
      <c r="P13" s="503">
        <v>215185560</v>
      </c>
      <c r="Q13" s="357">
        <v>156338736</v>
      </c>
      <c r="R13" s="87"/>
      <c r="S13" s="547">
        <v>58846080</v>
      </c>
      <c r="T13" s="267"/>
      <c r="U13" s="106"/>
      <c r="V13" s="106"/>
      <c r="W13" s="515">
        <v>83.004929000000004</v>
      </c>
      <c r="X13" s="507"/>
      <c r="Y13" s="359"/>
      <c r="Z13" s="573">
        <v>0</v>
      </c>
      <c r="AA13" s="573">
        <v>0</v>
      </c>
      <c r="AB13" s="33"/>
      <c r="AD13" s="30">
        <v>0</v>
      </c>
      <c r="AE13" s="31">
        <f t="shared" si="9"/>
        <v>22.703985576515244</v>
      </c>
      <c r="AF13" s="31">
        <f t="shared" si="10"/>
        <v>16.495123590981777</v>
      </c>
      <c r="AG13" s="87" t="str">
        <f t="shared" si="11"/>
        <v>·</v>
      </c>
      <c r="AH13" s="31">
        <f t="shared" si="12"/>
        <v>6.2087834869331484</v>
      </c>
      <c r="AI13" s="31">
        <f t="shared" si="13"/>
        <v>22.703985576515244</v>
      </c>
      <c r="AJ13" s="521">
        <v>9477876</v>
      </c>
      <c r="AK13" s="503">
        <v>215185560</v>
      </c>
      <c r="AL13" s="357">
        <v>156338736</v>
      </c>
      <c r="AM13" s="87"/>
      <c r="AN13" s="547">
        <v>58846080</v>
      </c>
      <c r="AO13" s="267"/>
      <c r="AP13" s="106"/>
      <c r="AQ13" s="106"/>
      <c r="AR13" s="515">
        <v>83.004929000000004</v>
      </c>
      <c r="AS13" s="507">
        <v>31.91</v>
      </c>
      <c r="AT13" s="359">
        <v>22.635999999999999</v>
      </c>
      <c r="AU13" s="573">
        <v>0</v>
      </c>
      <c r="AV13" s="573">
        <v>0</v>
      </c>
      <c r="AW13" s="33"/>
      <c r="AY13" s="56" t="e">
        <f t="shared" si="6"/>
        <v>#DIV/0!</v>
      </c>
      <c r="AZ13" s="57" t="e">
        <f t="shared" si="7"/>
        <v>#DIV/0!</v>
      </c>
      <c r="BA13" s="57">
        <f t="shared" si="8"/>
        <v>0</v>
      </c>
      <c r="BB13" s="58"/>
      <c r="BD13" s="105"/>
      <c r="BE13" s="106"/>
      <c r="BF13" s="106"/>
      <c r="BG13" s="76"/>
      <c r="BI13" s="105"/>
      <c r="BJ13" s="106"/>
      <c r="BK13" s="106"/>
      <c r="BL13" s="76"/>
      <c r="BN13" s="105"/>
      <c r="BO13" s="106"/>
      <c r="BP13" s="106"/>
      <c r="BQ13" s="76"/>
      <c r="BS13" s="105"/>
      <c r="BT13" s="106"/>
      <c r="BU13" s="106"/>
      <c r="BV13" s="76"/>
      <c r="BX13" s="105"/>
      <c r="BY13" s="106"/>
      <c r="BZ13" s="106"/>
      <c r="CA13" s="76"/>
      <c r="CC13" s="105"/>
      <c r="CD13" s="106"/>
      <c r="CE13" s="106"/>
      <c r="CF13" s="76"/>
    </row>
    <row r="14" spans="1:84" s="1" customFormat="1" outlineLevel="1">
      <c r="A14" s="13"/>
      <c r="B14" s="295" t="s">
        <v>984</v>
      </c>
      <c r="C14" s="15" t="s">
        <v>134</v>
      </c>
      <c r="D14" s="300">
        <v>9477876</v>
      </c>
      <c r="E14" s="299">
        <v>19</v>
      </c>
      <c r="F14" s="299">
        <v>1</v>
      </c>
      <c r="G14" s="16"/>
      <c r="H14" s="251"/>
      <c r="I14" s="30" t="str">
        <f t="shared" si="0"/>
        <v>·</v>
      </c>
      <c r="J14" s="31">
        <f t="shared" si="1"/>
        <v>24.173980752649644</v>
      </c>
      <c r="K14" s="31">
        <f t="shared" si="2"/>
        <v>16.495123590981777</v>
      </c>
      <c r="L14" s="87"/>
      <c r="M14" s="31">
        <f t="shared" si="3"/>
        <v>7.6787786630675479</v>
      </c>
      <c r="N14" s="31">
        <f t="shared" si="4"/>
        <v>24.173980752649644</v>
      </c>
      <c r="O14" s="521">
        <v>9477876</v>
      </c>
      <c r="P14" s="503">
        <v>229117992</v>
      </c>
      <c r="Q14" s="357">
        <v>156338736</v>
      </c>
      <c r="R14" s="87"/>
      <c r="S14" s="547">
        <v>72778512</v>
      </c>
      <c r="T14" s="267"/>
      <c r="U14" s="106"/>
      <c r="V14" s="106"/>
      <c r="W14" s="515">
        <v>88.927277000000004</v>
      </c>
      <c r="X14" s="507"/>
      <c r="Y14" s="359"/>
      <c r="Z14" s="573">
        <v>0</v>
      </c>
      <c r="AA14" s="573">
        <v>0</v>
      </c>
      <c r="AB14" s="33"/>
      <c r="AD14" s="30">
        <v>0</v>
      </c>
      <c r="AE14" s="31">
        <f t="shared" si="9"/>
        <v>24.173980752649644</v>
      </c>
      <c r="AF14" s="31">
        <f t="shared" si="10"/>
        <v>16.495123590981777</v>
      </c>
      <c r="AG14" s="87" t="str">
        <f t="shared" si="11"/>
        <v>·</v>
      </c>
      <c r="AH14" s="31">
        <f t="shared" si="12"/>
        <v>7.6787786630675479</v>
      </c>
      <c r="AI14" s="31">
        <f t="shared" si="13"/>
        <v>24.173980752649644</v>
      </c>
      <c r="AJ14" s="521">
        <v>9477876</v>
      </c>
      <c r="AK14" s="503">
        <v>229117992</v>
      </c>
      <c r="AL14" s="357">
        <v>156338736</v>
      </c>
      <c r="AM14" s="87"/>
      <c r="AN14" s="547">
        <v>72778512</v>
      </c>
      <c r="AO14" s="267"/>
      <c r="AP14" s="106"/>
      <c r="AQ14" s="106"/>
      <c r="AR14" s="515">
        <v>88.927277000000004</v>
      </c>
      <c r="AS14" s="507">
        <v>37.781999999999996</v>
      </c>
      <c r="AT14" s="359">
        <v>23.745999999999999</v>
      </c>
      <c r="AU14" s="573">
        <v>0</v>
      </c>
      <c r="AV14" s="573">
        <v>0</v>
      </c>
      <c r="AW14" s="33"/>
      <c r="AY14" s="56" t="e">
        <f t="shared" si="6"/>
        <v>#DIV/0!</v>
      </c>
      <c r="AZ14" s="57" t="e">
        <f t="shared" si="7"/>
        <v>#DIV/0!</v>
      </c>
      <c r="BA14" s="57">
        <f t="shared" si="8"/>
        <v>0</v>
      </c>
      <c r="BB14" s="58"/>
      <c r="BD14" s="105"/>
      <c r="BE14" s="106"/>
      <c r="BF14" s="106"/>
      <c r="BG14" s="76"/>
      <c r="BI14" s="105"/>
      <c r="BJ14" s="106"/>
      <c r="BK14" s="106"/>
      <c r="BL14" s="76"/>
      <c r="BN14" s="105"/>
      <c r="BO14" s="106"/>
      <c r="BP14" s="106"/>
      <c r="BQ14" s="76"/>
      <c r="BS14" s="105"/>
      <c r="BT14" s="106"/>
      <c r="BU14" s="106"/>
      <c r="BV14" s="76"/>
      <c r="BX14" s="105"/>
      <c r="BY14" s="106"/>
      <c r="BZ14" s="106"/>
      <c r="CA14" s="76"/>
      <c r="CC14" s="105"/>
      <c r="CD14" s="106"/>
      <c r="CE14" s="106"/>
      <c r="CF14" s="76"/>
    </row>
    <row r="15" spans="1:84" s="1" customFormat="1" outlineLevel="1">
      <c r="A15" s="13"/>
      <c r="B15" s="295" t="s">
        <v>984</v>
      </c>
      <c r="C15" s="15" t="s">
        <v>135</v>
      </c>
      <c r="D15" s="300">
        <v>9477876</v>
      </c>
      <c r="E15" s="299">
        <v>19</v>
      </c>
      <c r="F15" s="299">
        <v>1</v>
      </c>
      <c r="G15" s="16"/>
      <c r="H15" s="251"/>
      <c r="I15" s="30" t="str">
        <f t="shared" si="0"/>
        <v>·</v>
      </c>
      <c r="J15" s="31">
        <f t="shared" si="1"/>
        <v>25.364449165614744</v>
      </c>
      <c r="K15" s="31">
        <f t="shared" si="2"/>
        <v>16.495123590981777</v>
      </c>
      <c r="L15" s="87"/>
      <c r="M15" s="31">
        <f t="shared" si="3"/>
        <v>8.8692470760326465</v>
      </c>
      <c r="N15" s="31">
        <f t="shared" si="4"/>
        <v>25.364449165614744</v>
      </c>
      <c r="O15" s="521">
        <v>9477876</v>
      </c>
      <c r="P15" s="503">
        <v>240401104</v>
      </c>
      <c r="Q15" s="357">
        <v>156338736</v>
      </c>
      <c r="R15" s="87"/>
      <c r="S15" s="547">
        <v>84061624</v>
      </c>
      <c r="T15" s="267"/>
      <c r="U15" s="106"/>
      <c r="V15" s="106"/>
      <c r="W15" s="515">
        <v>94.567565999999999</v>
      </c>
      <c r="X15" s="507"/>
      <c r="Y15" s="359"/>
      <c r="Z15" s="573">
        <v>0</v>
      </c>
      <c r="AA15" s="573">
        <v>0</v>
      </c>
      <c r="AB15" s="33"/>
      <c r="AD15" s="30">
        <v>0</v>
      </c>
      <c r="AE15" s="31">
        <f t="shared" si="9"/>
        <v>25.364449165614744</v>
      </c>
      <c r="AF15" s="31">
        <f t="shared" si="10"/>
        <v>16.495123590981777</v>
      </c>
      <c r="AG15" s="87" t="str">
        <f t="shared" si="11"/>
        <v>·</v>
      </c>
      <c r="AH15" s="31">
        <f t="shared" si="12"/>
        <v>8.8692470760326465</v>
      </c>
      <c r="AI15" s="31">
        <f t="shared" si="13"/>
        <v>25.364449165614744</v>
      </c>
      <c r="AJ15" s="521">
        <v>9477876</v>
      </c>
      <c r="AK15" s="503">
        <v>240401104</v>
      </c>
      <c r="AL15" s="357">
        <v>156338736</v>
      </c>
      <c r="AM15" s="87"/>
      <c r="AN15" s="547">
        <v>84061624</v>
      </c>
      <c r="AO15" s="267"/>
      <c r="AP15" s="106"/>
      <c r="AQ15" s="106"/>
      <c r="AR15" s="515">
        <v>94.567565999999999</v>
      </c>
      <c r="AS15" s="507">
        <v>36.118000000000002</v>
      </c>
      <c r="AT15" s="359">
        <v>24.824999999999999</v>
      </c>
      <c r="AU15" s="573">
        <v>0</v>
      </c>
      <c r="AV15" s="573">
        <v>0</v>
      </c>
      <c r="AW15" s="33"/>
      <c r="AY15" s="56" t="e">
        <f t="shared" si="6"/>
        <v>#DIV/0!</v>
      </c>
      <c r="AZ15" s="57" t="e">
        <f t="shared" si="7"/>
        <v>#DIV/0!</v>
      </c>
      <c r="BA15" s="57">
        <f t="shared" si="8"/>
        <v>0</v>
      </c>
      <c r="BB15" s="58"/>
      <c r="BD15" s="105"/>
      <c r="BE15" s="106"/>
      <c r="BF15" s="106"/>
      <c r="BG15" s="76"/>
      <c r="BI15" s="105"/>
      <c r="BJ15" s="106"/>
      <c r="BK15" s="106"/>
      <c r="BL15" s="76"/>
      <c r="BN15" s="105"/>
      <c r="BO15" s="106"/>
      <c r="BP15" s="106"/>
      <c r="BQ15" s="76"/>
      <c r="BS15" s="105"/>
      <c r="BT15" s="106"/>
      <c r="BU15" s="106"/>
      <c r="BV15" s="76"/>
      <c r="BX15" s="105"/>
      <c r="BY15" s="106"/>
      <c r="BZ15" s="106"/>
      <c r="CA15" s="76"/>
      <c r="CC15" s="105"/>
      <c r="CD15" s="106"/>
      <c r="CE15" s="106"/>
      <c r="CF15" s="76"/>
    </row>
    <row r="16" spans="1:84" s="1" customFormat="1" ht="14.25" outlineLevel="1" thickBot="1">
      <c r="A16" s="13"/>
      <c r="B16" s="296" t="s">
        <v>984</v>
      </c>
      <c r="C16" s="19" t="s">
        <v>136</v>
      </c>
      <c r="D16" s="305">
        <v>9477876</v>
      </c>
      <c r="E16" s="306">
        <v>19</v>
      </c>
      <c r="F16" s="306">
        <v>1</v>
      </c>
      <c r="G16" s="20"/>
      <c r="H16" s="251"/>
      <c r="I16" s="34" t="str">
        <f t="shared" si="0"/>
        <v>·</v>
      </c>
      <c r="J16" s="35">
        <f t="shared" si="1"/>
        <v>26.622548765145272</v>
      </c>
      <c r="K16" s="35">
        <f t="shared" si="2"/>
        <v>16.495123590981777</v>
      </c>
      <c r="L16" s="89"/>
      <c r="M16" s="35">
        <f t="shared" si="3"/>
        <v>10.127347519634146</v>
      </c>
      <c r="N16" s="35">
        <f t="shared" si="4"/>
        <v>26.622548765145272</v>
      </c>
      <c r="O16" s="525">
        <v>9477876</v>
      </c>
      <c r="P16" s="505">
        <v>252325216</v>
      </c>
      <c r="Q16" s="361">
        <v>156338736</v>
      </c>
      <c r="R16" s="89"/>
      <c r="S16" s="548">
        <v>95985744</v>
      </c>
      <c r="T16" s="545"/>
      <c r="U16" s="109"/>
      <c r="V16" s="109"/>
      <c r="W16" s="517">
        <v>99.339759999999998</v>
      </c>
      <c r="X16" s="509"/>
      <c r="Y16" s="363"/>
      <c r="Z16" s="575">
        <v>0</v>
      </c>
      <c r="AA16" s="575">
        <v>0</v>
      </c>
      <c r="AB16" s="37"/>
      <c r="AD16" s="34">
        <v>0</v>
      </c>
      <c r="AE16" s="35">
        <f t="shared" si="9"/>
        <v>26.622548765145272</v>
      </c>
      <c r="AF16" s="35">
        <f t="shared" si="10"/>
        <v>16.495123590981777</v>
      </c>
      <c r="AG16" s="89" t="str">
        <f t="shared" si="11"/>
        <v>·</v>
      </c>
      <c r="AH16" s="35">
        <f t="shared" si="12"/>
        <v>10.127347519634146</v>
      </c>
      <c r="AI16" s="35">
        <f t="shared" si="13"/>
        <v>26.622548765145272</v>
      </c>
      <c r="AJ16" s="525">
        <v>9477876</v>
      </c>
      <c r="AK16" s="505">
        <v>252325216</v>
      </c>
      <c r="AL16" s="361">
        <v>156338736</v>
      </c>
      <c r="AM16" s="89"/>
      <c r="AN16" s="548">
        <v>95985744</v>
      </c>
      <c r="AO16" s="545"/>
      <c r="AP16" s="109"/>
      <c r="AQ16" s="109"/>
      <c r="AR16" s="517">
        <v>99.339759999999998</v>
      </c>
      <c r="AS16" s="509">
        <v>35.941000000000003</v>
      </c>
      <c r="AT16" s="363">
        <v>24.033000000000001</v>
      </c>
      <c r="AU16" s="575">
        <v>0</v>
      </c>
      <c r="AV16" s="575">
        <v>0</v>
      </c>
      <c r="AW16" s="37"/>
      <c r="AY16" s="59" t="e">
        <f t="shared" si="6"/>
        <v>#DIV/0!</v>
      </c>
      <c r="AZ16" s="60" t="e">
        <f t="shared" si="7"/>
        <v>#DIV/0!</v>
      </c>
      <c r="BA16" s="60">
        <f t="shared" si="8"/>
        <v>0</v>
      </c>
      <c r="BB16" s="61"/>
      <c r="BD16" s="108"/>
      <c r="BE16" s="109"/>
      <c r="BF16" s="109"/>
      <c r="BG16" s="79"/>
      <c r="BI16" s="108"/>
      <c r="BJ16" s="109"/>
      <c r="BK16" s="109"/>
      <c r="BL16" s="79"/>
      <c r="BN16" s="108"/>
      <c r="BO16" s="109"/>
      <c r="BP16" s="109"/>
      <c r="BQ16" s="79"/>
      <c r="BS16" s="108"/>
      <c r="BT16" s="109"/>
      <c r="BU16" s="109"/>
      <c r="BV16" s="79"/>
      <c r="BX16" s="108"/>
      <c r="BY16" s="109"/>
      <c r="BZ16" s="109"/>
      <c r="CA16" s="79"/>
      <c r="CC16" s="108"/>
      <c r="CD16" s="109"/>
      <c r="CE16" s="109"/>
      <c r="CF16" s="79"/>
    </row>
    <row r="17" spans="1:84" s="1" customFormat="1">
      <c r="A17" s="13"/>
      <c r="B17" s="293" t="s">
        <v>985</v>
      </c>
      <c r="C17" s="25" t="s">
        <v>131</v>
      </c>
      <c r="D17" s="300">
        <v>9740660</v>
      </c>
      <c r="E17" s="299">
        <v>20</v>
      </c>
      <c r="F17" s="299">
        <v>1</v>
      </c>
      <c r="G17" s="26"/>
      <c r="H17" s="251"/>
      <c r="I17" s="46" t="str">
        <f t="shared" si="0"/>
        <v>·</v>
      </c>
      <c r="J17" s="47">
        <f t="shared" si="1"/>
        <v>18.239576373674886</v>
      </c>
      <c r="K17" s="47">
        <f t="shared" si="2"/>
        <v>15.062052879373677</v>
      </c>
      <c r="L17" s="90"/>
      <c r="M17" s="47">
        <f t="shared" si="3"/>
        <v>3.1774471134399516</v>
      </c>
      <c r="N17" s="47">
        <f t="shared" si="4"/>
        <v>18.239576373674886</v>
      </c>
      <c r="O17" s="520">
        <v>9740660</v>
      </c>
      <c r="P17" s="502">
        <v>177665512</v>
      </c>
      <c r="Q17" s="353">
        <v>146714336</v>
      </c>
      <c r="R17" s="90"/>
      <c r="S17" s="546">
        <v>30950432</v>
      </c>
      <c r="T17" s="266"/>
      <c r="U17" s="104"/>
      <c r="V17" s="104"/>
      <c r="W17" s="514">
        <v>70.996887000000001</v>
      </c>
      <c r="X17" s="506"/>
      <c r="Y17" s="355"/>
      <c r="Z17" s="572">
        <v>0</v>
      </c>
      <c r="AA17" s="572">
        <v>0</v>
      </c>
      <c r="AB17" s="49"/>
      <c r="AD17" s="46">
        <v>0</v>
      </c>
      <c r="AE17" s="47">
        <f t="shared" si="9"/>
        <v>18.239576373674886</v>
      </c>
      <c r="AF17" s="47">
        <f t="shared" si="10"/>
        <v>15.062052879373677</v>
      </c>
      <c r="AG17" s="90" t="str">
        <f t="shared" si="11"/>
        <v>·</v>
      </c>
      <c r="AH17" s="47">
        <f t="shared" si="12"/>
        <v>3.1774471134399516</v>
      </c>
      <c r="AI17" s="47">
        <f t="shared" si="13"/>
        <v>18.239576373674886</v>
      </c>
      <c r="AJ17" s="520">
        <v>9740660</v>
      </c>
      <c r="AK17" s="502">
        <v>177665512</v>
      </c>
      <c r="AL17" s="353">
        <v>146714336</v>
      </c>
      <c r="AM17" s="90"/>
      <c r="AN17" s="546">
        <v>30950432</v>
      </c>
      <c r="AO17" s="266"/>
      <c r="AP17" s="104"/>
      <c r="AQ17" s="104"/>
      <c r="AR17" s="514">
        <v>70.996887000000001</v>
      </c>
      <c r="AS17" s="506">
        <v>32.186999999999998</v>
      </c>
      <c r="AT17" s="355">
        <v>23.295000000000002</v>
      </c>
      <c r="AU17" s="572">
        <v>0</v>
      </c>
      <c r="AV17" s="572">
        <v>0</v>
      </c>
      <c r="AW17" s="49"/>
      <c r="AY17" s="68" t="e">
        <f t="shared" si="6"/>
        <v>#DIV/0!</v>
      </c>
      <c r="AZ17" s="69" t="e">
        <f t="shared" si="7"/>
        <v>#DIV/0!</v>
      </c>
      <c r="BA17" s="69">
        <f t="shared" si="8"/>
        <v>0</v>
      </c>
      <c r="BB17" s="70">
        <f t="array" ref="BB17">AVERAGE(AL17:AL22/AK17:AK22) - AVERAGE(Q17:Q22/P17:P22)</f>
        <v>0</v>
      </c>
      <c r="BD17" s="103"/>
      <c r="BE17" s="104"/>
      <c r="BF17" s="104"/>
      <c r="BG17" s="86">
        <f>IF( OR(ISBLANK($S17:$S22),ISBLANK($AN17:$AN22), ISBLANK($W17:$W22),ISBLANK($AR17:$AR22)), "·", bdRateHermite( $S17:$S22,$W17:$W22, $AN17:$AN22,$AR17:$AR22))</f>
        <v>0</v>
      </c>
      <c r="BI17" s="103"/>
      <c r="BJ17" s="104"/>
      <c r="BK17" s="104"/>
      <c r="BL17" s="85">
        <f>IF(OR(ISBLANK($P17:$P22),ISBLANK($AK17:$AK22),ISBLANK($W17:$W22),ISBLANK($AR17:$AR22)),"·",bdRateHermite($P17:$P22,$W17:$W22,$AK17:$AK22,$AR17:$AR22))</f>
        <v>0</v>
      </c>
      <c r="BN17" s="103"/>
      <c r="BO17" s="104"/>
      <c r="BP17" s="104"/>
      <c r="BQ17" s="86">
        <f>IF( OR(ISBLANK($S17:$S22),ISBLANK($AN17:$AN22), ISBLANK($W17:$W22),ISBLANK($AR17:$AR22)), "·", bdRateHermite( $S18:$S22,$W18:$W22, $AN18:$AN22,$AR18:$AR22))</f>
        <v>0</v>
      </c>
      <c r="BS17" s="103"/>
      <c r="BT17" s="104"/>
      <c r="BU17" s="104"/>
      <c r="BV17" s="85">
        <f>IF(OR(ISBLANK($P17:$P22),ISBLANK($AK17:$AK22),ISBLANK($W17:$W22),ISBLANK($AR17:$AR22)),"·",bdRateHermite($P18:$P22,$W18:$W22,$AK18:$AK22,$AR18:$AR22))</f>
        <v>0</v>
      </c>
      <c r="BX17" s="103"/>
      <c r="BY17" s="104"/>
      <c r="BZ17" s="104"/>
      <c r="CA17" s="86">
        <f>IF( OR(ISBLANK($S17:$S21),ISBLANK($AN17:$AN21), ISBLANK($W17:$W21),ISBLANK($AR17:$AR21)), "·", bdRateHermite( $S17:$S21,$W17:$W21, $AN17:$AN21,$AR17:$AR21))</f>
        <v>0</v>
      </c>
      <c r="CC17" s="103"/>
      <c r="CD17" s="104"/>
      <c r="CE17" s="104"/>
      <c r="CF17" s="85">
        <f>IF(OR(ISBLANK($P17:$P21),ISBLANK($AK17:$AK21),ISBLANK($W17:$W21),ISBLANK($AR17:$AR21)),"·",bdRateHermite($P17:$P21,$W17:$W21,$AK17:$AK21,$AR17:$AR21))</f>
        <v>0</v>
      </c>
    </row>
    <row r="18" spans="1:84" s="1" customFormat="1" outlineLevel="1">
      <c r="A18" s="13"/>
      <c r="B18" s="291" t="s">
        <v>985</v>
      </c>
      <c r="C18" s="15" t="s">
        <v>132</v>
      </c>
      <c r="D18" s="300">
        <v>9740660</v>
      </c>
      <c r="E18" s="299">
        <v>20</v>
      </c>
      <c r="F18" s="299">
        <v>1</v>
      </c>
      <c r="G18" s="16"/>
      <c r="H18" s="251"/>
      <c r="I18" s="30" t="str">
        <f t="shared" si="0"/>
        <v>·</v>
      </c>
      <c r="J18" s="31">
        <f t="shared" si="1"/>
        <v>19.397301620218752</v>
      </c>
      <c r="K18" s="31">
        <f t="shared" si="2"/>
        <v>15.062052879373677</v>
      </c>
      <c r="L18" s="87"/>
      <c r="M18" s="31">
        <f t="shared" si="3"/>
        <v>4.3351723599838206</v>
      </c>
      <c r="N18" s="31">
        <f t="shared" si="4"/>
        <v>19.397301620218752</v>
      </c>
      <c r="O18" s="523">
        <v>9740660</v>
      </c>
      <c r="P18" s="503">
        <v>188942520</v>
      </c>
      <c r="Q18" s="357">
        <v>146714336</v>
      </c>
      <c r="R18" s="87"/>
      <c r="S18" s="547">
        <v>42227440</v>
      </c>
      <c r="T18" s="267"/>
      <c r="U18" s="106"/>
      <c r="V18" s="106"/>
      <c r="W18" s="515">
        <v>77.013099999999994</v>
      </c>
      <c r="X18" s="507"/>
      <c r="Y18" s="359"/>
      <c r="Z18" s="573">
        <v>0</v>
      </c>
      <c r="AA18" s="573">
        <v>0</v>
      </c>
      <c r="AB18" s="33"/>
      <c r="AD18" s="30">
        <v>0</v>
      </c>
      <c r="AE18" s="31">
        <f t="shared" si="9"/>
        <v>19.397301620218752</v>
      </c>
      <c r="AF18" s="31">
        <f t="shared" si="10"/>
        <v>15.062052879373677</v>
      </c>
      <c r="AG18" s="87" t="str">
        <f t="shared" si="11"/>
        <v>·</v>
      </c>
      <c r="AH18" s="31">
        <f t="shared" si="12"/>
        <v>4.3351723599838206</v>
      </c>
      <c r="AI18" s="31">
        <f t="shared" si="13"/>
        <v>19.397301620218752</v>
      </c>
      <c r="AJ18" s="523">
        <v>9740660</v>
      </c>
      <c r="AK18" s="503">
        <v>188942520</v>
      </c>
      <c r="AL18" s="357">
        <v>146714336</v>
      </c>
      <c r="AM18" s="87"/>
      <c r="AN18" s="547">
        <v>42227440</v>
      </c>
      <c r="AO18" s="267"/>
      <c r="AP18" s="106"/>
      <c r="AQ18" s="106"/>
      <c r="AR18" s="515">
        <v>77.013099999999994</v>
      </c>
      <c r="AS18" s="507">
        <v>35.289000000000001</v>
      </c>
      <c r="AT18" s="359">
        <v>22.356999999999999</v>
      </c>
      <c r="AU18" s="573">
        <v>0</v>
      </c>
      <c r="AV18" s="573">
        <v>0</v>
      </c>
      <c r="AW18" s="33"/>
      <c r="AY18" s="56" t="e">
        <f t="shared" si="6"/>
        <v>#DIV/0!</v>
      </c>
      <c r="AZ18" s="57" t="e">
        <f t="shared" si="7"/>
        <v>#DIV/0!</v>
      </c>
      <c r="BA18" s="57">
        <f t="shared" si="8"/>
        <v>0</v>
      </c>
      <c r="BB18" s="58"/>
      <c r="BD18" s="105"/>
      <c r="BE18" s="106"/>
      <c r="BF18" s="106"/>
      <c r="BG18" s="107"/>
      <c r="BI18" s="105"/>
      <c r="BJ18" s="106"/>
      <c r="BK18" s="106"/>
      <c r="BL18" s="76"/>
      <c r="BN18" s="105"/>
      <c r="BO18" s="106"/>
      <c r="BP18" s="106"/>
      <c r="BQ18" s="107"/>
      <c r="BS18" s="105"/>
      <c r="BT18" s="106"/>
      <c r="BU18" s="106"/>
      <c r="BV18" s="76"/>
      <c r="BX18" s="105"/>
      <c r="BY18" s="106"/>
      <c r="BZ18" s="106"/>
      <c r="CA18" s="107"/>
      <c r="CC18" s="105"/>
      <c r="CD18" s="106"/>
      <c r="CE18" s="106"/>
      <c r="CF18" s="76"/>
    </row>
    <row r="19" spans="1:84" s="1" customFormat="1" outlineLevel="1">
      <c r="A19" s="13"/>
      <c r="B19" s="291" t="s">
        <v>985</v>
      </c>
      <c r="C19" s="15" t="s">
        <v>133</v>
      </c>
      <c r="D19" s="300">
        <v>9740660</v>
      </c>
      <c r="E19" s="299">
        <v>20</v>
      </c>
      <c r="F19" s="299">
        <v>1</v>
      </c>
      <c r="G19" s="16"/>
      <c r="H19" s="251"/>
      <c r="I19" s="30" t="str">
        <f t="shared" si="0"/>
        <v>·</v>
      </c>
      <c r="J19" s="31">
        <f t="shared" si="1"/>
        <v>20.785150903532205</v>
      </c>
      <c r="K19" s="31">
        <f t="shared" si="2"/>
        <v>15.062052879373677</v>
      </c>
      <c r="L19" s="87"/>
      <c r="M19" s="31">
        <f t="shared" si="3"/>
        <v>5.7230216432972716</v>
      </c>
      <c r="N19" s="31">
        <f t="shared" si="4"/>
        <v>20.785150903532205</v>
      </c>
      <c r="O19" s="523">
        <v>9740660</v>
      </c>
      <c r="P19" s="503">
        <v>202461088</v>
      </c>
      <c r="Q19" s="357">
        <v>146714336</v>
      </c>
      <c r="R19" s="87"/>
      <c r="S19" s="547">
        <v>55746008</v>
      </c>
      <c r="T19" s="267"/>
      <c r="U19" s="106"/>
      <c r="V19" s="106"/>
      <c r="W19" s="515">
        <v>83.004752999999994</v>
      </c>
      <c r="X19" s="507"/>
      <c r="Y19" s="359"/>
      <c r="Z19" s="573">
        <v>0</v>
      </c>
      <c r="AA19" s="573">
        <v>0</v>
      </c>
      <c r="AB19" s="33"/>
      <c r="AD19" s="30">
        <v>0</v>
      </c>
      <c r="AE19" s="31">
        <f t="shared" si="9"/>
        <v>20.785150903532205</v>
      </c>
      <c r="AF19" s="31">
        <f t="shared" si="10"/>
        <v>15.062052879373677</v>
      </c>
      <c r="AG19" s="87" t="str">
        <f t="shared" si="11"/>
        <v>·</v>
      </c>
      <c r="AH19" s="31">
        <f t="shared" si="12"/>
        <v>5.7230216432972716</v>
      </c>
      <c r="AI19" s="31">
        <f t="shared" si="13"/>
        <v>20.785150903532205</v>
      </c>
      <c r="AJ19" s="523">
        <v>9740660</v>
      </c>
      <c r="AK19" s="503">
        <v>202461088</v>
      </c>
      <c r="AL19" s="357">
        <v>146714336</v>
      </c>
      <c r="AM19" s="87"/>
      <c r="AN19" s="547">
        <v>55746008</v>
      </c>
      <c r="AO19" s="267"/>
      <c r="AP19" s="106"/>
      <c r="AQ19" s="106"/>
      <c r="AR19" s="515">
        <v>83.004752999999994</v>
      </c>
      <c r="AS19" s="507">
        <v>32.722000000000001</v>
      </c>
      <c r="AT19" s="359">
        <v>24.047999999999998</v>
      </c>
      <c r="AU19" s="573">
        <v>0</v>
      </c>
      <c r="AV19" s="573">
        <v>0</v>
      </c>
      <c r="AW19" s="33"/>
      <c r="AY19" s="56" t="e">
        <f t="shared" si="6"/>
        <v>#DIV/0!</v>
      </c>
      <c r="AZ19" s="57" t="e">
        <f t="shared" si="7"/>
        <v>#DIV/0!</v>
      </c>
      <c r="BA19" s="57">
        <f t="shared" si="8"/>
        <v>0</v>
      </c>
      <c r="BB19" s="58"/>
      <c r="BD19" s="105"/>
      <c r="BE19" s="106"/>
      <c r="BF19" s="106"/>
      <c r="BG19" s="107"/>
      <c r="BI19" s="105"/>
      <c r="BJ19" s="106"/>
      <c r="BK19" s="106"/>
      <c r="BL19" s="76"/>
      <c r="BN19" s="105"/>
      <c r="BO19" s="106"/>
      <c r="BP19" s="106"/>
      <c r="BQ19" s="107"/>
      <c r="BS19" s="105"/>
      <c r="BT19" s="106"/>
      <c r="BU19" s="106"/>
      <c r="BV19" s="76"/>
      <c r="BX19" s="105"/>
      <c r="BY19" s="106"/>
      <c r="BZ19" s="106"/>
      <c r="CA19" s="107"/>
      <c r="CC19" s="105"/>
      <c r="CD19" s="106"/>
      <c r="CE19" s="106"/>
      <c r="CF19" s="76"/>
    </row>
    <row r="20" spans="1:84" s="1" customFormat="1" outlineLevel="1">
      <c r="A20" s="13"/>
      <c r="B20" s="291" t="s">
        <v>985</v>
      </c>
      <c r="C20" s="15" t="s">
        <v>134</v>
      </c>
      <c r="D20" s="300">
        <v>9740660</v>
      </c>
      <c r="E20" s="299">
        <v>20</v>
      </c>
      <c r="F20" s="299">
        <v>1</v>
      </c>
      <c r="G20" s="16"/>
      <c r="H20" s="251"/>
      <c r="I20" s="30" t="str">
        <f t="shared" si="0"/>
        <v>·</v>
      </c>
      <c r="J20" s="31">
        <f t="shared" si="1"/>
        <v>22.328898452466259</v>
      </c>
      <c r="K20" s="31">
        <f t="shared" si="2"/>
        <v>15.062052879373677</v>
      </c>
      <c r="L20" s="87"/>
      <c r="M20" s="31">
        <f t="shared" si="3"/>
        <v>7.2667691922313269</v>
      </c>
      <c r="N20" s="31">
        <f t="shared" si="4"/>
        <v>22.328898452466259</v>
      </c>
      <c r="O20" s="523">
        <v>9740660</v>
      </c>
      <c r="P20" s="503">
        <v>217498208</v>
      </c>
      <c r="Q20" s="357">
        <v>146714336</v>
      </c>
      <c r="R20" s="87"/>
      <c r="S20" s="547">
        <v>70783128</v>
      </c>
      <c r="T20" s="267"/>
      <c r="U20" s="106"/>
      <c r="V20" s="106"/>
      <c r="W20" s="515">
        <v>88.926154999999994</v>
      </c>
      <c r="X20" s="507"/>
      <c r="Y20" s="359"/>
      <c r="Z20" s="573">
        <v>0</v>
      </c>
      <c r="AA20" s="573">
        <v>0</v>
      </c>
      <c r="AB20" s="33"/>
      <c r="AD20" s="30">
        <v>0</v>
      </c>
      <c r="AE20" s="31">
        <f t="shared" si="9"/>
        <v>22.328898452466259</v>
      </c>
      <c r="AF20" s="31">
        <f t="shared" si="10"/>
        <v>15.062052879373677</v>
      </c>
      <c r="AG20" s="87" t="str">
        <f t="shared" si="11"/>
        <v>·</v>
      </c>
      <c r="AH20" s="31">
        <f t="shared" si="12"/>
        <v>7.2667691922313269</v>
      </c>
      <c r="AI20" s="31">
        <f t="shared" si="13"/>
        <v>22.328898452466259</v>
      </c>
      <c r="AJ20" s="523">
        <v>9740660</v>
      </c>
      <c r="AK20" s="503">
        <v>217498208</v>
      </c>
      <c r="AL20" s="357">
        <v>146714336</v>
      </c>
      <c r="AM20" s="87"/>
      <c r="AN20" s="547">
        <v>70783128</v>
      </c>
      <c r="AO20" s="267"/>
      <c r="AP20" s="106"/>
      <c r="AQ20" s="106"/>
      <c r="AR20" s="515">
        <v>88.926154999999994</v>
      </c>
      <c r="AS20" s="507">
        <v>38.360999999999997</v>
      </c>
      <c r="AT20" s="359">
        <v>23.925999999999998</v>
      </c>
      <c r="AU20" s="573">
        <v>0</v>
      </c>
      <c r="AV20" s="573">
        <v>0</v>
      </c>
      <c r="AW20" s="33"/>
      <c r="AY20" s="56" t="e">
        <f t="shared" si="6"/>
        <v>#DIV/0!</v>
      </c>
      <c r="AZ20" s="57" t="e">
        <f t="shared" si="7"/>
        <v>#DIV/0!</v>
      </c>
      <c r="BA20" s="57">
        <f t="shared" si="8"/>
        <v>0</v>
      </c>
      <c r="BB20" s="58"/>
      <c r="BD20" s="105"/>
      <c r="BE20" s="106"/>
      <c r="BF20" s="106"/>
      <c r="BG20" s="107"/>
      <c r="BI20" s="105"/>
      <c r="BJ20" s="106"/>
      <c r="BK20" s="106"/>
      <c r="BL20" s="76"/>
      <c r="BN20" s="105"/>
      <c r="BO20" s="106"/>
      <c r="BP20" s="106"/>
      <c r="BQ20" s="107"/>
      <c r="BS20" s="105"/>
      <c r="BT20" s="106"/>
      <c r="BU20" s="106"/>
      <c r="BV20" s="76"/>
      <c r="BX20" s="105"/>
      <c r="BY20" s="106"/>
      <c r="BZ20" s="106"/>
      <c r="CA20" s="107"/>
      <c r="CC20" s="105"/>
      <c r="CD20" s="106"/>
      <c r="CE20" s="106"/>
      <c r="CF20" s="76"/>
    </row>
    <row r="21" spans="1:84" s="1" customFormat="1" outlineLevel="1">
      <c r="A21" s="13"/>
      <c r="B21" s="291" t="s">
        <v>985</v>
      </c>
      <c r="C21" s="15" t="s">
        <v>135</v>
      </c>
      <c r="D21" s="300">
        <v>9740660</v>
      </c>
      <c r="E21" s="299">
        <v>20</v>
      </c>
      <c r="F21" s="299">
        <v>1</v>
      </c>
      <c r="G21" s="16"/>
      <c r="H21" s="251"/>
      <c r="I21" s="30" t="str">
        <f t="shared" si="0"/>
        <v>·</v>
      </c>
      <c r="J21" s="31">
        <f t="shared" si="1"/>
        <v>23.47235444004821</v>
      </c>
      <c r="K21" s="31">
        <f t="shared" si="2"/>
        <v>15.062052879373677</v>
      </c>
      <c r="L21" s="87"/>
      <c r="M21" s="31">
        <f t="shared" si="3"/>
        <v>8.4102251798132777</v>
      </c>
      <c r="N21" s="31">
        <f t="shared" si="4"/>
        <v>23.47235444004821</v>
      </c>
      <c r="O21" s="523">
        <v>9740660</v>
      </c>
      <c r="P21" s="503">
        <v>228636224</v>
      </c>
      <c r="Q21" s="357">
        <v>146714336</v>
      </c>
      <c r="R21" s="87"/>
      <c r="S21" s="547">
        <v>81921144</v>
      </c>
      <c r="T21" s="267"/>
      <c r="U21" s="106"/>
      <c r="V21" s="106"/>
      <c r="W21" s="515">
        <v>94.569327999999999</v>
      </c>
      <c r="X21" s="507"/>
      <c r="Y21" s="359"/>
      <c r="Z21" s="573">
        <v>0</v>
      </c>
      <c r="AA21" s="573">
        <v>0</v>
      </c>
      <c r="AB21" s="33"/>
      <c r="AD21" s="30">
        <v>0</v>
      </c>
      <c r="AE21" s="31">
        <f t="shared" si="9"/>
        <v>23.47235444004821</v>
      </c>
      <c r="AF21" s="31">
        <f t="shared" si="10"/>
        <v>15.062052879373677</v>
      </c>
      <c r="AG21" s="87" t="str">
        <f t="shared" si="11"/>
        <v>·</v>
      </c>
      <c r="AH21" s="31">
        <f t="shared" si="12"/>
        <v>8.4102251798132777</v>
      </c>
      <c r="AI21" s="31">
        <f t="shared" si="13"/>
        <v>23.47235444004821</v>
      </c>
      <c r="AJ21" s="523">
        <v>9740660</v>
      </c>
      <c r="AK21" s="503">
        <v>228636224</v>
      </c>
      <c r="AL21" s="357">
        <v>146714336</v>
      </c>
      <c r="AM21" s="87"/>
      <c r="AN21" s="547">
        <v>81921144</v>
      </c>
      <c r="AO21" s="267"/>
      <c r="AP21" s="106"/>
      <c r="AQ21" s="106"/>
      <c r="AR21" s="515">
        <v>94.569327999999999</v>
      </c>
      <c r="AS21" s="507">
        <v>38.335000000000001</v>
      </c>
      <c r="AT21" s="359">
        <v>25.292000000000002</v>
      </c>
      <c r="AU21" s="573">
        <v>0</v>
      </c>
      <c r="AV21" s="573">
        <v>0</v>
      </c>
      <c r="AW21" s="33"/>
      <c r="AY21" s="56" t="e">
        <f t="shared" si="6"/>
        <v>#DIV/0!</v>
      </c>
      <c r="AZ21" s="57" t="e">
        <f t="shared" si="7"/>
        <v>#DIV/0!</v>
      </c>
      <c r="BA21" s="57">
        <f t="shared" si="8"/>
        <v>0</v>
      </c>
      <c r="BB21" s="58"/>
      <c r="BD21" s="105"/>
      <c r="BE21" s="106"/>
      <c r="BF21" s="106"/>
      <c r="BG21" s="107"/>
      <c r="BI21" s="105"/>
      <c r="BJ21" s="106"/>
      <c r="BK21" s="106"/>
      <c r="BL21" s="76"/>
      <c r="BN21" s="105"/>
      <c r="BO21" s="106"/>
      <c r="BP21" s="106"/>
      <c r="BQ21" s="107"/>
      <c r="BS21" s="105"/>
      <c r="BT21" s="106"/>
      <c r="BU21" s="106"/>
      <c r="BV21" s="76"/>
      <c r="BX21" s="105"/>
      <c r="BY21" s="106"/>
      <c r="BZ21" s="106"/>
      <c r="CA21" s="107"/>
      <c r="CC21" s="105"/>
      <c r="CD21" s="106"/>
      <c r="CE21" s="106"/>
      <c r="CF21" s="76"/>
    </row>
    <row r="22" spans="1:84" s="1" customFormat="1" ht="14.25" outlineLevel="1" thickBot="1">
      <c r="A22" s="13"/>
      <c r="B22" s="292" t="s">
        <v>985</v>
      </c>
      <c r="C22" s="19" t="s">
        <v>136</v>
      </c>
      <c r="D22" s="301">
        <v>9740660</v>
      </c>
      <c r="E22" s="302">
        <v>20</v>
      </c>
      <c r="F22" s="302">
        <v>1</v>
      </c>
      <c r="G22" s="20"/>
      <c r="H22" s="251"/>
      <c r="I22" s="34" t="str">
        <f t="shared" si="0"/>
        <v>·</v>
      </c>
      <c r="J22" s="35">
        <f t="shared" si="1"/>
        <v>24.686453689996366</v>
      </c>
      <c r="K22" s="35">
        <f t="shared" si="2"/>
        <v>15.062052879373677</v>
      </c>
      <c r="L22" s="88"/>
      <c r="M22" s="35">
        <f t="shared" si="3"/>
        <v>9.6243244297614332</v>
      </c>
      <c r="N22" s="35">
        <f t="shared" si="4"/>
        <v>24.686453689996366</v>
      </c>
      <c r="O22" s="524">
        <v>9740660</v>
      </c>
      <c r="P22" s="505">
        <v>240462352</v>
      </c>
      <c r="Q22" s="361">
        <v>146714336</v>
      </c>
      <c r="R22" s="88"/>
      <c r="S22" s="548">
        <v>93747272</v>
      </c>
      <c r="T22" s="545"/>
      <c r="U22" s="109"/>
      <c r="V22" s="109"/>
      <c r="W22" s="517">
        <v>99.341812000000004</v>
      </c>
      <c r="X22" s="509"/>
      <c r="Y22" s="363"/>
      <c r="Z22" s="575">
        <v>0</v>
      </c>
      <c r="AA22" s="575">
        <v>0</v>
      </c>
      <c r="AB22" s="37"/>
      <c r="AD22" s="34">
        <v>0</v>
      </c>
      <c r="AE22" s="35">
        <f t="shared" si="9"/>
        <v>24.686453689996366</v>
      </c>
      <c r="AF22" s="35">
        <f t="shared" si="10"/>
        <v>15.062052879373677</v>
      </c>
      <c r="AG22" s="88" t="str">
        <f t="shared" si="11"/>
        <v>·</v>
      </c>
      <c r="AH22" s="35">
        <f t="shared" si="12"/>
        <v>9.6243244297614332</v>
      </c>
      <c r="AI22" s="35">
        <f t="shared" si="13"/>
        <v>24.686453689996366</v>
      </c>
      <c r="AJ22" s="524">
        <v>9740660</v>
      </c>
      <c r="AK22" s="505">
        <v>240462352</v>
      </c>
      <c r="AL22" s="361">
        <v>146714336</v>
      </c>
      <c r="AM22" s="88"/>
      <c r="AN22" s="548">
        <v>93747272</v>
      </c>
      <c r="AO22" s="545"/>
      <c r="AP22" s="109"/>
      <c r="AQ22" s="109"/>
      <c r="AR22" s="517">
        <v>99.341812000000004</v>
      </c>
      <c r="AS22" s="509">
        <v>38.843000000000004</v>
      </c>
      <c r="AT22" s="363">
        <v>25.428000000000001</v>
      </c>
      <c r="AU22" s="575">
        <v>0</v>
      </c>
      <c r="AV22" s="575">
        <v>0</v>
      </c>
      <c r="AW22" s="37"/>
      <c r="AY22" s="59" t="e">
        <f t="shared" si="6"/>
        <v>#DIV/0!</v>
      </c>
      <c r="AZ22" s="60" t="e">
        <f t="shared" si="7"/>
        <v>#DIV/0!</v>
      </c>
      <c r="BA22" s="60">
        <f t="shared" si="8"/>
        <v>0</v>
      </c>
      <c r="BB22" s="61"/>
      <c r="BD22" s="108"/>
      <c r="BE22" s="109"/>
      <c r="BF22" s="109"/>
      <c r="BG22" s="110"/>
      <c r="BI22" s="108"/>
      <c r="BJ22" s="109"/>
      <c r="BK22" s="109"/>
      <c r="BL22" s="79"/>
      <c r="BN22" s="108"/>
      <c r="BO22" s="109"/>
      <c r="BP22" s="109"/>
      <c r="BQ22" s="110"/>
      <c r="BS22" s="108"/>
      <c r="BT22" s="109"/>
      <c r="BU22" s="109"/>
      <c r="BV22" s="79"/>
      <c r="BX22" s="108"/>
      <c r="BY22" s="109"/>
      <c r="BZ22" s="109"/>
      <c r="CA22" s="110"/>
      <c r="CC22" s="108"/>
      <c r="CD22" s="109"/>
      <c r="CE22" s="109"/>
      <c r="CF22" s="79"/>
    </row>
    <row r="23" spans="1:84" s="1" customFormat="1">
      <c r="A23" s="13"/>
      <c r="B23" s="294" t="s">
        <v>1109</v>
      </c>
      <c r="C23" s="28" t="s">
        <v>131</v>
      </c>
      <c r="D23" s="303">
        <v>5865647</v>
      </c>
      <c r="E23" s="304">
        <v>19</v>
      </c>
      <c r="F23" s="304">
        <v>1</v>
      </c>
      <c r="G23" s="29"/>
      <c r="H23" s="251"/>
      <c r="I23" s="46" t="str">
        <f t="shared" ref="I23:I80" si="14">IF(OR(ISBLANK(P23),ISBLANK(G23)),"·",P23*G23/F23/1000000)</f>
        <v>·</v>
      </c>
      <c r="J23" s="47">
        <f t="shared" ref="J23:J80" si="15">IF(ISBLANK(P23),"·",P23/D23)</f>
        <v>18.529559654714987</v>
      </c>
      <c r="K23" s="47">
        <f t="shared" ref="K23:K80" si="16">IF(Q23="","·",Q23/D23)</f>
        <v>15.243402134495989</v>
      </c>
      <c r="L23" s="92"/>
      <c r="M23" s="47">
        <f t="shared" ref="M23:M40" si="17">IF(ISBLANK(Q23),"·",S23/D23)</f>
        <v>3.2860388632319673</v>
      </c>
      <c r="N23" s="47">
        <f t="shared" ref="N23:N80" si="18">IF(ISBLANK(P23),"·",P23/O23)</f>
        <v>18.529559654714987</v>
      </c>
      <c r="O23" s="520">
        <v>5865647</v>
      </c>
      <c r="P23" s="502">
        <v>108687856</v>
      </c>
      <c r="Q23" s="353">
        <v>89412416</v>
      </c>
      <c r="R23" s="92"/>
      <c r="S23" s="546">
        <v>19274744</v>
      </c>
      <c r="T23" s="266"/>
      <c r="U23" s="104"/>
      <c r="V23" s="104"/>
      <c r="W23" s="514">
        <v>70.998183999999995</v>
      </c>
      <c r="X23" s="506"/>
      <c r="Y23" s="355"/>
      <c r="Z23" s="572">
        <v>0</v>
      </c>
      <c r="AA23" s="572">
        <v>0</v>
      </c>
      <c r="AB23" s="49"/>
      <c r="AD23" s="46">
        <v>0</v>
      </c>
      <c r="AE23" s="47">
        <f t="shared" si="9"/>
        <v>18.529559654714987</v>
      </c>
      <c r="AF23" s="47">
        <f t="shared" si="10"/>
        <v>15.243402134495989</v>
      </c>
      <c r="AG23" s="92" t="str">
        <f t="shared" si="11"/>
        <v>·</v>
      </c>
      <c r="AH23" s="47">
        <f t="shared" si="12"/>
        <v>3.2860388632319673</v>
      </c>
      <c r="AI23" s="47">
        <f t="shared" si="13"/>
        <v>18.529559654714987</v>
      </c>
      <c r="AJ23" s="520">
        <v>5865647</v>
      </c>
      <c r="AK23" s="502">
        <v>108687856</v>
      </c>
      <c r="AL23" s="353">
        <v>89412416</v>
      </c>
      <c r="AM23" s="92"/>
      <c r="AN23" s="546">
        <v>19274744</v>
      </c>
      <c r="AO23" s="266"/>
      <c r="AP23" s="104"/>
      <c r="AQ23" s="104"/>
      <c r="AR23" s="514">
        <v>70.998183999999995</v>
      </c>
      <c r="AS23" s="506">
        <v>21.553000000000001</v>
      </c>
      <c r="AT23" s="355">
        <v>14.057</v>
      </c>
      <c r="AU23" s="572">
        <v>0</v>
      </c>
      <c r="AV23" s="572">
        <v>0</v>
      </c>
      <c r="AW23" s="49"/>
      <c r="AY23" s="68" t="e">
        <f t="shared" ref="AY23:AY80" si="19">AU23/Z23</f>
        <v>#DIV/0!</v>
      </c>
      <c r="AZ23" s="69" t="e">
        <f t="shared" ref="AZ23:AZ80" si="20">AV23/AA23</f>
        <v>#DIV/0!</v>
      </c>
      <c r="BA23" s="69">
        <f t="shared" ref="BA23:BA80" si="21">(AL23/AK23) - (Q23/P23)</f>
        <v>0</v>
      </c>
      <c r="BB23" s="70">
        <f t="array" ref="BB23">AVERAGE(AL23:AL28/AK23:AK28) - AVERAGE(Q23:Q28/P23:P28)</f>
        <v>0</v>
      </c>
      <c r="BD23" s="103"/>
      <c r="BE23" s="104"/>
      <c r="BF23" s="104"/>
      <c r="BG23" s="86">
        <f>IF( OR(ISBLANK($S23:$S28),ISBLANK($AN23:$AN28), ISBLANK($W23:$W28),ISBLANK($AR23:$AR28)), "·", bdRateHermite( $S23:$S28,$W23:$W28, $AN23:$AN28,$AR23:$AR28))</f>
        <v>0</v>
      </c>
      <c r="BI23" s="103"/>
      <c r="BJ23" s="104"/>
      <c r="BK23" s="104"/>
      <c r="BL23" s="85">
        <f>IF(OR(ISBLANK($P23:$P28),ISBLANK($AK23:$AK28),ISBLANK($W23:$W28),ISBLANK($AR23:$AR28)),"·",bdRateHermite($P23:$P28,$W23:$W28,$AK23:$AK28,$AR23:$AR28))</f>
        <v>0</v>
      </c>
      <c r="BN23" s="103"/>
      <c r="BO23" s="104"/>
      <c r="BP23" s="104"/>
      <c r="BQ23" s="86">
        <f>IF( OR(ISBLANK($S23:$S28),ISBLANK($AN23:$AN28), ISBLANK($W23:$W28),ISBLANK($AR23:$AR28)), "·", bdRateHermite( $S24:$S28,$W24:$W28, $AN24:$AN28,$AR24:$AR28))</f>
        <v>0</v>
      </c>
      <c r="BS23" s="103"/>
      <c r="BT23" s="104"/>
      <c r="BU23" s="104"/>
      <c r="BV23" s="85">
        <f>IF(OR(ISBLANK($P23:$P28),ISBLANK($AK23:$AK28),ISBLANK($W23:$W28),ISBLANK($AR23:$AR28)),"·",bdRateHermite($P24:$P28,$W24:$W28,$AK24:$AK28,$AR24:$AR28))</f>
        <v>0</v>
      </c>
      <c r="BX23" s="103"/>
      <c r="BY23" s="104"/>
      <c r="BZ23" s="104"/>
      <c r="CA23" s="86">
        <f>IF( OR(ISBLANK($S23:$S27),ISBLANK($AN23:$AN27), ISBLANK($W23:$W27),ISBLANK($AR23:$AR27)), "·", bdRateHermite( $S23:$S27,$W23:$W27, $AN23:$AN27,$AR23:$AR27))</f>
        <v>0</v>
      </c>
      <c r="CC23" s="103"/>
      <c r="CD23" s="104"/>
      <c r="CE23" s="104"/>
      <c r="CF23" s="85">
        <f>IF(OR(ISBLANK($P23:$P27),ISBLANK($AK23:$AK27),ISBLANK($W23:$W27),ISBLANK($AR23:$AR27)),"·",bdRateHermite($P23:$P27,$W23:$W27,$AK23:$AK27,$AR23:$AR27))</f>
        <v>0</v>
      </c>
    </row>
    <row r="24" spans="1:84" s="1" customFormat="1" outlineLevel="1">
      <c r="A24" s="13"/>
      <c r="B24" s="295" t="s">
        <v>986</v>
      </c>
      <c r="C24" s="15" t="s">
        <v>132</v>
      </c>
      <c r="D24" s="300">
        <v>5865647</v>
      </c>
      <c r="E24" s="299">
        <v>19</v>
      </c>
      <c r="F24" s="299">
        <v>1</v>
      </c>
      <c r="G24" s="16"/>
      <c r="H24" s="251"/>
      <c r="I24" s="30" t="str">
        <f t="shared" si="14"/>
        <v>·</v>
      </c>
      <c r="J24" s="31">
        <f t="shared" si="15"/>
        <v>19.673144326619042</v>
      </c>
      <c r="K24" s="31">
        <f t="shared" si="16"/>
        <v>15.243402134495989</v>
      </c>
      <c r="L24" s="87"/>
      <c r="M24" s="31">
        <f t="shared" si="17"/>
        <v>4.429623535136022</v>
      </c>
      <c r="N24" s="31">
        <f t="shared" si="18"/>
        <v>19.673144326619042</v>
      </c>
      <c r="O24" s="521">
        <v>5865647</v>
      </c>
      <c r="P24" s="503">
        <v>115395720</v>
      </c>
      <c r="Q24" s="357">
        <v>89412416</v>
      </c>
      <c r="R24" s="87"/>
      <c r="S24" s="547">
        <v>25982608</v>
      </c>
      <c r="T24" s="267"/>
      <c r="U24" s="106"/>
      <c r="V24" s="106"/>
      <c r="W24" s="515">
        <v>77.010231000000005</v>
      </c>
      <c r="X24" s="507"/>
      <c r="Y24" s="359"/>
      <c r="Z24" s="573">
        <v>0</v>
      </c>
      <c r="AA24" s="573">
        <v>0</v>
      </c>
      <c r="AB24" s="33"/>
      <c r="AD24" s="30">
        <v>0</v>
      </c>
      <c r="AE24" s="31">
        <f t="shared" si="9"/>
        <v>19.673144326619042</v>
      </c>
      <c r="AF24" s="31">
        <f t="shared" si="10"/>
        <v>15.243402134495989</v>
      </c>
      <c r="AG24" s="87" t="str">
        <f t="shared" si="11"/>
        <v>·</v>
      </c>
      <c r="AH24" s="31">
        <f t="shared" si="12"/>
        <v>4.429623535136022</v>
      </c>
      <c r="AI24" s="31">
        <f t="shared" si="13"/>
        <v>19.673144326619042</v>
      </c>
      <c r="AJ24" s="521">
        <v>5865647</v>
      </c>
      <c r="AK24" s="503">
        <v>115395720</v>
      </c>
      <c r="AL24" s="357">
        <v>89412416</v>
      </c>
      <c r="AM24" s="87"/>
      <c r="AN24" s="547">
        <v>25982608</v>
      </c>
      <c r="AO24" s="267"/>
      <c r="AP24" s="106"/>
      <c r="AQ24" s="106"/>
      <c r="AR24" s="515">
        <v>77.010231000000005</v>
      </c>
      <c r="AS24" s="507">
        <v>20.13</v>
      </c>
      <c r="AT24" s="359">
        <v>14.69</v>
      </c>
      <c r="AU24" s="573">
        <v>0</v>
      </c>
      <c r="AV24" s="573">
        <v>0</v>
      </c>
      <c r="AW24" s="33"/>
      <c r="AY24" s="56" t="e">
        <f t="shared" si="19"/>
        <v>#DIV/0!</v>
      </c>
      <c r="AZ24" s="57" t="e">
        <f t="shared" si="20"/>
        <v>#DIV/0!</v>
      </c>
      <c r="BA24" s="57">
        <f t="shared" si="21"/>
        <v>0</v>
      </c>
      <c r="BB24" s="58"/>
      <c r="BD24" s="105"/>
      <c r="BE24" s="106"/>
      <c r="BF24" s="106"/>
      <c r="BG24" s="76"/>
      <c r="BI24" s="105"/>
      <c r="BJ24" s="106"/>
      <c r="BK24" s="106"/>
      <c r="BL24" s="76"/>
      <c r="BN24" s="105"/>
      <c r="BO24" s="106"/>
      <c r="BP24" s="106"/>
      <c r="BQ24" s="76"/>
      <c r="BS24" s="105"/>
      <c r="BT24" s="106"/>
      <c r="BU24" s="106"/>
      <c r="BV24" s="76"/>
      <c r="BX24" s="105"/>
      <c r="BY24" s="106"/>
      <c r="BZ24" s="106"/>
      <c r="CA24" s="76"/>
      <c r="CC24" s="105"/>
      <c r="CD24" s="106"/>
      <c r="CE24" s="106"/>
      <c r="CF24" s="76"/>
    </row>
    <row r="25" spans="1:84" s="1" customFormat="1" outlineLevel="1">
      <c r="A25" s="13"/>
      <c r="B25" s="295" t="s">
        <v>986</v>
      </c>
      <c r="C25" s="15" t="s">
        <v>133</v>
      </c>
      <c r="D25" s="300">
        <v>5865647</v>
      </c>
      <c r="E25" s="299">
        <v>19</v>
      </c>
      <c r="F25" s="299">
        <v>1</v>
      </c>
      <c r="G25" s="16"/>
      <c r="H25" s="251"/>
      <c r="I25" s="30" t="str">
        <f t="shared" si="14"/>
        <v>·</v>
      </c>
      <c r="J25" s="31">
        <f t="shared" si="15"/>
        <v>21.079490122743493</v>
      </c>
      <c r="K25" s="31">
        <f t="shared" si="16"/>
        <v>15.243402134495989</v>
      </c>
      <c r="L25" s="87"/>
      <c r="M25" s="31">
        <f t="shared" si="17"/>
        <v>5.8359693312604728</v>
      </c>
      <c r="N25" s="31">
        <f t="shared" si="18"/>
        <v>21.079490122743493</v>
      </c>
      <c r="O25" s="521">
        <v>5865647</v>
      </c>
      <c r="P25" s="503">
        <v>123644848</v>
      </c>
      <c r="Q25" s="357">
        <v>89412416</v>
      </c>
      <c r="R25" s="87"/>
      <c r="S25" s="547">
        <v>34231736</v>
      </c>
      <c r="T25" s="267"/>
      <c r="U25" s="106"/>
      <c r="V25" s="106"/>
      <c r="W25" s="515">
        <v>83.005736999999996</v>
      </c>
      <c r="X25" s="507"/>
      <c r="Y25" s="359"/>
      <c r="Z25" s="573">
        <v>0</v>
      </c>
      <c r="AA25" s="573">
        <v>0</v>
      </c>
      <c r="AB25" s="33"/>
      <c r="AD25" s="30">
        <v>0</v>
      </c>
      <c r="AE25" s="31">
        <f t="shared" si="9"/>
        <v>21.079490122743493</v>
      </c>
      <c r="AF25" s="31">
        <f t="shared" si="10"/>
        <v>15.243402134495989</v>
      </c>
      <c r="AG25" s="87" t="str">
        <f t="shared" si="11"/>
        <v>·</v>
      </c>
      <c r="AH25" s="31">
        <f t="shared" si="12"/>
        <v>5.8359693312604728</v>
      </c>
      <c r="AI25" s="31">
        <f t="shared" si="13"/>
        <v>21.079490122743493</v>
      </c>
      <c r="AJ25" s="521">
        <v>5865647</v>
      </c>
      <c r="AK25" s="503">
        <v>123644848</v>
      </c>
      <c r="AL25" s="357">
        <v>89412416</v>
      </c>
      <c r="AM25" s="87"/>
      <c r="AN25" s="547">
        <v>34231736</v>
      </c>
      <c r="AO25" s="267"/>
      <c r="AP25" s="106"/>
      <c r="AQ25" s="106"/>
      <c r="AR25" s="515">
        <v>83.005736999999996</v>
      </c>
      <c r="AS25" s="507">
        <v>22.577000000000002</v>
      </c>
      <c r="AT25" s="359">
        <v>14.461</v>
      </c>
      <c r="AU25" s="573">
        <v>0</v>
      </c>
      <c r="AV25" s="573">
        <v>0</v>
      </c>
      <c r="AW25" s="33"/>
      <c r="AY25" s="56" t="e">
        <f t="shared" si="19"/>
        <v>#DIV/0!</v>
      </c>
      <c r="AZ25" s="57" t="e">
        <f t="shared" si="20"/>
        <v>#DIV/0!</v>
      </c>
      <c r="BA25" s="57">
        <f t="shared" si="21"/>
        <v>0</v>
      </c>
      <c r="BB25" s="58"/>
      <c r="BD25" s="105"/>
      <c r="BE25" s="106"/>
      <c r="BF25" s="106"/>
      <c r="BG25" s="76"/>
      <c r="BI25" s="105"/>
      <c r="BJ25" s="106"/>
      <c r="BK25" s="106"/>
      <c r="BL25" s="76"/>
      <c r="BN25" s="105"/>
      <c r="BO25" s="106"/>
      <c r="BP25" s="106"/>
      <c r="BQ25" s="76"/>
      <c r="BS25" s="105"/>
      <c r="BT25" s="106"/>
      <c r="BU25" s="106"/>
      <c r="BV25" s="76"/>
      <c r="BX25" s="105"/>
      <c r="BY25" s="106"/>
      <c r="BZ25" s="106"/>
      <c r="CA25" s="76"/>
      <c r="CC25" s="105"/>
      <c r="CD25" s="106"/>
      <c r="CE25" s="106"/>
      <c r="CF25" s="76"/>
    </row>
    <row r="26" spans="1:84" s="1" customFormat="1" outlineLevel="1">
      <c r="A26" s="13"/>
      <c r="B26" s="295" t="s">
        <v>986</v>
      </c>
      <c r="C26" s="15" t="s">
        <v>134</v>
      </c>
      <c r="D26" s="300">
        <v>5865647</v>
      </c>
      <c r="E26" s="299">
        <v>19</v>
      </c>
      <c r="F26" s="299">
        <v>1</v>
      </c>
      <c r="G26" s="16"/>
      <c r="H26" s="251"/>
      <c r="I26" s="30" t="str">
        <f t="shared" si="14"/>
        <v>·</v>
      </c>
      <c r="J26" s="31">
        <f t="shared" si="15"/>
        <v>22.750843342601421</v>
      </c>
      <c r="K26" s="31">
        <f t="shared" si="16"/>
        <v>15.243402134495989</v>
      </c>
      <c r="L26" s="87"/>
      <c r="M26" s="31">
        <f t="shared" si="17"/>
        <v>7.5073239149918161</v>
      </c>
      <c r="N26" s="31">
        <f t="shared" si="18"/>
        <v>22.750843342601421</v>
      </c>
      <c r="O26" s="521">
        <v>5865647</v>
      </c>
      <c r="P26" s="503">
        <v>133448416</v>
      </c>
      <c r="Q26" s="357">
        <v>89412416</v>
      </c>
      <c r="R26" s="87"/>
      <c r="S26" s="547">
        <v>44035312</v>
      </c>
      <c r="T26" s="267"/>
      <c r="U26" s="106"/>
      <c r="V26" s="106"/>
      <c r="W26" s="515">
        <v>88.927398999999994</v>
      </c>
      <c r="X26" s="507"/>
      <c r="Y26" s="359"/>
      <c r="Z26" s="573">
        <v>0</v>
      </c>
      <c r="AA26" s="573">
        <v>0</v>
      </c>
      <c r="AB26" s="33"/>
      <c r="AD26" s="30">
        <v>0</v>
      </c>
      <c r="AE26" s="31">
        <f t="shared" si="9"/>
        <v>22.750843342601421</v>
      </c>
      <c r="AF26" s="31">
        <f t="shared" si="10"/>
        <v>15.243402134495989</v>
      </c>
      <c r="AG26" s="87" t="str">
        <f t="shared" si="11"/>
        <v>·</v>
      </c>
      <c r="AH26" s="31">
        <f t="shared" si="12"/>
        <v>7.5073239149918161</v>
      </c>
      <c r="AI26" s="31">
        <f t="shared" si="13"/>
        <v>22.750843342601421</v>
      </c>
      <c r="AJ26" s="521">
        <v>5865647</v>
      </c>
      <c r="AK26" s="503">
        <v>133448416</v>
      </c>
      <c r="AL26" s="357">
        <v>89412416</v>
      </c>
      <c r="AM26" s="87"/>
      <c r="AN26" s="547">
        <v>44035312</v>
      </c>
      <c r="AO26" s="267"/>
      <c r="AP26" s="106"/>
      <c r="AQ26" s="106"/>
      <c r="AR26" s="515">
        <v>88.927398999999994</v>
      </c>
      <c r="AS26" s="507">
        <v>22.76</v>
      </c>
      <c r="AT26" s="359">
        <v>15.576000000000001</v>
      </c>
      <c r="AU26" s="573">
        <v>0</v>
      </c>
      <c r="AV26" s="573">
        <v>0</v>
      </c>
      <c r="AW26" s="33"/>
      <c r="AY26" s="56" t="e">
        <f t="shared" si="19"/>
        <v>#DIV/0!</v>
      </c>
      <c r="AZ26" s="57" t="e">
        <f t="shared" si="20"/>
        <v>#DIV/0!</v>
      </c>
      <c r="BA26" s="57">
        <f t="shared" si="21"/>
        <v>0</v>
      </c>
      <c r="BB26" s="58"/>
      <c r="BD26" s="105"/>
      <c r="BE26" s="106"/>
      <c r="BF26" s="106"/>
      <c r="BG26" s="76"/>
      <c r="BI26" s="105"/>
      <c r="BJ26" s="106"/>
      <c r="BK26" s="106"/>
      <c r="BL26" s="76"/>
      <c r="BN26" s="105"/>
      <c r="BO26" s="106"/>
      <c r="BP26" s="106"/>
      <c r="BQ26" s="76"/>
      <c r="BS26" s="105"/>
      <c r="BT26" s="106"/>
      <c r="BU26" s="106"/>
      <c r="BV26" s="76"/>
      <c r="BX26" s="105"/>
      <c r="BY26" s="106"/>
      <c r="BZ26" s="106"/>
      <c r="CA26" s="76"/>
      <c r="CC26" s="105"/>
      <c r="CD26" s="106"/>
      <c r="CE26" s="106"/>
      <c r="CF26" s="76"/>
    </row>
    <row r="27" spans="1:84" s="1" customFormat="1" outlineLevel="1">
      <c r="A27" s="13"/>
      <c r="B27" s="295" t="s">
        <v>986</v>
      </c>
      <c r="C27" s="15" t="s">
        <v>135</v>
      </c>
      <c r="D27" s="300">
        <v>5865647</v>
      </c>
      <c r="E27" s="299">
        <v>19</v>
      </c>
      <c r="F27" s="299">
        <v>1</v>
      </c>
      <c r="G27" s="16"/>
      <c r="H27" s="251"/>
      <c r="I27" s="30" t="str">
        <f t="shared" si="14"/>
        <v>·</v>
      </c>
      <c r="J27" s="31">
        <f t="shared" si="15"/>
        <v>23.931409442129741</v>
      </c>
      <c r="K27" s="31">
        <f t="shared" si="16"/>
        <v>15.243402134495989</v>
      </c>
      <c r="L27" s="87"/>
      <c r="M27" s="31">
        <f t="shared" si="17"/>
        <v>8.6878900145201374</v>
      </c>
      <c r="N27" s="31">
        <f t="shared" si="18"/>
        <v>23.931409442129741</v>
      </c>
      <c r="O27" s="521">
        <v>5865647</v>
      </c>
      <c r="P27" s="503">
        <v>140373200</v>
      </c>
      <c r="Q27" s="357">
        <v>89412416</v>
      </c>
      <c r="R27" s="87"/>
      <c r="S27" s="547">
        <v>50960096</v>
      </c>
      <c r="T27" s="267"/>
      <c r="U27" s="106"/>
      <c r="V27" s="106"/>
      <c r="W27" s="515">
        <v>94.568511999999998</v>
      </c>
      <c r="X27" s="507"/>
      <c r="Y27" s="359"/>
      <c r="Z27" s="573">
        <v>0</v>
      </c>
      <c r="AA27" s="573">
        <v>0</v>
      </c>
      <c r="AB27" s="33"/>
      <c r="AD27" s="30">
        <v>0</v>
      </c>
      <c r="AE27" s="31">
        <f t="shared" si="9"/>
        <v>23.931409442129741</v>
      </c>
      <c r="AF27" s="31">
        <f t="shared" si="10"/>
        <v>15.243402134495989</v>
      </c>
      <c r="AG27" s="87" t="str">
        <f t="shared" si="11"/>
        <v>·</v>
      </c>
      <c r="AH27" s="31">
        <f t="shared" si="12"/>
        <v>8.6878900145201374</v>
      </c>
      <c r="AI27" s="31">
        <f t="shared" si="13"/>
        <v>23.931409442129741</v>
      </c>
      <c r="AJ27" s="521">
        <v>5865647</v>
      </c>
      <c r="AK27" s="503">
        <v>140373200</v>
      </c>
      <c r="AL27" s="357">
        <v>89412416</v>
      </c>
      <c r="AM27" s="87"/>
      <c r="AN27" s="547">
        <v>50960096</v>
      </c>
      <c r="AO27" s="267"/>
      <c r="AP27" s="106"/>
      <c r="AQ27" s="106"/>
      <c r="AR27" s="515">
        <v>94.568511999999998</v>
      </c>
      <c r="AS27" s="507">
        <v>22.693000000000001</v>
      </c>
      <c r="AT27" s="359">
        <v>15.4</v>
      </c>
      <c r="AU27" s="573">
        <v>0</v>
      </c>
      <c r="AV27" s="573">
        <v>0</v>
      </c>
      <c r="AW27" s="33"/>
      <c r="AY27" s="56" t="e">
        <f t="shared" si="19"/>
        <v>#DIV/0!</v>
      </c>
      <c r="AZ27" s="57" t="e">
        <f t="shared" si="20"/>
        <v>#DIV/0!</v>
      </c>
      <c r="BA27" s="57">
        <f t="shared" si="21"/>
        <v>0</v>
      </c>
      <c r="BB27" s="58"/>
      <c r="BD27" s="105"/>
      <c r="BE27" s="106"/>
      <c r="BF27" s="106"/>
      <c r="BG27" s="76"/>
      <c r="BI27" s="105"/>
      <c r="BJ27" s="106"/>
      <c r="BK27" s="106"/>
      <c r="BL27" s="76"/>
      <c r="BN27" s="105"/>
      <c r="BO27" s="106"/>
      <c r="BP27" s="106"/>
      <c r="BQ27" s="76"/>
      <c r="BS27" s="105"/>
      <c r="BT27" s="106"/>
      <c r="BU27" s="106"/>
      <c r="BV27" s="76"/>
      <c r="BX27" s="105"/>
      <c r="BY27" s="106"/>
      <c r="BZ27" s="106"/>
      <c r="CA27" s="76"/>
      <c r="CC27" s="105"/>
      <c r="CD27" s="106"/>
      <c r="CE27" s="106"/>
      <c r="CF27" s="76"/>
    </row>
    <row r="28" spans="1:84" s="1" customFormat="1" ht="14.25" outlineLevel="1" thickBot="1">
      <c r="A28" s="13"/>
      <c r="B28" s="296" t="s">
        <v>986</v>
      </c>
      <c r="C28" s="22" t="s">
        <v>136</v>
      </c>
      <c r="D28" s="305">
        <v>5865647</v>
      </c>
      <c r="E28" s="306">
        <v>19</v>
      </c>
      <c r="F28" s="306">
        <v>1</v>
      </c>
      <c r="G28" s="23"/>
      <c r="H28" s="251"/>
      <c r="I28" s="34" t="str">
        <f t="shared" si="14"/>
        <v>·</v>
      </c>
      <c r="J28" s="35">
        <f t="shared" si="15"/>
        <v>25.164125969394341</v>
      </c>
      <c r="K28" s="35">
        <f t="shared" si="16"/>
        <v>15.243402134495989</v>
      </c>
      <c r="L28" s="88"/>
      <c r="M28" s="35">
        <f t="shared" si="17"/>
        <v>9.9206065417847338</v>
      </c>
      <c r="N28" s="35">
        <f t="shared" si="18"/>
        <v>25.164125969394341</v>
      </c>
      <c r="O28" s="522">
        <v>5865647</v>
      </c>
      <c r="P28" s="505">
        <v>147603880</v>
      </c>
      <c r="Q28" s="361">
        <v>89412416</v>
      </c>
      <c r="R28" s="88"/>
      <c r="S28" s="548">
        <v>58190776</v>
      </c>
      <c r="T28" s="545"/>
      <c r="U28" s="109"/>
      <c r="V28" s="109"/>
      <c r="W28" s="517">
        <v>99.340819999999994</v>
      </c>
      <c r="X28" s="509"/>
      <c r="Y28" s="363"/>
      <c r="Z28" s="575">
        <v>0</v>
      </c>
      <c r="AA28" s="575">
        <v>0</v>
      </c>
      <c r="AB28" s="37"/>
      <c r="AD28" s="34">
        <v>0</v>
      </c>
      <c r="AE28" s="35">
        <f t="shared" si="9"/>
        <v>25.164125969394341</v>
      </c>
      <c r="AF28" s="35">
        <f t="shared" si="10"/>
        <v>15.243402134495989</v>
      </c>
      <c r="AG28" s="88" t="str">
        <f t="shared" si="11"/>
        <v>·</v>
      </c>
      <c r="AH28" s="35">
        <f t="shared" si="12"/>
        <v>9.9206065417847338</v>
      </c>
      <c r="AI28" s="35">
        <f t="shared" si="13"/>
        <v>25.164125969394341</v>
      </c>
      <c r="AJ28" s="522">
        <v>5865647</v>
      </c>
      <c r="AK28" s="505">
        <v>147603880</v>
      </c>
      <c r="AL28" s="361">
        <v>89412416</v>
      </c>
      <c r="AM28" s="88"/>
      <c r="AN28" s="548">
        <v>58190776</v>
      </c>
      <c r="AO28" s="545"/>
      <c r="AP28" s="109"/>
      <c r="AQ28" s="109"/>
      <c r="AR28" s="517">
        <v>99.340819999999994</v>
      </c>
      <c r="AS28" s="509">
        <v>23.234000000000002</v>
      </c>
      <c r="AT28" s="363">
        <v>15.667999999999999</v>
      </c>
      <c r="AU28" s="575">
        <v>0</v>
      </c>
      <c r="AV28" s="575">
        <v>0</v>
      </c>
      <c r="AW28" s="37"/>
      <c r="AY28" s="59" t="e">
        <f t="shared" si="19"/>
        <v>#DIV/0!</v>
      </c>
      <c r="AZ28" s="60" t="e">
        <f t="shared" si="20"/>
        <v>#DIV/0!</v>
      </c>
      <c r="BA28" s="60">
        <f t="shared" si="21"/>
        <v>0</v>
      </c>
      <c r="BB28" s="61"/>
      <c r="BD28" s="108"/>
      <c r="BE28" s="109"/>
      <c r="BF28" s="109"/>
      <c r="BG28" s="79"/>
      <c r="BI28" s="108"/>
      <c r="BJ28" s="109"/>
      <c r="BK28" s="109"/>
      <c r="BL28" s="82"/>
      <c r="BN28" s="134"/>
      <c r="BO28" s="135"/>
      <c r="BP28" s="135"/>
      <c r="BQ28" s="82"/>
      <c r="BS28" s="134"/>
      <c r="BT28" s="135"/>
      <c r="BU28" s="135"/>
      <c r="BV28" s="82"/>
      <c r="BX28" s="134"/>
      <c r="BY28" s="135"/>
      <c r="BZ28" s="135"/>
      <c r="CA28" s="82"/>
      <c r="CC28" s="134"/>
      <c r="CD28" s="135"/>
      <c r="CE28" s="135"/>
      <c r="CF28" s="82"/>
    </row>
    <row r="29" spans="1:84" s="1" customFormat="1">
      <c r="A29" s="13"/>
      <c r="B29" s="293" t="s">
        <v>987</v>
      </c>
      <c r="C29" s="28" t="s">
        <v>131</v>
      </c>
      <c r="D29" s="307">
        <v>5538380</v>
      </c>
      <c r="E29" s="308">
        <v>19</v>
      </c>
      <c r="F29" s="308">
        <v>1</v>
      </c>
      <c r="G29" s="29"/>
      <c r="H29" s="251"/>
      <c r="I29" s="46" t="str">
        <f t="shared" si="14"/>
        <v>·</v>
      </c>
      <c r="J29" s="47">
        <f t="shared" si="15"/>
        <v>20.424280024122577</v>
      </c>
      <c r="K29" s="47">
        <f t="shared" si="16"/>
        <v>16.990158132883622</v>
      </c>
      <c r="L29" s="87"/>
      <c r="M29" s="47">
        <f t="shared" si="17"/>
        <v>3.4339890003936171</v>
      </c>
      <c r="N29" s="47">
        <f t="shared" si="18"/>
        <v>20.424280024122577</v>
      </c>
      <c r="O29" s="520">
        <v>5538380</v>
      </c>
      <c r="P29" s="502">
        <v>113117424</v>
      </c>
      <c r="Q29" s="353">
        <v>94097952</v>
      </c>
      <c r="R29" s="87"/>
      <c r="S29" s="546">
        <v>19018736</v>
      </c>
      <c r="T29" s="266"/>
      <c r="U29" s="104"/>
      <c r="V29" s="104"/>
      <c r="W29" s="514">
        <v>70.993926999999999</v>
      </c>
      <c r="X29" s="506"/>
      <c r="Y29" s="355"/>
      <c r="Z29" s="572">
        <v>0</v>
      </c>
      <c r="AA29" s="572">
        <v>0</v>
      </c>
      <c r="AB29" s="49"/>
      <c r="AD29" s="46">
        <v>0</v>
      </c>
      <c r="AE29" s="47">
        <f t="shared" si="9"/>
        <v>20.424280024122577</v>
      </c>
      <c r="AF29" s="47">
        <f t="shared" si="10"/>
        <v>16.990158132883622</v>
      </c>
      <c r="AG29" s="87" t="str">
        <f t="shared" si="11"/>
        <v>·</v>
      </c>
      <c r="AH29" s="47">
        <f t="shared" si="12"/>
        <v>3.4339890003936171</v>
      </c>
      <c r="AI29" s="47">
        <f t="shared" si="13"/>
        <v>20.424280024122577</v>
      </c>
      <c r="AJ29" s="520">
        <v>5538380</v>
      </c>
      <c r="AK29" s="502">
        <v>113117424</v>
      </c>
      <c r="AL29" s="353">
        <v>94097952</v>
      </c>
      <c r="AM29" s="87"/>
      <c r="AN29" s="546">
        <v>19018736</v>
      </c>
      <c r="AO29" s="266"/>
      <c r="AP29" s="104"/>
      <c r="AQ29" s="104"/>
      <c r="AR29" s="514">
        <v>70.993926999999999</v>
      </c>
      <c r="AS29" s="506">
        <v>18.449000000000002</v>
      </c>
      <c r="AT29" s="355">
        <v>13.135999999999999</v>
      </c>
      <c r="AU29" s="572">
        <v>0</v>
      </c>
      <c r="AV29" s="572">
        <v>0</v>
      </c>
      <c r="AW29" s="49"/>
      <c r="AY29" s="68" t="e">
        <f t="shared" si="19"/>
        <v>#DIV/0!</v>
      </c>
      <c r="AZ29" s="69" t="e">
        <f t="shared" si="20"/>
        <v>#DIV/0!</v>
      </c>
      <c r="BA29" s="69">
        <f t="shared" si="21"/>
        <v>0</v>
      </c>
      <c r="BB29" s="70">
        <f t="array" ref="BB29">AVERAGE(AL29:AL34/AK29:AK34) - AVERAGE(Q29:Q34/P29:P34)</f>
        <v>0</v>
      </c>
      <c r="BD29" s="103"/>
      <c r="BE29" s="104"/>
      <c r="BF29" s="104"/>
      <c r="BG29" s="86">
        <f>IF( OR(ISBLANK($S29:$S34),ISBLANK($AN29:$AN34), ISBLANK($W29:$W34),ISBLANK($AR29:$AR34)), "·", bdRateHermite( $S29:$S34,$W29:$W34, $AN29:$AN34,$AR29:$AR34))</f>
        <v>0</v>
      </c>
      <c r="BI29" s="103"/>
      <c r="BJ29" s="104"/>
      <c r="BK29" s="104"/>
      <c r="BL29" s="85">
        <f>IF(OR(ISBLANK($P29:$P34),ISBLANK($AK29:$AK34),ISBLANK($W29:$W34),ISBLANK($AR29:$AR34)),"·",bdRateHermite($P29:$P34,$W29:$W34,$AK29:$AK34,$AR29:$AR34))</f>
        <v>0</v>
      </c>
      <c r="BN29" s="103"/>
      <c r="BO29" s="104"/>
      <c r="BP29" s="104"/>
      <c r="BQ29" s="86">
        <f>IF( OR(ISBLANK($S29:$S34),ISBLANK($AN29:$AN34), ISBLANK($W29:$W34),ISBLANK($AR29:$AR34)), "·", bdRateHermite( $S30:$S34,$W30:$W34, $AN30:$AN34,$AR30:$AR34))</f>
        <v>0</v>
      </c>
      <c r="BS29" s="103"/>
      <c r="BT29" s="104"/>
      <c r="BU29" s="104"/>
      <c r="BV29" s="85">
        <f>IF(OR(ISBLANK($P29:$P34),ISBLANK($AK29:$AK34),ISBLANK($W29:$W34),ISBLANK($AR29:$AR34)),"·",bdRateHermite($P30:$P34,$W30:$W34,$AK30:$AK34,$AR30:$AR34))</f>
        <v>0</v>
      </c>
      <c r="BX29" s="103"/>
      <c r="BY29" s="104"/>
      <c r="BZ29" s="104"/>
      <c r="CA29" s="86">
        <f>IF( OR(ISBLANK($S29:$S33),ISBLANK($AN29:$AN33), ISBLANK($W29:$W33),ISBLANK($AR29:$AR33)), "·", bdRateHermite( $S29:$S33,$W29:$W33, $AN29:$AN33,$AR29:$AR33))</f>
        <v>0</v>
      </c>
      <c r="CC29" s="103"/>
      <c r="CD29" s="104"/>
      <c r="CE29" s="104"/>
      <c r="CF29" s="85">
        <f>IF(OR(ISBLANK($P29:$P33),ISBLANK($AK29:$AK33),ISBLANK($W29:$W33),ISBLANK($AR29:$AR33)),"·",bdRateHermite($P29:$P33,$W29:$W33,$AK29:$AK33,$AR29:$AR33))</f>
        <v>0</v>
      </c>
    </row>
    <row r="30" spans="1:84" s="1" customFormat="1" outlineLevel="1">
      <c r="A30" s="13"/>
      <c r="B30" s="291" t="s">
        <v>987</v>
      </c>
      <c r="C30" s="15" t="s">
        <v>132</v>
      </c>
      <c r="D30" s="300">
        <v>5538380</v>
      </c>
      <c r="E30" s="299">
        <v>19</v>
      </c>
      <c r="F30" s="299">
        <v>1</v>
      </c>
      <c r="G30" s="16"/>
      <c r="H30" s="251"/>
      <c r="I30" s="30" t="str">
        <f t="shared" si="14"/>
        <v>·</v>
      </c>
      <c r="J30" s="31">
        <f t="shared" si="15"/>
        <v>21.610495487850237</v>
      </c>
      <c r="K30" s="31">
        <f t="shared" si="16"/>
        <v>16.990158132883622</v>
      </c>
      <c r="L30" s="87"/>
      <c r="M30" s="31">
        <f t="shared" si="17"/>
        <v>4.6202044641212776</v>
      </c>
      <c r="N30" s="31">
        <f t="shared" si="18"/>
        <v>21.610495487850237</v>
      </c>
      <c r="O30" s="521">
        <v>5538380</v>
      </c>
      <c r="P30" s="503">
        <v>119687136</v>
      </c>
      <c r="Q30" s="357">
        <v>94097952</v>
      </c>
      <c r="R30" s="87"/>
      <c r="S30" s="547">
        <v>25588448</v>
      </c>
      <c r="T30" s="267"/>
      <c r="U30" s="106"/>
      <c r="V30" s="106"/>
      <c r="W30" s="515">
        <v>77.010695999999996</v>
      </c>
      <c r="X30" s="507"/>
      <c r="Y30" s="359"/>
      <c r="Z30" s="573">
        <v>0</v>
      </c>
      <c r="AA30" s="573">
        <v>0</v>
      </c>
      <c r="AB30" s="33"/>
      <c r="AD30" s="30">
        <v>0</v>
      </c>
      <c r="AE30" s="31">
        <f t="shared" si="9"/>
        <v>21.610495487850237</v>
      </c>
      <c r="AF30" s="31">
        <f t="shared" si="10"/>
        <v>16.990158132883622</v>
      </c>
      <c r="AG30" s="87" t="str">
        <f t="shared" si="11"/>
        <v>·</v>
      </c>
      <c r="AH30" s="31">
        <f t="shared" si="12"/>
        <v>4.6202044641212776</v>
      </c>
      <c r="AI30" s="31">
        <f t="shared" si="13"/>
        <v>21.610495487850237</v>
      </c>
      <c r="AJ30" s="521">
        <v>5538380</v>
      </c>
      <c r="AK30" s="503">
        <v>119687136</v>
      </c>
      <c r="AL30" s="357">
        <v>94097952</v>
      </c>
      <c r="AM30" s="87"/>
      <c r="AN30" s="547">
        <v>25588448</v>
      </c>
      <c r="AO30" s="267"/>
      <c r="AP30" s="106"/>
      <c r="AQ30" s="106"/>
      <c r="AR30" s="515">
        <v>77.010695999999996</v>
      </c>
      <c r="AS30" s="507">
        <v>18.715</v>
      </c>
      <c r="AT30" s="359">
        <v>13.752000000000001</v>
      </c>
      <c r="AU30" s="573">
        <v>0</v>
      </c>
      <c r="AV30" s="573">
        <v>0</v>
      </c>
      <c r="AW30" s="33"/>
      <c r="AY30" s="56" t="e">
        <f t="shared" si="19"/>
        <v>#DIV/0!</v>
      </c>
      <c r="AZ30" s="57" t="e">
        <f t="shared" si="20"/>
        <v>#DIV/0!</v>
      </c>
      <c r="BA30" s="57">
        <f t="shared" si="21"/>
        <v>0</v>
      </c>
      <c r="BB30" s="58"/>
      <c r="BD30" s="105"/>
      <c r="BE30" s="106"/>
      <c r="BF30" s="106"/>
      <c r="BG30" s="76"/>
      <c r="BI30" s="105"/>
      <c r="BJ30" s="106"/>
      <c r="BK30" s="106"/>
      <c r="BL30" s="76"/>
      <c r="BN30" s="105"/>
      <c r="BO30" s="106"/>
      <c r="BP30" s="106"/>
      <c r="BQ30" s="76"/>
      <c r="BS30" s="105"/>
      <c r="BT30" s="106"/>
      <c r="BU30" s="106"/>
      <c r="BV30" s="76"/>
      <c r="BX30" s="105"/>
      <c r="BY30" s="106"/>
      <c r="BZ30" s="106"/>
      <c r="CA30" s="76"/>
      <c r="CC30" s="105"/>
      <c r="CD30" s="106"/>
      <c r="CE30" s="106"/>
      <c r="CF30" s="76"/>
    </row>
    <row r="31" spans="1:84" s="1" customFormat="1" outlineLevel="1">
      <c r="A31" s="13"/>
      <c r="B31" s="291" t="s">
        <v>987</v>
      </c>
      <c r="C31" s="15" t="s">
        <v>133</v>
      </c>
      <c r="D31" s="300">
        <v>5538380</v>
      </c>
      <c r="E31" s="299">
        <v>19</v>
      </c>
      <c r="F31" s="299">
        <v>1</v>
      </c>
      <c r="G31" s="16"/>
      <c r="H31" s="251"/>
      <c r="I31" s="30" t="str">
        <f t="shared" si="14"/>
        <v>·</v>
      </c>
      <c r="J31" s="31">
        <f t="shared" si="15"/>
        <v>23.026693004091449</v>
      </c>
      <c r="K31" s="31">
        <f t="shared" si="16"/>
        <v>16.990158132883622</v>
      </c>
      <c r="L31" s="87"/>
      <c r="M31" s="31">
        <f t="shared" si="17"/>
        <v>6.0364019803624887</v>
      </c>
      <c r="N31" s="31">
        <f t="shared" si="18"/>
        <v>23.026693004091449</v>
      </c>
      <c r="O31" s="521">
        <v>5538380</v>
      </c>
      <c r="P31" s="503">
        <v>127530576</v>
      </c>
      <c r="Q31" s="357">
        <v>94097952</v>
      </c>
      <c r="R31" s="87"/>
      <c r="S31" s="547">
        <v>33431888</v>
      </c>
      <c r="T31" s="267"/>
      <c r="U31" s="106"/>
      <c r="V31" s="106"/>
      <c r="W31" s="515">
        <v>83.002930000000006</v>
      </c>
      <c r="X31" s="507"/>
      <c r="Y31" s="359"/>
      <c r="Z31" s="573">
        <v>0</v>
      </c>
      <c r="AA31" s="573">
        <v>0</v>
      </c>
      <c r="AB31" s="33"/>
      <c r="AD31" s="30">
        <v>0</v>
      </c>
      <c r="AE31" s="31">
        <f t="shared" si="9"/>
        <v>23.026693004091449</v>
      </c>
      <c r="AF31" s="31">
        <f t="shared" si="10"/>
        <v>16.990158132883622</v>
      </c>
      <c r="AG31" s="87" t="str">
        <f t="shared" si="11"/>
        <v>·</v>
      </c>
      <c r="AH31" s="31">
        <f t="shared" si="12"/>
        <v>6.0364019803624887</v>
      </c>
      <c r="AI31" s="31">
        <f t="shared" si="13"/>
        <v>23.026693004091449</v>
      </c>
      <c r="AJ31" s="521">
        <v>5538380</v>
      </c>
      <c r="AK31" s="503">
        <v>127530576</v>
      </c>
      <c r="AL31" s="357">
        <v>94097952</v>
      </c>
      <c r="AM31" s="87"/>
      <c r="AN31" s="547">
        <v>33431888</v>
      </c>
      <c r="AO31" s="267"/>
      <c r="AP31" s="106"/>
      <c r="AQ31" s="106"/>
      <c r="AR31" s="515">
        <v>83.002930000000006</v>
      </c>
      <c r="AS31" s="507">
        <v>19.77</v>
      </c>
      <c r="AT31" s="359">
        <v>14.561</v>
      </c>
      <c r="AU31" s="573">
        <v>0</v>
      </c>
      <c r="AV31" s="573">
        <v>0</v>
      </c>
      <c r="AW31" s="33"/>
      <c r="AY31" s="56" t="e">
        <f t="shared" si="19"/>
        <v>#DIV/0!</v>
      </c>
      <c r="AZ31" s="57" t="e">
        <f t="shared" si="20"/>
        <v>#DIV/0!</v>
      </c>
      <c r="BA31" s="57">
        <f t="shared" si="21"/>
        <v>0</v>
      </c>
      <c r="BB31" s="58"/>
      <c r="BD31" s="105"/>
      <c r="BE31" s="106"/>
      <c r="BF31" s="106"/>
      <c r="BG31" s="76"/>
      <c r="BI31" s="105"/>
      <c r="BJ31" s="106"/>
      <c r="BK31" s="106"/>
      <c r="BL31" s="76"/>
      <c r="BN31" s="105"/>
      <c r="BO31" s="106"/>
      <c r="BP31" s="106"/>
      <c r="BQ31" s="76"/>
      <c r="BS31" s="105"/>
      <c r="BT31" s="106"/>
      <c r="BU31" s="106"/>
      <c r="BV31" s="76"/>
      <c r="BX31" s="105"/>
      <c r="BY31" s="106"/>
      <c r="BZ31" s="106"/>
      <c r="CA31" s="76"/>
      <c r="CC31" s="105"/>
      <c r="CD31" s="106"/>
      <c r="CE31" s="106"/>
      <c r="CF31" s="76"/>
    </row>
    <row r="32" spans="1:84" s="1" customFormat="1" outlineLevel="1">
      <c r="A32" s="13"/>
      <c r="B32" s="291" t="s">
        <v>987</v>
      </c>
      <c r="C32" s="15" t="s">
        <v>134</v>
      </c>
      <c r="D32" s="300">
        <v>5538380</v>
      </c>
      <c r="E32" s="299">
        <v>19</v>
      </c>
      <c r="F32" s="299">
        <v>1</v>
      </c>
      <c r="G32" s="16"/>
      <c r="H32" s="251"/>
      <c r="I32" s="30" t="str">
        <f t="shared" si="14"/>
        <v>·</v>
      </c>
      <c r="J32" s="31">
        <f t="shared" si="15"/>
        <v>24.56331273765975</v>
      </c>
      <c r="K32" s="31">
        <f t="shared" si="16"/>
        <v>16.990158132883622</v>
      </c>
      <c r="L32" s="87"/>
      <c r="M32" s="31">
        <f t="shared" si="17"/>
        <v>7.573021713930788</v>
      </c>
      <c r="N32" s="31">
        <f t="shared" si="18"/>
        <v>24.56331273765975</v>
      </c>
      <c r="O32" s="521">
        <v>5538380</v>
      </c>
      <c r="P32" s="503">
        <v>136040960</v>
      </c>
      <c r="Q32" s="357">
        <v>94097952</v>
      </c>
      <c r="R32" s="87"/>
      <c r="S32" s="547">
        <v>41942272</v>
      </c>
      <c r="T32" s="267"/>
      <c r="U32" s="106"/>
      <c r="V32" s="106"/>
      <c r="W32" s="515">
        <v>88.928229999999999</v>
      </c>
      <c r="X32" s="507"/>
      <c r="Y32" s="359"/>
      <c r="Z32" s="573">
        <v>0</v>
      </c>
      <c r="AA32" s="573">
        <v>0</v>
      </c>
      <c r="AB32" s="33"/>
      <c r="AD32" s="30">
        <v>0</v>
      </c>
      <c r="AE32" s="31">
        <f t="shared" si="9"/>
        <v>24.56331273765975</v>
      </c>
      <c r="AF32" s="31">
        <f t="shared" si="10"/>
        <v>16.990158132883622</v>
      </c>
      <c r="AG32" s="87" t="str">
        <f t="shared" si="11"/>
        <v>·</v>
      </c>
      <c r="AH32" s="31">
        <f t="shared" si="12"/>
        <v>7.573021713930788</v>
      </c>
      <c r="AI32" s="31">
        <f t="shared" si="13"/>
        <v>24.56331273765975</v>
      </c>
      <c r="AJ32" s="521">
        <v>5538380</v>
      </c>
      <c r="AK32" s="503">
        <v>136040960</v>
      </c>
      <c r="AL32" s="357">
        <v>94097952</v>
      </c>
      <c r="AM32" s="87"/>
      <c r="AN32" s="547">
        <v>41942272</v>
      </c>
      <c r="AO32" s="267"/>
      <c r="AP32" s="106"/>
      <c r="AQ32" s="106"/>
      <c r="AR32" s="515">
        <v>88.928229999999999</v>
      </c>
      <c r="AS32" s="507">
        <v>21.370999999999999</v>
      </c>
      <c r="AT32" s="359">
        <v>14.173999999999999</v>
      </c>
      <c r="AU32" s="573">
        <v>0</v>
      </c>
      <c r="AV32" s="573">
        <v>0</v>
      </c>
      <c r="AW32" s="33"/>
      <c r="AY32" s="56" t="e">
        <f t="shared" si="19"/>
        <v>#DIV/0!</v>
      </c>
      <c r="AZ32" s="57" t="e">
        <f t="shared" si="20"/>
        <v>#DIV/0!</v>
      </c>
      <c r="BA32" s="57">
        <f t="shared" si="21"/>
        <v>0</v>
      </c>
      <c r="BB32" s="58"/>
      <c r="BD32" s="105"/>
      <c r="BE32" s="106"/>
      <c r="BF32" s="106"/>
      <c r="BG32" s="76"/>
      <c r="BI32" s="105"/>
      <c r="BJ32" s="106"/>
      <c r="BK32" s="106"/>
      <c r="BL32" s="76"/>
      <c r="BN32" s="105"/>
      <c r="BO32" s="106"/>
      <c r="BP32" s="106"/>
      <c r="BQ32" s="76"/>
      <c r="BS32" s="105"/>
      <c r="BT32" s="106"/>
      <c r="BU32" s="106"/>
      <c r="BV32" s="76"/>
      <c r="BX32" s="105"/>
      <c r="BY32" s="106"/>
      <c r="BZ32" s="106"/>
      <c r="CA32" s="76"/>
      <c r="CC32" s="105"/>
      <c r="CD32" s="106"/>
      <c r="CE32" s="106"/>
      <c r="CF32" s="76"/>
    </row>
    <row r="33" spans="1:84" s="1" customFormat="1" outlineLevel="1">
      <c r="A33" s="13"/>
      <c r="B33" s="291" t="s">
        <v>987</v>
      </c>
      <c r="C33" s="15" t="s">
        <v>135</v>
      </c>
      <c r="D33" s="300">
        <v>5538380</v>
      </c>
      <c r="E33" s="299">
        <v>19</v>
      </c>
      <c r="F33" s="299">
        <v>1</v>
      </c>
      <c r="G33" s="16"/>
      <c r="H33" s="251"/>
      <c r="I33" s="30" t="str">
        <f t="shared" si="14"/>
        <v>·</v>
      </c>
      <c r="J33" s="31">
        <f t="shared" si="15"/>
        <v>25.730085692928256</v>
      </c>
      <c r="K33" s="31">
        <f t="shared" si="16"/>
        <v>16.990158132883622</v>
      </c>
      <c r="L33" s="87"/>
      <c r="M33" s="31">
        <f t="shared" si="17"/>
        <v>8.7397946691992967</v>
      </c>
      <c r="N33" s="31">
        <f t="shared" si="18"/>
        <v>25.730085692928256</v>
      </c>
      <c r="O33" s="521">
        <v>5538380</v>
      </c>
      <c r="P33" s="503">
        <v>142502992</v>
      </c>
      <c r="Q33" s="357">
        <v>94097952</v>
      </c>
      <c r="R33" s="87"/>
      <c r="S33" s="547">
        <v>48404304</v>
      </c>
      <c r="T33" s="267"/>
      <c r="U33" s="106"/>
      <c r="V33" s="106"/>
      <c r="W33" s="515">
        <v>94.569457999999997</v>
      </c>
      <c r="X33" s="507"/>
      <c r="Y33" s="359"/>
      <c r="Z33" s="573">
        <v>0</v>
      </c>
      <c r="AA33" s="573">
        <v>0</v>
      </c>
      <c r="AB33" s="33"/>
      <c r="AD33" s="30">
        <v>0</v>
      </c>
      <c r="AE33" s="31">
        <f t="shared" si="9"/>
        <v>25.730085692928256</v>
      </c>
      <c r="AF33" s="31">
        <f t="shared" si="10"/>
        <v>16.990158132883622</v>
      </c>
      <c r="AG33" s="87" t="str">
        <f t="shared" si="11"/>
        <v>·</v>
      </c>
      <c r="AH33" s="31">
        <f t="shared" si="12"/>
        <v>8.7397946691992967</v>
      </c>
      <c r="AI33" s="31">
        <f t="shared" si="13"/>
        <v>25.730085692928256</v>
      </c>
      <c r="AJ33" s="521">
        <v>5538380</v>
      </c>
      <c r="AK33" s="503">
        <v>142502992</v>
      </c>
      <c r="AL33" s="357">
        <v>94097952</v>
      </c>
      <c r="AM33" s="87"/>
      <c r="AN33" s="547">
        <v>48404304</v>
      </c>
      <c r="AO33" s="267"/>
      <c r="AP33" s="106"/>
      <c r="AQ33" s="106"/>
      <c r="AR33" s="515">
        <v>94.569457999999997</v>
      </c>
      <c r="AS33" s="507">
        <v>21.067</v>
      </c>
      <c r="AT33" s="359">
        <v>13.913</v>
      </c>
      <c r="AU33" s="573">
        <v>0</v>
      </c>
      <c r="AV33" s="573">
        <v>0</v>
      </c>
      <c r="AW33" s="33"/>
      <c r="AY33" s="56" t="e">
        <f t="shared" si="19"/>
        <v>#DIV/0!</v>
      </c>
      <c r="AZ33" s="57" t="e">
        <f t="shared" si="20"/>
        <v>#DIV/0!</v>
      </c>
      <c r="BA33" s="57">
        <f t="shared" si="21"/>
        <v>0</v>
      </c>
      <c r="BB33" s="58"/>
      <c r="BD33" s="105"/>
      <c r="BE33" s="106"/>
      <c r="BF33" s="106"/>
      <c r="BG33" s="76"/>
      <c r="BI33" s="105"/>
      <c r="BJ33" s="106"/>
      <c r="BK33" s="106"/>
      <c r="BL33" s="76"/>
      <c r="BN33" s="105"/>
      <c r="BO33" s="106"/>
      <c r="BP33" s="106"/>
      <c r="BQ33" s="76"/>
      <c r="BS33" s="105"/>
      <c r="BT33" s="106"/>
      <c r="BU33" s="106"/>
      <c r="BV33" s="76"/>
      <c r="BX33" s="105"/>
      <c r="BY33" s="106"/>
      <c r="BZ33" s="106"/>
      <c r="CA33" s="76"/>
      <c r="CC33" s="105"/>
      <c r="CD33" s="106"/>
      <c r="CE33" s="106"/>
      <c r="CF33" s="76"/>
    </row>
    <row r="34" spans="1:84" s="1" customFormat="1" ht="14.25" outlineLevel="1" thickBot="1">
      <c r="A34" s="13"/>
      <c r="B34" s="292" t="s">
        <v>987</v>
      </c>
      <c r="C34" s="19" t="s">
        <v>136</v>
      </c>
      <c r="D34" s="301">
        <v>5538380</v>
      </c>
      <c r="E34" s="302">
        <v>19</v>
      </c>
      <c r="F34" s="302">
        <v>1</v>
      </c>
      <c r="G34" s="20"/>
      <c r="H34" s="251"/>
      <c r="I34" s="34" t="str">
        <f t="shared" si="14"/>
        <v>·</v>
      </c>
      <c r="J34" s="35">
        <f t="shared" si="15"/>
        <v>26.980260653837405</v>
      </c>
      <c r="K34" s="35">
        <f t="shared" si="16"/>
        <v>16.990158132883622</v>
      </c>
      <c r="L34" s="89"/>
      <c r="M34" s="35">
        <f t="shared" si="17"/>
        <v>9.9899710745741537</v>
      </c>
      <c r="N34" s="35">
        <f t="shared" si="18"/>
        <v>26.980260653837405</v>
      </c>
      <c r="O34" s="525">
        <v>5538380</v>
      </c>
      <c r="P34" s="505">
        <v>149426936</v>
      </c>
      <c r="Q34" s="361">
        <v>94097952</v>
      </c>
      <c r="R34" s="89"/>
      <c r="S34" s="548">
        <v>55328256</v>
      </c>
      <c r="T34" s="545"/>
      <c r="U34" s="109"/>
      <c r="V34" s="109"/>
      <c r="W34" s="517">
        <v>99.339989000000003</v>
      </c>
      <c r="X34" s="509"/>
      <c r="Y34" s="363"/>
      <c r="Z34" s="575">
        <v>0</v>
      </c>
      <c r="AA34" s="575">
        <v>0</v>
      </c>
      <c r="AB34" s="37"/>
      <c r="AD34" s="34">
        <v>0</v>
      </c>
      <c r="AE34" s="35">
        <f t="shared" si="9"/>
        <v>26.980260653837405</v>
      </c>
      <c r="AF34" s="35">
        <f t="shared" si="10"/>
        <v>16.990158132883622</v>
      </c>
      <c r="AG34" s="89" t="str">
        <f t="shared" si="11"/>
        <v>·</v>
      </c>
      <c r="AH34" s="35">
        <f t="shared" si="12"/>
        <v>9.9899710745741537</v>
      </c>
      <c r="AI34" s="35">
        <f t="shared" si="13"/>
        <v>26.980260653837405</v>
      </c>
      <c r="AJ34" s="525">
        <v>5538380</v>
      </c>
      <c r="AK34" s="505">
        <v>149426936</v>
      </c>
      <c r="AL34" s="361">
        <v>94097952</v>
      </c>
      <c r="AM34" s="89"/>
      <c r="AN34" s="548">
        <v>55328256</v>
      </c>
      <c r="AO34" s="545"/>
      <c r="AP34" s="109"/>
      <c r="AQ34" s="109"/>
      <c r="AR34" s="517">
        <v>99.339989000000003</v>
      </c>
      <c r="AS34" s="509">
        <v>21.271999999999998</v>
      </c>
      <c r="AT34" s="363">
        <v>14.185</v>
      </c>
      <c r="AU34" s="575">
        <v>0</v>
      </c>
      <c r="AV34" s="575">
        <v>0</v>
      </c>
      <c r="AW34" s="37"/>
      <c r="AY34" s="59" t="e">
        <f t="shared" si="19"/>
        <v>#DIV/0!</v>
      </c>
      <c r="AZ34" s="60" t="e">
        <f t="shared" si="20"/>
        <v>#DIV/0!</v>
      </c>
      <c r="BA34" s="60">
        <f t="shared" si="21"/>
        <v>0</v>
      </c>
      <c r="BB34" s="61"/>
      <c r="BD34" s="108"/>
      <c r="BE34" s="109"/>
      <c r="BF34" s="109"/>
      <c r="BG34" s="79"/>
      <c r="BI34" s="108"/>
      <c r="BJ34" s="109"/>
      <c r="BK34" s="109"/>
      <c r="BL34" s="79"/>
      <c r="BN34" s="108"/>
      <c r="BO34" s="109"/>
      <c r="BP34" s="109"/>
      <c r="BQ34" s="79"/>
      <c r="BS34" s="108"/>
      <c r="BT34" s="109"/>
      <c r="BU34" s="109"/>
      <c r="BV34" s="79"/>
      <c r="BX34" s="108"/>
      <c r="BY34" s="109"/>
      <c r="BZ34" s="109"/>
      <c r="CA34" s="79"/>
      <c r="CC34" s="108"/>
      <c r="CD34" s="109"/>
      <c r="CE34" s="109"/>
      <c r="CF34" s="79"/>
    </row>
    <row r="35" spans="1:84" s="1" customFormat="1">
      <c r="A35" s="13"/>
      <c r="B35" s="294" t="s">
        <v>988</v>
      </c>
      <c r="C35" s="25" t="s">
        <v>131</v>
      </c>
      <c r="D35" s="303">
        <v>7740280</v>
      </c>
      <c r="E35" s="304">
        <v>19</v>
      </c>
      <c r="F35" s="304">
        <v>1</v>
      </c>
      <c r="G35" s="26"/>
      <c r="H35" s="251"/>
      <c r="I35" s="46" t="str">
        <f t="shared" si="14"/>
        <v>·</v>
      </c>
      <c r="J35" s="47">
        <f t="shared" si="15"/>
        <v>18.813038288020589</v>
      </c>
      <c r="K35" s="47">
        <f t="shared" si="16"/>
        <v>15.461782777884004</v>
      </c>
      <c r="L35" s="90"/>
      <c r="M35" s="47">
        <f t="shared" si="17"/>
        <v>3.3511614566914893</v>
      </c>
      <c r="N35" s="47">
        <f t="shared" si="18"/>
        <v>18.813038288020589</v>
      </c>
      <c r="O35" s="520">
        <v>7740280</v>
      </c>
      <c r="P35" s="502">
        <v>145618184</v>
      </c>
      <c r="Q35" s="353">
        <v>119678528</v>
      </c>
      <c r="R35" s="90"/>
      <c r="S35" s="546">
        <v>25938928</v>
      </c>
      <c r="T35" s="266"/>
      <c r="U35" s="104"/>
      <c r="V35" s="104"/>
      <c r="W35" s="514">
        <v>70.997024999999994</v>
      </c>
      <c r="X35" s="506"/>
      <c r="Y35" s="355"/>
      <c r="Z35" s="572">
        <v>0</v>
      </c>
      <c r="AA35" s="572">
        <v>0</v>
      </c>
      <c r="AB35" s="49"/>
      <c r="AD35" s="46">
        <v>0</v>
      </c>
      <c r="AE35" s="47">
        <f t="shared" si="9"/>
        <v>18.813038288020589</v>
      </c>
      <c r="AF35" s="47">
        <f t="shared" si="10"/>
        <v>15.461782777884004</v>
      </c>
      <c r="AG35" s="90" t="str">
        <f t="shared" si="11"/>
        <v>·</v>
      </c>
      <c r="AH35" s="47">
        <f t="shared" si="12"/>
        <v>3.3511614566914893</v>
      </c>
      <c r="AI35" s="47">
        <f t="shared" si="13"/>
        <v>18.813038288020589</v>
      </c>
      <c r="AJ35" s="520">
        <v>7740280</v>
      </c>
      <c r="AK35" s="502">
        <v>145618184</v>
      </c>
      <c r="AL35" s="353">
        <v>119678528</v>
      </c>
      <c r="AM35" s="90"/>
      <c r="AN35" s="546">
        <v>25938928</v>
      </c>
      <c r="AO35" s="266"/>
      <c r="AP35" s="104"/>
      <c r="AQ35" s="104"/>
      <c r="AR35" s="514">
        <v>70.997024999999994</v>
      </c>
      <c r="AS35" s="506">
        <v>27.36</v>
      </c>
      <c r="AT35" s="355">
        <v>18.600000000000001</v>
      </c>
      <c r="AU35" s="572">
        <v>0</v>
      </c>
      <c r="AV35" s="572">
        <v>0</v>
      </c>
      <c r="AW35" s="49"/>
      <c r="AY35" s="68" t="e">
        <f t="shared" si="19"/>
        <v>#DIV/0!</v>
      </c>
      <c r="AZ35" s="69" t="e">
        <f t="shared" si="20"/>
        <v>#DIV/0!</v>
      </c>
      <c r="BA35" s="69">
        <f t="shared" si="21"/>
        <v>0</v>
      </c>
      <c r="BB35" s="70">
        <f t="array" ref="BB35">AVERAGE(AL35:AL40/AK35:AK40) - AVERAGE(Q35:Q40/P35:P40)</f>
        <v>0</v>
      </c>
      <c r="BD35" s="103"/>
      <c r="BE35" s="104"/>
      <c r="BF35" s="104"/>
      <c r="BG35" s="86">
        <f>IF( OR(ISBLANK($S35:$S40),ISBLANK($AN35:$AN40), ISBLANK($W35:$W40),ISBLANK($AR35:$AR40)), "·", bdRateHermite( $S35:$S40,$W35:$W40, $AN35:$AN40,$AR35:$AR40))</f>
        <v>0</v>
      </c>
      <c r="BI35" s="103"/>
      <c r="BJ35" s="104"/>
      <c r="BK35" s="104"/>
      <c r="BL35" s="85">
        <f>IF(OR(ISBLANK($P35:$P40),ISBLANK($AK35:$AK40),ISBLANK($W35:$W40),ISBLANK($AR35:$AR40)),"·",bdRateHermite($P35:$P40,$W35:$W40,$AK35:$AK40,$AR35:$AR40))</f>
        <v>0</v>
      </c>
      <c r="BN35" s="103"/>
      <c r="BO35" s="104"/>
      <c r="BP35" s="104"/>
      <c r="BQ35" s="86">
        <f>IF( OR(ISBLANK($S35:$S40),ISBLANK($AN35:$AN40), ISBLANK($W35:$W40),ISBLANK($AR35:$AR40)), "·", bdRateHermite( $S36:$S40,$W36:$W40, $AN36:$AN40,$AR36:$AR40))</f>
        <v>0</v>
      </c>
      <c r="BS35" s="103"/>
      <c r="BT35" s="104"/>
      <c r="BU35" s="104"/>
      <c r="BV35" s="85">
        <f>IF(OR(ISBLANK($P35:$P40),ISBLANK($AK35:$AK40),ISBLANK($W35:$W40),ISBLANK($AR35:$AR40)),"·",bdRateHermite($P36:$P40,$W36:$W40,$AK36:$AK40,$AR36:$AR40))</f>
        <v>0</v>
      </c>
      <c r="BX35" s="103"/>
      <c r="BY35" s="104"/>
      <c r="BZ35" s="104"/>
      <c r="CA35" s="86">
        <f>IF( OR(ISBLANK($S35:$S39),ISBLANK($AN35:$AN39), ISBLANK($W35:$W39),ISBLANK($AR35:$AR39)), "·", bdRateHermite( $S35:$S39,$W35:$W39, $AN35:$AN39,$AR35:$AR39))</f>
        <v>0</v>
      </c>
      <c r="CC35" s="103"/>
      <c r="CD35" s="104"/>
      <c r="CE35" s="104"/>
      <c r="CF35" s="85">
        <f>IF(OR(ISBLANK($P35:$P39),ISBLANK($AK35:$AK39),ISBLANK($W35:$W39),ISBLANK($AR35:$AR39)),"·",bdRateHermite($P35:$P39,$W35:$W39,$AK35:$AK39,$AR35:$AR39))</f>
        <v>0</v>
      </c>
    </row>
    <row r="36" spans="1:84" s="1" customFormat="1" outlineLevel="1">
      <c r="A36" s="13"/>
      <c r="B36" s="291" t="s">
        <v>989</v>
      </c>
      <c r="C36" s="15" t="s">
        <v>132</v>
      </c>
      <c r="D36" s="300">
        <v>7740280</v>
      </c>
      <c r="E36" s="299">
        <v>19</v>
      </c>
      <c r="F36" s="299">
        <v>1</v>
      </c>
      <c r="G36" s="16"/>
      <c r="H36" s="251"/>
      <c r="I36" s="30" t="str">
        <f t="shared" si="14"/>
        <v>·</v>
      </c>
      <c r="J36" s="31">
        <f t="shared" si="15"/>
        <v>20.003616406641619</v>
      </c>
      <c r="K36" s="31">
        <f t="shared" si="16"/>
        <v>15.461782777884004</v>
      </c>
      <c r="L36" s="87"/>
      <c r="M36" s="31">
        <f t="shared" si="17"/>
        <v>4.5417395753125209</v>
      </c>
      <c r="N36" s="31">
        <f t="shared" si="18"/>
        <v>20.003616406641619</v>
      </c>
      <c r="O36" s="523">
        <v>7740280</v>
      </c>
      <c r="P36" s="503">
        <v>154833592</v>
      </c>
      <c r="Q36" s="357">
        <v>119678528</v>
      </c>
      <c r="R36" s="87"/>
      <c r="S36" s="547">
        <v>35154336</v>
      </c>
      <c r="T36" s="267"/>
      <c r="U36" s="106"/>
      <c r="V36" s="106"/>
      <c r="W36" s="515">
        <v>77.010315000000006</v>
      </c>
      <c r="X36" s="507"/>
      <c r="Y36" s="359"/>
      <c r="Z36" s="573">
        <v>0</v>
      </c>
      <c r="AA36" s="573">
        <v>0</v>
      </c>
      <c r="AB36" s="33"/>
      <c r="AD36" s="30">
        <v>0</v>
      </c>
      <c r="AE36" s="31">
        <f t="shared" si="9"/>
        <v>20.003616406641619</v>
      </c>
      <c r="AF36" s="31">
        <f t="shared" si="10"/>
        <v>15.461782777884004</v>
      </c>
      <c r="AG36" s="87" t="str">
        <f t="shared" si="11"/>
        <v>·</v>
      </c>
      <c r="AH36" s="31">
        <f t="shared" si="12"/>
        <v>4.5417395753125209</v>
      </c>
      <c r="AI36" s="31">
        <f t="shared" si="13"/>
        <v>20.003616406641619</v>
      </c>
      <c r="AJ36" s="523">
        <v>7740280</v>
      </c>
      <c r="AK36" s="503">
        <v>154833592</v>
      </c>
      <c r="AL36" s="357">
        <v>119678528</v>
      </c>
      <c r="AM36" s="87"/>
      <c r="AN36" s="547">
        <v>35154336</v>
      </c>
      <c r="AO36" s="267"/>
      <c r="AP36" s="106"/>
      <c r="AQ36" s="106"/>
      <c r="AR36" s="515">
        <v>77.010315000000006</v>
      </c>
      <c r="AS36" s="507">
        <v>26.085000000000001</v>
      </c>
      <c r="AT36" s="359">
        <v>19.719000000000001</v>
      </c>
      <c r="AU36" s="573">
        <v>0</v>
      </c>
      <c r="AV36" s="573">
        <v>0</v>
      </c>
      <c r="AW36" s="33"/>
      <c r="AY36" s="56" t="e">
        <f t="shared" si="19"/>
        <v>#DIV/0!</v>
      </c>
      <c r="AZ36" s="57" t="e">
        <f t="shared" si="20"/>
        <v>#DIV/0!</v>
      </c>
      <c r="BA36" s="57">
        <f t="shared" si="21"/>
        <v>0</v>
      </c>
      <c r="BB36" s="58"/>
      <c r="BD36" s="105"/>
      <c r="BE36" s="106"/>
      <c r="BF36" s="106"/>
      <c r="BG36" s="107"/>
      <c r="BI36" s="105"/>
      <c r="BJ36" s="106"/>
      <c r="BK36" s="106"/>
      <c r="BL36" s="76"/>
      <c r="BN36" s="105"/>
      <c r="BO36" s="106"/>
      <c r="BP36" s="106"/>
      <c r="BQ36" s="107"/>
      <c r="BS36" s="105"/>
      <c r="BT36" s="106"/>
      <c r="BU36" s="106"/>
      <c r="BV36" s="76"/>
      <c r="BX36" s="105"/>
      <c r="BY36" s="106"/>
      <c r="BZ36" s="106"/>
      <c r="CA36" s="107"/>
      <c r="CC36" s="105"/>
      <c r="CD36" s="106"/>
      <c r="CE36" s="106"/>
      <c r="CF36" s="76"/>
    </row>
    <row r="37" spans="1:84" s="1" customFormat="1" outlineLevel="1">
      <c r="A37" s="13"/>
      <c r="B37" s="291" t="s">
        <v>989</v>
      </c>
      <c r="C37" s="15" t="s">
        <v>133</v>
      </c>
      <c r="D37" s="300">
        <v>7740280</v>
      </c>
      <c r="E37" s="299">
        <v>19</v>
      </c>
      <c r="F37" s="299">
        <v>1</v>
      </c>
      <c r="G37" s="16"/>
      <c r="H37" s="251"/>
      <c r="I37" s="30" t="str">
        <f t="shared" si="14"/>
        <v>·</v>
      </c>
      <c r="J37" s="31">
        <f t="shared" si="15"/>
        <v>21.431001462479394</v>
      </c>
      <c r="K37" s="31">
        <f t="shared" si="16"/>
        <v>15.461782777884004</v>
      </c>
      <c r="L37" s="87"/>
      <c r="M37" s="31">
        <f t="shared" si="17"/>
        <v>5.9691246311502946</v>
      </c>
      <c r="N37" s="31">
        <f t="shared" si="18"/>
        <v>21.431001462479394</v>
      </c>
      <c r="O37" s="523">
        <v>7740280</v>
      </c>
      <c r="P37" s="503">
        <v>165881952</v>
      </c>
      <c r="Q37" s="357">
        <v>119678528</v>
      </c>
      <c r="R37" s="87"/>
      <c r="S37" s="547">
        <v>46202696</v>
      </c>
      <c r="T37" s="267"/>
      <c r="U37" s="106"/>
      <c r="V37" s="106"/>
      <c r="W37" s="515">
        <v>83.003403000000006</v>
      </c>
      <c r="X37" s="507"/>
      <c r="Y37" s="359"/>
      <c r="Z37" s="573">
        <v>0</v>
      </c>
      <c r="AA37" s="573">
        <v>0</v>
      </c>
      <c r="AB37" s="33"/>
      <c r="AD37" s="30">
        <v>0</v>
      </c>
      <c r="AE37" s="31">
        <f t="shared" si="9"/>
        <v>21.431001462479394</v>
      </c>
      <c r="AF37" s="31">
        <f t="shared" si="10"/>
        <v>15.461782777884004</v>
      </c>
      <c r="AG37" s="87" t="str">
        <f t="shared" si="11"/>
        <v>·</v>
      </c>
      <c r="AH37" s="31">
        <f t="shared" si="12"/>
        <v>5.9691246311502946</v>
      </c>
      <c r="AI37" s="31">
        <f t="shared" si="13"/>
        <v>21.431001462479394</v>
      </c>
      <c r="AJ37" s="523">
        <v>7740280</v>
      </c>
      <c r="AK37" s="503">
        <v>165881952</v>
      </c>
      <c r="AL37" s="357">
        <v>119678528</v>
      </c>
      <c r="AM37" s="87"/>
      <c r="AN37" s="547">
        <v>46202696</v>
      </c>
      <c r="AO37" s="267"/>
      <c r="AP37" s="106"/>
      <c r="AQ37" s="106"/>
      <c r="AR37" s="515">
        <v>83.003403000000006</v>
      </c>
      <c r="AS37" s="507">
        <v>28.988</v>
      </c>
      <c r="AT37" s="359">
        <v>20.265000000000001</v>
      </c>
      <c r="AU37" s="573">
        <v>0</v>
      </c>
      <c r="AV37" s="573">
        <v>0</v>
      </c>
      <c r="AW37" s="33"/>
      <c r="AY37" s="56" t="e">
        <f t="shared" si="19"/>
        <v>#DIV/0!</v>
      </c>
      <c r="AZ37" s="57" t="e">
        <f t="shared" si="20"/>
        <v>#DIV/0!</v>
      </c>
      <c r="BA37" s="57">
        <f t="shared" si="21"/>
        <v>0</v>
      </c>
      <c r="BB37" s="58"/>
      <c r="BD37" s="105"/>
      <c r="BE37" s="106"/>
      <c r="BF37" s="106"/>
      <c r="BG37" s="107"/>
      <c r="BI37" s="105"/>
      <c r="BJ37" s="106"/>
      <c r="BK37" s="106"/>
      <c r="BL37" s="76"/>
      <c r="BN37" s="105"/>
      <c r="BO37" s="106"/>
      <c r="BP37" s="106"/>
      <c r="BQ37" s="107"/>
      <c r="BS37" s="105"/>
      <c r="BT37" s="106"/>
      <c r="BU37" s="106"/>
      <c r="BV37" s="76"/>
      <c r="BX37" s="105"/>
      <c r="BY37" s="106"/>
      <c r="BZ37" s="106"/>
      <c r="CA37" s="107"/>
      <c r="CC37" s="105"/>
      <c r="CD37" s="106"/>
      <c r="CE37" s="106"/>
      <c r="CF37" s="76"/>
    </row>
    <row r="38" spans="1:84" s="1" customFormat="1" outlineLevel="1">
      <c r="A38" s="13"/>
      <c r="B38" s="291" t="s">
        <v>989</v>
      </c>
      <c r="C38" s="15" t="s">
        <v>134</v>
      </c>
      <c r="D38" s="300">
        <v>7740280</v>
      </c>
      <c r="E38" s="299">
        <v>19</v>
      </c>
      <c r="F38" s="299">
        <v>1</v>
      </c>
      <c r="G38" s="16"/>
      <c r="H38" s="251"/>
      <c r="I38" s="30" t="str">
        <f t="shared" si="14"/>
        <v>·</v>
      </c>
      <c r="J38" s="31">
        <f t="shared" si="15"/>
        <v>22.858840248673175</v>
      </c>
      <c r="K38" s="31">
        <f t="shared" si="16"/>
        <v>15.461782777884004</v>
      </c>
      <c r="L38" s="87"/>
      <c r="M38" s="31">
        <f t="shared" si="17"/>
        <v>7.3969644508984169</v>
      </c>
      <c r="N38" s="31">
        <f t="shared" si="18"/>
        <v>22.858840248673175</v>
      </c>
      <c r="O38" s="523">
        <v>7740280</v>
      </c>
      <c r="P38" s="503">
        <v>176933824</v>
      </c>
      <c r="Q38" s="357">
        <v>119678528</v>
      </c>
      <c r="R38" s="87"/>
      <c r="S38" s="547">
        <v>57254576</v>
      </c>
      <c r="T38" s="267"/>
      <c r="U38" s="106"/>
      <c r="V38" s="106"/>
      <c r="W38" s="515">
        <v>88.926743000000002</v>
      </c>
      <c r="X38" s="507"/>
      <c r="Y38" s="359"/>
      <c r="Z38" s="573">
        <v>0</v>
      </c>
      <c r="AA38" s="573">
        <v>0</v>
      </c>
      <c r="AB38" s="33"/>
      <c r="AD38" s="30">
        <v>0</v>
      </c>
      <c r="AE38" s="31">
        <f t="shared" si="9"/>
        <v>22.858840248673175</v>
      </c>
      <c r="AF38" s="31">
        <f t="shared" si="10"/>
        <v>15.461782777884004</v>
      </c>
      <c r="AG38" s="87" t="str">
        <f t="shared" si="11"/>
        <v>·</v>
      </c>
      <c r="AH38" s="31">
        <f t="shared" si="12"/>
        <v>7.3969644508984169</v>
      </c>
      <c r="AI38" s="31">
        <f t="shared" si="13"/>
        <v>22.858840248673175</v>
      </c>
      <c r="AJ38" s="523">
        <v>7740280</v>
      </c>
      <c r="AK38" s="503">
        <v>176933824</v>
      </c>
      <c r="AL38" s="357">
        <v>119678528</v>
      </c>
      <c r="AM38" s="87"/>
      <c r="AN38" s="547">
        <v>57254576</v>
      </c>
      <c r="AO38" s="267"/>
      <c r="AP38" s="106"/>
      <c r="AQ38" s="106"/>
      <c r="AR38" s="515">
        <v>88.926743000000002</v>
      </c>
      <c r="AS38" s="507">
        <v>30.51</v>
      </c>
      <c r="AT38" s="359">
        <v>19.896999999999998</v>
      </c>
      <c r="AU38" s="573">
        <v>0</v>
      </c>
      <c r="AV38" s="573">
        <v>0</v>
      </c>
      <c r="AW38" s="33"/>
      <c r="AY38" s="56" t="e">
        <f t="shared" si="19"/>
        <v>#DIV/0!</v>
      </c>
      <c r="AZ38" s="57" t="e">
        <f t="shared" si="20"/>
        <v>#DIV/0!</v>
      </c>
      <c r="BA38" s="57">
        <f t="shared" si="21"/>
        <v>0</v>
      </c>
      <c r="BB38" s="58"/>
      <c r="BD38" s="105"/>
      <c r="BE38" s="106"/>
      <c r="BF38" s="106"/>
      <c r="BG38" s="107"/>
      <c r="BI38" s="105"/>
      <c r="BJ38" s="106"/>
      <c r="BK38" s="106"/>
      <c r="BL38" s="76"/>
      <c r="BN38" s="105"/>
      <c r="BO38" s="106"/>
      <c r="BP38" s="106"/>
      <c r="BQ38" s="107"/>
      <c r="BS38" s="105"/>
      <c r="BT38" s="106"/>
      <c r="BU38" s="106"/>
      <c r="BV38" s="76"/>
      <c r="BX38" s="105"/>
      <c r="BY38" s="106"/>
      <c r="BZ38" s="106"/>
      <c r="CA38" s="107"/>
      <c r="CC38" s="105"/>
      <c r="CD38" s="106"/>
      <c r="CE38" s="106"/>
      <c r="CF38" s="76"/>
    </row>
    <row r="39" spans="1:84" s="1" customFormat="1" outlineLevel="1">
      <c r="A39" s="13"/>
      <c r="B39" s="291" t="s">
        <v>989</v>
      </c>
      <c r="C39" s="15" t="s">
        <v>135</v>
      </c>
      <c r="D39" s="300">
        <v>7740280</v>
      </c>
      <c r="E39" s="299">
        <v>19</v>
      </c>
      <c r="F39" s="299">
        <v>1</v>
      </c>
      <c r="G39" s="16"/>
      <c r="H39" s="251"/>
      <c r="I39" s="30" t="str">
        <f t="shared" si="14"/>
        <v>·</v>
      </c>
      <c r="J39" s="31">
        <f t="shared" si="15"/>
        <v>24.018128543153477</v>
      </c>
      <c r="K39" s="31">
        <f t="shared" si="16"/>
        <v>15.461782777884004</v>
      </c>
      <c r="L39" s="87"/>
      <c r="M39" s="31">
        <f t="shared" si="17"/>
        <v>8.5562527453787194</v>
      </c>
      <c r="N39" s="31">
        <f t="shared" si="18"/>
        <v>24.018128543153477</v>
      </c>
      <c r="O39" s="523">
        <v>7740280</v>
      </c>
      <c r="P39" s="503">
        <v>185907040</v>
      </c>
      <c r="Q39" s="357">
        <v>119678528</v>
      </c>
      <c r="R39" s="87"/>
      <c r="S39" s="547">
        <v>66227792</v>
      </c>
      <c r="T39" s="267"/>
      <c r="U39" s="106"/>
      <c r="V39" s="106"/>
      <c r="W39" s="515">
        <v>94.570785999999998</v>
      </c>
      <c r="X39" s="507"/>
      <c r="Y39" s="359"/>
      <c r="Z39" s="573">
        <v>0</v>
      </c>
      <c r="AA39" s="573">
        <v>0</v>
      </c>
      <c r="AB39" s="33"/>
      <c r="AD39" s="30">
        <v>0</v>
      </c>
      <c r="AE39" s="31">
        <f t="shared" si="9"/>
        <v>24.018128543153477</v>
      </c>
      <c r="AF39" s="31">
        <f t="shared" si="10"/>
        <v>15.461782777884004</v>
      </c>
      <c r="AG39" s="87" t="str">
        <f t="shared" si="11"/>
        <v>·</v>
      </c>
      <c r="AH39" s="31">
        <f t="shared" si="12"/>
        <v>8.5562527453787194</v>
      </c>
      <c r="AI39" s="31">
        <f t="shared" si="13"/>
        <v>24.018128543153477</v>
      </c>
      <c r="AJ39" s="523">
        <v>7740280</v>
      </c>
      <c r="AK39" s="503">
        <v>185907040</v>
      </c>
      <c r="AL39" s="357">
        <v>119678528</v>
      </c>
      <c r="AM39" s="87"/>
      <c r="AN39" s="547">
        <v>66227792</v>
      </c>
      <c r="AO39" s="267"/>
      <c r="AP39" s="106"/>
      <c r="AQ39" s="106"/>
      <c r="AR39" s="515">
        <v>94.570785999999998</v>
      </c>
      <c r="AS39" s="507">
        <v>29.498999999999999</v>
      </c>
      <c r="AT39" s="359">
        <v>19.888999999999999</v>
      </c>
      <c r="AU39" s="573">
        <v>0</v>
      </c>
      <c r="AV39" s="573">
        <v>0</v>
      </c>
      <c r="AW39" s="33"/>
      <c r="AY39" s="56" t="e">
        <f t="shared" si="19"/>
        <v>#DIV/0!</v>
      </c>
      <c r="AZ39" s="57" t="e">
        <f t="shared" si="20"/>
        <v>#DIV/0!</v>
      </c>
      <c r="BA39" s="57">
        <f t="shared" si="21"/>
        <v>0</v>
      </c>
      <c r="BB39" s="58"/>
      <c r="BD39" s="105"/>
      <c r="BE39" s="106"/>
      <c r="BF39" s="106"/>
      <c r="BG39" s="107"/>
      <c r="BI39" s="105"/>
      <c r="BJ39" s="106"/>
      <c r="BK39" s="106"/>
      <c r="BL39" s="76"/>
      <c r="BN39" s="105"/>
      <c r="BO39" s="106"/>
      <c r="BP39" s="106"/>
      <c r="BQ39" s="107"/>
      <c r="BS39" s="105"/>
      <c r="BT39" s="106"/>
      <c r="BU39" s="106"/>
      <c r="BV39" s="76"/>
      <c r="BX39" s="105"/>
      <c r="BY39" s="106"/>
      <c r="BZ39" s="106"/>
      <c r="CA39" s="107"/>
      <c r="CC39" s="105"/>
      <c r="CD39" s="106"/>
      <c r="CE39" s="106"/>
      <c r="CF39" s="76"/>
    </row>
    <row r="40" spans="1:84" s="1" customFormat="1" ht="14.25" outlineLevel="1" thickBot="1">
      <c r="A40" s="215"/>
      <c r="B40" s="292" t="s">
        <v>989</v>
      </c>
      <c r="C40" s="22" t="s">
        <v>136</v>
      </c>
      <c r="D40" s="301">
        <v>7740280</v>
      </c>
      <c r="E40" s="302">
        <v>19</v>
      </c>
      <c r="F40" s="302">
        <v>1</v>
      </c>
      <c r="G40" s="23"/>
      <c r="H40" s="251"/>
      <c r="I40" s="34" t="str">
        <f t="shared" si="14"/>
        <v>·</v>
      </c>
      <c r="J40" s="35">
        <f t="shared" si="15"/>
        <v>25.248634933103194</v>
      </c>
      <c r="K40" s="35">
        <f t="shared" si="16"/>
        <v>15.461782777884004</v>
      </c>
      <c r="L40" s="88"/>
      <c r="M40" s="35">
        <f t="shared" si="17"/>
        <v>9.7867591353284382</v>
      </c>
      <c r="N40" s="35">
        <f t="shared" si="18"/>
        <v>25.248634933103194</v>
      </c>
      <c r="O40" s="524">
        <v>7740280</v>
      </c>
      <c r="P40" s="505">
        <v>195431504</v>
      </c>
      <c r="Q40" s="361">
        <v>119678528</v>
      </c>
      <c r="R40" s="88"/>
      <c r="S40" s="548">
        <v>75752256</v>
      </c>
      <c r="T40" s="545"/>
      <c r="U40" s="109"/>
      <c r="V40" s="109"/>
      <c r="W40" s="517">
        <v>99.342346000000006</v>
      </c>
      <c r="X40" s="509"/>
      <c r="Y40" s="363"/>
      <c r="Z40" s="575">
        <v>0</v>
      </c>
      <c r="AA40" s="575">
        <v>0</v>
      </c>
      <c r="AB40" s="37"/>
      <c r="AD40" s="34">
        <v>0</v>
      </c>
      <c r="AE40" s="35">
        <f t="shared" si="9"/>
        <v>25.248634933103194</v>
      </c>
      <c r="AF40" s="35">
        <f t="shared" si="10"/>
        <v>15.461782777884004</v>
      </c>
      <c r="AG40" s="88" t="str">
        <f t="shared" si="11"/>
        <v>·</v>
      </c>
      <c r="AH40" s="35">
        <f t="shared" si="12"/>
        <v>9.7867591353284382</v>
      </c>
      <c r="AI40" s="35">
        <f t="shared" si="13"/>
        <v>25.248634933103194</v>
      </c>
      <c r="AJ40" s="524">
        <v>7740280</v>
      </c>
      <c r="AK40" s="505">
        <v>195431504</v>
      </c>
      <c r="AL40" s="361">
        <v>119678528</v>
      </c>
      <c r="AM40" s="88"/>
      <c r="AN40" s="548">
        <v>75752256</v>
      </c>
      <c r="AO40" s="545"/>
      <c r="AP40" s="109"/>
      <c r="AQ40" s="109"/>
      <c r="AR40" s="517">
        <v>99.342346000000006</v>
      </c>
      <c r="AS40" s="509">
        <v>31.87</v>
      </c>
      <c r="AT40" s="363">
        <v>20.686</v>
      </c>
      <c r="AU40" s="575">
        <v>0</v>
      </c>
      <c r="AV40" s="575">
        <v>0</v>
      </c>
      <c r="AW40" s="37"/>
      <c r="AY40" s="59" t="e">
        <f t="shared" si="19"/>
        <v>#DIV/0!</v>
      </c>
      <c r="AZ40" s="60" t="e">
        <f t="shared" si="20"/>
        <v>#DIV/0!</v>
      </c>
      <c r="BA40" s="60">
        <f t="shared" si="21"/>
        <v>0</v>
      </c>
      <c r="BB40" s="61"/>
      <c r="BD40" s="108"/>
      <c r="BE40" s="109"/>
      <c r="BF40" s="109"/>
      <c r="BG40" s="110"/>
      <c r="BI40" s="108"/>
      <c r="BJ40" s="109"/>
      <c r="BK40" s="109"/>
      <c r="BL40" s="79"/>
      <c r="BN40" s="108"/>
      <c r="BO40" s="109"/>
      <c r="BP40" s="109"/>
      <c r="BQ40" s="110"/>
      <c r="BS40" s="108"/>
      <c r="BT40" s="109"/>
      <c r="BU40" s="109"/>
      <c r="BV40" s="79"/>
      <c r="BX40" s="108"/>
      <c r="BY40" s="109"/>
      <c r="BZ40" s="109"/>
      <c r="CA40" s="110"/>
      <c r="CC40" s="108"/>
      <c r="CD40" s="109"/>
      <c r="CE40" s="109"/>
      <c r="CF40" s="79"/>
    </row>
    <row r="41" spans="1:84" s="1" customFormat="1">
      <c r="A41" s="96" t="s">
        <v>1141</v>
      </c>
      <c r="B41" s="27" t="s">
        <v>1116</v>
      </c>
      <c r="C41" s="28" t="s">
        <v>1137</v>
      </c>
      <c r="D41" s="478">
        <v>47062018</v>
      </c>
      <c r="E41" s="28">
        <v>20</v>
      </c>
      <c r="F41" s="28">
        <v>1</v>
      </c>
      <c r="G41" s="29"/>
      <c r="H41" s="492"/>
      <c r="I41" s="46" t="str">
        <f t="shared" si="14"/>
        <v>·</v>
      </c>
      <c r="J41" s="47">
        <f t="shared" si="15"/>
        <v>25.007130803443236</v>
      </c>
      <c r="K41" s="47">
        <f t="shared" si="16"/>
        <v>24.375181191762749</v>
      </c>
      <c r="L41" s="47">
        <f>IF(ISBLANK(R41),"·",R41/D41)</f>
        <v>0.63193771248823205</v>
      </c>
      <c r="M41" s="92"/>
      <c r="N41" s="47">
        <f t="shared" si="18"/>
        <v>25.007130803443236</v>
      </c>
      <c r="O41" s="554">
        <v>47062018</v>
      </c>
      <c r="P41" s="502">
        <v>1176886040</v>
      </c>
      <c r="Q41" s="353">
        <v>1147145216</v>
      </c>
      <c r="R41" s="353">
        <v>29740264</v>
      </c>
      <c r="S41" s="549"/>
      <c r="T41" s="502">
        <v>22.413086</v>
      </c>
      <c r="U41" s="353">
        <v>27.658373000000001</v>
      </c>
      <c r="V41" s="353">
        <v>32.772568</v>
      </c>
      <c r="W41" s="549"/>
      <c r="X41" s="506">
        <v>183.24299999999999</v>
      </c>
      <c r="Y41" s="355">
        <v>114.53100000000001</v>
      </c>
      <c r="Z41" s="572">
        <v>0</v>
      </c>
      <c r="AA41" s="572">
        <v>0</v>
      </c>
      <c r="AB41" s="49"/>
      <c r="AD41" s="46" t="str">
        <f t="shared" ref="AD41:AD82" si="22">IF(OR(ISBLANK(AK41),ISBLANK(G41)),"·",AK41*G41/F41/1000000)</f>
        <v>·</v>
      </c>
      <c r="AE41" s="47">
        <f t="shared" si="9"/>
        <v>24.718142770673371</v>
      </c>
      <c r="AF41" s="47">
        <f t="shared" si="10"/>
        <v>24.375181191762749</v>
      </c>
      <c r="AG41" s="47">
        <f t="shared" si="11"/>
        <v>0.34294967971836654</v>
      </c>
      <c r="AH41" s="92" t="str">
        <f t="shared" si="12"/>
        <v>·</v>
      </c>
      <c r="AI41" s="47">
        <f t="shared" si="13"/>
        <v>24.718142770673371</v>
      </c>
      <c r="AJ41" s="554">
        <v>47062018</v>
      </c>
      <c r="AK41" s="502">
        <v>1163285680</v>
      </c>
      <c r="AL41" s="353">
        <v>1147145216</v>
      </c>
      <c r="AM41" s="353">
        <v>16139904</v>
      </c>
      <c r="AN41" s="549"/>
      <c r="AO41" s="502">
        <v>25.239440999999999</v>
      </c>
      <c r="AP41" s="353">
        <v>27.268881</v>
      </c>
      <c r="AQ41" s="353">
        <v>28.03912</v>
      </c>
      <c r="AR41" s="549"/>
      <c r="AS41" s="506">
        <v>279.94600000000003</v>
      </c>
      <c r="AT41" s="355">
        <v>213.98599999999999</v>
      </c>
      <c r="AU41" s="572">
        <v>0</v>
      </c>
      <c r="AV41" s="572">
        <v>0</v>
      </c>
      <c r="AW41" s="49"/>
      <c r="AY41" s="68" t="e">
        <f t="shared" si="19"/>
        <v>#DIV/0!</v>
      </c>
      <c r="AZ41" s="69" t="e">
        <f t="shared" si="20"/>
        <v>#DIV/0!</v>
      </c>
      <c r="BA41" s="69">
        <f t="shared" si="21"/>
        <v>1.1395883720564104E-2</v>
      </c>
      <c r="BB41" s="70">
        <f t="array" ref="BB41">AVERAGE(AL41:AL46/AK41:AK46) - AVERAGE(Q41:Q46/P41:P46)</f>
        <v>2.7354781350542257E-2</v>
      </c>
      <c r="BD41" s="86">
        <f>IF( OR(ISBLANK($R41:$R46),ISBLANK($AM41:$AM46), ISBLANK(T41:T46),ISBLANK(AO41:AO46)), "·", bdRateHermite( $R41:$R46,$T41:$T46, $AM41:$AM46,$AO41:$AO46))</f>
        <v>-0.43555846198891646</v>
      </c>
      <c r="BE41" s="86">
        <f>IF( OR(ISBLANK($R41:$R46),ISBLANK($AM41:$AM46), ISBLANK(U41:U46),ISBLANK(AP41:AP46)), "·", bdRateHermite( $R41:$R46,$U41:$U46, $AM41:$AM46,$AP41:$AP46))</f>
        <v>-0.50638908570469876</v>
      </c>
      <c r="BF41" s="86">
        <f>IF( OR(ISBLANK($R41:$R46),ISBLANK($AM41:$AM46), ISBLANK(V41:V46),ISBLANK(AQ41:AQ46)), "·", bdRateHermite( $R41:$R46,$V41:$V46, $AM41:$AM46,$AQ41:$AQ46))</f>
        <v>-0.46012219971090929</v>
      </c>
      <c r="BG41" s="103"/>
      <c r="BI41" s="250">
        <f>IF(OR(ISBLANK($P41:$P46),ISBLANK($AK41:$AK46),ISBLANK(T41:T46),ISBLANK(AO41:AO46)),"·",bdRateHermite($P41:$P46,$T41:$T46,$AK41:$AK46,$AO41:$AO46))</f>
        <v>-4.2130385375424684E-2</v>
      </c>
      <c r="BJ41" s="85">
        <f>IF(OR(ISBLANK($P41:$P46),ISBLANK($AK41:$AK46),ISBLANK(U41:U46),ISBLANK(AP41:AP46)),"·",bdRateHermite($P41:$P46,$U41:$U46,$AK41:$AK46,$AP41:$AP46))</f>
        <v>-5.6649730886240701E-2</v>
      </c>
      <c r="BK41" s="254">
        <f>IF(OR(ISBLANK($P41:$P46),ISBLANK($AK41:$AK46),ISBLANK(V41:V46),ISBLANK(AQ41:AQ46)),"·",bdRateHermite($P41:$P46,$V41:$V46,$AK41:$AK46,$AQ41:$AQ46))</f>
        <v>-6.1276714292485712E-2</v>
      </c>
      <c r="BL41" s="257"/>
      <c r="BM41" s="251"/>
      <c r="BN41" s="86">
        <f>IF( OR(ISBLANK($R41:$R46),ISBLANK($AM41:$AM46), ISBLANK(T41:T46),ISBLANK(AO41:AO46)), "·", bdRateHermite( $R42:$R46,$T42:$T46, $AM42:$AM46,$AO42:$AO46))</f>
        <v>-0.4024058869968965</v>
      </c>
      <c r="BO41" s="86">
        <f>IF( OR(ISBLANK($R41:$R46),ISBLANK($AM41:$AM46), ISBLANK(U41:U46),ISBLANK(AP41:AP46)), "·", bdRateHermite( $R42:$R46,$U42:$U46, $AM42:$AM46,$AP42:$AP46))</f>
        <v>-0.49508286957461323</v>
      </c>
      <c r="BP41" s="86">
        <f>IF( OR(ISBLANK($R41:$R46),ISBLANK($AM41:$AM46), ISBLANK(V41:V46),ISBLANK(AQ41:AQ46)), "·", bdRateHermite( $R42:$R46,$V42:$V46, $AM42:$AM46,$AQ42:$AQ46))</f>
        <v>-0.47449269232217939</v>
      </c>
      <c r="BQ41" s="103"/>
      <c r="BS41" s="250">
        <f>IF(OR(ISBLANK($P41:$P46),ISBLANK($AK41:$AK46),ISBLANK(T41:T46),ISBLANK(AO41:AO46)),"·",bdRateHermite($P42:$P46,$T42:$T46,$AK42:$AK46,$AO42:$AO46))</f>
        <v>-4.729889691181155E-2</v>
      </c>
      <c r="BT41" s="85">
        <f>IF(OR(ISBLANK($P41:$P46),ISBLANK($AK41:$AK46),ISBLANK(U41:U46),ISBLANK(AP41:AP46)),"·",bdRateHermite($P42:$P46,$U42:$U46,$AK42:$AK46,$AP42:$AP46))</f>
        <v>-6.4808989067741241E-2</v>
      </c>
      <c r="BU41" s="254">
        <f>IF(OR(ISBLANK($P41:$P46),ISBLANK($AK41:$AK46),ISBLANK(V41:V46),ISBLANK(AQ41:AQ46)),"·",bdRateHermite($P42:$P46,$V42:$V46,$AK42:$AK46,$AQ42:$AQ46))</f>
        <v>-6.4808411544318933E-2</v>
      </c>
      <c r="BV41" s="257"/>
      <c r="BX41" s="86">
        <f>IF( OR(ISBLANK($R41:$R46),ISBLANK($AM41:$AM46), ISBLANK(T41:T46),ISBLANK(AO41:AO46)), "·", bdRateHermite( $R41:$R45,$T41:$T45, $AM41:$AM45,$AO41:$AO45))</f>
        <v>-0.47335107142200106</v>
      </c>
      <c r="BY41" s="86">
        <f>IF( OR(ISBLANK($R41:$R46),ISBLANK($AM41:$AM46), ISBLANK(U41:U46),ISBLANK(AP41:AP46)), "·", bdRateHermite( $R41:$R45,$U41:$U45, $AM41:$AM45,$AP41:$AP45))</f>
        <v>-0.53895376803688433</v>
      </c>
      <c r="BZ41" s="86">
        <f>IF( OR(ISBLANK($R41:$R46),ISBLANK($AM41:$AM46), ISBLANK(V41:V46),ISBLANK(AQ41:AQ46)), "·", bdRateHermite( $R41:$R45,$V41:$V45, $AM41:$AM45,$AQ41:$AQ45))</f>
        <v>-0.48996050520513235</v>
      </c>
      <c r="CA41" s="103"/>
      <c r="CC41" s="250">
        <f>IF(OR(ISBLANK($P41:$P46),ISBLANK($AK41:$AK46),ISBLANK(T41:T46),ISBLANK(AO41:AO46)),"·",bdRateHermite($P41:$P45,$T41:$T45,$AK41:$AK45,$AO41:$AO45))</f>
        <v>-4.0701065974219963E-2</v>
      </c>
      <c r="CD41" s="85">
        <f>IF(OR(ISBLANK($P41:$P46),ISBLANK($AK41:$AK46),ISBLANK(U41:U46),ISBLANK(AP41:AP46)),"·",bdRateHermite($P41:$P45,$U41:$U45,$AK41:$AK45,$AP41:$AP45))</f>
        <v>-5.140655410245043E-2</v>
      </c>
      <c r="CE41" s="254">
        <f>IF(OR(ISBLANK($P41:$P46),ISBLANK($AK41:$AK46),ISBLANK(V41:V46),ISBLANK(AQ41:AQ46)),"·",bdRateHermite($P41:$P45,$V41:$V45,$AK41:$AK45,$AQ41:$AQ45))</f>
        <v>-5.4448066339100931E-2</v>
      </c>
      <c r="CF41" s="257"/>
    </row>
    <row r="42" spans="1:84" s="1" customFormat="1" outlineLevel="1">
      <c r="A42" s="13"/>
      <c r="B42" s="14" t="s">
        <v>1116</v>
      </c>
      <c r="C42" s="15" t="s">
        <v>132</v>
      </c>
      <c r="D42" s="479">
        <v>47062018</v>
      </c>
      <c r="E42" s="15">
        <v>20</v>
      </c>
      <c r="F42" s="15">
        <v>1</v>
      </c>
      <c r="G42" s="16"/>
      <c r="H42" s="492"/>
      <c r="I42" s="30" t="str">
        <f t="shared" si="14"/>
        <v>·</v>
      </c>
      <c r="J42" s="31">
        <f t="shared" si="15"/>
        <v>25.529549710341787</v>
      </c>
      <c r="K42" s="31">
        <f t="shared" si="16"/>
        <v>24.375181191762749</v>
      </c>
      <c r="L42" s="31">
        <f t="shared" ref="L42:L82" si="23">IF(ISBLANK(R42),"·",R42/D42)</f>
        <v>1.1543566193867845</v>
      </c>
      <c r="M42" s="87"/>
      <c r="N42" s="31">
        <f t="shared" si="18"/>
        <v>25.529549710341787</v>
      </c>
      <c r="O42" s="544">
        <v>47062018</v>
      </c>
      <c r="P42" s="503">
        <v>1201472128</v>
      </c>
      <c r="Q42" s="357">
        <v>1147145216</v>
      </c>
      <c r="R42" s="357">
        <v>54326352</v>
      </c>
      <c r="S42" s="550"/>
      <c r="T42" s="503">
        <v>28.839655</v>
      </c>
      <c r="U42" s="357">
        <v>30.035682999999999</v>
      </c>
      <c r="V42" s="357">
        <v>33.976222999999997</v>
      </c>
      <c r="W42" s="550"/>
      <c r="X42" s="507">
        <v>170.8</v>
      </c>
      <c r="Y42" s="359">
        <v>116.423</v>
      </c>
      <c r="Z42" s="573">
        <v>0</v>
      </c>
      <c r="AA42" s="573">
        <v>0</v>
      </c>
      <c r="AB42" s="33"/>
      <c r="AD42" s="30" t="str">
        <f t="shared" si="22"/>
        <v>·</v>
      </c>
      <c r="AE42" s="31">
        <f t="shared" si="9"/>
        <v>25.052646913695881</v>
      </c>
      <c r="AF42" s="31">
        <f t="shared" si="10"/>
        <v>24.375181191762749</v>
      </c>
      <c r="AG42" s="31">
        <f t="shared" si="11"/>
        <v>0.67745382274087784</v>
      </c>
      <c r="AH42" s="87" t="str">
        <f t="shared" si="12"/>
        <v>·</v>
      </c>
      <c r="AI42" s="31">
        <f t="shared" si="13"/>
        <v>25.052646913695881</v>
      </c>
      <c r="AJ42" s="544">
        <v>47062018</v>
      </c>
      <c r="AK42" s="503">
        <v>1179028120</v>
      </c>
      <c r="AL42" s="357">
        <v>1147145216</v>
      </c>
      <c r="AM42" s="357">
        <v>31882344</v>
      </c>
      <c r="AN42" s="550"/>
      <c r="AO42" s="503">
        <v>30.744133000000001</v>
      </c>
      <c r="AP42" s="357">
        <v>32.546444000000001</v>
      </c>
      <c r="AQ42" s="357">
        <v>32.907916999999998</v>
      </c>
      <c r="AR42" s="550"/>
      <c r="AS42" s="507">
        <v>293.45499999999998</v>
      </c>
      <c r="AT42" s="359">
        <v>220.95500000000001</v>
      </c>
      <c r="AU42" s="573">
        <v>0</v>
      </c>
      <c r="AV42" s="573">
        <v>0</v>
      </c>
      <c r="AW42" s="33"/>
      <c r="AY42" s="56" t="e">
        <f t="shared" si="19"/>
        <v>#DIV/0!</v>
      </c>
      <c r="AZ42" s="57" t="e">
        <f t="shared" si="20"/>
        <v>#DIV/0!</v>
      </c>
      <c r="BA42" s="57">
        <f t="shared" si="21"/>
        <v>1.8175273278709048E-2</v>
      </c>
      <c r="BB42" s="58"/>
      <c r="BD42" s="76"/>
      <c r="BE42" s="76"/>
      <c r="BF42" s="76"/>
      <c r="BG42" s="105"/>
      <c r="BI42" s="252"/>
      <c r="BJ42" s="76"/>
      <c r="BK42" s="255"/>
      <c r="BL42" s="258"/>
      <c r="BM42" s="251"/>
      <c r="BN42" s="76"/>
      <c r="BO42" s="76"/>
      <c r="BP42" s="76"/>
      <c r="BQ42" s="105"/>
      <c r="BS42" s="252"/>
      <c r="BT42" s="76"/>
      <c r="BU42" s="255"/>
      <c r="BV42" s="258"/>
      <c r="BX42" s="74"/>
      <c r="BY42" s="75"/>
      <c r="BZ42" s="264"/>
      <c r="CA42" s="105"/>
      <c r="CC42" s="260"/>
      <c r="CD42" s="75"/>
      <c r="CE42" s="262"/>
      <c r="CF42" s="258"/>
    </row>
    <row r="43" spans="1:84" s="1" customFormat="1" outlineLevel="1">
      <c r="A43" s="13"/>
      <c r="B43" s="14" t="s">
        <v>1116</v>
      </c>
      <c r="C43" s="15" t="s">
        <v>133</v>
      </c>
      <c r="D43" s="479">
        <v>47062018</v>
      </c>
      <c r="E43" s="15">
        <v>20</v>
      </c>
      <c r="F43" s="15">
        <v>1</v>
      </c>
      <c r="G43" s="16"/>
      <c r="H43" s="492"/>
      <c r="I43" s="30" t="str">
        <f t="shared" si="14"/>
        <v>·</v>
      </c>
      <c r="J43" s="31">
        <f t="shared" si="15"/>
        <v>26.402705128369124</v>
      </c>
      <c r="K43" s="31">
        <f t="shared" si="16"/>
        <v>24.375181191762749</v>
      </c>
      <c r="L43" s="31">
        <f t="shared" si="23"/>
        <v>2.0275120374141204</v>
      </c>
      <c r="M43" s="87"/>
      <c r="N43" s="31">
        <f t="shared" si="18"/>
        <v>26.402705128369124</v>
      </c>
      <c r="O43" s="544">
        <v>47062018</v>
      </c>
      <c r="P43" s="503">
        <v>1242564584</v>
      </c>
      <c r="Q43" s="357">
        <v>1147145216</v>
      </c>
      <c r="R43" s="357">
        <v>95418808</v>
      </c>
      <c r="S43" s="550"/>
      <c r="T43" s="503">
        <v>34.791592000000001</v>
      </c>
      <c r="U43" s="357">
        <v>35.072754000000003</v>
      </c>
      <c r="V43" s="357">
        <v>37.144779</v>
      </c>
      <c r="W43" s="550"/>
      <c r="X43" s="507">
        <v>174.79900000000001</v>
      </c>
      <c r="Y43" s="359">
        <v>114.785</v>
      </c>
      <c r="Z43" s="573">
        <v>0</v>
      </c>
      <c r="AA43" s="573">
        <v>0</v>
      </c>
      <c r="AB43" s="33"/>
      <c r="AD43" s="30" t="str">
        <f t="shared" si="22"/>
        <v>·</v>
      </c>
      <c r="AE43" s="31">
        <f t="shared" si="9"/>
        <v>25.614195804353312</v>
      </c>
      <c r="AF43" s="31">
        <f t="shared" si="10"/>
        <v>24.375181191762749</v>
      </c>
      <c r="AG43" s="31">
        <f t="shared" si="11"/>
        <v>1.2390027133983077</v>
      </c>
      <c r="AH43" s="87" t="str">
        <f t="shared" si="12"/>
        <v>·</v>
      </c>
      <c r="AI43" s="31">
        <f t="shared" si="13"/>
        <v>25.614195804353312</v>
      </c>
      <c r="AJ43" s="544">
        <v>47062018</v>
      </c>
      <c r="AK43" s="503">
        <v>1205455744</v>
      </c>
      <c r="AL43" s="357">
        <v>1147145216</v>
      </c>
      <c r="AM43" s="357">
        <v>58309968</v>
      </c>
      <c r="AN43" s="550"/>
      <c r="AO43" s="503">
        <v>36.319901000000002</v>
      </c>
      <c r="AP43" s="357">
        <v>38.228698999999999</v>
      </c>
      <c r="AQ43" s="357">
        <v>39.078384</v>
      </c>
      <c r="AR43" s="550"/>
      <c r="AS43" s="507">
        <v>278.77300000000002</v>
      </c>
      <c r="AT43" s="359">
        <v>207.625</v>
      </c>
      <c r="AU43" s="573">
        <v>0</v>
      </c>
      <c r="AV43" s="573">
        <v>0</v>
      </c>
      <c r="AW43" s="33"/>
      <c r="AY43" s="56" t="e">
        <f t="shared" si="19"/>
        <v>#DIV/0!</v>
      </c>
      <c r="AZ43" s="57" t="e">
        <f t="shared" si="20"/>
        <v>#DIV/0!</v>
      </c>
      <c r="BA43" s="57">
        <f t="shared" si="21"/>
        <v>2.8420095654624999E-2</v>
      </c>
      <c r="BB43" s="58"/>
      <c r="BD43" s="76"/>
      <c r="BE43" s="76"/>
      <c r="BF43" s="76"/>
      <c r="BG43" s="105"/>
      <c r="BI43" s="252"/>
      <c r="BJ43" s="76"/>
      <c r="BK43" s="255"/>
      <c r="BL43" s="258"/>
      <c r="BM43" s="251"/>
      <c r="BN43" s="76"/>
      <c r="BO43" s="76"/>
      <c r="BP43" s="76"/>
      <c r="BQ43" s="105"/>
      <c r="BS43" s="252"/>
      <c r="BT43" s="76"/>
      <c r="BU43" s="255"/>
      <c r="BV43" s="258"/>
      <c r="BX43" s="74"/>
      <c r="BY43" s="75"/>
      <c r="BZ43" s="264"/>
      <c r="CA43" s="105"/>
      <c r="CC43" s="260"/>
      <c r="CD43" s="75"/>
      <c r="CE43" s="262"/>
      <c r="CF43" s="258"/>
    </row>
    <row r="44" spans="1:84" s="1" customFormat="1" outlineLevel="1">
      <c r="A44" s="13"/>
      <c r="B44" s="14" t="s">
        <v>1116</v>
      </c>
      <c r="C44" s="15" t="s">
        <v>134</v>
      </c>
      <c r="D44" s="479">
        <v>47062018</v>
      </c>
      <c r="E44" s="15">
        <v>20</v>
      </c>
      <c r="F44" s="15">
        <v>1</v>
      </c>
      <c r="G44" s="16"/>
      <c r="H44" s="492"/>
      <c r="I44" s="30" t="str">
        <f t="shared" si="14"/>
        <v>·</v>
      </c>
      <c r="J44" s="31">
        <f t="shared" si="15"/>
        <v>27.861814680364962</v>
      </c>
      <c r="K44" s="31">
        <f t="shared" si="16"/>
        <v>24.375181191762749</v>
      </c>
      <c r="L44" s="31">
        <f t="shared" si="23"/>
        <v>3.4866217593984175</v>
      </c>
      <c r="M44" s="87"/>
      <c r="N44" s="31">
        <f t="shared" si="18"/>
        <v>27.861814680364962</v>
      </c>
      <c r="O44" s="544">
        <v>47062018</v>
      </c>
      <c r="P44" s="503">
        <v>1311233224</v>
      </c>
      <c r="Q44" s="357">
        <v>1147145216</v>
      </c>
      <c r="R44" s="357">
        <v>164087456</v>
      </c>
      <c r="S44" s="550"/>
      <c r="T44" s="503">
        <v>40.736499999999999</v>
      </c>
      <c r="U44" s="357">
        <v>40.793652000000002</v>
      </c>
      <c r="V44" s="357">
        <v>41.357638999999999</v>
      </c>
      <c r="W44" s="550"/>
      <c r="X44" s="507">
        <v>172.93299999999999</v>
      </c>
      <c r="Y44" s="359">
        <v>115.07599999999999</v>
      </c>
      <c r="Z44" s="573">
        <v>0</v>
      </c>
      <c r="AA44" s="573">
        <v>0</v>
      </c>
      <c r="AB44" s="33"/>
      <c r="AD44" s="30" t="str">
        <f t="shared" si="22"/>
        <v>·</v>
      </c>
      <c r="AE44" s="31">
        <f t="shared" si="9"/>
        <v>26.57587730300898</v>
      </c>
      <c r="AF44" s="31">
        <f t="shared" si="10"/>
        <v>24.375181191762749</v>
      </c>
      <c r="AG44" s="31">
        <f t="shared" si="11"/>
        <v>2.2006843820424362</v>
      </c>
      <c r="AH44" s="87" t="str">
        <f t="shared" si="12"/>
        <v>·</v>
      </c>
      <c r="AI44" s="31">
        <f t="shared" si="13"/>
        <v>26.57587730300898</v>
      </c>
      <c r="AJ44" s="544">
        <v>47062018</v>
      </c>
      <c r="AK44" s="503">
        <v>1250714416</v>
      </c>
      <c r="AL44" s="357">
        <v>1147145216</v>
      </c>
      <c r="AM44" s="357">
        <v>103568648</v>
      </c>
      <c r="AN44" s="550"/>
      <c r="AO44" s="503">
        <v>41.842621000000001</v>
      </c>
      <c r="AP44" s="357">
        <v>43.636291999999997</v>
      </c>
      <c r="AQ44" s="357">
        <v>44.512726000000001</v>
      </c>
      <c r="AR44" s="550"/>
      <c r="AS44" s="507">
        <v>285.00099999999998</v>
      </c>
      <c r="AT44" s="359">
        <v>214.672</v>
      </c>
      <c r="AU44" s="573">
        <v>0</v>
      </c>
      <c r="AV44" s="573">
        <v>0</v>
      </c>
      <c r="AW44" s="33"/>
      <c r="AY44" s="56" t="e">
        <f t="shared" si="19"/>
        <v>#DIV/0!</v>
      </c>
      <c r="AZ44" s="57" t="e">
        <f t="shared" si="20"/>
        <v>#DIV/0!</v>
      </c>
      <c r="BA44" s="57">
        <f t="shared" si="21"/>
        <v>4.23321828372758E-2</v>
      </c>
      <c r="BB44" s="58"/>
      <c r="BD44" s="76"/>
      <c r="BE44" s="76"/>
      <c r="BF44" s="76"/>
      <c r="BG44" s="105"/>
      <c r="BI44" s="252"/>
      <c r="BJ44" s="76"/>
      <c r="BK44" s="255"/>
      <c r="BL44" s="258"/>
      <c r="BM44" s="251"/>
      <c r="BN44" s="76"/>
      <c r="BO44" s="76"/>
      <c r="BP44" s="76"/>
      <c r="BQ44" s="105"/>
      <c r="BS44" s="252"/>
      <c r="BT44" s="76"/>
      <c r="BU44" s="255"/>
      <c r="BV44" s="258"/>
      <c r="BX44" s="74"/>
      <c r="BY44" s="75"/>
      <c r="BZ44" s="264"/>
      <c r="CA44" s="105"/>
      <c r="CC44" s="260"/>
      <c r="CD44" s="75"/>
      <c r="CE44" s="262"/>
      <c r="CF44" s="258"/>
    </row>
    <row r="45" spans="1:84" s="1" customFormat="1" outlineLevel="1">
      <c r="A45" s="13"/>
      <c r="B45" s="14" t="s">
        <v>1116</v>
      </c>
      <c r="C45" s="15" t="s">
        <v>135</v>
      </c>
      <c r="D45" s="479">
        <v>47062018</v>
      </c>
      <c r="E45" s="15">
        <v>20</v>
      </c>
      <c r="F45" s="15">
        <v>1</v>
      </c>
      <c r="G45" s="16"/>
      <c r="H45" s="492"/>
      <c r="I45" s="30" t="str">
        <f t="shared" si="14"/>
        <v>·</v>
      </c>
      <c r="J45" s="31">
        <f t="shared" si="15"/>
        <v>29.878953171961303</v>
      </c>
      <c r="K45" s="31">
        <f t="shared" si="16"/>
        <v>24.375181191762749</v>
      </c>
      <c r="L45" s="31">
        <f t="shared" si="23"/>
        <v>5.5037602509947616</v>
      </c>
      <c r="M45" s="87"/>
      <c r="N45" s="31">
        <f t="shared" si="18"/>
        <v>29.878953171961303</v>
      </c>
      <c r="O45" s="544">
        <v>47062018</v>
      </c>
      <c r="P45" s="503">
        <v>1406163832</v>
      </c>
      <c r="Q45" s="357">
        <v>1147145216</v>
      </c>
      <c r="R45" s="357">
        <v>259018064</v>
      </c>
      <c r="S45" s="550"/>
      <c r="T45" s="503">
        <v>46.374054000000001</v>
      </c>
      <c r="U45" s="357">
        <v>46.196517999999998</v>
      </c>
      <c r="V45" s="357">
        <v>46.380336999999997</v>
      </c>
      <c r="W45" s="550"/>
      <c r="X45" s="507">
        <v>177.81299999999999</v>
      </c>
      <c r="Y45" s="359">
        <v>117.117</v>
      </c>
      <c r="Z45" s="573">
        <v>0</v>
      </c>
      <c r="AA45" s="573">
        <v>0</v>
      </c>
      <c r="AB45" s="33"/>
      <c r="AD45" s="30" t="str">
        <f t="shared" si="22"/>
        <v>·</v>
      </c>
      <c r="AE45" s="31">
        <f t="shared" si="9"/>
        <v>28.414310155590861</v>
      </c>
      <c r="AF45" s="31">
        <f t="shared" si="10"/>
        <v>24.375181191762749</v>
      </c>
      <c r="AG45" s="31">
        <f t="shared" si="11"/>
        <v>4.0391172346243209</v>
      </c>
      <c r="AH45" s="87" t="str">
        <f t="shared" si="12"/>
        <v>·</v>
      </c>
      <c r="AI45" s="31">
        <f t="shared" si="13"/>
        <v>28.414310155590861</v>
      </c>
      <c r="AJ45" s="544">
        <v>47062018</v>
      </c>
      <c r="AK45" s="503">
        <v>1337234776</v>
      </c>
      <c r="AL45" s="357">
        <v>1147145216</v>
      </c>
      <c r="AM45" s="357">
        <v>190089008</v>
      </c>
      <c r="AN45" s="550"/>
      <c r="AO45" s="503">
        <v>46.960304000000001</v>
      </c>
      <c r="AP45" s="357">
        <v>48.445061000000003</v>
      </c>
      <c r="AQ45" s="357">
        <v>48.902641000000003</v>
      </c>
      <c r="AR45" s="550"/>
      <c r="AS45" s="507">
        <v>284.072</v>
      </c>
      <c r="AT45" s="359">
        <v>200.489</v>
      </c>
      <c r="AU45" s="573">
        <v>0</v>
      </c>
      <c r="AV45" s="573">
        <v>0</v>
      </c>
      <c r="AW45" s="33"/>
      <c r="AY45" s="56" t="e">
        <f t="shared" si="19"/>
        <v>#DIV/0!</v>
      </c>
      <c r="AZ45" s="57" t="e">
        <f t="shared" si="20"/>
        <v>#DIV/0!</v>
      </c>
      <c r="BA45" s="57">
        <f t="shared" si="21"/>
        <v>4.205107895984328E-2</v>
      </c>
      <c r="BB45" s="58"/>
      <c r="BD45" s="76"/>
      <c r="BE45" s="76"/>
      <c r="BF45" s="76"/>
      <c r="BG45" s="105"/>
      <c r="BI45" s="252"/>
      <c r="BJ45" s="76"/>
      <c r="BK45" s="255"/>
      <c r="BL45" s="258"/>
      <c r="BM45" s="251"/>
      <c r="BN45" s="76"/>
      <c r="BO45" s="76"/>
      <c r="BP45" s="76"/>
      <c r="BQ45" s="105"/>
      <c r="BS45" s="252"/>
      <c r="BT45" s="76"/>
      <c r="BU45" s="255"/>
      <c r="BV45" s="258"/>
      <c r="BX45" s="74"/>
      <c r="BY45" s="75"/>
      <c r="BZ45" s="264"/>
      <c r="CA45" s="105"/>
      <c r="CC45" s="260"/>
      <c r="CD45" s="75"/>
      <c r="CE45" s="262"/>
      <c r="CF45" s="258"/>
    </row>
    <row r="46" spans="1:84" s="1" customFormat="1" ht="14.25" outlineLevel="1" thickBot="1">
      <c r="A46" s="13"/>
      <c r="B46" s="18" t="s">
        <v>1116</v>
      </c>
      <c r="C46" s="19" t="s">
        <v>136</v>
      </c>
      <c r="D46" s="480">
        <v>47062018</v>
      </c>
      <c r="E46" s="19">
        <v>20</v>
      </c>
      <c r="F46" s="19">
        <v>1</v>
      </c>
      <c r="G46" s="20"/>
      <c r="H46" s="492"/>
      <c r="I46" s="34" t="str">
        <f t="shared" si="14"/>
        <v>·</v>
      </c>
      <c r="J46" s="35">
        <f t="shared" si="15"/>
        <v>32.014450719049066</v>
      </c>
      <c r="K46" s="35">
        <f t="shared" si="16"/>
        <v>24.375181191762749</v>
      </c>
      <c r="L46" s="35">
        <f t="shared" si="23"/>
        <v>7.6392577980825216</v>
      </c>
      <c r="M46" s="88"/>
      <c r="N46" s="35">
        <f t="shared" si="18"/>
        <v>32.014450719049066</v>
      </c>
      <c r="O46" s="555">
        <v>47062018</v>
      </c>
      <c r="P46" s="505">
        <v>1506664656</v>
      </c>
      <c r="Q46" s="361">
        <v>1147145216</v>
      </c>
      <c r="R46" s="361">
        <v>359518888</v>
      </c>
      <c r="S46" s="551"/>
      <c r="T46" s="505">
        <v>51.145302000000001</v>
      </c>
      <c r="U46" s="361">
        <v>51.203361999999998</v>
      </c>
      <c r="V46" s="361">
        <v>51.743583999999998</v>
      </c>
      <c r="W46" s="551"/>
      <c r="X46" s="509">
        <v>170.34700000000001</v>
      </c>
      <c r="Y46" s="363">
        <v>117.193</v>
      </c>
      <c r="Z46" s="575">
        <v>0</v>
      </c>
      <c r="AA46" s="575">
        <v>0</v>
      </c>
      <c r="AB46" s="37"/>
      <c r="AD46" s="34" t="str">
        <f t="shared" si="22"/>
        <v>·</v>
      </c>
      <c r="AE46" s="35">
        <f t="shared" si="9"/>
        <v>31.125142827492013</v>
      </c>
      <c r="AF46" s="35">
        <f t="shared" si="10"/>
        <v>24.375181191762749</v>
      </c>
      <c r="AG46" s="35">
        <f t="shared" si="11"/>
        <v>6.7499499065254707</v>
      </c>
      <c r="AH46" s="88" t="str">
        <f t="shared" si="12"/>
        <v>·</v>
      </c>
      <c r="AI46" s="35">
        <f t="shared" si="13"/>
        <v>31.125142827492013</v>
      </c>
      <c r="AJ46" s="555">
        <v>47062018</v>
      </c>
      <c r="AK46" s="505">
        <v>1464812032</v>
      </c>
      <c r="AL46" s="361">
        <v>1147145216</v>
      </c>
      <c r="AM46" s="361">
        <v>317666264</v>
      </c>
      <c r="AN46" s="551"/>
      <c r="AO46" s="505">
        <v>51.365493999999998</v>
      </c>
      <c r="AP46" s="361">
        <v>52.734797999999998</v>
      </c>
      <c r="AQ46" s="361">
        <v>53.297764000000001</v>
      </c>
      <c r="AR46" s="551"/>
      <c r="AS46" s="509">
        <v>297.34100000000001</v>
      </c>
      <c r="AT46" s="363">
        <v>237.25800000000001</v>
      </c>
      <c r="AU46" s="575">
        <v>0</v>
      </c>
      <c r="AV46" s="575">
        <v>0</v>
      </c>
      <c r="AW46" s="37"/>
      <c r="AY46" s="59" t="e">
        <f t="shared" si="19"/>
        <v>#DIV/0!</v>
      </c>
      <c r="AZ46" s="60" t="e">
        <f t="shared" si="20"/>
        <v>#DIV/0!</v>
      </c>
      <c r="BA46" s="60">
        <f t="shared" si="21"/>
        <v>2.1754173652235975E-2</v>
      </c>
      <c r="BB46" s="61"/>
      <c r="BD46" s="79"/>
      <c r="BE46" s="79"/>
      <c r="BF46" s="79"/>
      <c r="BG46" s="108"/>
      <c r="BI46" s="253"/>
      <c r="BJ46" s="79"/>
      <c r="BK46" s="256"/>
      <c r="BL46" s="259"/>
      <c r="BM46" s="251"/>
      <c r="BN46" s="79"/>
      <c r="BO46" s="79"/>
      <c r="BP46" s="79"/>
      <c r="BQ46" s="108"/>
      <c r="BS46" s="253"/>
      <c r="BT46" s="79"/>
      <c r="BU46" s="256"/>
      <c r="BV46" s="259"/>
      <c r="BX46" s="77"/>
      <c r="BY46" s="78"/>
      <c r="BZ46" s="265"/>
      <c r="CA46" s="108"/>
      <c r="CC46" s="261"/>
      <c r="CD46" s="78"/>
      <c r="CE46" s="263"/>
      <c r="CF46" s="259"/>
    </row>
    <row r="47" spans="1:84" s="1" customFormat="1">
      <c r="A47" s="13"/>
      <c r="B47" s="27" t="s">
        <v>1117</v>
      </c>
      <c r="C47" s="28" t="s">
        <v>131</v>
      </c>
      <c r="D47" s="478">
        <v>43399207</v>
      </c>
      <c r="E47" s="28">
        <v>20</v>
      </c>
      <c r="F47" s="28">
        <v>1</v>
      </c>
      <c r="G47" s="29"/>
      <c r="H47" s="492"/>
      <c r="I47" s="46" t="str">
        <f t="shared" si="14"/>
        <v>·</v>
      </c>
      <c r="J47" s="47">
        <f t="shared" si="15"/>
        <v>26.183704600869781</v>
      </c>
      <c r="K47" s="47">
        <f t="shared" si="16"/>
        <v>25.480300043270375</v>
      </c>
      <c r="L47" s="47">
        <f t="shared" si="23"/>
        <v>0.70339128546749718</v>
      </c>
      <c r="M47" s="87"/>
      <c r="N47" s="47">
        <f t="shared" si="18"/>
        <v>26.183704600869781</v>
      </c>
      <c r="O47" s="554">
        <v>43399207</v>
      </c>
      <c r="P47" s="502">
        <v>1136352016</v>
      </c>
      <c r="Q47" s="353">
        <v>1105824816</v>
      </c>
      <c r="R47" s="353">
        <v>30526624</v>
      </c>
      <c r="S47" s="550"/>
      <c r="T47" s="502">
        <v>22.499765</v>
      </c>
      <c r="U47" s="353">
        <v>26.967941</v>
      </c>
      <c r="V47" s="353">
        <v>29.692661000000001</v>
      </c>
      <c r="W47" s="550"/>
      <c r="X47" s="506">
        <v>154.46</v>
      </c>
      <c r="Y47" s="355">
        <v>103.15900000000001</v>
      </c>
      <c r="Z47" s="572">
        <v>0</v>
      </c>
      <c r="AA47" s="572">
        <v>0</v>
      </c>
      <c r="AB47" s="49"/>
      <c r="AD47" s="46" t="str">
        <f t="shared" si="22"/>
        <v>·</v>
      </c>
      <c r="AE47" s="47">
        <f t="shared" si="9"/>
        <v>25.839806888637391</v>
      </c>
      <c r="AF47" s="47">
        <f t="shared" si="10"/>
        <v>25.480300043270375</v>
      </c>
      <c r="AG47" s="47">
        <f t="shared" si="11"/>
        <v>0.35949357323510545</v>
      </c>
      <c r="AH47" s="87" t="str">
        <f t="shared" si="12"/>
        <v>·</v>
      </c>
      <c r="AI47" s="47">
        <f t="shared" si="13"/>
        <v>25.839806888637391</v>
      </c>
      <c r="AJ47" s="554">
        <v>43399207</v>
      </c>
      <c r="AK47" s="502">
        <v>1121427128</v>
      </c>
      <c r="AL47" s="353">
        <v>1105824816</v>
      </c>
      <c r="AM47" s="353">
        <v>15601736</v>
      </c>
      <c r="AN47" s="550"/>
      <c r="AO47" s="502">
        <v>25.273592000000001</v>
      </c>
      <c r="AP47" s="353">
        <v>27.401261999999999</v>
      </c>
      <c r="AQ47" s="353">
        <v>26.482921999999999</v>
      </c>
      <c r="AR47" s="550"/>
      <c r="AS47" s="506">
        <v>267.423</v>
      </c>
      <c r="AT47" s="355">
        <v>199.80699999999999</v>
      </c>
      <c r="AU47" s="572">
        <v>0</v>
      </c>
      <c r="AV47" s="572">
        <v>0</v>
      </c>
      <c r="AW47" s="49"/>
      <c r="AY47" s="68" t="e">
        <f t="shared" si="19"/>
        <v>#DIV/0!</v>
      </c>
      <c r="AZ47" s="69" t="e">
        <f t="shared" si="20"/>
        <v>#DIV/0!</v>
      </c>
      <c r="BA47" s="69">
        <f t="shared" si="21"/>
        <v>1.2951303121967905E-2</v>
      </c>
      <c r="BB47" s="70">
        <f t="array" ref="BB47">AVERAGE(AL47:AL52/AK47:AK52) - AVERAGE(Q47:Q52/P47:P52)</f>
        <v>2.6409101717152828E-2</v>
      </c>
      <c r="BD47" s="86">
        <f>IF( OR(ISBLANK($R47:$R52),ISBLANK($AM47:$AM52), ISBLANK(T47:T52),ISBLANK(AO47:AO52)), "·", bdRateHermite( $R47:$R52,$T47:$T52, $AM47:$AM52,$AO47:$AO52))</f>
        <v>-0.42311727156208834</v>
      </c>
      <c r="BE47" s="86">
        <f>IF( OR(ISBLANK($R47:$R52),ISBLANK($AM47:$AM52), ISBLANK(U47:U52),ISBLANK(AP47:AP52)), "·", bdRateHermite( $R47:$R52,$U47:$U52, $AM47:$AM52,$AP47:$AP52))</f>
        <v>-0.4981042983379097</v>
      </c>
      <c r="BF47" s="86">
        <f>IF( OR(ISBLANK($R47:$R52),ISBLANK($AM47:$AM52), ISBLANK(V47:V52),ISBLANK(AQ47:AQ52)), "·", bdRateHermite( $R47:$R52,$V47:$V52, $AM47:$AM52,$AQ47:$AQ52))</f>
        <v>-0.41208836937282622</v>
      </c>
      <c r="BG47" s="103"/>
      <c r="BI47" s="250">
        <f>IF(OR(ISBLANK($P47:$P52),ISBLANK($AK47:$AK52),ISBLANK(T47:T52),ISBLANK(AO47:AO52)),"·",bdRateHermite($P47:$P52,$T47:$T52,$AK47:$AK52,$AO47:$AO52))</f>
        <v>-4.0184484514299679E-2</v>
      </c>
      <c r="BJ47" s="85">
        <f>IF(OR(ISBLANK($P47:$P52),ISBLANK($AK47:$AK52),ISBLANK(U47:U52),ISBLANK(AP47:AP52)),"·",bdRateHermite($P47:$P52,$U47:$U52,$AK47:$AK52,$AP47:$AP52))</f>
        <v>-5.4365013706941911E-2</v>
      </c>
      <c r="BK47" s="254">
        <f>IF(OR(ISBLANK($P47:$P52),ISBLANK($AK47:$AK52),ISBLANK(V47:V52),ISBLANK(AQ47:AQ52)),"·",bdRateHermite($P47:$P52,$V47:$V52,$AK47:$AK52,$AQ47:$AQ52))</f>
        <v>-5.0248639187529753E-2</v>
      </c>
      <c r="BL47" s="257"/>
      <c r="BM47" s="251"/>
      <c r="BN47" s="86">
        <f>IF( OR(ISBLANK($R47:$R52),ISBLANK($AM47:$AM52), ISBLANK(T47:T52),ISBLANK(AO47:AO52)), "·", bdRateHermite( $R48:$R52,$T48:$T52, $AM48:$AM52,$AO48:$AO52))</f>
        <v>-0.38089364513709789</v>
      </c>
      <c r="BO47" s="86">
        <f>IF( OR(ISBLANK($R47:$R52),ISBLANK($AM47:$AM52), ISBLANK(U47:U52),ISBLANK(AP47:AP52)), "·", bdRateHermite( $R48:$R52,$U48:$U52, $AM48:$AM52,$AP48:$AP52))</f>
        <v>-0.47264147082881391</v>
      </c>
      <c r="BP47" s="86">
        <f>IF( OR(ISBLANK($R47:$R52),ISBLANK($AM47:$AM52), ISBLANK(V47:V52),ISBLANK(AQ47:AQ52)), "·", bdRateHermite( $R48:$R52,$V48:$V52, $AM48:$AM52,$AQ48:$AQ52))</f>
        <v>-0.44181372070749247</v>
      </c>
      <c r="BQ47" s="103"/>
      <c r="BS47" s="250">
        <f>IF(OR(ISBLANK($P47:$P52),ISBLANK($AK47:$AK52),ISBLANK(T47:T52),ISBLANK(AO47:AO52)),"·",bdRateHermite($P48:$P52,$T48:$T52,$AK48:$AK52,$AO48:$AO52))</f>
        <v>-4.4478655797996702E-2</v>
      </c>
      <c r="BT47" s="85">
        <f>IF(OR(ISBLANK($P47:$P52),ISBLANK($AK47:$AK52),ISBLANK(U47:U52),ISBLANK(AP47:AP52)),"·",bdRateHermite($P48:$P52,$U48:$U52,$AK48:$AK52,$AP48:$AP52))</f>
        <v>-6.1513878444008574E-2</v>
      </c>
      <c r="BU47" s="254">
        <f>IF(OR(ISBLANK($P47:$P52),ISBLANK($AK47:$AK52),ISBLANK(V47:V52),ISBLANK(AQ47:AQ52)),"·",bdRateHermite($P48:$P52,$V48:$V52,$AK48:$AK52,$AQ48:$AQ52))</f>
        <v>-6.0042861808172088E-2</v>
      </c>
      <c r="BV47" s="257"/>
      <c r="BX47" s="86">
        <f>IF( OR(ISBLANK($R47:$R52),ISBLANK($AM47:$AM52), ISBLANK(T47:T52),ISBLANK(AO47:AO52)), "·", bdRateHermite( $R47:$R51,$T47:$T51, $AM47:$AM51,$AO47:$AO51))</f>
        <v>-0.46329098456029993</v>
      </c>
      <c r="BY47" s="86">
        <f>IF( OR(ISBLANK($R47:$R52),ISBLANK($AM47:$AM52), ISBLANK(U47:U52),ISBLANK(AP47:AP52)), "·", bdRateHermite( $R47:$R51,$U47:$U51, $AM47:$AM51,$AP47:$AP51))</f>
        <v>-0.53586056408585203</v>
      </c>
      <c r="BZ47" s="86">
        <f>IF( OR(ISBLANK($R47:$R52),ISBLANK($AM47:$AM52), ISBLANK(V47:V52),ISBLANK(AQ47:AQ52)), "·", bdRateHermite( $R47:$R51,$V47:$V51, $AM47:$AM51,$AQ47:$AQ51))</f>
        <v>-0.43699736856680704</v>
      </c>
      <c r="CA47" s="103"/>
      <c r="CC47" s="250">
        <f>IF(OR(ISBLANK($P47:$P52),ISBLANK($AK47:$AK52),ISBLANK(T47:T52),ISBLANK(AO47:AO52)),"·",bdRateHermite($P47:$P51,$T47:$T51,$AK47:$AK51,$AO47:$AO51))</f>
        <v>-3.9555310721659742E-2</v>
      </c>
      <c r="CD47" s="85">
        <f>IF(OR(ISBLANK($P47:$P52),ISBLANK($AK47:$AK52),ISBLANK(U47:U52),ISBLANK(AP47:AP52)),"·",bdRateHermite($P47:$P51,$U47:$U51,$AK47:$AK51,$AP47:$AP51))</f>
        <v>-5.0375450509565045E-2</v>
      </c>
      <c r="CE47" s="254">
        <f>IF(OR(ISBLANK($P47:$P52),ISBLANK($AK47:$AK52),ISBLANK(V47:V52),ISBLANK(AQ47:AQ52)),"·",bdRateHermite($P47:$P51,$V47:$V51,$AK47:$AK51,$AQ47:$AQ51))</f>
        <v>-4.4885062363398287E-2</v>
      </c>
      <c r="CF47" s="257"/>
    </row>
    <row r="48" spans="1:84" s="1" customFormat="1" outlineLevel="1">
      <c r="A48" s="13"/>
      <c r="B48" s="14" t="s">
        <v>1117</v>
      </c>
      <c r="C48" s="15" t="s">
        <v>132</v>
      </c>
      <c r="D48" s="479">
        <v>43399207</v>
      </c>
      <c r="E48" s="15">
        <v>20</v>
      </c>
      <c r="F48" s="15">
        <v>1</v>
      </c>
      <c r="G48" s="16"/>
      <c r="H48" s="492"/>
      <c r="I48" s="30" t="str">
        <f t="shared" si="14"/>
        <v>·</v>
      </c>
      <c r="J48" s="31">
        <f t="shared" si="15"/>
        <v>26.727147157320179</v>
      </c>
      <c r="K48" s="31">
        <f t="shared" si="16"/>
        <v>25.480300043270375</v>
      </c>
      <c r="L48" s="31">
        <f t="shared" si="23"/>
        <v>1.246833841917895</v>
      </c>
      <c r="M48" s="87"/>
      <c r="N48" s="31">
        <f t="shared" si="18"/>
        <v>26.727147157320179</v>
      </c>
      <c r="O48" s="544">
        <v>43399207</v>
      </c>
      <c r="P48" s="503">
        <v>1159936992</v>
      </c>
      <c r="Q48" s="357">
        <v>1105824816</v>
      </c>
      <c r="R48" s="357">
        <v>54111600</v>
      </c>
      <c r="S48" s="550"/>
      <c r="T48" s="503">
        <v>28.864048</v>
      </c>
      <c r="U48" s="357">
        <v>29.787870000000002</v>
      </c>
      <c r="V48" s="357">
        <v>33.983390999999997</v>
      </c>
      <c r="W48" s="550"/>
      <c r="X48" s="507">
        <v>154.73699999999999</v>
      </c>
      <c r="Y48" s="359">
        <v>102.86199999999999</v>
      </c>
      <c r="Z48" s="573">
        <v>0</v>
      </c>
      <c r="AA48" s="573">
        <v>0</v>
      </c>
      <c r="AB48" s="33"/>
      <c r="AD48" s="30" t="str">
        <f t="shared" si="22"/>
        <v>·</v>
      </c>
      <c r="AE48" s="31">
        <f t="shared" si="9"/>
        <v>26.20284817646553</v>
      </c>
      <c r="AF48" s="31">
        <f t="shared" si="10"/>
        <v>25.480300043270375</v>
      </c>
      <c r="AG48" s="31">
        <f t="shared" si="11"/>
        <v>0.72253486106324483</v>
      </c>
      <c r="AH48" s="87" t="str">
        <f t="shared" si="12"/>
        <v>·</v>
      </c>
      <c r="AI48" s="31">
        <f t="shared" si="13"/>
        <v>26.20284817646553</v>
      </c>
      <c r="AJ48" s="544">
        <v>43399207</v>
      </c>
      <c r="AK48" s="503">
        <v>1137182832</v>
      </c>
      <c r="AL48" s="357">
        <v>1105824816</v>
      </c>
      <c r="AM48" s="357">
        <v>31357440</v>
      </c>
      <c r="AN48" s="550"/>
      <c r="AO48" s="503">
        <v>30.780190999999999</v>
      </c>
      <c r="AP48" s="357">
        <v>32.493645000000001</v>
      </c>
      <c r="AQ48" s="357">
        <v>32.578845999999999</v>
      </c>
      <c r="AR48" s="550"/>
      <c r="AS48" s="507">
        <v>270.54500000000002</v>
      </c>
      <c r="AT48" s="359">
        <v>199.29499999999999</v>
      </c>
      <c r="AU48" s="573">
        <v>0</v>
      </c>
      <c r="AV48" s="573">
        <v>0</v>
      </c>
      <c r="AW48" s="33"/>
      <c r="AY48" s="56" t="e">
        <f t="shared" si="19"/>
        <v>#DIV/0!</v>
      </c>
      <c r="AZ48" s="57" t="e">
        <f t="shared" si="20"/>
        <v>#DIV/0!</v>
      </c>
      <c r="BA48" s="57">
        <f t="shared" si="21"/>
        <v>1.9075786185467347E-2</v>
      </c>
      <c r="BB48" s="58"/>
      <c r="BD48" s="76"/>
      <c r="BE48" s="76"/>
      <c r="BF48" s="76"/>
      <c r="BG48" s="105"/>
      <c r="BI48" s="252"/>
      <c r="BJ48" s="76"/>
      <c r="BK48" s="255"/>
      <c r="BL48" s="258"/>
      <c r="BM48" s="251"/>
      <c r="BN48" s="252"/>
      <c r="BO48" s="76"/>
      <c r="BP48" s="255"/>
      <c r="BQ48" s="258"/>
      <c r="BS48" s="252"/>
      <c r="BT48" s="76"/>
      <c r="BU48" s="255"/>
      <c r="BV48" s="258"/>
      <c r="BX48" s="74"/>
      <c r="BY48" s="75"/>
      <c r="BZ48" s="264"/>
      <c r="CA48" s="105"/>
      <c r="CC48" s="260"/>
      <c r="CD48" s="75"/>
      <c r="CE48" s="262"/>
      <c r="CF48" s="258"/>
    </row>
    <row r="49" spans="1:84" s="1" customFormat="1" outlineLevel="1">
      <c r="A49" s="13"/>
      <c r="B49" s="14" t="s">
        <v>1117</v>
      </c>
      <c r="C49" s="15" t="s">
        <v>133</v>
      </c>
      <c r="D49" s="479">
        <v>43399207</v>
      </c>
      <c r="E49" s="15">
        <v>20</v>
      </c>
      <c r="F49" s="15">
        <v>1</v>
      </c>
      <c r="G49" s="16"/>
      <c r="H49" s="492"/>
      <c r="I49" s="30" t="str">
        <f t="shared" si="14"/>
        <v>·</v>
      </c>
      <c r="J49" s="31">
        <f t="shared" si="15"/>
        <v>27.639521616143817</v>
      </c>
      <c r="K49" s="31">
        <f t="shared" si="16"/>
        <v>25.480300043270375</v>
      </c>
      <c r="L49" s="31">
        <f t="shared" si="23"/>
        <v>2.1592083007415321</v>
      </c>
      <c r="M49" s="87"/>
      <c r="N49" s="31">
        <f t="shared" si="18"/>
        <v>27.639521616143817</v>
      </c>
      <c r="O49" s="544">
        <v>43399207</v>
      </c>
      <c r="P49" s="503">
        <v>1199533320</v>
      </c>
      <c r="Q49" s="357">
        <v>1105824816</v>
      </c>
      <c r="R49" s="357">
        <v>93707928</v>
      </c>
      <c r="S49" s="550"/>
      <c r="T49" s="503">
        <v>34.821640000000002</v>
      </c>
      <c r="U49" s="357">
        <v>34.851978000000003</v>
      </c>
      <c r="V49" s="357">
        <v>37.403145000000002</v>
      </c>
      <c r="W49" s="550"/>
      <c r="X49" s="507">
        <v>154.20599999999999</v>
      </c>
      <c r="Y49" s="359">
        <v>104.024</v>
      </c>
      <c r="Z49" s="573">
        <v>0</v>
      </c>
      <c r="AA49" s="573">
        <v>0</v>
      </c>
      <c r="AB49" s="33"/>
      <c r="AD49" s="30" t="str">
        <f t="shared" si="22"/>
        <v>·</v>
      </c>
      <c r="AE49" s="31">
        <f t="shared" si="9"/>
        <v>26.832118844936499</v>
      </c>
      <c r="AF49" s="31">
        <f t="shared" si="10"/>
        <v>25.480300043270375</v>
      </c>
      <c r="AG49" s="31">
        <f t="shared" si="11"/>
        <v>1.3518055295342148</v>
      </c>
      <c r="AH49" s="87" t="str">
        <f t="shared" si="12"/>
        <v>·</v>
      </c>
      <c r="AI49" s="31">
        <f t="shared" si="13"/>
        <v>26.832118844936499</v>
      </c>
      <c r="AJ49" s="544">
        <v>43399207</v>
      </c>
      <c r="AK49" s="503">
        <v>1164492680</v>
      </c>
      <c r="AL49" s="357">
        <v>1105824816</v>
      </c>
      <c r="AM49" s="357">
        <v>58667288</v>
      </c>
      <c r="AN49" s="550"/>
      <c r="AO49" s="503">
        <v>36.267761</v>
      </c>
      <c r="AP49" s="357">
        <v>38.030315000000002</v>
      </c>
      <c r="AQ49" s="357">
        <v>38.901051000000002</v>
      </c>
      <c r="AR49" s="550"/>
      <c r="AS49" s="507">
        <v>271.72899999999998</v>
      </c>
      <c r="AT49" s="359">
        <v>190.28</v>
      </c>
      <c r="AU49" s="573">
        <v>0</v>
      </c>
      <c r="AV49" s="573">
        <v>0</v>
      </c>
      <c r="AW49" s="33"/>
      <c r="AY49" s="56" t="e">
        <f t="shared" si="19"/>
        <v>#DIV/0!</v>
      </c>
      <c r="AZ49" s="57" t="e">
        <f t="shared" si="20"/>
        <v>#DIV/0!</v>
      </c>
      <c r="BA49" s="57">
        <f t="shared" si="21"/>
        <v>2.7740180495900435E-2</v>
      </c>
      <c r="BB49" s="58"/>
      <c r="BD49" s="76"/>
      <c r="BE49" s="76"/>
      <c r="BF49" s="76"/>
      <c r="BG49" s="105"/>
      <c r="BI49" s="252"/>
      <c r="BJ49" s="76"/>
      <c r="BK49" s="255"/>
      <c r="BL49" s="258"/>
      <c r="BM49" s="251"/>
      <c r="BN49" s="252"/>
      <c r="BO49" s="76"/>
      <c r="BP49" s="255"/>
      <c r="BQ49" s="258"/>
      <c r="BS49" s="252"/>
      <c r="BT49" s="76"/>
      <c r="BU49" s="255"/>
      <c r="BV49" s="258"/>
      <c r="BX49" s="74"/>
      <c r="BY49" s="75"/>
      <c r="BZ49" s="264"/>
      <c r="CA49" s="105"/>
      <c r="CC49" s="260"/>
      <c r="CD49" s="75"/>
      <c r="CE49" s="262"/>
      <c r="CF49" s="258"/>
    </row>
    <row r="50" spans="1:84" s="1" customFormat="1" outlineLevel="1">
      <c r="A50" s="13"/>
      <c r="B50" s="14" t="s">
        <v>1117</v>
      </c>
      <c r="C50" s="15" t="s">
        <v>134</v>
      </c>
      <c r="D50" s="479">
        <v>43399207</v>
      </c>
      <c r="E50" s="15">
        <v>20</v>
      </c>
      <c r="F50" s="15">
        <v>1</v>
      </c>
      <c r="G50" s="16"/>
      <c r="H50" s="492"/>
      <c r="I50" s="30" t="str">
        <f t="shared" si="14"/>
        <v>·</v>
      </c>
      <c r="J50" s="31">
        <f t="shared" si="15"/>
        <v>29.205259533889642</v>
      </c>
      <c r="K50" s="31">
        <f t="shared" si="16"/>
        <v>25.480300043270375</v>
      </c>
      <c r="L50" s="31">
        <f t="shared" si="23"/>
        <v>3.7249462184873563</v>
      </c>
      <c r="M50" s="87"/>
      <c r="N50" s="31">
        <f t="shared" si="18"/>
        <v>29.205259533889642</v>
      </c>
      <c r="O50" s="544">
        <v>43399207</v>
      </c>
      <c r="P50" s="503">
        <v>1267485104</v>
      </c>
      <c r="Q50" s="357">
        <v>1105824816</v>
      </c>
      <c r="R50" s="357">
        <v>161659712</v>
      </c>
      <c r="S50" s="550"/>
      <c r="T50" s="503">
        <v>40.74118</v>
      </c>
      <c r="U50" s="357">
        <v>40.876682000000002</v>
      </c>
      <c r="V50" s="357">
        <v>41.077759</v>
      </c>
      <c r="W50" s="550"/>
      <c r="X50" s="507">
        <v>155.53200000000001</v>
      </c>
      <c r="Y50" s="359">
        <v>104.983</v>
      </c>
      <c r="Z50" s="573">
        <v>0</v>
      </c>
      <c r="AA50" s="573">
        <v>0</v>
      </c>
      <c r="AB50" s="33"/>
      <c r="AD50" s="30" t="str">
        <f t="shared" si="22"/>
        <v>·</v>
      </c>
      <c r="AE50" s="31">
        <f t="shared" si="9"/>
        <v>27.912342637965711</v>
      </c>
      <c r="AF50" s="31">
        <f t="shared" si="10"/>
        <v>25.480300043270375</v>
      </c>
      <c r="AG50" s="31">
        <f t="shared" si="11"/>
        <v>2.4320293225634284</v>
      </c>
      <c r="AH50" s="87" t="str">
        <f t="shared" si="12"/>
        <v>·</v>
      </c>
      <c r="AI50" s="31">
        <f t="shared" si="13"/>
        <v>27.912342637965711</v>
      </c>
      <c r="AJ50" s="544">
        <v>43399207</v>
      </c>
      <c r="AK50" s="503">
        <v>1211373536</v>
      </c>
      <c r="AL50" s="357">
        <v>1105824816</v>
      </c>
      <c r="AM50" s="357">
        <v>105548144</v>
      </c>
      <c r="AN50" s="550"/>
      <c r="AO50" s="503">
        <v>41.713894000000003</v>
      </c>
      <c r="AP50" s="357">
        <v>43.432281000000003</v>
      </c>
      <c r="AQ50" s="357">
        <v>44.144001000000003</v>
      </c>
      <c r="AR50" s="550"/>
      <c r="AS50" s="507">
        <v>245.45500000000001</v>
      </c>
      <c r="AT50" s="359">
        <v>195.62799999999999</v>
      </c>
      <c r="AU50" s="573">
        <v>0</v>
      </c>
      <c r="AV50" s="573">
        <v>0</v>
      </c>
      <c r="AW50" s="33"/>
      <c r="AY50" s="56" t="e">
        <f t="shared" si="19"/>
        <v>#DIV/0!</v>
      </c>
      <c r="AZ50" s="57" t="e">
        <f t="shared" si="20"/>
        <v>#DIV/0!</v>
      </c>
      <c r="BA50" s="57">
        <f t="shared" si="21"/>
        <v>4.0412692933616601E-2</v>
      </c>
      <c r="BB50" s="58"/>
      <c r="BD50" s="76"/>
      <c r="BE50" s="76"/>
      <c r="BF50" s="76"/>
      <c r="BG50" s="105"/>
      <c r="BI50" s="252"/>
      <c r="BJ50" s="76"/>
      <c r="BK50" s="255"/>
      <c r="BL50" s="258"/>
      <c r="BM50" s="251"/>
      <c r="BN50" s="252"/>
      <c r="BO50" s="76"/>
      <c r="BP50" s="255"/>
      <c r="BQ50" s="258"/>
      <c r="BS50" s="252"/>
      <c r="BT50" s="76"/>
      <c r="BU50" s="255"/>
      <c r="BV50" s="258"/>
      <c r="BX50" s="74"/>
      <c r="BY50" s="75"/>
      <c r="BZ50" s="264"/>
      <c r="CA50" s="105"/>
      <c r="CC50" s="260"/>
      <c r="CD50" s="75"/>
      <c r="CE50" s="262"/>
      <c r="CF50" s="258"/>
    </row>
    <row r="51" spans="1:84" s="1" customFormat="1" outlineLevel="1">
      <c r="A51" s="13"/>
      <c r="B51" s="14" t="s">
        <v>1117</v>
      </c>
      <c r="C51" s="15" t="s">
        <v>135</v>
      </c>
      <c r="D51" s="479">
        <v>43399207</v>
      </c>
      <c r="E51" s="15">
        <v>20</v>
      </c>
      <c r="F51" s="15">
        <v>1</v>
      </c>
      <c r="G51" s="16"/>
      <c r="H51" s="492"/>
      <c r="I51" s="30" t="str">
        <f t="shared" si="14"/>
        <v>·</v>
      </c>
      <c r="J51" s="31">
        <f t="shared" si="15"/>
        <v>31.233226542595581</v>
      </c>
      <c r="K51" s="31">
        <f t="shared" si="16"/>
        <v>25.480300043270375</v>
      </c>
      <c r="L51" s="31">
        <f t="shared" si="23"/>
        <v>5.7529132271932983</v>
      </c>
      <c r="M51" s="87"/>
      <c r="N51" s="31">
        <f t="shared" si="18"/>
        <v>31.233226542595581</v>
      </c>
      <c r="O51" s="544">
        <v>43399207</v>
      </c>
      <c r="P51" s="503">
        <v>1355497264</v>
      </c>
      <c r="Q51" s="357">
        <v>1105824816</v>
      </c>
      <c r="R51" s="357">
        <v>249671872</v>
      </c>
      <c r="S51" s="550"/>
      <c r="T51" s="503">
        <v>46.383198</v>
      </c>
      <c r="U51" s="357">
        <v>46.142417999999999</v>
      </c>
      <c r="V51" s="357">
        <v>46.529896000000001</v>
      </c>
      <c r="W51" s="550"/>
      <c r="X51" s="507">
        <v>178.38800000000001</v>
      </c>
      <c r="Y51" s="359">
        <v>108.31</v>
      </c>
      <c r="Z51" s="573">
        <v>0</v>
      </c>
      <c r="AA51" s="573">
        <v>0</v>
      </c>
      <c r="AB51" s="33"/>
      <c r="AD51" s="30" t="str">
        <f t="shared" si="22"/>
        <v>·</v>
      </c>
      <c r="AE51" s="31">
        <f t="shared" si="9"/>
        <v>29.847918465422651</v>
      </c>
      <c r="AF51" s="31">
        <f t="shared" si="10"/>
        <v>25.480300043270375</v>
      </c>
      <c r="AG51" s="31">
        <f t="shared" si="11"/>
        <v>4.3676051500203679</v>
      </c>
      <c r="AH51" s="87" t="str">
        <f t="shared" si="12"/>
        <v>·</v>
      </c>
      <c r="AI51" s="31">
        <f t="shared" si="13"/>
        <v>29.847918465422651</v>
      </c>
      <c r="AJ51" s="544">
        <v>43399207</v>
      </c>
      <c r="AK51" s="503">
        <v>1295375992</v>
      </c>
      <c r="AL51" s="357">
        <v>1105824816</v>
      </c>
      <c r="AM51" s="357">
        <v>189550600</v>
      </c>
      <c r="AN51" s="550"/>
      <c r="AO51" s="503">
        <v>46.872222999999998</v>
      </c>
      <c r="AP51" s="357">
        <v>48.288176999999997</v>
      </c>
      <c r="AQ51" s="357">
        <v>48.683674000000003</v>
      </c>
      <c r="AR51" s="550"/>
      <c r="AS51" s="507">
        <v>300.14299999999997</v>
      </c>
      <c r="AT51" s="359">
        <v>192.29300000000001</v>
      </c>
      <c r="AU51" s="573">
        <v>0</v>
      </c>
      <c r="AV51" s="573">
        <v>0</v>
      </c>
      <c r="AW51" s="33"/>
      <c r="AY51" s="56" t="e">
        <f t="shared" si="19"/>
        <v>#DIV/0!</v>
      </c>
      <c r="AZ51" s="57" t="e">
        <f t="shared" si="20"/>
        <v>#DIV/0!</v>
      </c>
      <c r="BA51" s="57">
        <f t="shared" si="21"/>
        <v>3.7863434325462797E-2</v>
      </c>
      <c r="BB51" s="58"/>
      <c r="BD51" s="76"/>
      <c r="BE51" s="76"/>
      <c r="BF51" s="76"/>
      <c r="BG51" s="105"/>
      <c r="BI51" s="252"/>
      <c r="BJ51" s="76"/>
      <c r="BK51" s="255"/>
      <c r="BL51" s="258"/>
      <c r="BM51" s="251"/>
      <c r="BN51" s="252"/>
      <c r="BO51" s="76"/>
      <c r="BP51" s="255"/>
      <c r="BQ51" s="258"/>
      <c r="BS51" s="252"/>
      <c r="BT51" s="76"/>
      <c r="BU51" s="255"/>
      <c r="BV51" s="258"/>
      <c r="BX51" s="74"/>
      <c r="BY51" s="75"/>
      <c r="BZ51" s="264"/>
      <c r="CA51" s="105"/>
      <c r="CC51" s="260"/>
      <c r="CD51" s="75"/>
      <c r="CE51" s="262"/>
      <c r="CF51" s="258"/>
    </row>
    <row r="52" spans="1:84" s="1" customFormat="1" ht="14.25" outlineLevel="1" thickBot="1">
      <c r="A52" s="13"/>
      <c r="B52" s="18" t="s">
        <v>1117</v>
      </c>
      <c r="C52" s="19" t="s">
        <v>136</v>
      </c>
      <c r="D52" s="480">
        <v>43399207</v>
      </c>
      <c r="E52" s="19">
        <v>20</v>
      </c>
      <c r="F52" s="19">
        <v>1</v>
      </c>
      <c r="G52" s="20"/>
      <c r="H52" s="492"/>
      <c r="I52" s="34" t="str">
        <f t="shared" si="14"/>
        <v>·</v>
      </c>
      <c r="J52" s="35">
        <f t="shared" si="15"/>
        <v>33.457881016120872</v>
      </c>
      <c r="K52" s="35">
        <f t="shared" si="16"/>
        <v>25.480300043270375</v>
      </c>
      <c r="L52" s="35">
        <f t="shared" si="23"/>
        <v>7.9775677007185868</v>
      </c>
      <c r="M52" s="89"/>
      <c r="N52" s="35">
        <f t="shared" si="18"/>
        <v>33.457881016120872</v>
      </c>
      <c r="O52" s="555">
        <v>43399207</v>
      </c>
      <c r="P52" s="505">
        <v>1452045504</v>
      </c>
      <c r="Q52" s="361">
        <v>1105824816</v>
      </c>
      <c r="R52" s="361">
        <v>346220112</v>
      </c>
      <c r="S52" s="552"/>
      <c r="T52" s="505">
        <v>51.150329999999997</v>
      </c>
      <c r="U52" s="361">
        <v>51.257342999999999</v>
      </c>
      <c r="V52" s="361">
        <v>51.603149000000002</v>
      </c>
      <c r="W52" s="552"/>
      <c r="X52" s="509">
        <v>156.15100000000001</v>
      </c>
      <c r="Y52" s="363">
        <v>109.842</v>
      </c>
      <c r="Z52" s="575">
        <v>0</v>
      </c>
      <c r="AA52" s="575">
        <v>0</v>
      </c>
      <c r="AB52" s="37"/>
      <c r="AD52" s="34" t="str">
        <f t="shared" si="22"/>
        <v>·</v>
      </c>
      <c r="AE52" s="35">
        <f t="shared" si="9"/>
        <v>32.584558699425081</v>
      </c>
      <c r="AF52" s="35">
        <f t="shared" si="10"/>
        <v>25.480300043270375</v>
      </c>
      <c r="AG52" s="35">
        <f t="shared" si="11"/>
        <v>7.1042453840227999</v>
      </c>
      <c r="AH52" s="89" t="str">
        <f t="shared" si="12"/>
        <v>·</v>
      </c>
      <c r="AI52" s="35">
        <f t="shared" si="13"/>
        <v>32.584558699425081</v>
      </c>
      <c r="AJ52" s="555">
        <v>43399207</v>
      </c>
      <c r="AK52" s="505">
        <v>1414144008</v>
      </c>
      <c r="AL52" s="361">
        <v>1105824816</v>
      </c>
      <c r="AM52" s="361">
        <v>308318616</v>
      </c>
      <c r="AN52" s="552"/>
      <c r="AO52" s="505">
        <v>51.340324000000003</v>
      </c>
      <c r="AP52" s="361">
        <v>52.597904</v>
      </c>
      <c r="AQ52" s="361">
        <v>53.074691999999999</v>
      </c>
      <c r="AR52" s="552"/>
      <c r="AS52" s="509">
        <v>258.02300000000002</v>
      </c>
      <c r="AT52" s="363">
        <v>211.33799999999999</v>
      </c>
      <c r="AU52" s="575">
        <v>0</v>
      </c>
      <c r="AV52" s="575">
        <v>0</v>
      </c>
      <c r="AW52" s="37"/>
      <c r="AY52" s="59" t="e">
        <f t="shared" si="19"/>
        <v>#DIV/0!</v>
      </c>
      <c r="AZ52" s="60" t="e">
        <f t="shared" si="20"/>
        <v>#DIV/0!</v>
      </c>
      <c r="BA52" s="60">
        <f t="shared" si="21"/>
        <v>2.0411213240503434E-2</v>
      </c>
      <c r="BB52" s="61"/>
      <c r="BD52" s="79"/>
      <c r="BE52" s="79"/>
      <c r="BF52" s="79"/>
      <c r="BG52" s="108"/>
      <c r="BI52" s="253"/>
      <c r="BJ52" s="79"/>
      <c r="BK52" s="256"/>
      <c r="BL52" s="259"/>
      <c r="BM52" s="251"/>
      <c r="BN52" s="253"/>
      <c r="BO52" s="79"/>
      <c r="BP52" s="256"/>
      <c r="BQ52" s="259"/>
      <c r="BS52" s="253"/>
      <c r="BT52" s="79"/>
      <c r="BU52" s="256"/>
      <c r="BV52" s="259"/>
      <c r="BX52" s="77"/>
      <c r="BY52" s="78"/>
      <c r="BZ52" s="265"/>
      <c r="CA52" s="108"/>
      <c r="CC52" s="261"/>
      <c r="CD52" s="78"/>
      <c r="CE52" s="263"/>
      <c r="CF52" s="259"/>
    </row>
    <row r="53" spans="1:84" s="1" customFormat="1">
      <c r="A53" s="13"/>
      <c r="B53" s="27" t="s">
        <v>1118</v>
      </c>
      <c r="C53" s="28" t="s">
        <v>131</v>
      </c>
      <c r="D53" s="478">
        <v>67599953</v>
      </c>
      <c r="E53" s="28">
        <v>16</v>
      </c>
      <c r="F53" s="28">
        <v>1</v>
      </c>
      <c r="G53" s="29"/>
      <c r="H53" s="492"/>
      <c r="I53" s="46" t="str">
        <f t="shared" si="14"/>
        <v>·</v>
      </c>
      <c r="J53" s="47">
        <f t="shared" si="15"/>
        <v>11.49373296161907</v>
      </c>
      <c r="K53" s="47">
        <f t="shared" si="16"/>
        <v>10.797644785344747</v>
      </c>
      <c r="L53" s="47">
        <f t="shared" si="23"/>
        <v>0.69607669697640173</v>
      </c>
      <c r="M53" s="90"/>
      <c r="N53" s="47">
        <f t="shared" si="18"/>
        <v>11.49373296161907</v>
      </c>
      <c r="O53" s="554">
        <v>67599953</v>
      </c>
      <c r="P53" s="502">
        <v>776975808</v>
      </c>
      <c r="Q53" s="353">
        <v>729920280</v>
      </c>
      <c r="R53" s="353">
        <v>47054752</v>
      </c>
      <c r="S53" s="550"/>
      <c r="T53" s="502">
        <v>23.590623999999998</v>
      </c>
      <c r="U53" s="353">
        <v>25.187712000000001</v>
      </c>
      <c r="V53" s="353">
        <v>24.797187999999998</v>
      </c>
      <c r="W53" s="550"/>
      <c r="X53" s="506">
        <v>281.14299999999997</v>
      </c>
      <c r="Y53" s="355">
        <v>180.93600000000001</v>
      </c>
      <c r="Z53" s="572">
        <v>0</v>
      </c>
      <c r="AA53" s="572">
        <v>0</v>
      </c>
      <c r="AB53" s="49"/>
      <c r="AD53" s="46" t="str">
        <f t="shared" si="22"/>
        <v>·</v>
      </c>
      <c r="AE53" s="47">
        <f t="shared" si="9"/>
        <v>11.02641358345323</v>
      </c>
      <c r="AF53" s="47">
        <f t="shared" si="10"/>
        <v>10.797644785344747</v>
      </c>
      <c r="AG53" s="47">
        <f t="shared" si="11"/>
        <v>0.22875731881056188</v>
      </c>
      <c r="AH53" s="90" t="str">
        <f t="shared" si="12"/>
        <v>·</v>
      </c>
      <c r="AI53" s="47">
        <f t="shared" si="13"/>
        <v>11.02641358345323</v>
      </c>
      <c r="AJ53" s="554">
        <v>67599953</v>
      </c>
      <c r="AK53" s="502">
        <v>745385040</v>
      </c>
      <c r="AL53" s="353">
        <v>729920280</v>
      </c>
      <c r="AM53" s="353">
        <v>15463984</v>
      </c>
      <c r="AN53" s="550"/>
      <c r="AO53" s="502">
        <v>24.659490999999999</v>
      </c>
      <c r="AP53" s="353">
        <v>29.807562000000001</v>
      </c>
      <c r="AQ53" s="353">
        <v>27.821152000000001</v>
      </c>
      <c r="AR53" s="550"/>
      <c r="AS53" s="506">
        <v>461.09199999999998</v>
      </c>
      <c r="AT53" s="355">
        <v>337.19799999999998</v>
      </c>
      <c r="AU53" s="572">
        <v>0</v>
      </c>
      <c r="AV53" s="572">
        <v>0</v>
      </c>
      <c r="AW53" s="49"/>
      <c r="AY53" s="68" t="e">
        <f t="shared" si="19"/>
        <v>#DIV/0!</v>
      </c>
      <c r="AZ53" s="69" t="e">
        <f t="shared" si="20"/>
        <v>#DIV/0!</v>
      </c>
      <c r="BA53" s="69">
        <f t="shared" si="21"/>
        <v>3.9815066497135621E-2</v>
      </c>
      <c r="BB53" s="70">
        <f t="array" ref="BB53">AVERAGE(AL53:AL58/AK53:AK58) - AVERAGE(Q53:Q58/P53:P58)</f>
        <v>5.8597334764871278E-2</v>
      </c>
      <c r="BD53" s="86">
        <f>IF( OR(ISBLANK($R53:$R58),ISBLANK($AM53:$AM58), ISBLANK(T53:T58),ISBLANK(AO53:AO58)), "·", bdRateHermite( $R53:$R58,$T53:$T58, $AM53:$AM58,$AO53:$AO58))</f>
        <v>-0.49575698504900589</v>
      </c>
      <c r="BE53" s="86">
        <f>IF( OR(ISBLANK($R53:$R58),ISBLANK($AM53:$AM58), ISBLANK(U53:U58),ISBLANK(AP53:AP58)), "·", bdRateHermite( $R53:$R58,$U53:$U58, $AM53:$AM58,$AP53:$AP58))</f>
        <v>-0.5136648762488667</v>
      </c>
      <c r="BF53" s="86">
        <f>IF( OR(ISBLANK($R53:$R58),ISBLANK($AM53:$AM58), ISBLANK(V53:V58),ISBLANK(AQ53:AQ58)), "·", bdRateHermite( $R53:$R58,$V53:$V58, $AM53:$AM58,$AQ53:$AQ58))</f>
        <v>-0.54723882799125922</v>
      </c>
      <c r="BG53" s="103"/>
      <c r="BI53" s="250">
        <f>IF(OR(ISBLANK($P53:$P58),ISBLANK($AK53:$AK58),ISBLANK(T53:T58),ISBLANK(AO53:AO58)),"·",bdRateHermite($P53:$P58,$T53:$T58,$AK53:$AK58,$AO53:$AO58))</f>
        <v>-9.2474447926894077E-2</v>
      </c>
      <c r="BJ53" s="85">
        <f>IF(OR(ISBLANK($P53:$P58),ISBLANK($AK53:$AK58),ISBLANK(U53:U58),ISBLANK(AP53:AP58)),"·",bdRateHermite($P53:$P58,$U53:$U58,$AK53:$AK58,$AP53:$AP58))</f>
        <v>-0.10959815456137245</v>
      </c>
      <c r="BK53" s="254">
        <f>IF(OR(ISBLANK($P53:$P58),ISBLANK($AK53:$AK58),ISBLANK(V53:V58),ISBLANK(AQ53:AQ58)),"·",bdRateHermite($P53:$P58,$V53:$V58,$AK53:$AK58,$AQ53:$AQ58))</f>
        <v>-0.11217923589051215</v>
      </c>
      <c r="BL53" s="257"/>
      <c r="BM53" s="251"/>
      <c r="BN53" s="86">
        <f>IF( OR(ISBLANK($R53:$R58),ISBLANK($AM53:$AM58), ISBLANK(T53:T58),ISBLANK(AO53:AO58)), "·", bdRateHermite( $R54:$R58,$T54:$T58, $AM54:$AM58,$AO54:$AO58))</f>
        <v>-0.39919499864340713</v>
      </c>
      <c r="BO53" s="86">
        <f>IF( OR(ISBLANK($R53:$R58),ISBLANK($AM53:$AM58), ISBLANK(U53:U58),ISBLANK(AP53:AP58)), "·", bdRateHermite( $R54:$R58,$U54:$U58, $AM54:$AM58,$AP54:$AP58))</f>
        <v>-0.41571287448096839</v>
      </c>
      <c r="BP53" s="86">
        <f>IF( OR(ISBLANK($R53:$R58),ISBLANK($AM53:$AM58), ISBLANK(V53:V58),ISBLANK(AQ53:AQ58)), "·", bdRateHermite( $R54:$R58,$V54:$V58, $AM54:$AM58,$AQ54:$AQ58))</f>
        <v>-0.44449726522509814</v>
      </c>
      <c r="BQ53" s="103"/>
      <c r="BS53" s="250">
        <f>IF(OR(ISBLANK($P53:$P58),ISBLANK($AK53:$AK58),ISBLANK(T53:T58),ISBLANK(AO53:AO58)),"·",bdRateHermite($P54:$P58,$T54:$T58,$AK54:$AK58,$AO54:$AO58))</f>
        <v>-9.6229287833704324E-2</v>
      </c>
      <c r="BT53" s="85">
        <f>IF(OR(ISBLANK($P53:$P58),ISBLANK($AK53:$AK58),ISBLANK(U53:U58),ISBLANK(AP53:AP58)),"·",bdRateHermite($P54:$P58,$U54:$U58,$AK54:$AK58,$AP54:$AP58))</f>
        <v>-0.10573539756797956</v>
      </c>
      <c r="BU53" s="254">
        <f>IF(OR(ISBLANK($P53:$P58),ISBLANK($AK53:$AK58),ISBLANK(V53:V58),ISBLANK(AQ53:AQ58)),"·",bdRateHermite($P54:$P58,$V54:$V58,$AK54:$AK58,$AQ54:$AQ58))</f>
        <v>-0.11271106175458301</v>
      </c>
      <c r="BV53" s="257"/>
      <c r="BX53" s="86">
        <f>IF( OR(ISBLANK($R53:$R58),ISBLANK($AM53:$AM58), ISBLANK(T53:T58),ISBLANK(AO53:AO58)), "·", bdRateHermite( $R53:$R57,$T53:$T57, $AM53:$AM57,$AO53:$AO57))</f>
        <v>-0.54571140599321555</v>
      </c>
      <c r="BY53" s="86">
        <f>IF( OR(ISBLANK($R53:$R58),ISBLANK($AM53:$AM58), ISBLANK(U53:U58),ISBLANK(AP53:AP58)), "·", bdRateHermite( $R53:$R57,$U53:$U57, $AM53:$AM57,$AP53:$AP57))</f>
        <v>-0.58206309713652793</v>
      </c>
      <c r="BZ53" s="86">
        <f>IF( OR(ISBLANK($R53:$R58),ISBLANK($AM53:$AM58), ISBLANK(V53:V58),ISBLANK(AQ53:AQ58)), "·", bdRateHermite( $R53:$R57,$V53:$V57, $AM53:$AM57,$AQ53:$AQ57))</f>
        <v>-0.61051196242281491</v>
      </c>
      <c r="CA53" s="103"/>
      <c r="CC53" s="250">
        <f>IF(OR(ISBLANK($P53:$P58),ISBLANK($AK53:$AK58),ISBLANK(T53:T58),ISBLANK(AO53:AO58)),"·",bdRateHermite($P53:$P57,$T53:$T57,$AK53:$AK57,$AO53:$AO57))</f>
        <v>-9.7265215350822665E-2</v>
      </c>
      <c r="CD53" s="85">
        <f>IF(OR(ISBLANK($P53:$P58),ISBLANK($AK53:$AK58),ISBLANK(U53:U58),ISBLANK(AP53:AP58)),"·",bdRateHermite($P53:$P57,$U53:$U57,$AK53:$AK57,$AP53:$AP57))</f>
        <v>-0.12106863020174263</v>
      </c>
      <c r="CE53" s="254">
        <f>IF(OR(ISBLANK($P53:$P58),ISBLANK($AK53:$AK58),ISBLANK(V53:V58),ISBLANK(AQ53:AQ58)),"·",bdRateHermite($P53:$P57,$V53:$V57,$AK53:$AK57,$AQ53:$AQ57))</f>
        <v>-0.12231539734812991</v>
      </c>
      <c r="CF53" s="257"/>
    </row>
    <row r="54" spans="1:84" s="1" customFormat="1" outlineLevel="1">
      <c r="A54" s="13"/>
      <c r="B54" s="14" t="s">
        <v>1118</v>
      </c>
      <c r="C54" s="15" t="s">
        <v>132</v>
      </c>
      <c r="D54" s="479">
        <v>67599953</v>
      </c>
      <c r="E54" s="15">
        <v>16</v>
      </c>
      <c r="F54" s="15">
        <v>1</v>
      </c>
      <c r="G54" s="16"/>
      <c r="H54" s="492"/>
      <c r="I54" s="30" t="str">
        <f t="shared" si="14"/>
        <v>·</v>
      </c>
      <c r="J54" s="31">
        <f t="shared" si="15"/>
        <v>12.441340957737056</v>
      </c>
      <c r="K54" s="31">
        <f t="shared" si="16"/>
        <v>10.797644785344747</v>
      </c>
      <c r="L54" s="31">
        <f t="shared" si="23"/>
        <v>1.6436846930943871</v>
      </c>
      <c r="M54" s="87"/>
      <c r="N54" s="31">
        <f t="shared" si="18"/>
        <v>12.441340957737056</v>
      </c>
      <c r="O54" s="544">
        <v>67599953</v>
      </c>
      <c r="P54" s="503">
        <v>841034064</v>
      </c>
      <c r="Q54" s="357">
        <v>729920280</v>
      </c>
      <c r="R54" s="357">
        <v>111113008</v>
      </c>
      <c r="S54" s="550"/>
      <c r="T54" s="503">
        <v>29.485652999999999</v>
      </c>
      <c r="U54" s="357">
        <v>29.563552999999999</v>
      </c>
      <c r="V54" s="357">
        <v>29.701536000000001</v>
      </c>
      <c r="W54" s="550"/>
      <c r="X54" s="507">
        <v>278.10899999999998</v>
      </c>
      <c r="Y54" s="359">
        <v>173.59700000000001</v>
      </c>
      <c r="Z54" s="573">
        <v>0</v>
      </c>
      <c r="AA54" s="573">
        <v>0</v>
      </c>
      <c r="AB54" s="33"/>
      <c r="AD54" s="30" t="str">
        <f t="shared" si="22"/>
        <v>·</v>
      </c>
      <c r="AE54" s="31">
        <f t="shared" si="9"/>
        <v>11.378007910745145</v>
      </c>
      <c r="AF54" s="31">
        <f t="shared" si="10"/>
        <v>10.797644785344747</v>
      </c>
      <c r="AG54" s="31">
        <f t="shared" si="11"/>
        <v>0.5803516461024758</v>
      </c>
      <c r="AH54" s="87" t="str">
        <f t="shared" si="12"/>
        <v>·</v>
      </c>
      <c r="AI54" s="31">
        <f t="shared" si="13"/>
        <v>11.378007910745145</v>
      </c>
      <c r="AJ54" s="544">
        <v>67599953</v>
      </c>
      <c r="AK54" s="503">
        <v>769152800</v>
      </c>
      <c r="AL54" s="357">
        <v>729920280</v>
      </c>
      <c r="AM54" s="357">
        <v>39231744</v>
      </c>
      <c r="AN54" s="550"/>
      <c r="AO54" s="503">
        <v>30.661911</v>
      </c>
      <c r="AP54" s="357">
        <v>33.145527000000001</v>
      </c>
      <c r="AQ54" s="357">
        <v>32.731194000000002</v>
      </c>
      <c r="AR54" s="550"/>
      <c r="AS54" s="507">
        <v>485.51499999999999</v>
      </c>
      <c r="AT54" s="359">
        <v>316.13799999999998</v>
      </c>
      <c r="AU54" s="573">
        <v>0</v>
      </c>
      <c r="AV54" s="573">
        <v>0</v>
      </c>
      <c r="AW54" s="33"/>
      <c r="AY54" s="56" t="e">
        <f t="shared" si="19"/>
        <v>#DIV/0!</v>
      </c>
      <c r="AZ54" s="57" t="e">
        <f t="shared" si="20"/>
        <v>#DIV/0!</v>
      </c>
      <c r="BA54" s="57">
        <f t="shared" si="21"/>
        <v>8.1108229998946513E-2</v>
      </c>
      <c r="BB54" s="58"/>
      <c r="BD54" s="76"/>
      <c r="BE54" s="76"/>
      <c r="BF54" s="76"/>
      <c r="BG54" s="105"/>
      <c r="BI54" s="252"/>
      <c r="BJ54" s="76"/>
      <c r="BK54" s="255"/>
      <c r="BL54" s="258"/>
      <c r="BM54" s="251"/>
      <c r="BN54" s="252"/>
      <c r="BO54" s="76"/>
      <c r="BP54" s="255"/>
      <c r="BQ54" s="258"/>
      <c r="BS54" s="252"/>
      <c r="BT54" s="76"/>
      <c r="BU54" s="255"/>
      <c r="BV54" s="258"/>
      <c r="BX54" s="74"/>
      <c r="BY54" s="75"/>
      <c r="BZ54" s="264"/>
      <c r="CA54" s="105"/>
      <c r="CC54" s="260"/>
      <c r="CD54" s="75"/>
      <c r="CE54" s="262"/>
      <c r="CF54" s="258"/>
    </row>
    <row r="55" spans="1:84" s="1" customFormat="1" outlineLevel="1">
      <c r="A55" s="13"/>
      <c r="B55" s="14" t="s">
        <v>1118</v>
      </c>
      <c r="C55" s="15" t="s">
        <v>133</v>
      </c>
      <c r="D55" s="479">
        <v>67599953</v>
      </c>
      <c r="E55" s="15">
        <v>16</v>
      </c>
      <c r="F55" s="15">
        <v>1</v>
      </c>
      <c r="G55" s="16"/>
      <c r="H55" s="492"/>
      <c r="I55" s="30" t="str">
        <f t="shared" si="14"/>
        <v>·</v>
      </c>
      <c r="J55" s="31">
        <f t="shared" si="15"/>
        <v>13.722075694342568</v>
      </c>
      <c r="K55" s="31">
        <f t="shared" si="16"/>
        <v>10.797644785344747</v>
      </c>
      <c r="L55" s="31">
        <f t="shared" si="23"/>
        <v>2.9244194296998995</v>
      </c>
      <c r="M55" s="87"/>
      <c r="N55" s="31">
        <f t="shared" si="18"/>
        <v>13.722075694342568</v>
      </c>
      <c r="O55" s="544">
        <v>67599953</v>
      </c>
      <c r="P55" s="503">
        <v>927611672</v>
      </c>
      <c r="Q55" s="357">
        <v>729920280</v>
      </c>
      <c r="R55" s="357">
        <v>197690616</v>
      </c>
      <c r="S55" s="550"/>
      <c r="T55" s="503">
        <v>35.240810000000003</v>
      </c>
      <c r="U55" s="357">
        <v>35.151004999999998</v>
      </c>
      <c r="V55" s="357">
        <v>35.318660999999999</v>
      </c>
      <c r="W55" s="550"/>
      <c r="X55" s="507">
        <v>277.77300000000002</v>
      </c>
      <c r="Y55" s="359">
        <v>174.56200000000001</v>
      </c>
      <c r="Z55" s="573">
        <v>0</v>
      </c>
      <c r="AA55" s="573">
        <v>0</v>
      </c>
      <c r="AB55" s="33"/>
      <c r="AD55" s="30" t="str">
        <f t="shared" si="22"/>
        <v>·</v>
      </c>
      <c r="AE55" s="31">
        <f t="shared" si="9"/>
        <v>12.328065849394894</v>
      </c>
      <c r="AF55" s="31">
        <f t="shared" si="10"/>
        <v>10.797644785344747</v>
      </c>
      <c r="AG55" s="31">
        <f t="shared" si="11"/>
        <v>1.5304095847522261</v>
      </c>
      <c r="AH55" s="87" t="str">
        <f t="shared" si="12"/>
        <v>·</v>
      </c>
      <c r="AI55" s="31">
        <f t="shared" si="13"/>
        <v>12.328065849394894</v>
      </c>
      <c r="AJ55" s="544">
        <v>67599953</v>
      </c>
      <c r="AK55" s="503">
        <v>833376672</v>
      </c>
      <c r="AL55" s="357">
        <v>729920280</v>
      </c>
      <c r="AM55" s="357">
        <v>103455616</v>
      </c>
      <c r="AN55" s="550"/>
      <c r="AO55" s="503">
        <v>36.285015000000001</v>
      </c>
      <c r="AP55" s="357">
        <v>37.542766999999998</v>
      </c>
      <c r="AQ55" s="357">
        <v>37.95731</v>
      </c>
      <c r="AR55" s="550"/>
      <c r="AS55" s="507">
        <v>483.36700000000002</v>
      </c>
      <c r="AT55" s="359">
        <v>306.03500000000003</v>
      </c>
      <c r="AU55" s="573">
        <v>0</v>
      </c>
      <c r="AV55" s="573">
        <v>0</v>
      </c>
      <c r="AW55" s="33"/>
      <c r="AY55" s="56" t="e">
        <f t="shared" si="19"/>
        <v>#DIV/0!</v>
      </c>
      <c r="AZ55" s="57" t="e">
        <f t="shared" si="20"/>
        <v>#DIV/0!</v>
      </c>
      <c r="BA55" s="57">
        <f t="shared" si="21"/>
        <v>8.897748396808336E-2</v>
      </c>
      <c r="BB55" s="58"/>
      <c r="BD55" s="76"/>
      <c r="BE55" s="76"/>
      <c r="BF55" s="76"/>
      <c r="BG55" s="105"/>
      <c r="BI55" s="252"/>
      <c r="BJ55" s="76"/>
      <c r="BK55" s="255"/>
      <c r="BL55" s="258"/>
      <c r="BM55" s="251"/>
      <c r="BN55" s="252"/>
      <c r="BO55" s="76"/>
      <c r="BP55" s="255"/>
      <c r="BQ55" s="258"/>
      <c r="BS55" s="252"/>
      <c r="BT55" s="76"/>
      <c r="BU55" s="255"/>
      <c r="BV55" s="258"/>
      <c r="BX55" s="74"/>
      <c r="BY55" s="75"/>
      <c r="BZ55" s="264"/>
      <c r="CA55" s="105"/>
      <c r="CC55" s="260"/>
      <c r="CD55" s="75"/>
      <c r="CE55" s="262"/>
      <c r="CF55" s="258"/>
    </row>
    <row r="56" spans="1:84" s="1" customFormat="1" outlineLevel="1">
      <c r="A56" s="13"/>
      <c r="B56" s="14" t="s">
        <v>1118</v>
      </c>
      <c r="C56" s="15" t="s">
        <v>134</v>
      </c>
      <c r="D56" s="479">
        <v>67599953</v>
      </c>
      <c r="E56" s="15">
        <v>16</v>
      </c>
      <c r="F56" s="15">
        <v>1</v>
      </c>
      <c r="G56" s="16"/>
      <c r="H56" s="492"/>
      <c r="I56" s="30" t="str">
        <f t="shared" si="14"/>
        <v>·</v>
      </c>
      <c r="J56" s="31">
        <f t="shared" si="15"/>
        <v>15.516683332605275</v>
      </c>
      <c r="K56" s="31">
        <f t="shared" si="16"/>
        <v>10.797644785344747</v>
      </c>
      <c r="L56" s="31">
        <f t="shared" si="23"/>
        <v>4.7190270679626067</v>
      </c>
      <c r="M56" s="87"/>
      <c r="N56" s="31">
        <f t="shared" si="18"/>
        <v>15.516683332605275</v>
      </c>
      <c r="O56" s="544">
        <v>67599953</v>
      </c>
      <c r="P56" s="503">
        <v>1048927064</v>
      </c>
      <c r="Q56" s="357">
        <v>729920280</v>
      </c>
      <c r="R56" s="357">
        <v>319006008</v>
      </c>
      <c r="S56" s="550"/>
      <c r="T56" s="503">
        <v>41.103909000000002</v>
      </c>
      <c r="U56" s="357">
        <v>40.979027000000002</v>
      </c>
      <c r="V56" s="357">
        <v>41.128784000000003</v>
      </c>
      <c r="W56" s="550"/>
      <c r="X56" s="507">
        <v>275.71800000000002</v>
      </c>
      <c r="Y56" s="359">
        <v>175.03399999999999</v>
      </c>
      <c r="Z56" s="573">
        <v>0</v>
      </c>
      <c r="AA56" s="573">
        <v>0</v>
      </c>
      <c r="AB56" s="33"/>
      <c r="AD56" s="30" t="str">
        <f t="shared" si="22"/>
        <v>·</v>
      </c>
      <c r="AE56" s="31">
        <f t="shared" si="9"/>
        <v>14.166413754755125</v>
      </c>
      <c r="AF56" s="31">
        <f t="shared" si="10"/>
        <v>10.797644785344747</v>
      </c>
      <c r="AG56" s="31">
        <f t="shared" si="11"/>
        <v>3.368757490112456</v>
      </c>
      <c r="AH56" s="87" t="str">
        <f t="shared" si="12"/>
        <v>·</v>
      </c>
      <c r="AI56" s="31">
        <f t="shared" si="13"/>
        <v>14.166413754755125</v>
      </c>
      <c r="AJ56" s="544">
        <v>67599953</v>
      </c>
      <c r="AK56" s="503">
        <v>957648904</v>
      </c>
      <c r="AL56" s="357">
        <v>729920280</v>
      </c>
      <c r="AM56" s="357">
        <v>227727848</v>
      </c>
      <c r="AN56" s="550"/>
      <c r="AO56" s="503">
        <v>41.562480999999998</v>
      </c>
      <c r="AP56" s="357">
        <v>41.791187000000001</v>
      </c>
      <c r="AQ56" s="357">
        <v>42.407966999999999</v>
      </c>
      <c r="AR56" s="550"/>
      <c r="AS56" s="507">
        <v>527.45500000000004</v>
      </c>
      <c r="AT56" s="359">
        <v>298.923</v>
      </c>
      <c r="AU56" s="573">
        <v>0</v>
      </c>
      <c r="AV56" s="573">
        <v>0</v>
      </c>
      <c r="AW56" s="33"/>
      <c r="AY56" s="56" t="e">
        <f t="shared" si="19"/>
        <v>#DIV/0!</v>
      </c>
      <c r="AZ56" s="57" t="e">
        <f t="shared" si="20"/>
        <v>#DIV/0!</v>
      </c>
      <c r="BA56" s="57">
        <f t="shared" si="21"/>
        <v>6.6327052795076558E-2</v>
      </c>
      <c r="BB56" s="58"/>
      <c r="BD56" s="76"/>
      <c r="BE56" s="76"/>
      <c r="BF56" s="76"/>
      <c r="BG56" s="105"/>
      <c r="BI56" s="252"/>
      <c r="BJ56" s="76"/>
      <c r="BK56" s="255"/>
      <c r="BL56" s="258"/>
      <c r="BM56" s="251"/>
      <c r="BN56" s="252"/>
      <c r="BO56" s="76"/>
      <c r="BP56" s="255"/>
      <c r="BQ56" s="258"/>
      <c r="BS56" s="252"/>
      <c r="BT56" s="76"/>
      <c r="BU56" s="255"/>
      <c r="BV56" s="258"/>
      <c r="BX56" s="74"/>
      <c r="BY56" s="75"/>
      <c r="BZ56" s="264"/>
      <c r="CA56" s="105"/>
      <c r="CC56" s="260"/>
      <c r="CD56" s="75"/>
      <c r="CE56" s="262"/>
      <c r="CF56" s="258"/>
    </row>
    <row r="57" spans="1:84" s="1" customFormat="1" outlineLevel="1">
      <c r="A57" s="13"/>
      <c r="B57" s="14" t="s">
        <v>1118</v>
      </c>
      <c r="C57" s="15" t="s">
        <v>135</v>
      </c>
      <c r="D57" s="479">
        <v>67599953</v>
      </c>
      <c r="E57" s="15">
        <v>16</v>
      </c>
      <c r="F57" s="15">
        <v>1</v>
      </c>
      <c r="G57" s="16"/>
      <c r="H57" s="492"/>
      <c r="I57" s="30" t="str">
        <f t="shared" si="14"/>
        <v>·</v>
      </c>
      <c r="J57" s="31">
        <f t="shared" si="15"/>
        <v>17.820980319320636</v>
      </c>
      <c r="K57" s="31">
        <f t="shared" si="16"/>
        <v>10.797644785344747</v>
      </c>
      <c r="L57" s="31">
        <f t="shared" si="23"/>
        <v>7.0233240546779667</v>
      </c>
      <c r="M57" s="87"/>
      <c r="N57" s="31">
        <f t="shared" si="18"/>
        <v>17.820980319320636</v>
      </c>
      <c r="O57" s="544">
        <v>67599953</v>
      </c>
      <c r="P57" s="503">
        <v>1204697432</v>
      </c>
      <c r="Q57" s="357">
        <v>729920280</v>
      </c>
      <c r="R57" s="357">
        <v>474776376</v>
      </c>
      <c r="S57" s="550"/>
      <c r="T57" s="503">
        <v>46.573509000000001</v>
      </c>
      <c r="U57" s="357">
        <v>46.549678999999998</v>
      </c>
      <c r="V57" s="357">
        <v>46.672752000000003</v>
      </c>
      <c r="W57" s="550"/>
      <c r="X57" s="507">
        <v>276.92500000000001</v>
      </c>
      <c r="Y57" s="359">
        <v>174.34</v>
      </c>
      <c r="Z57" s="573">
        <v>0</v>
      </c>
      <c r="AA57" s="573">
        <v>0</v>
      </c>
      <c r="AB57" s="33"/>
      <c r="AD57" s="30" t="str">
        <f t="shared" si="22"/>
        <v>·</v>
      </c>
      <c r="AE57" s="31">
        <f t="shared" si="9"/>
        <v>16.622216645624</v>
      </c>
      <c r="AF57" s="31">
        <f t="shared" si="10"/>
        <v>10.797644785344747</v>
      </c>
      <c r="AG57" s="31">
        <f t="shared" si="11"/>
        <v>5.82456038098133</v>
      </c>
      <c r="AH57" s="87" t="str">
        <f t="shared" si="12"/>
        <v>·</v>
      </c>
      <c r="AI57" s="31">
        <f t="shared" si="13"/>
        <v>16.622216645624</v>
      </c>
      <c r="AJ57" s="544">
        <v>67599953</v>
      </c>
      <c r="AK57" s="503">
        <v>1123661064</v>
      </c>
      <c r="AL57" s="357">
        <v>729920280</v>
      </c>
      <c r="AM57" s="357">
        <v>393740008</v>
      </c>
      <c r="AN57" s="550"/>
      <c r="AO57" s="503">
        <v>46.805115000000001</v>
      </c>
      <c r="AP57" s="357">
        <v>46.771439000000001</v>
      </c>
      <c r="AQ57" s="357">
        <v>47.089672</v>
      </c>
      <c r="AR57" s="550"/>
      <c r="AS57" s="507">
        <v>471.85599999999999</v>
      </c>
      <c r="AT57" s="359">
        <v>319.27800000000002</v>
      </c>
      <c r="AU57" s="573">
        <v>0</v>
      </c>
      <c r="AV57" s="573">
        <v>0</v>
      </c>
      <c r="AW57" s="33"/>
      <c r="AY57" s="56" t="e">
        <f t="shared" si="19"/>
        <v>#DIV/0!</v>
      </c>
      <c r="AZ57" s="57" t="e">
        <f t="shared" si="20"/>
        <v>#DIV/0!</v>
      </c>
      <c r="BA57" s="57">
        <f t="shared" si="21"/>
        <v>4.3696040086593779E-2</v>
      </c>
      <c r="BB57" s="58"/>
      <c r="BD57" s="76"/>
      <c r="BE57" s="76"/>
      <c r="BF57" s="76"/>
      <c r="BG57" s="105"/>
      <c r="BI57" s="252"/>
      <c r="BJ57" s="76"/>
      <c r="BK57" s="255"/>
      <c r="BL57" s="258"/>
      <c r="BM57" s="251"/>
      <c r="BN57" s="252"/>
      <c r="BO57" s="76"/>
      <c r="BP57" s="255"/>
      <c r="BQ57" s="258"/>
      <c r="BS57" s="252"/>
      <c r="BT57" s="76"/>
      <c r="BU57" s="255"/>
      <c r="BV57" s="258"/>
      <c r="BX57" s="74"/>
      <c r="BY57" s="75"/>
      <c r="BZ57" s="264"/>
      <c r="CA57" s="105"/>
      <c r="CC57" s="260"/>
      <c r="CD57" s="75"/>
      <c r="CE57" s="262"/>
      <c r="CF57" s="258"/>
    </row>
    <row r="58" spans="1:84" s="1" customFormat="1" ht="14.25" outlineLevel="1" thickBot="1">
      <c r="A58" s="215"/>
      <c r="B58" s="21" t="s">
        <v>1118</v>
      </c>
      <c r="C58" s="22" t="s">
        <v>136</v>
      </c>
      <c r="D58" s="488">
        <v>67599953</v>
      </c>
      <c r="E58" s="22">
        <v>16</v>
      </c>
      <c r="F58" s="22">
        <v>1</v>
      </c>
      <c r="G58" s="23"/>
      <c r="H58" s="492"/>
      <c r="I58" s="34" t="str">
        <f t="shared" si="14"/>
        <v>·</v>
      </c>
      <c r="J58" s="35">
        <f t="shared" si="15"/>
        <v>20.550375708101456</v>
      </c>
      <c r="K58" s="35">
        <f t="shared" si="16"/>
        <v>10.797644785344747</v>
      </c>
      <c r="L58" s="35">
        <f t="shared" si="23"/>
        <v>9.7527194434587852</v>
      </c>
      <c r="M58" s="88"/>
      <c r="N58" s="35">
        <f t="shared" si="18"/>
        <v>20.550375708101456</v>
      </c>
      <c r="O58" s="555">
        <v>67599953</v>
      </c>
      <c r="P58" s="505">
        <v>1389204432</v>
      </c>
      <c r="Q58" s="361">
        <v>729920280</v>
      </c>
      <c r="R58" s="361">
        <v>659283376</v>
      </c>
      <c r="S58" s="552"/>
      <c r="T58" s="505">
        <v>51.075321000000002</v>
      </c>
      <c r="U58" s="361">
        <v>51.203014000000003</v>
      </c>
      <c r="V58" s="361">
        <v>51.300185999999997</v>
      </c>
      <c r="W58" s="552"/>
      <c r="X58" s="509">
        <v>275.48</v>
      </c>
      <c r="Y58" s="363">
        <v>173.5</v>
      </c>
      <c r="Z58" s="575">
        <v>0</v>
      </c>
      <c r="AA58" s="575">
        <v>0</v>
      </c>
      <c r="AB58" s="37"/>
      <c r="AD58" s="34" t="str">
        <f t="shared" si="22"/>
        <v>·</v>
      </c>
      <c r="AE58" s="35">
        <f t="shared" si="9"/>
        <v>19.382457736324167</v>
      </c>
      <c r="AF58" s="35">
        <f t="shared" si="10"/>
        <v>10.797644785344747</v>
      </c>
      <c r="AG58" s="35">
        <f t="shared" si="11"/>
        <v>8.5848014716814962</v>
      </c>
      <c r="AH58" s="88" t="str">
        <f t="shared" si="12"/>
        <v>·</v>
      </c>
      <c r="AI58" s="35">
        <f t="shared" si="13"/>
        <v>19.382457736324167</v>
      </c>
      <c r="AJ58" s="555">
        <v>67599953</v>
      </c>
      <c r="AK58" s="505">
        <v>1310253232</v>
      </c>
      <c r="AL58" s="361">
        <v>729920280</v>
      </c>
      <c r="AM58" s="361">
        <v>580332176</v>
      </c>
      <c r="AN58" s="552"/>
      <c r="AO58" s="505">
        <v>51.392986000000001</v>
      </c>
      <c r="AP58" s="361">
        <v>51.427269000000003</v>
      </c>
      <c r="AQ58" s="361">
        <v>51.525955000000003</v>
      </c>
      <c r="AR58" s="552"/>
      <c r="AS58" s="509">
        <v>477.15100000000001</v>
      </c>
      <c r="AT58" s="363">
        <v>337.53199999999998</v>
      </c>
      <c r="AU58" s="575">
        <v>0</v>
      </c>
      <c r="AV58" s="575">
        <v>0</v>
      </c>
      <c r="AW58" s="37"/>
      <c r="AY58" s="59" t="e">
        <f t="shared" si="19"/>
        <v>#DIV/0!</v>
      </c>
      <c r="AZ58" s="60" t="e">
        <f t="shared" si="20"/>
        <v>#DIV/0!</v>
      </c>
      <c r="BA58" s="60">
        <f t="shared" si="21"/>
        <v>3.1660135243391618E-2</v>
      </c>
      <c r="BB58" s="61"/>
      <c r="BD58" s="79"/>
      <c r="BE58" s="79"/>
      <c r="BF58" s="79"/>
      <c r="BG58" s="108"/>
      <c r="BI58" s="253"/>
      <c r="BJ58" s="79"/>
      <c r="BK58" s="256"/>
      <c r="BL58" s="259"/>
      <c r="BM58" s="251"/>
      <c r="BN58" s="253"/>
      <c r="BO58" s="79"/>
      <c r="BP58" s="256"/>
      <c r="BQ58" s="259"/>
      <c r="BS58" s="253"/>
      <c r="BT58" s="79"/>
      <c r="BU58" s="256"/>
      <c r="BV58" s="259"/>
      <c r="BX58" s="77"/>
      <c r="BY58" s="78"/>
      <c r="BZ58" s="265"/>
      <c r="CA58" s="108"/>
      <c r="CC58" s="261"/>
      <c r="CD58" s="78"/>
      <c r="CE58" s="263"/>
      <c r="CF58" s="259"/>
    </row>
    <row r="59" spans="1:84" s="1" customFormat="1">
      <c r="A59" s="13"/>
      <c r="B59" s="27" t="s">
        <v>1119</v>
      </c>
      <c r="C59" s="28" t="s">
        <v>131</v>
      </c>
      <c r="D59" s="478">
        <v>59136574</v>
      </c>
      <c r="E59" s="28">
        <v>16</v>
      </c>
      <c r="F59" s="28">
        <v>1</v>
      </c>
      <c r="G59" s="29"/>
      <c r="H59" s="251"/>
      <c r="I59" s="46" t="str">
        <f t="shared" si="14"/>
        <v>·</v>
      </c>
      <c r="J59" s="47">
        <f t="shared" si="15"/>
        <v>12.306919775230806</v>
      </c>
      <c r="K59" s="47">
        <f t="shared" si="16"/>
        <v>11.745490159778278</v>
      </c>
      <c r="L59" s="47">
        <f t="shared" si="23"/>
        <v>0.56141716968588673</v>
      </c>
      <c r="M59" s="92"/>
      <c r="N59" s="47">
        <f t="shared" si="18"/>
        <v>12.306919775230806</v>
      </c>
      <c r="O59" s="554">
        <v>59136574</v>
      </c>
      <c r="P59" s="502">
        <v>727789072</v>
      </c>
      <c r="Q59" s="353">
        <v>694588048</v>
      </c>
      <c r="R59" s="353">
        <v>33200288</v>
      </c>
      <c r="S59" s="550"/>
      <c r="T59" s="502">
        <v>23.066164000000001</v>
      </c>
      <c r="U59" s="353">
        <v>24.413550999999998</v>
      </c>
      <c r="V59" s="353">
        <v>27.518867</v>
      </c>
      <c r="W59" s="550"/>
      <c r="X59" s="506">
        <v>206.84100000000001</v>
      </c>
      <c r="Y59" s="355">
        <v>126.029</v>
      </c>
      <c r="Z59" s="572">
        <v>0</v>
      </c>
      <c r="AA59" s="572">
        <v>0</v>
      </c>
      <c r="AB59" s="49"/>
      <c r="AD59" s="46" t="str">
        <f t="shared" si="22"/>
        <v>·</v>
      </c>
      <c r="AE59" s="47">
        <f t="shared" si="9"/>
        <v>11.950517525753183</v>
      </c>
      <c r="AF59" s="47">
        <f t="shared" si="10"/>
        <v>11.745490159778278</v>
      </c>
      <c r="AG59" s="47">
        <f t="shared" si="11"/>
        <v>0.20501492020826231</v>
      </c>
      <c r="AH59" s="92" t="str">
        <f t="shared" si="12"/>
        <v>·</v>
      </c>
      <c r="AI59" s="47">
        <f t="shared" si="13"/>
        <v>11.950517525753183</v>
      </c>
      <c r="AJ59" s="554">
        <v>59136574</v>
      </c>
      <c r="AK59" s="502">
        <v>706712664</v>
      </c>
      <c r="AL59" s="353">
        <v>694588048</v>
      </c>
      <c r="AM59" s="353">
        <v>12123880</v>
      </c>
      <c r="AN59" s="550"/>
      <c r="AO59" s="502">
        <v>25.682741</v>
      </c>
      <c r="AP59" s="353">
        <v>28.605028000000001</v>
      </c>
      <c r="AQ59" s="353">
        <v>31.546071999999999</v>
      </c>
      <c r="AR59" s="550"/>
      <c r="AS59" s="506">
        <v>444.15</v>
      </c>
      <c r="AT59" s="355">
        <v>236.417</v>
      </c>
      <c r="AU59" s="572">
        <v>0</v>
      </c>
      <c r="AV59" s="572">
        <v>0</v>
      </c>
      <c r="AW59" s="49"/>
      <c r="AY59" s="68" t="e">
        <f t="shared" si="19"/>
        <v>#DIV/0!</v>
      </c>
      <c r="AZ59" s="69" t="e">
        <f t="shared" si="20"/>
        <v>#DIV/0!</v>
      </c>
      <c r="BA59" s="69">
        <f t="shared" si="21"/>
        <v>2.8462660927524586E-2</v>
      </c>
      <c r="BB59" s="70">
        <f t="array" ref="BB59">AVERAGE(AL59:AL64/AK59:AK64) - AVERAGE(Q59:Q64/P59:P64)</f>
        <v>5.9525509868952442E-2</v>
      </c>
      <c r="BD59" s="86">
        <f>IF( OR(ISBLANK($R59:$R64),ISBLANK($AM59:$AM64), ISBLANK(T59:T64),ISBLANK(AO59:AO64)), "·", bdRateHermite( $R59:$R64,$T59:$T64, $AM59:$AM64,$AO59:$AO64))</f>
        <v>-0.55767549869748545</v>
      </c>
      <c r="BE59" s="86">
        <f>IF( OR(ISBLANK($R59:$R64),ISBLANK($AM59:$AM64), ISBLANK(U59:U64),ISBLANK(AP59:AP64)), "·", bdRateHermite( $R59:$R64,$U59:$U64, $AM59:$AM64,$AP59:$AP64))</f>
        <v>-0.64441617349528557</v>
      </c>
      <c r="BF59" s="86">
        <f>IF( OR(ISBLANK($R59:$R64),ISBLANK($AM59:$AM64), ISBLANK(V59:V64),ISBLANK(AQ59:AQ64)), "·", bdRateHermite( $R59:$R64,$V59:$V64, $AM59:$AM64,$AQ59:$AQ64))</f>
        <v>-0.62310854624619383</v>
      </c>
      <c r="BG59" s="103"/>
      <c r="BI59" s="250">
        <f>IF(OR(ISBLANK($P59:$P64),ISBLANK($AK59:$AK64),ISBLANK(T59:T64),ISBLANK(AO59:AO64)),"·",bdRateHermite($P59:$P64,$T59:$T64,$AK59:$AK64,$AO59:$AO64))</f>
        <v>-9.581210407283991E-2</v>
      </c>
      <c r="BJ59" s="85">
        <f>IF(OR(ISBLANK($P59:$P64),ISBLANK($AK59:$AK64),ISBLANK(U59:U64),ISBLANK(AP59:AP64)),"·",bdRateHermite($P59:$P64,$U59:$U64,$AK59:$AK64,$AP59:$AP64))</f>
        <v>-0.12642136108589352</v>
      </c>
      <c r="BK59" s="254">
        <f>IF(OR(ISBLANK($P59:$P64),ISBLANK($AK59:$AK64),ISBLANK(V59:V64),ISBLANK(AQ59:AQ64)),"·",bdRateHermite($P59:$P64,$V59:$V64,$AK59:$AK64,$AQ59:$AQ64))</f>
        <v>-0.12915205403573304</v>
      </c>
      <c r="BL59" s="257"/>
      <c r="BM59" s="251"/>
      <c r="BN59" s="86">
        <f>IF( OR(ISBLANK($R59:$R64),ISBLANK($AM59:$AM64), ISBLANK(T59:T64),ISBLANK(AO59:AO64)), "·", bdRateHermite( $R60:$R64,$T60:$T64, $AM60:$AM64,$AO60:$AO64))</f>
        <v>-0.4659779080970966</v>
      </c>
      <c r="BO59" s="86">
        <f>IF( OR(ISBLANK($R59:$R64),ISBLANK($AM59:$AM64), ISBLANK(U59:U64),ISBLANK(AP59:AP64)), "·", bdRateHermite( $R60:$R64,$U60:$U64, $AM60:$AM64,$AP60:$AP64))</f>
        <v>-0.55174165780316464</v>
      </c>
      <c r="BP59" s="86">
        <f>IF( OR(ISBLANK($R59:$R64),ISBLANK($AM59:$AM64), ISBLANK(V59:V64),ISBLANK(AQ59:AQ64)), "·", bdRateHermite( $R60:$R64,$V60:$V64, $AM60:$AM64,$AQ60:$AQ64))</f>
        <v>-0.53695248817408769</v>
      </c>
      <c r="BQ59" s="103"/>
      <c r="BS59" s="250">
        <f>IF(OR(ISBLANK($P59:$P64),ISBLANK($AK59:$AK64),ISBLANK(T59:T64),ISBLANK(AO59:AO64)),"·",bdRateHermite($P60:$P64,$T60:$T64,$AK60:$AK64,$AO60:$AO64))</f>
        <v>-9.9122937329536698E-2</v>
      </c>
      <c r="BT59" s="85">
        <f>IF(OR(ISBLANK($P59:$P64),ISBLANK($AK59:$AK64),ISBLANK(U59:U64),ISBLANK(AP59:AP64)),"·",bdRateHermite($P60:$P64,$U60:$U64,$AK60:$AK64,$AP60:$AP64))</f>
        <v>-0.12843829429009446</v>
      </c>
      <c r="BU59" s="254">
        <f>IF(OR(ISBLANK($P59:$P64),ISBLANK($AK59:$AK64),ISBLANK(V59:V64),ISBLANK(AQ59:AQ64)),"·",bdRateHermite($P60:$P64,$V60:$V64,$AK60:$AK64,$AQ60:$AQ64))</f>
        <v>-0.12694225426426797</v>
      </c>
      <c r="BV59" s="257"/>
      <c r="BX59" s="86">
        <f>IF( OR(ISBLANK($R59:$R64),ISBLANK($AM59:$AM64), ISBLANK(T59:T64),ISBLANK(AO59:AO64)), "·", bdRateHermite( $R59:$R63,$T59:$T63, $AM59:$AM63,$AO59:$AO63))</f>
        <v>-0.61854458791578404</v>
      </c>
      <c r="BY59" s="86">
        <f>IF( OR(ISBLANK($R59:$R64),ISBLANK($AM59:$AM64), ISBLANK(U59:U64),ISBLANK(AP59:AP64)), "·", bdRateHermite( $R59:$R63,$U59:$U63, $AM59:$AM63,$AP59:$AP63))</f>
        <v>-0.71578816643352705</v>
      </c>
      <c r="BZ59" s="86">
        <f>IF( OR(ISBLANK($R59:$R64),ISBLANK($AM59:$AM64), ISBLANK(V59:V64),ISBLANK(AQ59:AQ64)), "·", bdRateHermite( $R59:$R63,$V59:$V63, $AM59:$AM63,$AQ59:$AQ63))</f>
        <v>-0.70605699286080514</v>
      </c>
      <c r="CA59" s="103"/>
      <c r="CC59" s="250">
        <f>IF(OR(ISBLANK($P59:$P64),ISBLANK($AK59:$AK64),ISBLANK(T59:T64),ISBLANK(AO59:AO64)),"·",bdRateHermite($P59:$P63,$T59:$T63,$AK59:$AK63,$AO59:$AO63))</f>
        <v>-0.10374468555921512</v>
      </c>
      <c r="CD59" s="85">
        <f>IF(OR(ISBLANK($P59:$P64),ISBLANK($AK59:$AK64),ISBLANK(U59:U64),ISBLANK(AP59:AP64)),"·",bdRateHermite($P59:$P63,$U59:$U63,$AK59:$AK63,$AP59:$AP63))</f>
        <v>-0.14065611784187704</v>
      </c>
      <c r="CE59" s="254">
        <f>IF(OR(ISBLANK($P59:$P64),ISBLANK($AK59:$AK64),ISBLANK(V59:V64),ISBLANK(AQ59:AQ64)),"·",bdRateHermite($P59:$P63,$V59:$V63,$AK59:$AK63,$AQ59:$AQ63))</f>
        <v>-0.14740190307134116</v>
      </c>
      <c r="CF59" s="257"/>
    </row>
    <row r="60" spans="1:84" s="1" customFormat="1" outlineLevel="1">
      <c r="A60" s="13"/>
      <c r="B60" s="14" t="s">
        <v>1119</v>
      </c>
      <c r="C60" s="15" t="s">
        <v>132</v>
      </c>
      <c r="D60" s="479">
        <v>59136574</v>
      </c>
      <c r="E60" s="15">
        <v>16</v>
      </c>
      <c r="F60" s="15">
        <v>1</v>
      </c>
      <c r="G60" s="16"/>
      <c r="H60" s="251"/>
      <c r="I60" s="30" t="str">
        <f t="shared" si="14"/>
        <v>·</v>
      </c>
      <c r="J60" s="31">
        <f t="shared" si="15"/>
        <v>13.237050222084221</v>
      </c>
      <c r="K60" s="31">
        <f t="shared" si="16"/>
        <v>11.745490159778278</v>
      </c>
      <c r="L60" s="31">
        <f t="shared" si="23"/>
        <v>1.4915476165393011</v>
      </c>
      <c r="M60" s="87"/>
      <c r="N60" s="31">
        <f t="shared" si="18"/>
        <v>13.237050222084221</v>
      </c>
      <c r="O60" s="544">
        <v>59136574</v>
      </c>
      <c r="P60" s="503">
        <v>782793800</v>
      </c>
      <c r="Q60" s="357">
        <v>694588048</v>
      </c>
      <c r="R60" s="357">
        <v>88205016</v>
      </c>
      <c r="S60" s="550"/>
      <c r="T60" s="503">
        <v>28.857389000000001</v>
      </c>
      <c r="U60" s="357">
        <v>28.138580000000001</v>
      </c>
      <c r="V60" s="357">
        <v>29.483581999999998</v>
      </c>
      <c r="W60" s="550"/>
      <c r="X60" s="507">
        <v>223.249</v>
      </c>
      <c r="Y60" s="359">
        <v>127.752</v>
      </c>
      <c r="Z60" s="573">
        <v>0</v>
      </c>
      <c r="AA60" s="573">
        <v>0</v>
      </c>
      <c r="AB60" s="33"/>
      <c r="AD60" s="30" t="str">
        <f t="shared" si="22"/>
        <v>·</v>
      </c>
      <c r="AE60" s="31">
        <f t="shared" si="9"/>
        <v>12.21603483488915</v>
      </c>
      <c r="AF60" s="31">
        <f t="shared" si="10"/>
        <v>11.745490159778278</v>
      </c>
      <c r="AG60" s="31">
        <f t="shared" si="11"/>
        <v>0.4705322293442295</v>
      </c>
      <c r="AH60" s="87" t="str">
        <f t="shared" si="12"/>
        <v>·</v>
      </c>
      <c r="AI60" s="31">
        <f t="shared" si="13"/>
        <v>12.21603483488915</v>
      </c>
      <c r="AJ60" s="544">
        <v>59136574</v>
      </c>
      <c r="AK60" s="503">
        <v>722414448</v>
      </c>
      <c r="AL60" s="357">
        <v>694588048</v>
      </c>
      <c r="AM60" s="357">
        <v>27825664</v>
      </c>
      <c r="AN60" s="550"/>
      <c r="AO60" s="503">
        <v>31.145962000000001</v>
      </c>
      <c r="AP60" s="357">
        <v>33.654957000000003</v>
      </c>
      <c r="AQ60" s="357">
        <v>34.894767999999999</v>
      </c>
      <c r="AR60" s="550"/>
      <c r="AS60" s="507">
        <v>335.75299999999999</v>
      </c>
      <c r="AT60" s="359">
        <v>245.69399999999999</v>
      </c>
      <c r="AU60" s="573">
        <v>0</v>
      </c>
      <c r="AV60" s="573">
        <v>0</v>
      </c>
      <c r="AW60" s="33"/>
      <c r="AY60" s="56" t="e">
        <f t="shared" si="19"/>
        <v>#DIV/0!</v>
      </c>
      <c r="AZ60" s="57" t="e">
        <f t="shared" si="20"/>
        <v>#DIV/0!</v>
      </c>
      <c r="BA60" s="57">
        <f t="shared" si="21"/>
        <v>7.4162088815845295E-2</v>
      </c>
      <c r="BB60" s="58"/>
      <c r="BD60" s="76"/>
      <c r="BE60" s="76"/>
      <c r="BF60" s="76"/>
      <c r="BG60" s="105"/>
      <c r="BI60" s="252"/>
      <c r="BJ60" s="76"/>
      <c r="BK60" s="255"/>
      <c r="BL60" s="258"/>
      <c r="BM60" s="251"/>
      <c r="BN60" s="252"/>
      <c r="BO60" s="76"/>
      <c r="BP60" s="255"/>
      <c r="BQ60" s="258"/>
      <c r="BS60" s="252"/>
      <c r="BT60" s="76"/>
      <c r="BU60" s="255"/>
      <c r="BV60" s="258"/>
      <c r="BX60" s="74"/>
      <c r="BY60" s="75"/>
      <c r="BZ60" s="264"/>
      <c r="CA60" s="105"/>
      <c r="CC60" s="260"/>
      <c r="CD60" s="75"/>
      <c r="CE60" s="262"/>
      <c r="CF60" s="258"/>
    </row>
    <row r="61" spans="1:84" s="1" customFormat="1" outlineLevel="1">
      <c r="A61" s="13"/>
      <c r="B61" s="14" t="s">
        <v>1119</v>
      </c>
      <c r="C61" s="15" t="s">
        <v>133</v>
      </c>
      <c r="D61" s="479">
        <v>59136574</v>
      </c>
      <c r="E61" s="15">
        <v>16</v>
      </c>
      <c r="F61" s="15">
        <v>1</v>
      </c>
      <c r="G61" s="16"/>
      <c r="H61" s="251"/>
      <c r="I61" s="30" t="str">
        <f t="shared" si="14"/>
        <v>·</v>
      </c>
      <c r="J61" s="31">
        <f t="shared" si="15"/>
        <v>14.348903877996044</v>
      </c>
      <c r="K61" s="31">
        <f t="shared" si="16"/>
        <v>11.745490159778278</v>
      </c>
      <c r="L61" s="31">
        <f t="shared" si="23"/>
        <v>2.6034012724511228</v>
      </c>
      <c r="M61" s="87"/>
      <c r="N61" s="31">
        <f t="shared" si="18"/>
        <v>14.348903877996044</v>
      </c>
      <c r="O61" s="544">
        <v>59136574</v>
      </c>
      <c r="P61" s="503">
        <v>848545016</v>
      </c>
      <c r="Q61" s="357">
        <v>694588048</v>
      </c>
      <c r="R61" s="357">
        <v>153956232</v>
      </c>
      <c r="S61" s="550"/>
      <c r="T61" s="503">
        <v>34.864936999999998</v>
      </c>
      <c r="U61" s="357">
        <v>34.793373000000003</v>
      </c>
      <c r="V61" s="357">
        <v>34.481400000000001</v>
      </c>
      <c r="W61" s="550"/>
      <c r="X61" s="507">
        <v>206.72800000000001</v>
      </c>
      <c r="Y61" s="359">
        <v>127.029</v>
      </c>
      <c r="Z61" s="573">
        <v>0</v>
      </c>
      <c r="AA61" s="573">
        <v>0</v>
      </c>
      <c r="AB61" s="33"/>
      <c r="AD61" s="30" t="str">
        <f t="shared" si="22"/>
        <v>·</v>
      </c>
      <c r="AE61" s="31">
        <f t="shared" si="9"/>
        <v>12.851646901289886</v>
      </c>
      <c r="AF61" s="31">
        <f t="shared" si="10"/>
        <v>11.745490159778278</v>
      </c>
      <c r="AG61" s="31">
        <f t="shared" si="11"/>
        <v>1.106144295744965</v>
      </c>
      <c r="AH61" s="87" t="str">
        <f t="shared" si="12"/>
        <v>·</v>
      </c>
      <c r="AI61" s="31">
        <f t="shared" si="13"/>
        <v>12.851646901289886</v>
      </c>
      <c r="AJ61" s="544">
        <v>59136574</v>
      </c>
      <c r="AK61" s="503">
        <v>760002368</v>
      </c>
      <c r="AL61" s="357">
        <v>694588048</v>
      </c>
      <c r="AM61" s="357">
        <v>65413584</v>
      </c>
      <c r="AN61" s="550"/>
      <c r="AO61" s="503">
        <v>36.338096999999998</v>
      </c>
      <c r="AP61" s="357">
        <v>39.008277999999997</v>
      </c>
      <c r="AQ61" s="357">
        <v>39.366543</v>
      </c>
      <c r="AR61" s="550"/>
      <c r="AS61" s="507">
        <v>317.637</v>
      </c>
      <c r="AT61" s="359">
        <v>225.983</v>
      </c>
      <c r="AU61" s="573">
        <v>0</v>
      </c>
      <c r="AV61" s="573">
        <v>0</v>
      </c>
      <c r="AW61" s="33"/>
      <c r="AY61" s="56" t="e">
        <f t="shared" si="19"/>
        <v>#DIV/0!</v>
      </c>
      <c r="AZ61" s="57" t="e">
        <f t="shared" si="20"/>
        <v>#DIV/0!</v>
      </c>
      <c r="BA61" s="57">
        <f t="shared" si="21"/>
        <v>9.5365212242415009E-2</v>
      </c>
      <c r="BB61" s="58"/>
      <c r="BD61" s="76"/>
      <c r="BE61" s="76"/>
      <c r="BF61" s="76"/>
      <c r="BG61" s="105"/>
      <c r="BI61" s="252"/>
      <c r="BJ61" s="76"/>
      <c r="BK61" s="255"/>
      <c r="BL61" s="258"/>
      <c r="BM61" s="251"/>
      <c r="BN61" s="252"/>
      <c r="BO61" s="76"/>
      <c r="BP61" s="255"/>
      <c r="BQ61" s="258"/>
      <c r="BS61" s="252"/>
      <c r="BT61" s="76"/>
      <c r="BU61" s="255"/>
      <c r="BV61" s="258"/>
      <c r="BX61" s="74"/>
      <c r="BY61" s="75"/>
      <c r="BZ61" s="264"/>
      <c r="CA61" s="105"/>
      <c r="CC61" s="260"/>
      <c r="CD61" s="75"/>
      <c r="CE61" s="262"/>
      <c r="CF61" s="258"/>
    </row>
    <row r="62" spans="1:84" s="1" customFormat="1" outlineLevel="1">
      <c r="A62" s="13"/>
      <c r="B62" s="14" t="s">
        <v>1119</v>
      </c>
      <c r="C62" s="15" t="s">
        <v>134</v>
      </c>
      <c r="D62" s="479">
        <v>59136574</v>
      </c>
      <c r="E62" s="15">
        <v>16</v>
      </c>
      <c r="F62" s="15">
        <v>1</v>
      </c>
      <c r="G62" s="16"/>
      <c r="H62" s="251"/>
      <c r="I62" s="30" t="str">
        <f t="shared" si="14"/>
        <v>·</v>
      </c>
      <c r="J62" s="31">
        <f t="shared" si="15"/>
        <v>15.957758932737631</v>
      </c>
      <c r="K62" s="31">
        <f t="shared" si="16"/>
        <v>11.745490159778278</v>
      </c>
      <c r="L62" s="31">
        <f t="shared" si="23"/>
        <v>4.2122563271927111</v>
      </c>
      <c r="M62" s="87"/>
      <c r="N62" s="31">
        <f t="shared" si="18"/>
        <v>15.957758932737631</v>
      </c>
      <c r="O62" s="544">
        <v>59136574</v>
      </c>
      <c r="P62" s="503">
        <v>943687192</v>
      </c>
      <c r="Q62" s="357">
        <v>694588048</v>
      </c>
      <c r="R62" s="357">
        <v>249098408</v>
      </c>
      <c r="S62" s="550"/>
      <c r="T62" s="503">
        <v>40.790058000000002</v>
      </c>
      <c r="U62" s="357">
        <v>40.608764999999998</v>
      </c>
      <c r="V62" s="357">
        <v>40.873676000000003</v>
      </c>
      <c r="W62" s="550"/>
      <c r="X62" s="507">
        <v>199.411</v>
      </c>
      <c r="Y62" s="359">
        <v>125.364</v>
      </c>
      <c r="Z62" s="573">
        <v>0</v>
      </c>
      <c r="AA62" s="573">
        <v>0</v>
      </c>
      <c r="AB62" s="33"/>
      <c r="AD62" s="30" t="str">
        <f t="shared" si="22"/>
        <v>·</v>
      </c>
      <c r="AE62" s="31">
        <f t="shared" si="9"/>
        <v>14.382498654724232</v>
      </c>
      <c r="AF62" s="31">
        <f t="shared" si="10"/>
        <v>11.745490159778278</v>
      </c>
      <c r="AG62" s="31">
        <f t="shared" si="11"/>
        <v>2.6369960491793116</v>
      </c>
      <c r="AH62" s="87" t="str">
        <f t="shared" si="12"/>
        <v>·</v>
      </c>
      <c r="AI62" s="31">
        <f t="shared" si="13"/>
        <v>14.382498654724232</v>
      </c>
      <c r="AJ62" s="544">
        <v>59136574</v>
      </c>
      <c r="AK62" s="503">
        <v>850531696</v>
      </c>
      <c r="AL62" s="357">
        <v>694588048</v>
      </c>
      <c r="AM62" s="357">
        <v>155942912</v>
      </c>
      <c r="AN62" s="550"/>
      <c r="AO62" s="503">
        <v>41.428668999999999</v>
      </c>
      <c r="AP62" s="357">
        <v>43.06588</v>
      </c>
      <c r="AQ62" s="357">
        <v>42.933525000000003</v>
      </c>
      <c r="AR62" s="550"/>
      <c r="AS62" s="507">
        <v>302.30700000000002</v>
      </c>
      <c r="AT62" s="359">
        <v>224.059</v>
      </c>
      <c r="AU62" s="573">
        <v>0</v>
      </c>
      <c r="AV62" s="573">
        <v>0</v>
      </c>
      <c r="AW62" s="33"/>
      <c r="AY62" s="56" t="e">
        <f t="shared" si="19"/>
        <v>#DIV/0!</v>
      </c>
      <c r="AZ62" s="57" t="e">
        <f t="shared" si="20"/>
        <v>#DIV/0!</v>
      </c>
      <c r="BA62" s="57">
        <f t="shared" si="21"/>
        <v>8.0615253708984591E-2</v>
      </c>
      <c r="BB62" s="58"/>
      <c r="BD62" s="76"/>
      <c r="BE62" s="76"/>
      <c r="BF62" s="76"/>
      <c r="BG62" s="105"/>
      <c r="BI62" s="252"/>
      <c r="BJ62" s="76"/>
      <c r="BK62" s="255"/>
      <c r="BL62" s="258"/>
      <c r="BM62" s="251"/>
      <c r="BN62" s="252"/>
      <c r="BO62" s="76"/>
      <c r="BP62" s="255"/>
      <c r="BQ62" s="258"/>
      <c r="BS62" s="252"/>
      <c r="BT62" s="76"/>
      <c r="BU62" s="255"/>
      <c r="BV62" s="258"/>
      <c r="BX62" s="74"/>
      <c r="BY62" s="75"/>
      <c r="BZ62" s="264"/>
      <c r="CA62" s="105"/>
      <c r="CC62" s="260"/>
      <c r="CD62" s="75"/>
      <c r="CE62" s="262"/>
      <c r="CF62" s="258"/>
    </row>
    <row r="63" spans="1:84" s="1" customFormat="1" outlineLevel="1">
      <c r="A63" s="13"/>
      <c r="B63" s="14" t="s">
        <v>1119</v>
      </c>
      <c r="C63" s="15" t="s">
        <v>135</v>
      </c>
      <c r="D63" s="479">
        <v>59136574</v>
      </c>
      <c r="E63" s="15">
        <v>16</v>
      </c>
      <c r="F63" s="15">
        <v>1</v>
      </c>
      <c r="G63" s="16"/>
      <c r="H63" s="251"/>
      <c r="I63" s="30" t="str">
        <f t="shared" si="14"/>
        <v>·</v>
      </c>
      <c r="J63" s="31">
        <f t="shared" si="15"/>
        <v>18.138074214444686</v>
      </c>
      <c r="K63" s="31">
        <f t="shared" si="16"/>
        <v>11.745490159778278</v>
      </c>
      <c r="L63" s="31">
        <f t="shared" si="23"/>
        <v>6.3925716088997646</v>
      </c>
      <c r="M63" s="87"/>
      <c r="N63" s="31">
        <f t="shared" si="18"/>
        <v>18.138074214444686</v>
      </c>
      <c r="O63" s="544">
        <v>59136574</v>
      </c>
      <c r="P63" s="503">
        <v>1072623568</v>
      </c>
      <c r="Q63" s="357">
        <v>694588048</v>
      </c>
      <c r="R63" s="357">
        <v>378034784</v>
      </c>
      <c r="S63" s="550"/>
      <c r="T63" s="503">
        <v>46.401530999999999</v>
      </c>
      <c r="U63" s="357">
        <v>46.384459999999997</v>
      </c>
      <c r="V63" s="357">
        <v>46.420811</v>
      </c>
      <c r="W63" s="550"/>
      <c r="X63" s="507">
        <v>200.727</v>
      </c>
      <c r="Y63" s="359">
        <v>126.202</v>
      </c>
      <c r="Z63" s="573">
        <v>0</v>
      </c>
      <c r="AA63" s="573">
        <v>0</v>
      </c>
      <c r="AB63" s="33"/>
      <c r="AD63" s="30" t="str">
        <f t="shared" si="22"/>
        <v>·</v>
      </c>
      <c r="AE63" s="31">
        <f t="shared" si="9"/>
        <v>16.901563759848518</v>
      </c>
      <c r="AF63" s="31">
        <f t="shared" si="10"/>
        <v>11.745490159778278</v>
      </c>
      <c r="AG63" s="31">
        <f t="shared" si="11"/>
        <v>5.1560611543035959</v>
      </c>
      <c r="AH63" s="87" t="str">
        <f t="shared" si="12"/>
        <v>·</v>
      </c>
      <c r="AI63" s="31">
        <f t="shared" si="13"/>
        <v>16.901563759848518</v>
      </c>
      <c r="AJ63" s="544">
        <v>59136574</v>
      </c>
      <c r="AK63" s="503">
        <v>999500576</v>
      </c>
      <c r="AL63" s="357">
        <v>694588048</v>
      </c>
      <c r="AM63" s="357">
        <v>304911792</v>
      </c>
      <c r="AN63" s="550"/>
      <c r="AO63" s="503">
        <v>46.574607999999998</v>
      </c>
      <c r="AP63" s="357">
        <v>47.186653</v>
      </c>
      <c r="AQ63" s="357">
        <v>47.092990999999998</v>
      </c>
      <c r="AR63" s="550"/>
      <c r="AS63" s="507">
        <v>309.48700000000002</v>
      </c>
      <c r="AT63" s="359">
        <v>235.98500000000001</v>
      </c>
      <c r="AU63" s="573">
        <v>0</v>
      </c>
      <c r="AV63" s="573">
        <v>0</v>
      </c>
      <c r="AW63" s="33"/>
      <c r="AY63" s="56" t="e">
        <f t="shared" si="19"/>
        <v>#DIV/0!</v>
      </c>
      <c r="AZ63" s="57" t="e">
        <f t="shared" si="20"/>
        <v>#DIV/0!</v>
      </c>
      <c r="BA63" s="57">
        <f t="shared" si="21"/>
        <v>4.7375180250350146E-2</v>
      </c>
      <c r="BB63" s="58"/>
      <c r="BD63" s="76"/>
      <c r="BE63" s="76"/>
      <c r="BF63" s="76"/>
      <c r="BG63" s="105"/>
      <c r="BI63" s="252"/>
      <c r="BJ63" s="76"/>
      <c r="BK63" s="255"/>
      <c r="BL63" s="258"/>
      <c r="BM63" s="251"/>
      <c r="BN63" s="252"/>
      <c r="BO63" s="76"/>
      <c r="BP63" s="255"/>
      <c r="BQ63" s="258"/>
      <c r="BS63" s="252"/>
      <c r="BT63" s="76"/>
      <c r="BU63" s="255"/>
      <c r="BV63" s="258"/>
      <c r="BX63" s="74"/>
      <c r="BY63" s="75"/>
      <c r="BZ63" s="264"/>
      <c r="CA63" s="105"/>
      <c r="CC63" s="260"/>
      <c r="CD63" s="75"/>
      <c r="CE63" s="262"/>
      <c r="CF63" s="258"/>
    </row>
    <row r="64" spans="1:84" s="1" customFormat="1" ht="14.25" outlineLevel="1" thickBot="1">
      <c r="A64" s="215"/>
      <c r="B64" s="18" t="s">
        <v>1119</v>
      </c>
      <c r="C64" s="19" t="s">
        <v>136</v>
      </c>
      <c r="D64" s="480">
        <v>59136574</v>
      </c>
      <c r="E64" s="19">
        <v>16</v>
      </c>
      <c r="F64" s="19">
        <v>1</v>
      </c>
      <c r="G64" s="20"/>
      <c r="H64" s="251"/>
      <c r="I64" s="34" t="str">
        <f t="shared" si="14"/>
        <v>·</v>
      </c>
      <c r="J64" s="35">
        <f t="shared" si="15"/>
        <v>20.737336998927262</v>
      </c>
      <c r="K64" s="35">
        <f t="shared" si="16"/>
        <v>11.745490159778278</v>
      </c>
      <c r="L64" s="35">
        <f t="shared" si="23"/>
        <v>8.9918343933823426</v>
      </c>
      <c r="M64" s="88"/>
      <c r="N64" s="35">
        <f t="shared" si="18"/>
        <v>20.737336998927262</v>
      </c>
      <c r="O64" s="555">
        <v>59136574</v>
      </c>
      <c r="P64" s="505">
        <v>1226335064</v>
      </c>
      <c r="Q64" s="361">
        <v>694588048</v>
      </c>
      <c r="R64" s="361">
        <v>531746280</v>
      </c>
      <c r="S64" s="552"/>
      <c r="T64" s="505">
        <v>51.140137000000003</v>
      </c>
      <c r="U64" s="361">
        <v>51.170425000000002</v>
      </c>
      <c r="V64" s="361">
        <v>51.190865000000002</v>
      </c>
      <c r="W64" s="552"/>
      <c r="X64" s="509">
        <v>202.02500000000001</v>
      </c>
      <c r="Y64" s="363">
        <v>127.70699999999999</v>
      </c>
      <c r="Z64" s="575">
        <v>0</v>
      </c>
      <c r="AA64" s="575">
        <v>0</v>
      </c>
      <c r="AB64" s="37"/>
      <c r="AD64" s="34" t="str">
        <f t="shared" si="22"/>
        <v>·</v>
      </c>
      <c r="AE64" s="35">
        <f t="shared" si="9"/>
        <v>19.655551909381831</v>
      </c>
      <c r="AF64" s="35">
        <f t="shared" si="10"/>
        <v>11.745490159778278</v>
      </c>
      <c r="AG64" s="35">
        <f t="shared" si="11"/>
        <v>7.9100493038369111</v>
      </c>
      <c r="AH64" s="88" t="str">
        <f t="shared" si="12"/>
        <v>·</v>
      </c>
      <c r="AI64" s="35">
        <f t="shared" si="13"/>
        <v>19.655551909381831</v>
      </c>
      <c r="AJ64" s="555">
        <v>59136574</v>
      </c>
      <c r="AK64" s="505">
        <v>1162362000</v>
      </c>
      <c r="AL64" s="361">
        <v>694588048</v>
      </c>
      <c r="AM64" s="361">
        <v>467773216</v>
      </c>
      <c r="AN64" s="552"/>
      <c r="AO64" s="505">
        <v>51.191746000000002</v>
      </c>
      <c r="AP64" s="361">
        <v>51.2943</v>
      </c>
      <c r="AQ64" s="361">
        <v>51.296714999999999</v>
      </c>
      <c r="AR64" s="552"/>
      <c r="AS64" s="509">
        <v>311.16500000000002</v>
      </c>
      <c r="AT64" s="363">
        <v>232.72300000000001</v>
      </c>
      <c r="AU64" s="575">
        <v>0</v>
      </c>
      <c r="AV64" s="575">
        <v>0</v>
      </c>
      <c r="AW64" s="37"/>
      <c r="AY64" s="59" t="e">
        <f t="shared" si="19"/>
        <v>#DIV/0!</v>
      </c>
      <c r="AZ64" s="60" t="e">
        <f t="shared" si="20"/>
        <v>#DIV/0!</v>
      </c>
      <c r="BA64" s="60">
        <f t="shared" si="21"/>
        <v>3.1172663268594025E-2</v>
      </c>
      <c r="BB64" s="61"/>
      <c r="BD64" s="79"/>
      <c r="BE64" s="79"/>
      <c r="BF64" s="79"/>
      <c r="BG64" s="108"/>
      <c r="BI64" s="253"/>
      <c r="BJ64" s="79"/>
      <c r="BK64" s="256"/>
      <c r="BL64" s="259"/>
      <c r="BM64" s="251"/>
      <c r="BN64" s="253"/>
      <c r="BO64" s="79"/>
      <c r="BP64" s="256"/>
      <c r="BQ64" s="259"/>
      <c r="BS64" s="253"/>
      <c r="BT64" s="79"/>
      <c r="BU64" s="256"/>
      <c r="BV64" s="259"/>
      <c r="BX64" s="77"/>
      <c r="BY64" s="78"/>
      <c r="BZ64" s="265"/>
      <c r="CA64" s="108"/>
      <c r="CC64" s="261"/>
      <c r="CD64" s="78"/>
      <c r="CE64" s="263"/>
      <c r="CF64" s="259"/>
    </row>
    <row r="65" spans="1:84" s="1" customFormat="1">
      <c r="A65" s="13"/>
      <c r="B65" s="27" t="s">
        <v>1120</v>
      </c>
      <c r="C65" s="28" t="s">
        <v>131</v>
      </c>
      <c r="D65" s="478">
        <v>4649702</v>
      </c>
      <c r="E65" s="28">
        <v>11</v>
      </c>
      <c r="F65" s="28">
        <v>1</v>
      </c>
      <c r="G65" s="29"/>
      <c r="H65" s="492"/>
      <c r="I65" s="46" t="str">
        <f t="shared" si="14"/>
        <v>·</v>
      </c>
      <c r="J65" s="47">
        <f t="shared" si="15"/>
        <v>3.4218829507783508</v>
      </c>
      <c r="K65" s="47">
        <f t="shared" si="16"/>
        <v>3.0196911544008627</v>
      </c>
      <c r="L65" s="47">
        <f t="shared" si="23"/>
        <v>0.40207307909195039</v>
      </c>
      <c r="M65" s="87"/>
      <c r="N65" s="47">
        <f t="shared" si="18"/>
        <v>3.4218829507783508</v>
      </c>
      <c r="O65" s="554">
        <v>4649702</v>
      </c>
      <c r="P65" s="502">
        <v>15910736</v>
      </c>
      <c r="Q65" s="353">
        <v>14040664</v>
      </c>
      <c r="R65" s="353">
        <v>1869520</v>
      </c>
      <c r="S65" s="550"/>
      <c r="T65" s="502">
        <v>24.552838999999999</v>
      </c>
      <c r="U65" s="353">
        <v>28.133711000000002</v>
      </c>
      <c r="V65" s="353">
        <v>30.558236999999998</v>
      </c>
      <c r="W65" s="550"/>
      <c r="X65" s="506">
        <v>7.0709999999999997</v>
      </c>
      <c r="Y65" s="355">
        <v>4.3840000000000003</v>
      </c>
      <c r="Z65" s="572">
        <v>0</v>
      </c>
      <c r="AA65" s="572">
        <v>0</v>
      </c>
      <c r="AB65" s="49"/>
      <c r="AD65" s="46" t="str">
        <f t="shared" si="22"/>
        <v>·</v>
      </c>
      <c r="AE65" s="47">
        <f t="shared" si="9"/>
        <v>3.2957897086738033</v>
      </c>
      <c r="AF65" s="47">
        <f t="shared" si="10"/>
        <v>3.0196911544008627</v>
      </c>
      <c r="AG65" s="47">
        <f t="shared" si="11"/>
        <v>0.27597983698740264</v>
      </c>
      <c r="AH65" s="87" t="str">
        <f t="shared" si="12"/>
        <v>·</v>
      </c>
      <c r="AI65" s="47">
        <f t="shared" si="13"/>
        <v>3.2957897086738033</v>
      </c>
      <c r="AJ65" s="554">
        <v>4649702</v>
      </c>
      <c r="AK65" s="502">
        <v>15324440</v>
      </c>
      <c r="AL65" s="353">
        <v>14040664</v>
      </c>
      <c r="AM65" s="353">
        <v>1283224</v>
      </c>
      <c r="AN65" s="550"/>
      <c r="AO65" s="502">
        <v>24.872084000000001</v>
      </c>
      <c r="AP65" s="353">
        <v>27.330784000000001</v>
      </c>
      <c r="AQ65" s="353">
        <v>28.981707</v>
      </c>
      <c r="AR65" s="550"/>
      <c r="AS65" s="506">
        <v>12.464</v>
      </c>
      <c r="AT65" s="355">
        <v>9.2959999999999994</v>
      </c>
      <c r="AU65" s="572">
        <v>0</v>
      </c>
      <c r="AV65" s="572">
        <v>0</v>
      </c>
      <c r="AW65" s="49"/>
      <c r="AY65" s="68" t="e">
        <f t="shared" si="19"/>
        <v>#DIV/0!</v>
      </c>
      <c r="AZ65" s="69" t="e">
        <f t="shared" si="20"/>
        <v>#DIV/0!</v>
      </c>
      <c r="BA65" s="69">
        <f t="shared" si="21"/>
        <v>3.3762118899816618E-2</v>
      </c>
      <c r="BB65" s="70">
        <f t="array" ref="BB65">AVERAGE(AL65:AL70/AK65:AK70) - AVERAGE(Q65:Q70/P65:P70)</f>
        <v>3.7164853300448164E-2</v>
      </c>
      <c r="BD65" s="86">
        <f>IF( OR(ISBLANK($R65:$R70),ISBLANK($AM65:$AM70), ISBLANK(T65:T70),ISBLANK(AO65:AO70)), "·", bdRateHermite( $R65:$R70,$T65:$T70, $AM65:$AM70,$AO65:$AO70))</f>
        <v>-0.2072843643061606</v>
      </c>
      <c r="BE65" s="86">
        <f>IF( OR(ISBLANK($R65:$R70),ISBLANK($AM65:$AM70), ISBLANK(U65:U70),ISBLANK(AP65:AP70)), "·", bdRateHermite( $R65:$R70,$U65:$U70, $AM65:$AM70,$AP65:$AP70))</f>
        <v>-0.23927336094832452</v>
      </c>
      <c r="BF65" s="86">
        <f>IF( OR(ISBLANK($R65:$R70),ISBLANK($AM65:$AM70), ISBLANK(V65:V70),ISBLANK(AQ65:AQ70)), "·", bdRateHermite( $R65:$R70,$V65:$V70, $AM65:$AM70,$AQ65:$AQ70))</f>
        <v>-0.2072192753761376</v>
      </c>
      <c r="BG65" s="103"/>
      <c r="BI65" s="250">
        <f>IF(OR(ISBLANK($P65:$P70),ISBLANK($AK65:$AK70),ISBLANK(T65:T70),ISBLANK(AO65:AO70)),"·",bdRateHermite($P65:$P70,$T65:$T70,$AK65:$AK70,$AO65:$AO70))</f>
        <v>-8.0298728467976255E-2</v>
      </c>
      <c r="BJ65" s="85">
        <f>IF(OR(ISBLANK($P65:$P70),ISBLANK($AK65:$AK70),ISBLANK(U65:U70),ISBLANK(AP65:AP70)),"·",bdRateHermite($P65:$P70,$U65:$U70,$AK65:$AK70,$AP65:$AP70))</f>
        <v>-9.8410996944591989E-2</v>
      </c>
      <c r="BK65" s="254">
        <f>IF(OR(ISBLANK($P65:$P70),ISBLANK($AK65:$AK70),ISBLANK(V65:V70),ISBLANK(AQ65:AQ70)),"·",bdRateHermite($P65:$P70,$V65:$V70,$AK65:$AK70,$AQ65:$AQ70))</f>
        <v>-9.3919671875248745E-2</v>
      </c>
      <c r="BL65" s="257"/>
      <c r="BM65" s="251"/>
      <c r="BN65" s="86">
        <f>IF( OR(ISBLANK($R65:$R70),ISBLANK($AM65:$AM70), ISBLANK(T65:T70),ISBLANK(AO65:AO70)), "·", bdRateHermite( $R66:$R70,$T66:$T70, $AM66:$AM70,$AO66:$AO70))</f>
        <v>-0.17698754284706997</v>
      </c>
      <c r="BO65" s="86">
        <f>IF( OR(ISBLANK($R65:$R70),ISBLANK($AM65:$AM70), ISBLANK(U65:U70),ISBLANK(AP65:AP70)), "·", bdRateHermite( $R66:$R70,$U66:$U70, $AM66:$AM70,$AP66:$AP70))</f>
        <v>-0.22057386046389293</v>
      </c>
      <c r="BP65" s="86">
        <f>IF( OR(ISBLANK($R65:$R70),ISBLANK($AM65:$AM70), ISBLANK(V65:V70),ISBLANK(AQ65:AQ70)), "·", bdRateHermite( $R66:$R70,$V66:$V70, $AM66:$AM70,$AQ66:$AQ70))</f>
        <v>-0.2123044306628239</v>
      </c>
      <c r="BQ65" s="103"/>
      <c r="BS65" s="250">
        <f>IF(OR(ISBLANK($P65:$P70),ISBLANK($AK65:$AK70),ISBLANK(T65:T70),ISBLANK(AO65:AO70)),"·",bdRateHermite($P66:$P70,$T66:$T70,$AK66:$AK70,$AO66:$AO70))</f>
        <v>-8.6245769880005874E-2</v>
      </c>
      <c r="BT65" s="85">
        <f>IF(OR(ISBLANK($P65:$P70),ISBLANK($AK65:$AK70),ISBLANK(U65:U70),ISBLANK(AP65:AP70)),"·",bdRateHermite($P66:$P70,$U66:$U70,$AK66:$AK70,$AP66:$AP70))</f>
        <v>-0.10818169452966753</v>
      </c>
      <c r="BU65" s="254">
        <f>IF(OR(ISBLANK($P65:$P70),ISBLANK($AK65:$AK70),ISBLANK(V65:V70),ISBLANK(AQ65:AQ70)),"·",bdRateHermite($P66:$P70,$V66:$V70,$AK66:$AK70,$AQ66:$AQ70))</f>
        <v>-0.1064806280298507</v>
      </c>
      <c r="BV65" s="257"/>
      <c r="BX65" s="86">
        <f>IF( OR(ISBLANK($R65:$R70),ISBLANK($AM65:$AM70), ISBLANK(T65:T70),ISBLANK(AO65:AO70)), "·", bdRateHermite( $R65:$R69,$T65:$T69, $AM65:$AM69,$AO65:$AO69))</f>
        <v>-0.2329418909201646</v>
      </c>
      <c r="BY65" s="86">
        <f>IF( OR(ISBLANK($R65:$R70),ISBLANK($AM65:$AM70), ISBLANK(U65:U70),ISBLANK(AP65:AP70)), "·", bdRateHermite( $R65:$R69,$U65:$U69, $AM65:$AM69,$AP65:$AP69))</f>
        <v>-0.27552904766209541</v>
      </c>
      <c r="BZ65" s="86">
        <f>IF( OR(ISBLANK($R65:$R70),ISBLANK($AM65:$AM70), ISBLANK(V65:V70),ISBLANK(AQ65:AQ70)), "·", bdRateHermite( $R65:$R69,$V65:$V69, $AM65:$AM69,$AQ65:$AQ69))</f>
        <v>-0.24060390480929938</v>
      </c>
      <c r="CA65" s="103"/>
      <c r="CC65" s="250">
        <f>IF(OR(ISBLANK($P65:$P70),ISBLANK($AK65:$AK70),ISBLANK(T65:T70),ISBLANK(AO65:AO70)),"·",bdRateHermite($P65:$P69,$T65:$T69,$AK65:$AK69,$AO65:$AO69))</f>
        <v>-8.5567050906750874E-2</v>
      </c>
      <c r="CD65" s="85">
        <f>IF(OR(ISBLANK($P65:$P70),ISBLANK($AK65:$AK70),ISBLANK(U65:U70),ISBLANK(AP65:AP70)),"·",bdRateHermite($P65:$P69,$U65:$U69,$AK65:$AK69,$AP65:$AP69))</f>
        <v>-0.10897999421804438</v>
      </c>
      <c r="CE65" s="254">
        <f>IF(OR(ISBLANK($P65:$P70),ISBLANK($AK65:$AK70),ISBLANK(V65:V70),ISBLANK(AQ65:AQ70)),"·",bdRateHermite($P65:$P69,$V65:$V69,$AK65:$AK69,$AQ65:$AQ69))</f>
        <v>-0.10469655803977085</v>
      </c>
      <c r="CF65" s="257"/>
    </row>
    <row r="66" spans="1:84" s="1" customFormat="1" outlineLevel="1">
      <c r="A66" s="13"/>
      <c r="B66" s="14" t="s">
        <v>1120</v>
      </c>
      <c r="C66" s="15" t="s">
        <v>132</v>
      </c>
      <c r="D66" s="479">
        <v>4649702</v>
      </c>
      <c r="E66" s="15">
        <v>11</v>
      </c>
      <c r="F66" s="15">
        <v>1</v>
      </c>
      <c r="G66" s="16"/>
      <c r="H66" s="492"/>
      <c r="I66" s="30" t="str">
        <f t="shared" si="14"/>
        <v>·</v>
      </c>
      <c r="J66" s="31">
        <f t="shared" si="15"/>
        <v>4.0071798149644859</v>
      </c>
      <c r="K66" s="31">
        <f t="shared" si="16"/>
        <v>3.0196911544008627</v>
      </c>
      <c r="L66" s="31">
        <f t="shared" si="23"/>
        <v>0.98736994327808536</v>
      </c>
      <c r="M66" s="87"/>
      <c r="N66" s="31">
        <f t="shared" si="18"/>
        <v>4.0071798149644859</v>
      </c>
      <c r="O66" s="544">
        <v>4649702</v>
      </c>
      <c r="P66" s="503">
        <v>18632192</v>
      </c>
      <c r="Q66" s="357">
        <v>14040664</v>
      </c>
      <c r="R66" s="357">
        <v>4590976</v>
      </c>
      <c r="S66" s="550"/>
      <c r="T66" s="503">
        <v>29.865082000000001</v>
      </c>
      <c r="U66" s="357">
        <v>32.206595999999998</v>
      </c>
      <c r="V66" s="357">
        <v>34.041812999999998</v>
      </c>
      <c r="W66" s="550"/>
      <c r="X66" s="507">
        <v>7.08</v>
      </c>
      <c r="Y66" s="359">
        <v>4.5919999999999996</v>
      </c>
      <c r="Z66" s="573">
        <v>0</v>
      </c>
      <c r="AA66" s="573">
        <v>0</v>
      </c>
      <c r="AB66" s="33"/>
      <c r="AD66" s="30" t="str">
        <f t="shared" si="22"/>
        <v>·</v>
      </c>
      <c r="AE66" s="31">
        <f t="shared" si="9"/>
        <v>3.7411016878070895</v>
      </c>
      <c r="AF66" s="31">
        <f t="shared" si="10"/>
        <v>3.0196911544008627</v>
      </c>
      <c r="AG66" s="31">
        <f t="shared" si="11"/>
        <v>0.72129181612068904</v>
      </c>
      <c r="AH66" s="87" t="str">
        <f t="shared" si="12"/>
        <v>·</v>
      </c>
      <c r="AI66" s="31">
        <f t="shared" si="13"/>
        <v>3.7411016878070895</v>
      </c>
      <c r="AJ66" s="544">
        <v>4649702</v>
      </c>
      <c r="AK66" s="503">
        <v>17395008</v>
      </c>
      <c r="AL66" s="357">
        <v>14040664</v>
      </c>
      <c r="AM66" s="357">
        <v>3353792</v>
      </c>
      <c r="AN66" s="550"/>
      <c r="AO66" s="503">
        <v>30.083769</v>
      </c>
      <c r="AP66" s="357">
        <v>32.867531</v>
      </c>
      <c r="AQ66" s="357">
        <v>34.034129999999998</v>
      </c>
      <c r="AR66" s="550"/>
      <c r="AS66" s="507">
        <v>12.462999999999999</v>
      </c>
      <c r="AT66" s="359">
        <v>9.3710000000000004</v>
      </c>
      <c r="AU66" s="573">
        <v>0</v>
      </c>
      <c r="AV66" s="573">
        <v>0</v>
      </c>
      <c r="AW66" s="33"/>
      <c r="AY66" s="56" t="e">
        <f t="shared" si="19"/>
        <v>#DIV/0!</v>
      </c>
      <c r="AZ66" s="57" t="e">
        <f t="shared" si="20"/>
        <v>#DIV/0!</v>
      </c>
      <c r="BA66" s="57">
        <f t="shared" si="21"/>
        <v>5.3596120854434104E-2</v>
      </c>
      <c r="BB66" s="58"/>
      <c r="BD66" s="76"/>
      <c r="BE66" s="76"/>
      <c r="BF66" s="76"/>
      <c r="BG66" s="105"/>
      <c r="BI66" s="252"/>
      <c r="BJ66" s="76"/>
      <c r="BK66" s="255"/>
      <c r="BL66" s="258"/>
      <c r="BM66" s="251"/>
      <c r="BN66" s="252"/>
      <c r="BO66" s="76"/>
      <c r="BP66" s="255"/>
      <c r="BQ66" s="258"/>
      <c r="BS66" s="252"/>
      <c r="BT66" s="76"/>
      <c r="BU66" s="255"/>
      <c r="BV66" s="258"/>
      <c r="BX66" s="74"/>
      <c r="BY66" s="75"/>
      <c r="BZ66" s="264"/>
      <c r="CA66" s="105"/>
      <c r="CC66" s="260"/>
      <c r="CD66" s="75"/>
      <c r="CE66" s="262"/>
      <c r="CF66" s="258"/>
    </row>
    <row r="67" spans="1:84" s="1" customFormat="1" outlineLevel="1">
      <c r="A67" s="13"/>
      <c r="B67" s="14" t="s">
        <v>1120</v>
      </c>
      <c r="C67" s="15" t="s">
        <v>133</v>
      </c>
      <c r="D67" s="479">
        <v>4649702</v>
      </c>
      <c r="E67" s="15">
        <v>11</v>
      </c>
      <c r="F67" s="15">
        <v>1</v>
      </c>
      <c r="G67" s="16"/>
      <c r="H67" s="492"/>
      <c r="I67" s="30" t="str">
        <f t="shared" si="14"/>
        <v>·</v>
      </c>
      <c r="J67" s="31">
        <f t="shared" si="15"/>
        <v>5.3781975705109701</v>
      </c>
      <c r="K67" s="31">
        <f t="shared" si="16"/>
        <v>3.0196911544008627</v>
      </c>
      <c r="L67" s="31">
        <f t="shared" si="23"/>
        <v>2.3583876988245698</v>
      </c>
      <c r="M67" s="87"/>
      <c r="N67" s="31">
        <f t="shared" si="18"/>
        <v>5.3781975705109701</v>
      </c>
      <c r="O67" s="544">
        <v>4649702</v>
      </c>
      <c r="P67" s="503">
        <v>25007016</v>
      </c>
      <c r="Q67" s="357">
        <v>14040664</v>
      </c>
      <c r="R67" s="357">
        <v>10965800</v>
      </c>
      <c r="S67" s="550"/>
      <c r="T67" s="503">
        <v>35.295670000000001</v>
      </c>
      <c r="U67" s="357">
        <v>36.805855000000001</v>
      </c>
      <c r="V67" s="357">
        <v>37.443443000000002</v>
      </c>
      <c r="W67" s="550"/>
      <c r="X67" s="507">
        <v>7.21</v>
      </c>
      <c r="Y67" s="359">
        <v>4.5419999999999998</v>
      </c>
      <c r="Z67" s="573">
        <v>0</v>
      </c>
      <c r="AA67" s="573">
        <v>0</v>
      </c>
      <c r="AB67" s="33"/>
      <c r="AD67" s="30" t="str">
        <f t="shared" si="22"/>
        <v>·</v>
      </c>
      <c r="AE67" s="31">
        <f t="shared" si="9"/>
        <v>4.8237878470491227</v>
      </c>
      <c r="AF67" s="31">
        <f t="shared" si="10"/>
        <v>3.0196911544008627</v>
      </c>
      <c r="AG67" s="31">
        <f t="shared" si="11"/>
        <v>1.8039779753627221</v>
      </c>
      <c r="AH67" s="87" t="str">
        <f t="shared" si="12"/>
        <v>·</v>
      </c>
      <c r="AI67" s="31">
        <f t="shared" si="13"/>
        <v>4.8237878470491227</v>
      </c>
      <c r="AJ67" s="544">
        <v>4649702</v>
      </c>
      <c r="AK67" s="503">
        <v>22429176</v>
      </c>
      <c r="AL67" s="357">
        <v>14040664</v>
      </c>
      <c r="AM67" s="357">
        <v>8387960</v>
      </c>
      <c r="AN67" s="550"/>
      <c r="AO67" s="503">
        <v>35.467934</v>
      </c>
      <c r="AP67" s="357">
        <v>37.692131000000003</v>
      </c>
      <c r="AQ67" s="357">
        <v>38.363007000000003</v>
      </c>
      <c r="AR67" s="550"/>
      <c r="AS67" s="507">
        <v>12.702999999999999</v>
      </c>
      <c r="AT67" s="359">
        <v>9.3889999999999993</v>
      </c>
      <c r="AU67" s="573">
        <v>0</v>
      </c>
      <c r="AV67" s="573">
        <v>0</v>
      </c>
      <c r="AW67" s="33"/>
      <c r="AY67" s="56" t="e">
        <f t="shared" si="19"/>
        <v>#DIV/0!</v>
      </c>
      <c r="AZ67" s="57" t="e">
        <f t="shared" si="20"/>
        <v>#DIV/0!</v>
      </c>
      <c r="BA67" s="57">
        <f t="shared" si="21"/>
        <v>6.4531002810246929E-2</v>
      </c>
      <c r="BB67" s="58"/>
      <c r="BD67" s="76"/>
      <c r="BE67" s="76"/>
      <c r="BF67" s="76"/>
      <c r="BG67" s="105"/>
      <c r="BI67" s="252"/>
      <c r="BJ67" s="76"/>
      <c r="BK67" s="255"/>
      <c r="BL67" s="258"/>
      <c r="BM67" s="251"/>
      <c r="BN67" s="252"/>
      <c r="BO67" s="76"/>
      <c r="BP67" s="255"/>
      <c r="BQ67" s="258"/>
      <c r="BS67" s="252"/>
      <c r="BT67" s="76"/>
      <c r="BU67" s="255"/>
      <c r="BV67" s="258"/>
      <c r="BX67" s="74"/>
      <c r="BY67" s="75"/>
      <c r="BZ67" s="264"/>
      <c r="CA67" s="105"/>
      <c r="CC67" s="260"/>
      <c r="CD67" s="75"/>
      <c r="CE67" s="262"/>
      <c r="CF67" s="258"/>
    </row>
    <row r="68" spans="1:84" s="1" customFormat="1" outlineLevel="1">
      <c r="A68" s="13"/>
      <c r="B68" s="14" t="s">
        <v>1120</v>
      </c>
      <c r="C68" s="15" t="s">
        <v>134</v>
      </c>
      <c r="D68" s="479">
        <v>4649702</v>
      </c>
      <c r="E68" s="15">
        <v>11</v>
      </c>
      <c r="F68" s="15">
        <v>1</v>
      </c>
      <c r="G68" s="16"/>
      <c r="H68" s="492"/>
      <c r="I68" s="30" t="str">
        <f t="shared" si="14"/>
        <v>·</v>
      </c>
      <c r="J68" s="31">
        <f t="shared" si="15"/>
        <v>7.6207619327002032</v>
      </c>
      <c r="K68" s="31">
        <f t="shared" si="16"/>
        <v>3.0196911544008627</v>
      </c>
      <c r="L68" s="31">
        <f t="shared" si="23"/>
        <v>4.6009520610138024</v>
      </c>
      <c r="M68" s="87"/>
      <c r="N68" s="31">
        <f>IF(ISBLANK(P68),"·",P68/O68)</f>
        <v>7.6207619327002032</v>
      </c>
      <c r="O68" s="544">
        <v>4649702</v>
      </c>
      <c r="P68" s="503">
        <v>35434272</v>
      </c>
      <c r="Q68" s="357">
        <v>14040664</v>
      </c>
      <c r="R68" s="357">
        <v>21393056</v>
      </c>
      <c r="S68" s="550"/>
      <c r="T68" s="503">
        <v>41.024017000000001</v>
      </c>
      <c r="U68" s="357">
        <v>41.402850999999998</v>
      </c>
      <c r="V68" s="357">
        <v>41.673949999999998</v>
      </c>
      <c r="W68" s="550"/>
      <c r="X68" s="507">
        <v>7.1479999999999997</v>
      </c>
      <c r="Y68" s="359">
        <v>4.8920000000000003</v>
      </c>
      <c r="Z68" s="573">
        <v>0</v>
      </c>
      <c r="AA68" s="573">
        <v>0</v>
      </c>
      <c r="AB68" s="33"/>
      <c r="AD68" s="30" t="str">
        <f t="shared" si="22"/>
        <v>·</v>
      </c>
      <c r="AE68" s="31">
        <f t="shared" si="9"/>
        <v>6.9281257164437635</v>
      </c>
      <c r="AF68" s="31">
        <f t="shared" si="10"/>
        <v>3.0196911544008627</v>
      </c>
      <c r="AG68" s="31">
        <f t="shared" si="11"/>
        <v>3.9083158447573632</v>
      </c>
      <c r="AH68" s="87" t="str">
        <f t="shared" si="12"/>
        <v>·</v>
      </c>
      <c r="AI68" s="31">
        <f t="shared" si="13"/>
        <v>6.9281257164437635</v>
      </c>
      <c r="AJ68" s="544">
        <v>4649702</v>
      </c>
      <c r="AK68" s="503">
        <v>32213720</v>
      </c>
      <c r="AL68" s="357">
        <v>14040664</v>
      </c>
      <c r="AM68" s="357">
        <v>18172504</v>
      </c>
      <c r="AN68" s="550"/>
      <c r="AO68" s="503">
        <v>41.068722000000001</v>
      </c>
      <c r="AP68" s="357">
        <v>41.87735</v>
      </c>
      <c r="AQ68" s="357">
        <v>42.143307</v>
      </c>
      <c r="AR68" s="550"/>
      <c r="AS68" s="507">
        <v>12.885</v>
      </c>
      <c r="AT68" s="359">
        <v>9.7780000000000005</v>
      </c>
      <c r="AU68" s="573">
        <v>0</v>
      </c>
      <c r="AV68" s="573">
        <v>0</v>
      </c>
      <c r="AW68" s="33"/>
      <c r="AY68" s="56" t="e">
        <f t="shared" si="19"/>
        <v>#DIV/0!</v>
      </c>
      <c r="AZ68" s="57" t="e">
        <f t="shared" si="20"/>
        <v>#DIV/0!</v>
      </c>
      <c r="BA68" s="57">
        <f t="shared" si="21"/>
        <v>3.9614444315481334E-2</v>
      </c>
      <c r="BB68" s="58"/>
      <c r="BD68" s="76"/>
      <c r="BE68" s="76"/>
      <c r="BF68" s="76"/>
      <c r="BG68" s="105"/>
      <c r="BI68" s="252"/>
      <c r="BJ68" s="76"/>
      <c r="BK68" s="255"/>
      <c r="BL68" s="258"/>
      <c r="BM68" s="251"/>
      <c r="BN68" s="252"/>
      <c r="BO68" s="76"/>
      <c r="BP68" s="255"/>
      <c r="BQ68" s="258"/>
      <c r="BS68" s="252"/>
      <c r="BT68" s="76"/>
      <c r="BU68" s="255"/>
      <c r="BV68" s="258"/>
      <c r="BX68" s="74"/>
      <c r="BY68" s="75"/>
      <c r="BZ68" s="264"/>
      <c r="CA68" s="105"/>
      <c r="CC68" s="260"/>
      <c r="CD68" s="75"/>
      <c r="CE68" s="262"/>
      <c r="CF68" s="258"/>
    </row>
    <row r="69" spans="1:84" s="1" customFormat="1" outlineLevel="1">
      <c r="A69" s="13"/>
      <c r="B69" s="14" t="s">
        <v>1120</v>
      </c>
      <c r="C69" s="15" t="s">
        <v>135</v>
      </c>
      <c r="D69" s="479">
        <v>4649702</v>
      </c>
      <c r="E69" s="15">
        <v>11</v>
      </c>
      <c r="F69" s="15">
        <v>1</v>
      </c>
      <c r="G69" s="16"/>
      <c r="H69" s="492"/>
      <c r="I69" s="30" t="str">
        <f t="shared" si="14"/>
        <v>·</v>
      </c>
      <c r="J69" s="31">
        <f t="shared" si="15"/>
        <v>10.222368659324834</v>
      </c>
      <c r="K69" s="31">
        <f t="shared" si="16"/>
        <v>3.0196911544008627</v>
      </c>
      <c r="L69" s="31">
        <f t="shared" si="23"/>
        <v>7.2025587876384334</v>
      </c>
      <c r="M69" s="87"/>
      <c r="N69" s="31">
        <f t="shared" si="18"/>
        <v>10.222368659324834</v>
      </c>
      <c r="O69" s="544">
        <v>4649702</v>
      </c>
      <c r="P69" s="503">
        <v>47530968</v>
      </c>
      <c r="Q69" s="357">
        <v>14040664</v>
      </c>
      <c r="R69" s="357">
        <v>33489752</v>
      </c>
      <c r="S69" s="550"/>
      <c r="T69" s="503">
        <v>46.577305000000003</v>
      </c>
      <c r="U69" s="357">
        <v>46.569386000000002</v>
      </c>
      <c r="V69" s="357">
        <v>46.779530000000001</v>
      </c>
      <c r="W69" s="550"/>
      <c r="X69" s="507">
        <v>7.4370000000000003</v>
      </c>
      <c r="Y69" s="359">
        <v>5.0490000000000004</v>
      </c>
      <c r="Z69" s="573">
        <v>0</v>
      </c>
      <c r="AA69" s="573">
        <v>0</v>
      </c>
      <c r="AB69" s="33"/>
      <c r="AD69" s="30" t="str">
        <f t="shared" si="22"/>
        <v>·</v>
      </c>
      <c r="AE69" s="31">
        <f t="shared" si="9"/>
        <v>9.5859356147985402</v>
      </c>
      <c r="AF69" s="31">
        <f t="shared" si="10"/>
        <v>3.0196911544008627</v>
      </c>
      <c r="AG69" s="31">
        <f t="shared" si="11"/>
        <v>6.5661257431121394</v>
      </c>
      <c r="AH69" s="87" t="str">
        <f t="shared" si="12"/>
        <v>·</v>
      </c>
      <c r="AI69" s="31">
        <f t="shared" si="13"/>
        <v>9.5859356147985402</v>
      </c>
      <c r="AJ69" s="544">
        <v>4649702</v>
      </c>
      <c r="AK69" s="503">
        <v>44571744</v>
      </c>
      <c r="AL69" s="357">
        <v>14040664</v>
      </c>
      <c r="AM69" s="357">
        <v>30530528</v>
      </c>
      <c r="AN69" s="550"/>
      <c r="AO69" s="503">
        <v>46.614376</v>
      </c>
      <c r="AP69" s="357">
        <v>46.674770000000002</v>
      </c>
      <c r="AQ69" s="357">
        <v>46.867686999999997</v>
      </c>
      <c r="AR69" s="550"/>
      <c r="AS69" s="507">
        <v>13.135</v>
      </c>
      <c r="AT69" s="359">
        <v>10.106</v>
      </c>
      <c r="AU69" s="573">
        <v>0</v>
      </c>
      <c r="AV69" s="573">
        <v>0</v>
      </c>
      <c r="AW69" s="33"/>
      <c r="AY69" s="56" t="e">
        <f t="shared" si="19"/>
        <v>#DIV/0!</v>
      </c>
      <c r="AZ69" s="57" t="e">
        <f t="shared" si="20"/>
        <v>#DIV/0!</v>
      </c>
      <c r="BA69" s="57">
        <f t="shared" si="21"/>
        <v>1.9612330381980736E-2</v>
      </c>
      <c r="BB69" s="58"/>
      <c r="BD69" s="76"/>
      <c r="BE69" s="76"/>
      <c r="BF69" s="76"/>
      <c r="BG69" s="105"/>
      <c r="BI69" s="252"/>
      <c r="BJ69" s="76"/>
      <c r="BK69" s="255"/>
      <c r="BL69" s="258"/>
      <c r="BM69" s="251"/>
      <c r="BN69" s="252"/>
      <c r="BO69" s="76"/>
      <c r="BP69" s="255"/>
      <c r="BQ69" s="258"/>
      <c r="BS69" s="252"/>
      <c r="BT69" s="76"/>
      <c r="BU69" s="255"/>
      <c r="BV69" s="258"/>
      <c r="BX69" s="74"/>
      <c r="BY69" s="75"/>
      <c r="BZ69" s="264"/>
      <c r="CA69" s="105"/>
      <c r="CC69" s="260"/>
      <c r="CD69" s="75"/>
      <c r="CE69" s="262"/>
      <c r="CF69" s="258"/>
    </row>
    <row r="70" spans="1:84" s="1" customFormat="1" ht="14.25" outlineLevel="1" thickBot="1">
      <c r="A70" s="13"/>
      <c r="B70" s="18" t="s">
        <v>1120</v>
      </c>
      <c r="C70" s="19" t="s">
        <v>136</v>
      </c>
      <c r="D70" s="480">
        <v>4649702</v>
      </c>
      <c r="E70" s="19">
        <v>11</v>
      </c>
      <c r="F70" s="19">
        <v>1</v>
      </c>
      <c r="G70" s="20"/>
      <c r="H70" s="492"/>
      <c r="I70" s="34" t="str">
        <f t="shared" si="14"/>
        <v>·</v>
      </c>
      <c r="J70" s="35">
        <f t="shared" si="15"/>
        <v>13.186670457590616</v>
      </c>
      <c r="K70" s="35">
        <f t="shared" si="16"/>
        <v>3.0196911544008627</v>
      </c>
      <c r="L70" s="35">
        <f t="shared" si="23"/>
        <v>10.166862306444585</v>
      </c>
      <c r="M70" s="89"/>
      <c r="N70" s="35">
        <f t="shared" si="18"/>
        <v>13.186670457590616</v>
      </c>
      <c r="O70" s="555">
        <v>4649702</v>
      </c>
      <c r="P70" s="505">
        <v>61314088</v>
      </c>
      <c r="Q70" s="361">
        <v>14040664</v>
      </c>
      <c r="R70" s="361">
        <v>47272880</v>
      </c>
      <c r="S70" s="552"/>
      <c r="T70" s="505">
        <v>51.254486</v>
      </c>
      <c r="U70" s="361">
        <v>51.191234999999999</v>
      </c>
      <c r="V70" s="361">
        <v>51.318398000000002</v>
      </c>
      <c r="W70" s="552"/>
      <c r="X70" s="509">
        <v>7.6239999999999997</v>
      </c>
      <c r="Y70" s="363">
        <v>5.2030000000000003</v>
      </c>
      <c r="Z70" s="575">
        <v>0</v>
      </c>
      <c r="AA70" s="575">
        <v>0</v>
      </c>
      <c r="AB70" s="37"/>
      <c r="AD70" s="34" t="str">
        <f t="shared" si="22"/>
        <v>·</v>
      </c>
      <c r="AE70" s="35">
        <f t="shared" ref="AE70:AE133" si="24">IF(ISBLANK(AK70),"·",AK70/D70)</f>
        <v>12.536662349544121</v>
      </c>
      <c r="AF70" s="35">
        <f t="shared" ref="AF70:AF133" si="25">IF(AL70="","·",AL70/D70)</f>
        <v>3.0196911544008627</v>
      </c>
      <c r="AG70" s="35">
        <f t="shared" ref="AG70:AG133" si="26">IF(ISBLANK(AM70),"·",AM70/D70)</f>
        <v>9.5168541983980912</v>
      </c>
      <c r="AH70" s="89" t="str">
        <f t="shared" ref="AH70:AH133" si="27">IF(ISBLANK(AN70),"·",AN70/D70)</f>
        <v>·</v>
      </c>
      <c r="AI70" s="35">
        <f t="shared" ref="AI70:AI133" si="28">IF(ISBLANK(AK70),"·",AK70/AJ70)</f>
        <v>12.536662349544121</v>
      </c>
      <c r="AJ70" s="555">
        <v>4649702</v>
      </c>
      <c r="AK70" s="505">
        <v>58291744</v>
      </c>
      <c r="AL70" s="361">
        <v>14040664</v>
      </c>
      <c r="AM70" s="361">
        <v>44250536</v>
      </c>
      <c r="AN70" s="552"/>
      <c r="AO70" s="505">
        <v>51.280037</v>
      </c>
      <c r="AP70" s="361">
        <v>51.207206999999997</v>
      </c>
      <c r="AQ70" s="361">
        <v>51.320644000000001</v>
      </c>
      <c r="AR70" s="552"/>
      <c r="AS70" s="509">
        <v>13.374000000000001</v>
      </c>
      <c r="AT70" s="363">
        <v>10.37</v>
      </c>
      <c r="AU70" s="575">
        <v>0</v>
      </c>
      <c r="AV70" s="575">
        <v>0</v>
      </c>
      <c r="AW70" s="37"/>
      <c r="AY70" s="59" t="e">
        <f t="shared" si="19"/>
        <v>#DIV/0!</v>
      </c>
      <c r="AZ70" s="60" t="e">
        <f t="shared" si="20"/>
        <v>#DIV/0!</v>
      </c>
      <c r="BA70" s="60">
        <f t="shared" si="21"/>
        <v>1.1873102540729402E-2</v>
      </c>
      <c r="BB70" s="61"/>
      <c r="BD70" s="79"/>
      <c r="BE70" s="79"/>
      <c r="BF70" s="79"/>
      <c r="BG70" s="108"/>
      <c r="BI70" s="253"/>
      <c r="BJ70" s="79"/>
      <c r="BK70" s="256"/>
      <c r="BL70" s="259"/>
      <c r="BM70" s="251"/>
      <c r="BN70" s="253"/>
      <c r="BO70" s="79"/>
      <c r="BP70" s="256"/>
      <c r="BQ70" s="259"/>
      <c r="BS70" s="253"/>
      <c r="BT70" s="79"/>
      <c r="BU70" s="256"/>
      <c r="BV70" s="259"/>
      <c r="BX70" s="77"/>
      <c r="BY70" s="78"/>
      <c r="BZ70" s="265"/>
      <c r="CA70" s="108"/>
      <c r="CC70" s="261"/>
      <c r="CD70" s="78"/>
      <c r="CE70" s="263"/>
      <c r="CF70" s="259"/>
    </row>
    <row r="71" spans="1:84" s="1" customFormat="1">
      <c r="A71" s="13"/>
      <c r="B71" s="27" t="s">
        <v>1121</v>
      </c>
      <c r="C71" s="28" t="s">
        <v>131</v>
      </c>
      <c r="D71" s="478">
        <v>2096385</v>
      </c>
      <c r="E71" s="28">
        <v>15</v>
      </c>
      <c r="F71" s="28">
        <v>1</v>
      </c>
      <c r="G71" s="29"/>
      <c r="H71" s="492"/>
      <c r="I71" s="46" t="str">
        <f t="shared" si="14"/>
        <v>·</v>
      </c>
      <c r="J71" s="47">
        <f t="shared" si="15"/>
        <v>16.819513591253514</v>
      </c>
      <c r="K71" s="47">
        <f t="shared" si="16"/>
        <v>16.30251695180036</v>
      </c>
      <c r="L71" s="47">
        <f t="shared" si="23"/>
        <v>0.51663029453082332</v>
      </c>
      <c r="M71" s="90"/>
      <c r="N71" s="47">
        <f t="shared" si="18"/>
        <v>16.819513591253514</v>
      </c>
      <c r="O71" s="554">
        <v>2096385</v>
      </c>
      <c r="P71" s="502">
        <v>35260176</v>
      </c>
      <c r="Q71" s="353">
        <v>34176352</v>
      </c>
      <c r="R71" s="353">
        <v>1083056</v>
      </c>
      <c r="S71" s="550"/>
      <c r="T71" s="502">
        <v>21.266586</v>
      </c>
      <c r="U71" s="353">
        <v>27.164099</v>
      </c>
      <c r="V71" s="353">
        <v>29.578890000000001</v>
      </c>
      <c r="W71" s="550"/>
      <c r="X71" s="506">
        <v>5.57</v>
      </c>
      <c r="Y71" s="355">
        <v>3.7759999999999998</v>
      </c>
      <c r="Z71" s="572">
        <v>0</v>
      </c>
      <c r="AA71" s="572">
        <v>0</v>
      </c>
      <c r="AB71" s="49"/>
      <c r="AD71" s="46" t="str">
        <f t="shared" si="22"/>
        <v>·</v>
      </c>
      <c r="AE71" s="47">
        <f t="shared" si="24"/>
        <v>16.445006046122252</v>
      </c>
      <c r="AF71" s="47">
        <f t="shared" si="25"/>
        <v>16.30251695180036</v>
      </c>
      <c r="AG71" s="47">
        <f t="shared" si="26"/>
        <v>0.14212274939956163</v>
      </c>
      <c r="AH71" s="90" t="str">
        <f t="shared" si="27"/>
        <v>·</v>
      </c>
      <c r="AI71" s="47">
        <f t="shared" si="28"/>
        <v>16.445006046122252</v>
      </c>
      <c r="AJ71" s="554">
        <v>2096385</v>
      </c>
      <c r="AK71" s="502">
        <v>34475064</v>
      </c>
      <c r="AL71" s="353">
        <v>34176352</v>
      </c>
      <c r="AM71" s="353">
        <v>297944</v>
      </c>
      <c r="AN71" s="550"/>
      <c r="AO71" s="502">
        <v>25.250388999999998</v>
      </c>
      <c r="AP71" s="353">
        <v>28.408798000000001</v>
      </c>
      <c r="AQ71" s="353">
        <v>27.954108999999999</v>
      </c>
      <c r="AR71" s="550"/>
      <c r="AS71" s="506">
        <v>8.9819999999999993</v>
      </c>
      <c r="AT71" s="355">
        <v>7.29</v>
      </c>
      <c r="AU71" s="572">
        <v>0</v>
      </c>
      <c r="AV71" s="572">
        <v>0</v>
      </c>
      <c r="AW71" s="49"/>
      <c r="AY71" s="68" t="e">
        <f t="shared" si="19"/>
        <v>#DIV/0!</v>
      </c>
      <c r="AZ71" s="69" t="e">
        <f t="shared" si="20"/>
        <v>#DIV/0!</v>
      </c>
      <c r="BA71" s="69">
        <f t="shared" si="21"/>
        <v>2.2073325247415898E-2</v>
      </c>
      <c r="BB71" s="70">
        <f t="array" ref="BB71">AVERAGE(AL71:AL76/AK71:AK76) - AVERAGE(Q71:Q76/P71:P76)</f>
        <v>4.8413380708729914E-2</v>
      </c>
      <c r="BD71" s="86">
        <f>IF( OR(ISBLANK($R71:$R76),ISBLANK($AM71:$AM76), ISBLANK(T71:T76),ISBLANK(AO71:AO76)), "·", bdRateHermite( $R71:$R76,$T71:$T76, $AM71:$AM76,$AO71:$AO76))</f>
        <v>-0.67895742632640521</v>
      </c>
      <c r="BE71" s="86">
        <f>IF( OR(ISBLANK($R71:$R76),ISBLANK($AM71:$AM76), ISBLANK(U71:U76),ISBLANK(AP71:AP76)), "·", bdRateHermite( $R71:$R76,$U71:$U76, $AM71:$AM76,$AP71:$AP76))</f>
        <v>-0.74139345489658304</v>
      </c>
      <c r="BF71" s="86">
        <f>IF( OR(ISBLANK($R71:$R76),ISBLANK($AM71:$AM76), ISBLANK(V71:V76),ISBLANK(AQ71:AQ76)), "·", bdRateHermite( $R71:$R76,$V71:$V76, $AM71:$AM76,$AQ71:$AQ76))</f>
        <v>-0.75929352127422733</v>
      </c>
      <c r="BG71" s="103"/>
      <c r="BI71" s="250">
        <f>IF(OR(ISBLANK($P71:$P76),ISBLANK($AK71:$AK76),ISBLANK(T71:T76),ISBLANK(AO71:AO76)),"·",bdRateHermite($P71:$P76,$T71:$T76,$AK71:$AK76,$AO71:$AO76))</f>
        <v>-7.2271024771646486E-2</v>
      </c>
      <c r="BJ71" s="85">
        <f>IF(OR(ISBLANK($P71:$P76),ISBLANK($AK71:$AK76),ISBLANK(U71:U76),ISBLANK(AP71:AP76)),"·",bdRateHermite($P71:$P76,$U71:$U76,$AK71:$AK76,$AP71:$AP76))</f>
        <v>-0.10220079444118035</v>
      </c>
      <c r="BK71" s="254">
        <f>IF(OR(ISBLANK($P71:$P76),ISBLANK($AK71:$AK76),ISBLANK(V71:V76),ISBLANK(AQ71:AQ76)),"·",bdRateHermite($P71:$P76,$V71:$V76,$AK71:$AK76,$AQ71:$AQ76))</f>
        <v>-0.11003615704544456</v>
      </c>
      <c r="BL71" s="257"/>
      <c r="BM71" s="251"/>
      <c r="BN71" s="86">
        <f>IF( OR(ISBLANK($R71:$R76),ISBLANK($AM71:$AM76), ISBLANK(T71:T76),ISBLANK(AO71:AO76)), "·", bdRateHermite( $R72:$R76,$T72:$T76, $AM72:$AM76,$AO72:$AO76))</f>
        <v>-0.65251675356028294</v>
      </c>
      <c r="BO71" s="86">
        <f>IF( OR(ISBLANK($R71:$R76),ISBLANK($AM71:$AM76), ISBLANK(U71:U76),ISBLANK(AP71:AP76)), "·", bdRateHermite( $R72:$R76,$U72:$U76, $AM72:$AM76,$AP72:$AP76))</f>
        <v>-0.73482963813879687</v>
      </c>
      <c r="BP71" s="86">
        <f>IF( OR(ISBLANK($R71:$R76),ISBLANK($AM71:$AM76), ISBLANK(V71:V76),ISBLANK(AQ71:AQ76)), "·", bdRateHermite( $R72:$R76,$V72:$V76, $AM72:$AM76,$AQ72:$AQ76))</f>
        <v>-0.75852985683633023</v>
      </c>
      <c r="BQ71" s="103"/>
      <c r="BS71" s="250">
        <f>IF(OR(ISBLANK($P71:$P76),ISBLANK($AK71:$AK76),ISBLANK(T71:T76),ISBLANK(AO71:AO76)),"·",bdRateHermite($P72:$P76,$T72:$T76,$AK72:$AK76,$AO72:$AO76))</f>
        <v>-8.6761056770539358E-2</v>
      </c>
      <c r="BT71" s="85">
        <f>IF(OR(ISBLANK($P71:$P76),ISBLANK($AK71:$AK76),ISBLANK(U71:U76),ISBLANK(AP71:AP76)),"·",bdRateHermite($P72:$P76,$U72:$U76,$AK72:$AK76,$AP72:$AP76))</f>
        <v>-0.11167657262591157</v>
      </c>
      <c r="BU71" s="254">
        <f>IF(OR(ISBLANK($P71:$P76),ISBLANK($AK71:$AK76),ISBLANK(V71:V76),ISBLANK(AQ71:AQ76)),"·",bdRateHermite($P72:$P76,$V72:$V76,$AK72:$AK76,$AQ72:$AQ76))</f>
        <v>-0.11930495087271853</v>
      </c>
      <c r="BV71" s="257"/>
      <c r="BX71" s="86">
        <f>IF( OR(ISBLANK($R71:$R76),ISBLANK($AM71:$AM76), ISBLANK(T71:T76),ISBLANK(AO71:AO76)), "·", bdRateHermite( $R71:$R75,$T71:$T75, $AM71:$AM75,$AO71:$AO75))</f>
        <v>-0.72670925799405672</v>
      </c>
      <c r="BY71" s="86">
        <f>IF( OR(ISBLANK($R71:$R76),ISBLANK($AM71:$AM76), ISBLANK(U71:U76),ISBLANK(AP71:AP76)), "·", bdRateHermite( $R71:$R75,$U71:$U75, $AM71:$AM75,$AP71:$AP75))</f>
        <v>-0.76583589650175132</v>
      </c>
      <c r="BZ71" s="86">
        <f>IF( OR(ISBLANK($R71:$R76),ISBLANK($AM71:$AM76), ISBLANK(V71:V76),ISBLANK(AQ71:AQ76)), "·", bdRateHermite( $R71:$R75,$V71:$V75, $AM71:$AM75,$AQ71:$AQ75))</f>
        <v>-0.78434689704583493</v>
      </c>
      <c r="CA71" s="103"/>
      <c r="CC71" s="250">
        <f>IF(OR(ISBLANK($P71:$P76),ISBLANK($AK71:$AK76),ISBLANK(T71:T76),ISBLANK(AO71:AO76)),"·",bdRateHermite($P71:$P75,$T71:$T75,$AK71:$AK75,$AO71:$AO75))</f>
        <v>-7.3835249181652074E-2</v>
      </c>
      <c r="CD71" s="85">
        <f>IF(OR(ISBLANK($P71:$P76),ISBLANK($AK71:$AK76),ISBLANK(U71:U76),ISBLANK(AP71:AP76)),"·",bdRateHermite($P71:$P75,$U71:$U75,$AK71:$AK75,$AP71:$AP75))</f>
        <v>-9.4449626082552363E-2</v>
      </c>
      <c r="CE71" s="254">
        <f>IF(OR(ISBLANK($P71:$P76),ISBLANK($AK71:$AK76),ISBLANK(V71:V76),ISBLANK(AQ71:AQ76)),"·",bdRateHermite($P71:$P75,$V71:$V75,$AK71:$AK75,$AQ71:$AQ75))</f>
        <v>-0.10447824406914286</v>
      </c>
      <c r="CF71" s="257"/>
    </row>
    <row r="72" spans="1:84" s="1" customFormat="1" outlineLevel="1">
      <c r="A72" s="13"/>
      <c r="B72" s="14" t="s">
        <v>1121</v>
      </c>
      <c r="C72" s="15" t="s">
        <v>132</v>
      </c>
      <c r="D72" s="479">
        <v>2096385</v>
      </c>
      <c r="E72" s="15">
        <v>15</v>
      </c>
      <c r="F72" s="15">
        <v>1</v>
      </c>
      <c r="G72" s="16"/>
      <c r="H72" s="492"/>
      <c r="I72" s="30" t="str">
        <f t="shared" si="14"/>
        <v>·</v>
      </c>
      <c r="J72" s="31">
        <f t="shared" si="15"/>
        <v>17.006235018853886</v>
      </c>
      <c r="K72" s="31">
        <f t="shared" si="16"/>
        <v>16.30251695180036</v>
      </c>
      <c r="L72" s="31">
        <f t="shared" si="23"/>
        <v>0.70335172213119246</v>
      </c>
      <c r="M72" s="87"/>
      <c r="N72" s="31">
        <f t="shared" si="18"/>
        <v>17.006235018853886</v>
      </c>
      <c r="O72" s="544">
        <v>2096385</v>
      </c>
      <c r="P72" s="503">
        <v>35651616</v>
      </c>
      <c r="Q72" s="357">
        <v>34176352</v>
      </c>
      <c r="R72" s="357">
        <v>1474496</v>
      </c>
      <c r="S72" s="550"/>
      <c r="T72" s="503">
        <v>29.025006999999999</v>
      </c>
      <c r="U72" s="357">
        <v>28.534158999999999</v>
      </c>
      <c r="V72" s="357">
        <v>29.903130000000001</v>
      </c>
      <c r="W72" s="550"/>
      <c r="X72" s="507">
        <v>5.718</v>
      </c>
      <c r="Y72" s="359">
        <v>3.8639999999999999</v>
      </c>
      <c r="Z72" s="573">
        <v>0</v>
      </c>
      <c r="AA72" s="573">
        <v>0</v>
      </c>
      <c r="AB72" s="33"/>
      <c r="AD72" s="30" t="str">
        <f t="shared" si="22"/>
        <v>·</v>
      </c>
      <c r="AE72" s="31">
        <f t="shared" si="24"/>
        <v>16.53975581775294</v>
      </c>
      <c r="AF72" s="31">
        <f t="shared" si="25"/>
        <v>16.30251695180036</v>
      </c>
      <c r="AG72" s="31">
        <f t="shared" si="26"/>
        <v>0.23687252103024969</v>
      </c>
      <c r="AH72" s="87" t="str">
        <f t="shared" si="27"/>
        <v>·</v>
      </c>
      <c r="AI72" s="31">
        <f t="shared" si="28"/>
        <v>16.53975581775294</v>
      </c>
      <c r="AJ72" s="544">
        <v>2096385</v>
      </c>
      <c r="AK72" s="503">
        <v>34673696</v>
      </c>
      <c r="AL72" s="357">
        <v>34176352</v>
      </c>
      <c r="AM72" s="357">
        <v>496576</v>
      </c>
      <c r="AN72" s="550"/>
      <c r="AO72" s="503">
        <v>32.030495000000002</v>
      </c>
      <c r="AP72" s="357">
        <v>31.501985999999999</v>
      </c>
      <c r="AQ72" s="357">
        <v>32.195937999999998</v>
      </c>
      <c r="AR72" s="550"/>
      <c r="AS72" s="507">
        <v>9.16</v>
      </c>
      <c r="AT72" s="359">
        <v>6.8460000000000001</v>
      </c>
      <c r="AU72" s="573">
        <v>0</v>
      </c>
      <c r="AV72" s="573">
        <v>0</v>
      </c>
      <c r="AW72" s="33"/>
      <c r="AY72" s="56" t="e">
        <f t="shared" si="19"/>
        <v>#DIV/0!</v>
      </c>
      <c r="AZ72" s="57" t="e">
        <f t="shared" si="20"/>
        <v>#DIV/0!</v>
      </c>
      <c r="BA72" s="57">
        <f t="shared" si="21"/>
        <v>2.7036450536923162E-2</v>
      </c>
      <c r="BB72" s="58"/>
      <c r="BD72" s="76"/>
      <c r="BE72" s="76"/>
      <c r="BF72" s="76"/>
      <c r="BG72" s="105"/>
      <c r="BI72" s="252"/>
      <c r="BJ72" s="76"/>
      <c r="BK72" s="255"/>
      <c r="BL72" s="258"/>
      <c r="BM72" s="251"/>
      <c r="BN72" s="252"/>
      <c r="BO72" s="76"/>
      <c r="BP72" s="255"/>
      <c r="BQ72" s="258"/>
      <c r="BS72" s="252"/>
      <c r="BT72" s="76"/>
      <c r="BU72" s="255"/>
      <c r="BV72" s="258"/>
      <c r="BX72" s="74"/>
      <c r="BY72" s="75"/>
      <c r="BZ72" s="264"/>
      <c r="CA72" s="105"/>
      <c r="CC72" s="260"/>
      <c r="CD72" s="75"/>
      <c r="CE72" s="262"/>
      <c r="CF72" s="258"/>
    </row>
    <row r="73" spans="1:84" s="1" customFormat="1" outlineLevel="1">
      <c r="A73" s="13"/>
      <c r="B73" s="14" t="s">
        <v>1121</v>
      </c>
      <c r="C73" s="15" t="s">
        <v>133</v>
      </c>
      <c r="D73" s="479">
        <v>2096385</v>
      </c>
      <c r="E73" s="15">
        <v>15</v>
      </c>
      <c r="F73" s="15">
        <v>1</v>
      </c>
      <c r="G73" s="16"/>
      <c r="H73" s="492"/>
      <c r="I73" s="30" t="str">
        <f t="shared" si="14"/>
        <v>·</v>
      </c>
      <c r="J73" s="31">
        <f t="shared" si="15"/>
        <v>17.560270656391836</v>
      </c>
      <c r="K73" s="31">
        <f t="shared" si="16"/>
        <v>16.30251695180036</v>
      </c>
      <c r="L73" s="31">
        <f t="shared" si="23"/>
        <v>1.2573873596691447</v>
      </c>
      <c r="M73" s="87"/>
      <c r="N73" s="31">
        <f t="shared" si="18"/>
        <v>17.560270656391836</v>
      </c>
      <c r="O73" s="544">
        <v>2096385</v>
      </c>
      <c r="P73" s="503">
        <v>36813088</v>
      </c>
      <c r="Q73" s="357">
        <v>34176352</v>
      </c>
      <c r="R73" s="357">
        <v>2635968</v>
      </c>
      <c r="S73" s="550"/>
      <c r="T73" s="503">
        <v>34.498066000000001</v>
      </c>
      <c r="U73" s="357">
        <v>36.052897999999999</v>
      </c>
      <c r="V73" s="357">
        <v>34.811866999999999</v>
      </c>
      <c r="W73" s="550"/>
      <c r="X73" s="507">
        <v>5.7990000000000004</v>
      </c>
      <c r="Y73" s="359">
        <v>3.7810000000000001</v>
      </c>
      <c r="Z73" s="573">
        <v>0</v>
      </c>
      <c r="AA73" s="573">
        <v>0</v>
      </c>
      <c r="AB73" s="33"/>
      <c r="AD73" s="30" t="str">
        <f t="shared" si="22"/>
        <v>·</v>
      </c>
      <c r="AE73" s="31">
        <f t="shared" si="24"/>
        <v>16.760230587415958</v>
      </c>
      <c r="AF73" s="31">
        <f t="shared" si="25"/>
        <v>16.30251695180036</v>
      </c>
      <c r="AG73" s="31">
        <f t="shared" si="26"/>
        <v>0.45734729069326485</v>
      </c>
      <c r="AH73" s="87" t="str">
        <f t="shared" si="27"/>
        <v>·</v>
      </c>
      <c r="AI73" s="31">
        <f t="shared" si="28"/>
        <v>16.760230587415958</v>
      </c>
      <c r="AJ73" s="544">
        <v>2096385</v>
      </c>
      <c r="AK73" s="503">
        <v>35135896</v>
      </c>
      <c r="AL73" s="357">
        <v>34176352</v>
      </c>
      <c r="AM73" s="357">
        <v>958776</v>
      </c>
      <c r="AN73" s="550"/>
      <c r="AO73" s="503">
        <v>37.554340000000003</v>
      </c>
      <c r="AP73" s="357">
        <v>38.181235999999998</v>
      </c>
      <c r="AQ73" s="357">
        <v>38.515163000000001</v>
      </c>
      <c r="AR73" s="550"/>
      <c r="AS73" s="507">
        <v>9.7390000000000008</v>
      </c>
      <c r="AT73" s="359">
        <v>6.8579999999999997</v>
      </c>
      <c r="AU73" s="573">
        <v>0</v>
      </c>
      <c r="AV73" s="573">
        <v>0</v>
      </c>
      <c r="AW73" s="33"/>
      <c r="AY73" s="56" t="e">
        <f t="shared" si="19"/>
        <v>#DIV/0!</v>
      </c>
      <c r="AZ73" s="57" t="e">
        <f t="shared" si="20"/>
        <v>#DIV/0!</v>
      </c>
      <c r="BA73" s="57">
        <f t="shared" si="21"/>
        <v>4.4315454145788857E-2</v>
      </c>
      <c r="BB73" s="58"/>
      <c r="BD73" s="76"/>
      <c r="BE73" s="76"/>
      <c r="BF73" s="76"/>
      <c r="BG73" s="105"/>
      <c r="BI73" s="252"/>
      <c r="BJ73" s="76"/>
      <c r="BK73" s="255"/>
      <c r="BL73" s="258"/>
      <c r="BM73" s="251"/>
      <c r="BN73" s="252"/>
      <c r="BO73" s="76"/>
      <c r="BP73" s="255"/>
      <c r="BQ73" s="258"/>
      <c r="BS73" s="252"/>
      <c r="BT73" s="76"/>
      <c r="BU73" s="255"/>
      <c r="BV73" s="258"/>
      <c r="BX73" s="74"/>
      <c r="BY73" s="75"/>
      <c r="BZ73" s="264"/>
      <c r="CA73" s="105"/>
      <c r="CC73" s="260"/>
      <c r="CD73" s="75"/>
      <c r="CE73" s="262"/>
      <c r="CF73" s="258"/>
    </row>
    <row r="74" spans="1:84" s="1" customFormat="1" outlineLevel="1">
      <c r="A74" s="13"/>
      <c r="B74" s="14" t="s">
        <v>1121</v>
      </c>
      <c r="C74" s="15" t="s">
        <v>134</v>
      </c>
      <c r="D74" s="479">
        <v>2096385</v>
      </c>
      <c r="E74" s="15">
        <v>15</v>
      </c>
      <c r="F74" s="15">
        <v>1</v>
      </c>
      <c r="G74" s="16"/>
      <c r="H74" s="492"/>
      <c r="I74" s="30" t="str">
        <f t="shared" si="14"/>
        <v>·</v>
      </c>
      <c r="J74" s="31">
        <f t="shared" si="15"/>
        <v>19.583353248568368</v>
      </c>
      <c r="K74" s="31">
        <f t="shared" si="16"/>
        <v>16.30251695180036</v>
      </c>
      <c r="L74" s="31">
        <f t="shared" si="23"/>
        <v>3.2804737679386182</v>
      </c>
      <c r="M74" s="87"/>
      <c r="N74" s="31">
        <f t="shared" si="18"/>
        <v>19.583353248568368</v>
      </c>
      <c r="O74" s="544">
        <v>2096385</v>
      </c>
      <c r="P74" s="503">
        <v>41054248</v>
      </c>
      <c r="Q74" s="357">
        <v>34176352</v>
      </c>
      <c r="R74" s="357">
        <v>6877136</v>
      </c>
      <c r="S74" s="550"/>
      <c r="T74" s="503">
        <v>40.761069999999997</v>
      </c>
      <c r="U74" s="357">
        <v>39.058200999999997</v>
      </c>
      <c r="V74" s="357">
        <v>38.835621000000003</v>
      </c>
      <c r="W74" s="550"/>
      <c r="X74" s="507">
        <v>5.6050000000000004</v>
      </c>
      <c r="Y74" s="359">
        <v>3.82</v>
      </c>
      <c r="Z74" s="573">
        <v>0</v>
      </c>
      <c r="AA74" s="573">
        <v>0</v>
      </c>
      <c r="AB74" s="33"/>
      <c r="AD74" s="30" t="str">
        <f t="shared" si="22"/>
        <v>·</v>
      </c>
      <c r="AE74" s="31">
        <f t="shared" si="24"/>
        <v>17.380933368632192</v>
      </c>
      <c r="AF74" s="31">
        <f t="shared" si="25"/>
        <v>16.30251695180036</v>
      </c>
      <c r="AG74" s="31">
        <f t="shared" si="26"/>
        <v>1.0780538880024424</v>
      </c>
      <c r="AH74" s="87" t="str">
        <f t="shared" si="27"/>
        <v>·</v>
      </c>
      <c r="AI74" s="31">
        <f t="shared" si="28"/>
        <v>17.380933368632192</v>
      </c>
      <c r="AJ74" s="544">
        <v>2096385</v>
      </c>
      <c r="AK74" s="503">
        <v>36437128</v>
      </c>
      <c r="AL74" s="357">
        <v>34176352</v>
      </c>
      <c r="AM74" s="357">
        <v>2260016</v>
      </c>
      <c r="AN74" s="550"/>
      <c r="AO74" s="503">
        <v>42.098427000000001</v>
      </c>
      <c r="AP74" s="357">
        <v>45.413124000000003</v>
      </c>
      <c r="AQ74" s="357">
        <v>45.347450000000002</v>
      </c>
      <c r="AR74" s="550"/>
      <c r="AS74" s="507">
        <v>9.1229999999999993</v>
      </c>
      <c r="AT74" s="359">
        <v>7.06</v>
      </c>
      <c r="AU74" s="573">
        <v>0</v>
      </c>
      <c r="AV74" s="573">
        <v>0</v>
      </c>
      <c r="AW74" s="33"/>
      <c r="AY74" s="56" t="e">
        <f t="shared" si="19"/>
        <v>#DIV/0!</v>
      </c>
      <c r="AZ74" s="57" t="e">
        <f t="shared" si="20"/>
        <v>#DIV/0!</v>
      </c>
      <c r="BA74" s="57">
        <f t="shared" si="21"/>
        <v>0.10548595194023935</v>
      </c>
      <c r="BB74" s="58"/>
      <c r="BD74" s="76"/>
      <c r="BE74" s="76"/>
      <c r="BF74" s="76"/>
      <c r="BG74" s="105"/>
      <c r="BI74" s="252"/>
      <c r="BJ74" s="76"/>
      <c r="BK74" s="255"/>
      <c r="BL74" s="258"/>
      <c r="BM74" s="251"/>
      <c r="BN74" s="252"/>
      <c r="BO74" s="76"/>
      <c r="BP74" s="255"/>
      <c r="BQ74" s="258"/>
      <c r="BS74" s="252"/>
      <c r="BT74" s="76"/>
      <c r="BU74" s="255"/>
      <c r="BV74" s="258"/>
      <c r="BX74" s="74"/>
      <c r="BY74" s="75"/>
      <c r="BZ74" s="264"/>
      <c r="CA74" s="105"/>
      <c r="CC74" s="260"/>
      <c r="CD74" s="75"/>
      <c r="CE74" s="262"/>
      <c r="CF74" s="258"/>
    </row>
    <row r="75" spans="1:84" s="1" customFormat="1" outlineLevel="1">
      <c r="A75" s="13"/>
      <c r="B75" s="14" t="s">
        <v>1121</v>
      </c>
      <c r="C75" s="15" t="s">
        <v>135</v>
      </c>
      <c r="D75" s="479">
        <v>2096385</v>
      </c>
      <c r="E75" s="15">
        <v>15</v>
      </c>
      <c r="F75" s="15">
        <v>1</v>
      </c>
      <c r="G75" s="16"/>
      <c r="H75" s="492"/>
      <c r="I75" s="30" t="str">
        <f t="shared" si="14"/>
        <v>·</v>
      </c>
      <c r="J75" s="31">
        <f t="shared" si="15"/>
        <v>20.213485595441679</v>
      </c>
      <c r="K75" s="31">
        <f t="shared" si="16"/>
        <v>16.30251695180036</v>
      </c>
      <c r="L75" s="31">
        <f t="shared" si="23"/>
        <v>3.9106061148119262</v>
      </c>
      <c r="M75" s="87"/>
      <c r="N75" s="31">
        <f t="shared" si="18"/>
        <v>20.213485595441679</v>
      </c>
      <c r="O75" s="544">
        <v>2096385</v>
      </c>
      <c r="P75" s="503">
        <v>42375248</v>
      </c>
      <c r="Q75" s="357">
        <v>34176352</v>
      </c>
      <c r="R75" s="357">
        <v>8198136</v>
      </c>
      <c r="S75" s="550"/>
      <c r="T75" s="503">
        <v>46.458866</v>
      </c>
      <c r="U75" s="357">
        <v>46.938144999999999</v>
      </c>
      <c r="V75" s="357">
        <v>47.168678</v>
      </c>
      <c r="W75" s="550"/>
      <c r="X75" s="507">
        <v>5.7560000000000002</v>
      </c>
      <c r="Y75" s="359">
        <v>4.0010000000000003</v>
      </c>
      <c r="Z75" s="573">
        <v>0</v>
      </c>
      <c r="AA75" s="573">
        <v>0</v>
      </c>
      <c r="AB75" s="33"/>
      <c r="AD75" s="30" t="str">
        <f t="shared" si="22"/>
        <v>·</v>
      </c>
      <c r="AE75" s="31">
        <f t="shared" si="24"/>
        <v>18.616950607832052</v>
      </c>
      <c r="AF75" s="31">
        <f t="shared" si="25"/>
        <v>16.30251695180036</v>
      </c>
      <c r="AG75" s="31">
        <f t="shared" si="26"/>
        <v>2.3140711272023031</v>
      </c>
      <c r="AH75" s="87" t="str">
        <f t="shared" si="27"/>
        <v>·</v>
      </c>
      <c r="AI75" s="31">
        <f t="shared" si="28"/>
        <v>18.616950607832052</v>
      </c>
      <c r="AJ75" s="544">
        <v>2096385</v>
      </c>
      <c r="AK75" s="503">
        <v>39028296</v>
      </c>
      <c r="AL75" s="357">
        <v>34176352</v>
      </c>
      <c r="AM75" s="357">
        <v>4851184</v>
      </c>
      <c r="AN75" s="550"/>
      <c r="AO75" s="503">
        <v>46.760441</v>
      </c>
      <c r="AP75" s="357">
        <v>50.548358999999998</v>
      </c>
      <c r="AQ75" s="357">
        <v>50.537604999999999</v>
      </c>
      <c r="AR75" s="550"/>
      <c r="AS75" s="507">
        <v>9.3789999999999996</v>
      </c>
      <c r="AT75" s="359">
        <v>7.1420000000000003</v>
      </c>
      <c r="AU75" s="573">
        <v>0</v>
      </c>
      <c r="AV75" s="573">
        <v>0</v>
      </c>
      <c r="AW75" s="33"/>
      <c r="AY75" s="56" t="e">
        <f t="shared" si="19"/>
        <v>#DIV/0!</v>
      </c>
      <c r="AZ75" s="57" t="e">
        <f t="shared" si="20"/>
        <v>#DIV/0!</v>
      </c>
      <c r="BA75" s="57">
        <f t="shared" si="21"/>
        <v>6.9164516454272573E-2</v>
      </c>
      <c r="BB75" s="58"/>
      <c r="BD75" s="76"/>
      <c r="BE75" s="76"/>
      <c r="BF75" s="76"/>
      <c r="BG75" s="105"/>
      <c r="BI75" s="252"/>
      <c r="BJ75" s="76"/>
      <c r="BK75" s="255"/>
      <c r="BL75" s="258"/>
      <c r="BM75" s="251"/>
      <c r="BN75" s="252"/>
      <c r="BO75" s="76"/>
      <c r="BP75" s="255"/>
      <c r="BQ75" s="258"/>
      <c r="BS75" s="252"/>
      <c r="BT75" s="76"/>
      <c r="BU75" s="255"/>
      <c r="BV75" s="258"/>
      <c r="BX75" s="74"/>
      <c r="BY75" s="75"/>
      <c r="BZ75" s="264"/>
      <c r="CA75" s="105"/>
      <c r="CC75" s="260"/>
      <c r="CD75" s="75"/>
      <c r="CE75" s="262"/>
      <c r="CF75" s="258"/>
    </row>
    <row r="76" spans="1:84" s="1" customFormat="1" ht="14.25" outlineLevel="1" thickBot="1">
      <c r="A76" s="215"/>
      <c r="B76" s="18" t="s">
        <v>1121</v>
      </c>
      <c r="C76" s="19" t="s">
        <v>136</v>
      </c>
      <c r="D76" s="480">
        <v>2096385</v>
      </c>
      <c r="E76" s="19">
        <v>15</v>
      </c>
      <c r="F76" s="19">
        <v>1</v>
      </c>
      <c r="G76" s="20"/>
      <c r="H76" s="492"/>
      <c r="I76" s="34" t="str">
        <f t="shared" si="14"/>
        <v>·</v>
      </c>
      <c r="J76" s="35">
        <f t="shared" si="15"/>
        <v>22.626756058643807</v>
      </c>
      <c r="K76" s="35">
        <f t="shared" si="16"/>
        <v>16.30251695180036</v>
      </c>
      <c r="L76" s="35">
        <f t="shared" si="23"/>
        <v>6.3238765780140573</v>
      </c>
      <c r="M76" s="88"/>
      <c r="N76" s="35">
        <f t="shared" si="18"/>
        <v>22.626756058643807</v>
      </c>
      <c r="O76" s="555">
        <v>2096385</v>
      </c>
      <c r="P76" s="505">
        <v>47434392</v>
      </c>
      <c r="Q76" s="361">
        <v>34176352</v>
      </c>
      <c r="R76" s="361">
        <v>13257280</v>
      </c>
      <c r="S76" s="552"/>
      <c r="T76" s="505">
        <v>50.836174</v>
      </c>
      <c r="U76" s="361">
        <v>51.344379000000004</v>
      </c>
      <c r="V76" s="361">
        <v>51.132396999999997</v>
      </c>
      <c r="W76" s="552"/>
      <c r="X76" s="509">
        <v>5.8079999999999998</v>
      </c>
      <c r="Y76" s="363">
        <v>4.0209999999999999</v>
      </c>
      <c r="Z76" s="575">
        <v>0</v>
      </c>
      <c r="AA76" s="575">
        <v>0</v>
      </c>
      <c r="AB76" s="37"/>
      <c r="AD76" s="34" t="str">
        <f t="shared" si="22"/>
        <v>·</v>
      </c>
      <c r="AE76" s="35">
        <f t="shared" si="24"/>
        <v>21.944373767223102</v>
      </c>
      <c r="AF76" s="35">
        <f t="shared" si="25"/>
        <v>16.30251695180036</v>
      </c>
      <c r="AG76" s="35">
        <f t="shared" si="26"/>
        <v>5.6414942865933497</v>
      </c>
      <c r="AH76" s="88" t="str">
        <f t="shared" si="27"/>
        <v>·</v>
      </c>
      <c r="AI76" s="35">
        <f t="shared" si="28"/>
        <v>21.944373767223102</v>
      </c>
      <c r="AJ76" s="555">
        <v>2096385</v>
      </c>
      <c r="AK76" s="505">
        <v>46003856</v>
      </c>
      <c r="AL76" s="361">
        <v>34176352</v>
      </c>
      <c r="AM76" s="361">
        <v>11826744</v>
      </c>
      <c r="AN76" s="552"/>
      <c r="AO76" s="505">
        <v>51.344985999999999</v>
      </c>
      <c r="AP76" s="361">
        <v>51.962746000000003</v>
      </c>
      <c r="AQ76" s="361">
        <v>51.874305999999997</v>
      </c>
      <c r="AR76" s="552"/>
      <c r="AS76" s="509">
        <v>10.183</v>
      </c>
      <c r="AT76" s="363">
        <v>7.1749999999999998</v>
      </c>
      <c r="AU76" s="575">
        <v>0</v>
      </c>
      <c r="AV76" s="575">
        <v>0</v>
      </c>
      <c r="AW76" s="37"/>
      <c r="AY76" s="59" t="e">
        <f t="shared" si="19"/>
        <v>#DIV/0!</v>
      </c>
      <c r="AZ76" s="60" t="e">
        <f t="shared" si="20"/>
        <v>#DIV/0!</v>
      </c>
      <c r="BA76" s="60">
        <f t="shared" si="21"/>
        <v>2.2404585927738419E-2</v>
      </c>
      <c r="BB76" s="61"/>
      <c r="BD76" s="79"/>
      <c r="BE76" s="79"/>
      <c r="BF76" s="79"/>
      <c r="BG76" s="108"/>
      <c r="BI76" s="253"/>
      <c r="BJ76" s="79"/>
      <c r="BK76" s="256"/>
      <c r="BL76" s="259"/>
      <c r="BM76" s="251"/>
      <c r="BN76" s="253"/>
      <c r="BO76" s="79"/>
      <c r="BP76" s="256"/>
      <c r="BQ76" s="259"/>
      <c r="BS76" s="253"/>
      <c r="BT76" s="79"/>
      <c r="BU76" s="256"/>
      <c r="BV76" s="259"/>
      <c r="BX76" s="77"/>
      <c r="BY76" s="78"/>
      <c r="BZ76" s="265"/>
      <c r="CA76" s="108"/>
      <c r="CC76" s="261"/>
      <c r="CD76" s="78"/>
      <c r="CE76" s="263"/>
      <c r="CF76" s="259"/>
    </row>
    <row r="77" spans="1:84" s="1" customFormat="1">
      <c r="A77" s="13"/>
      <c r="B77" s="27" t="s">
        <v>1122</v>
      </c>
      <c r="C77" s="28" t="s">
        <v>131</v>
      </c>
      <c r="D77" s="489">
        <v>8046105</v>
      </c>
      <c r="E77" s="28">
        <v>15</v>
      </c>
      <c r="F77" s="28">
        <v>1</v>
      </c>
      <c r="G77" s="29"/>
      <c r="H77" s="251"/>
      <c r="I77" s="46" t="str">
        <f t="shared" si="14"/>
        <v>·</v>
      </c>
      <c r="J77" s="47">
        <f t="shared" si="15"/>
        <v>8.4261699294254804</v>
      </c>
      <c r="K77" s="47">
        <f t="shared" si="16"/>
        <v>7.3923609000876818</v>
      </c>
      <c r="L77" s="47">
        <f t="shared" si="23"/>
        <v>1.0337145736974598</v>
      </c>
      <c r="M77" s="92"/>
      <c r="N77" s="47">
        <f t="shared" si="18"/>
        <v>8.4261699294254804</v>
      </c>
      <c r="O77" s="554">
        <v>8046105</v>
      </c>
      <c r="P77" s="502">
        <v>67797848</v>
      </c>
      <c r="Q77" s="353">
        <v>59479712</v>
      </c>
      <c r="R77" s="353">
        <v>8317376</v>
      </c>
      <c r="S77" s="549"/>
      <c r="T77" s="502">
        <v>23.336957999999999</v>
      </c>
      <c r="U77" s="353">
        <v>25.382286000000001</v>
      </c>
      <c r="V77" s="353">
        <v>25.224031</v>
      </c>
      <c r="W77" s="549"/>
      <c r="X77" s="506">
        <v>25.445</v>
      </c>
      <c r="Y77" s="355">
        <v>17.991</v>
      </c>
      <c r="Z77" s="572">
        <v>0</v>
      </c>
      <c r="AA77" s="572">
        <v>0</v>
      </c>
      <c r="AB77" s="49"/>
      <c r="AD77" s="46" t="str">
        <f t="shared" si="22"/>
        <v>·</v>
      </c>
      <c r="AE77" s="47">
        <f t="shared" si="24"/>
        <v>7.9592776877756384</v>
      </c>
      <c r="AF77" s="47">
        <f t="shared" si="25"/>
        <v>7.3923609000876818</v>
      </c>
      <c r="AG77" s="47">
        <f t="shared" si="26"/>
        <v>0.56682233204761812</v>
      </c>
      <c r="AH77" s="92" t="str">
        <f t="shared" si="27"/>
        <v>·</v>
      </c>
      <c r="AI77" s="47">
        <f t="shared" si="28"/>
        <v>7.9592776877756384</v>
      </c>
      <c r="AJ77" s="554">
        <v>8046105</v>
      </c>
      <c r="AK77" s="502">
        <v>64041184</v>
      </c>
      <c r="AL77" s="353">
        <v>59479712</v>
      </c>
      <c r="AM77" s="353">
        <v>4560712</v>
      </c>
      <c r="AN77" s="549"/>
      <c r="AO77" s="502">
        <v>24.446877000000001</v>
      </c>
      <c r="AP77" s="353">
        <v>25.943356000000001</v>
      </c>
      <c r="AQ77" s="353">
        <v>27.575538999999999</v>
      </c>
      <c r="AR77" s="549"/>
      <c r="AS77" s="506">
        <v>44.82</v>
      </c>
      <c r="AT77" s="355">
        <v>30.809000000000001</v>
      </c>
      <c r="AU77" s="572">
        <v>0</v>
      </c>
      <c r="AV77" s="572">
        <v>0</v>
      </c>
      <c r="AW77" s="49"/>
      <c r="AY77" s="68" t="e">
        <f t="shared" si="19"/>
        <v>#DIV/0!</v>
      </c>
      <c r="AZ77" s="69" t="e">
        <f t="shared" si="20"/>
        <v>#DIV/0!</v>
      </c>
      <c r="BA77" s="69">
        <f t="shared" si="21"/>
        <v>5.1463100602007761E-2</v>
      </c>
      <c r="BB77" s="70">
        <f t="array" ref="BB77">AVERAGE(AL77:AL82/AK77:AK82) - AVERAGE(Q77:Q82/P77:P82)</f>
        <v>4.9563432862380186E-2</v>
      </c>
      <c r="BD77" s="86">
        <f>IF( OR(ISBLANK($R77:$R82),ISBLANK($AM77:$AM82), ISBLANK(T77:T82),ISBLANK(AO77:AO82)), "·", bdRateHermite( $R77:$R82,$T77:$T82, $AM77:$AM82,$AO77:$AO82))</f>
        <v>-0.29302359029448521</v>
      </c>
      <c r="BE77" s="86">
        <f>IF( OR(ISBLANK($R77:$R82),ISBLANK($AM77:$AM82), ISBLANK(U77:U82),ISBLANK(AP77:AP82)), "·", bdRateHermite( $R77:$R82,$U77:$U82, $AM77:$AM82,$AP77:$AP82))</f>
        <v>-0.35011663826384842</v>
      </c>
      <c r="BF77" s="86">
        <f>IF( OR(ISBLANK($R77:$R82),ISBLANK($AM77:$AM82), ISBLANK(V77:V82),ISBLANK(AQ77:AQ82)), "·", bdRateHermite( $R77:$R82,$V77:$V82, $AM77:$AM82,$AQ77:$AQ82))</f>
        <v>-0.36531251073613469</v>
      </c>
      <c r="BG77" s="103"/>
      <c r="BI77" s="250">
        <f>IF(OR(ISBLANK($P77:$P82),ISBLANK($AK77:$AK82),ISBLANK(T77:T82),ISBLANK(AO77:AO82)),"·",bdRateHermite($P77:$P82,$T77:$T82,$AK77:$AK82,$AO77:$AO82))</f>
        <v>-8.8813461787367154E-2</v>
      </c>
      <c r="BJ77" s="85">
        <f>IF(OR(ISBLANK($P77:$P82),ISBLANK($AK77:$AK82),ISBLANK(U77:U82),ISBLANK(AP77:AP82)),"·",bdRateHermite($P77:$P82,$U77:$U82,$AK77:$AK82,$AP77:$AP82))</f>
        <v>-0.10830945485501642</v>
      </c>
      <c r="BK77" s="254">
        <f>IF(OR(ISBLANK($P77:$P82),ISBLANK($AK77:$AK82),ISBLANK(V77:V82),ISBLANK(AQ77:AQ82)),"·",bdRateHermite($P77:$P82,$V77:$V82,$AK77:$AK82,$AQ77:$AQ82))</f>
        <v>-0.11354017596542221</v>
      </c>
      <c r="BL77" s="257"/>
      <c r="BM77" s="251"/>
      <c r="BN77" s="86">
        <f>IF( OR(ISBLANK($R77:$R82),ISBLANK($AM77:$AM82), ISBLANK(T77:T82),ISBLANK(AO77:AO82)), "·", bdRateHermite( $R78:$R82,$T78:$T82, $AM78:$AM82,$AO78:$AO82))</f>
        <v>-0.23770641093982614</v>
      </c>
      <c r="BO77" s="86">
        <f>IF( OR(ISBLANK($R77:$R82),ISBLANK($AM77:$AM82), ISBLANK(U77:U82),ISBLANK(AP77:AP82)), "·", bdRateHermite( $R78:$R82,$U78:$U82, $AM78:$AM82,$AP78:$AP82))</f>
        <v>-0.2871296281629766</v>
      </c>
      <c r="BP77" s="86">
        <f>IF( OR(ISBLANK($R77:$R82),ISBLANK($AM77:$AM82), ISBLANK(V77:V82),ISBLANK(AQ77:AQ82)), "·", bdRateHermite( $R78:$R82,$V78:$V82, $AM78:$AM82,$AQ78:$AQ82))</f>
        <v>-0.28928480640863752</v>
      </c>
      <c r="BQ77" s="103"/>
      <c r="BS77" s="250">
        <f>IF(OR(ISBLANK($P77:$P82),ISBLANK($AK77:$AK82),ISBLANK(T77:T82),ISBLANK(AO77:AO82)),"·",bdRateHermite($P78:$P82,$T78:$T82,$AK78:$AK82,$AO78:$AO82))</f>
        <v>-8.9127202908242831E-2</v>
      </c>
      <c r="BT77" s="85">
        <f>IF(OR(ISBLANK($P77:$P82),ISBLANK($AK77:$AK82),ISBLANK(U77:U82),ISBLANK(AP77:AP82)),"·",bdRateHermite($P78:$P82,$U78:$U82,$AK78:$AK82,$AP78:$AP82))</f>
        <v>-0.11097669061861282</v>
      </c>
      <c r="BU77" s="254">
        <f>IF(OR(ISBLANK($P77:$P82),ISBLANK($AK77:$AK82),ISBLANK(V77:V82),ISBLANK(AQ77:AQ82)),"·",bdRateHermite($P78:$P82,$V78:$V82,$AK78:$AK82,$AQ78:$AQ82))</f>
        <v>-0.11220245395298467</v>
      </c>
      <c r="BV77" s="257"/>
      <c r="BX77" s="86">
        <f>IF( OR(ISBLANK($R77:$R82),ISBLANK($AM77:$AM82), ISBLANK(T77:T82),ISBLANK(AO77:AO82)), "·", bdRateHermite( $R77:$R81,$T77:$T81, $AM77:$AM81,$AO77:$AO81))</f>
        <v>-0.32889956569912848</v>
      </c>
      <c r="BY77" s="86">
        <f>IF( OR(ISBLANK($R77:$R82),ISBLANK($AM77:$AM82), ISBLANK(U77:U82),ISBLANK(AP77:AP82)), "·", bdRateHermite( $R77:$R81,$U77:$U81, $AM77:$AM81,$AP77:$AP81))</f>
        <v>-0.39533450114286794</v>
      </c>
      <c r="BZ77" s="86">
        <f>IF( OR(ISBLANK($R77:$R82),ISBLANK($AM77:$AM82), ISBLANK(V77:V82),ISBLANK(AQ77:AQ82)), "·", bdRateHermite( $R77:$R81,$V77:$V81, $AM77:$AM81,$AQ77:$AQ81))</f>
        <v>-0.417461171966231</v>
      </c>
      <c r="CA77" s="103"/>
      <c r="CC77" s="250">
        <f>IF(OR(ISBLANK($P77:$P82),ISBLANK($AK77:$AK82),ISBLANK(T77:T82),ISBLANK(AO77:AO82)),"·",bdRateHermite($P77:$P81,$T77:$T81,$AK77:$AK81,$AO77:$AO81))</f>
        <v>-9.5274919077156017E-2</v>
      </c>
      <c r="CD77" s="85">
        <f>IF(OR(ISBLANK($P77:$P82),ISBLANK($AK77:$AK82),ISBLANK(U77:U82),ISBLANK(AP77:AP82)),"·",bdRateHermite($P77:$P81,$U77:$U81,$AK77:$AK81,$AP77:$AP81))</f>
        <v>-0.11812012387797555</v>
      </c>
      <c r="CE77" s="254">
        <f>IF(OR(ISBLANK($P77:$P82),ISBLANK($AK77:$AK82),ISBLANK(V77:V82),ISBLANK(AQ77:AQ82)),"·",bdRateHermite($P77:$P81,$V77:$V81,$AK77:$AK81,$AQ77:$AQ81))</f>
        <v>-0.12625393722665124</v>
      </c>
      <c r="CF77" s="257"/>
    </row>
    <row r="78" spans="1:84" s="1" customFormat="1" outlineLevel="1">
      <c r="A78" s="13"/>
      <c r="B78" s="14" t="s">
        <v>1122</v>
      </c>
      <c r="C78" s="15" t="s">
        <v>132</v>
      </c>
      <c r="D78" s="490">
        <v>8046105</v>
      </c>
      <c r="E78" s="15">
        <v>15</v>
      </c>
      <c r="F78" s="15">
        <v>1</v>
      </c>
      <c r="G78" s="16"/>
      <c r="H78" s="251"/>
      <c r="I78" s="30" t="str">
        <f t="shared" si="14"/>
        <v>·</v>
      </c>
      <c r="J78" s="31">
        <f t="shared" si="15"/>
        <v>9.457844261291644</v>
      </c>
      <c r="K78" s="31">
        <f t="shared" si="16"/>
        <v>7.3923609000876818</v>
      </c>
      <c r="L78" s="31">
        <f t="shared" si="23"/>
        <v>2.0653889055636236</v>
      </c>
      <c r="M78" s="87"/>
      <c r="N78" s="31">
        <f t="shared" si="18"/>
        <v>9.457844261291644</v>
      </c>
      <c r="O78" s="544">
        <v>8046105</v>
      </c>
      <c r="P78" s="503">
        <v>76098808</v>
      </c>
      <c r="Q78" s="357">
        <v>59479712</v>
      </c>
      <c r="R78" s="357">
        <v>16618336</v>
      </c>
      <c r="S78" s="550"/>
      <c r="T78" s="503">
        <v>28.954246999999999</v>
      </c>
      <c r="U78" s="357">
        <v>30.249725000000002</v>
      </c>
      <c r="V78" s="357">
        <v>30.788226999999999</v>
      </c>
      <c r="W78" s="550"/>
      <c r="X78" s="507">
        <v>25.068000000000001</v>
      </c>
      <c r="Y78" s="359">
        <v>18.077999999999999</v>
      </c>
      <c r="Z78" s="573">
        <v>0</v>
      </c>
      <c r="AA78" s="573">
        <v>0</v>
      </c>
      <c r="AB78" s="33"/>
      <c r="AD78" s="30" t="str">
        <f t="shared" si="22"/>
        <v>·</v>
      </c>
      <c r="AE78" s="31">
        <f t="shared" si="24"/>
        <v>8.6779618212787426</v>
      </c>
      <c r="AF78" s="31">
        <f t="shared" si="25"/>
        <v>7.3923609000876818</v>
      </c>
      <c r="AG78" s="31">
        <f t="shared" si="26"/>
        <v>1.2855064655507229</v>
      </c>
      <c r="AH78" s="87" t="str">
        <f t="shared" si="27"/>
        <v>·</v>
      </c>
      <c r="AI78" s="31">
        <f t="shared" si="28"/>
        <v>8.6779618212787426</v>
      </c>
      <c r="AJ78" s="544">
        <v>8046105</v>
      </c>
      <c r="AK78" s="503">
        <v>69823792</v>
      </c>
      <c r="AL78" s="357">
        <v>59479712</v>
      </c>
      <c r="AM78" s="357">
        <v>10343320</v>
      </c>
      <c r="AN78" s="550"/>
      <c r="AO78" s="503">
        <v>29.738440000000001</v>
      </c>
      <c r="AP78" s="357">
        <v>32.079265999999997</v>
      </c>
      <c r="AQ78" s="357">
        <v>33.057502999999997</v>
      </c>
      <c r="AR78" s="550"/>
      <c r="AS78" s="507">
        <v>45.837000000000003</v>
      </c>
      <c r="AT78" s="359">
        <v>35.072000000000003</v>
      </c>
      <c r="AU78" s="573">
        <v>0</v>
      </c>
      <c r="AV78" s="573">
        <v>0</v>
      </c>
      <c r="AW78" s="33"/>
      <c r="AY78" s="56" t="e">
        <f t="shared" si="19"/>
        <v>#DIV/0!</v>
      </c>
      <c r="AZ78" s="57" t="e">
        <f t="shared" si="20"/>
        <v>#DIV/0!</v>
      </c>
      <c r="BA78" s="57">
        <f t="shared" si="21"/>
        <v>7.0242896171155977E-2</v>
      </c>
      <c r="BB78" s="58"/>
      <c r="BD78" s="76"/>
      <c r="BE78" s="76"/>
      <c r="BF78" s="76"/>
      <c r="BG78" s="105"/>
      <c r="BI78" s="252"/>
      <c r="BJ78" s="76"/>
      <c r="BK78" s="255"/>
      <c r="BL78" s="258"/>
      <c r="BM78" s="251"/>
      <c r="BN78" s="252"/>
      <c r="BO78" s="76"/>
      <c r="BP78" s="255"/>
      <c r="BQ78" s="258"/>
      <c r="BS78" s="252"/>
      <c r="BT78" s="76"/>
      <c r="BU78" s="255"/>
      <c r="BV78" s="258"/>
      <c r="BX78" s="74"/>
      <c r="BY78" s="75"/>
      <c r="BZ78" s="264"/>
      <c r="CA78" s="105"/>
      <c r="CC78" s="260"/>
      <c r="CD78" s="75"/>
      <c r="CE78" s="262"/>
      <c r="CF78" s="258"/>
    </row>
    <row r="79" spans="1:84" s="1" customFormat="1" outlineLevel="1">
      <c r="A79" s="13"/>
      <c r="B79" s="14" t="s">
        <v>1122</v>
      </c>
      <c r="C79" s="15" t="s">
        <v>133</v>
      </c>
      <c r="D79" s="490">
        <v>8046105</v>
      </c>
      <c r="E79" s="15">
        <v>15</v>
      </c>
      <c r="F79" s="15">
        <v>1</v>
      </c>
      <c r="G79" s="16"/>
      <c r="H79" s="251"/>
      <c r="I79" s="30" t="str">
        <f t="shared" si="14"/>
        <v>·</v>
      </c>
      <c r="J79" s="31">
        <f t="shared" si="15"/>
        <v>11.148044426464731</v>
      </c>
      <c r="K79" s="31">
        <f t="shared" si="16"/>
        <v>7.3923609000876818</v>
      </c>
      <c r="L79" s="31">
        <f t="shared" si="23"/>
        <v>3.7555890707367103</v>
      </c>
      <c r="M79" s="87"/>
      <c r="N79" s="31">
        <f t="shared" si="18"/>
        <v>11.148044426464731</v>
      </c>
      <c r="O79" s="544">
        <v>8046105</v>
      </c>
      <c r="P79" s="503">
        <v>89698336</v>
      </c>
      <c r="Q79" s="357">
        <v>59479712</v>
      </c>
      <c r="R79" s="357">
        <v>30217864</v>
      </c>
      <c r="S79" s="550"/>
      <c r="T79" s="503">
        <v>34.862468999999997</v>
      </c>
      <c r="U79" s="357">
        <v>35.519534999999998</v>
      </c>
      <c r="V79" s="357">
        <v>35.749400999999999</v>
      </c>
      <c r="W79" s="550"/>
      <c r="X79" s="507">
        <v>25.757999999999999</v>
      </c>
      <c r="Y79" s="359">
        <v>18.358000000000001</v>
      </c>
      <c r="Z79" s="573">
        <v>0</v>
      </c>
      <c r="AA79" s="573">
        <v>0</v>
      </c>
      <c r="AB79" s="33"/>
      <c r="AD79" s="30" t="str">
        <f t="shared" si="22"/>
        <v>·</v>
      </c>
      <c r="AE79" s="31">
        <f t="shared" si="24"/>
        <v>10.055125057403551</v>
      </c>
      <c r="AF79" s="31">
        <f t="shared" si="25"/>
        <v>7.3923609000876818</v>
      </c>
      <c r="AG79" s="31">
        <f t="shared" si="26"/>
        <v>2.6626697016755312</v>
      </c>
      <c r="AH79" s="87" t="str">
        <f t="shared" si="27"/>
        <v>·</v>
      </c>
      <c r="AI79" s="31">
        <f t="shared" si="28"/>
        <v>10.055125057403551</v>
      </c>
      <c r="AJ79" s="544">
        <v>8046105</v>
      </c>
      <c r="AK79" s="503">
        <v>80904592</v>
      </c>
      <c r="AL79" s="357">
        <v>59479712</v>
      </c>
      <c r="AM79" s="357">
        <v>21424120</v>
      </c>
      <c r="AN79" s="550"/>
      <c r="AO79" s="503">
        <v>35.352958999999998</v>
      </c>
      <c r="AP79" s="357">
        <v>37.235542000000002</v>
      </c>
      <c r="AQ79" s="357">
        <v>37.740219000000003</v>
      </c>
      <c r="AR79" s="550"/>
      <c r="AS79" s="507">
        <v>39.064</v>
      </c>
      <c r="AT79" s="359">
        <v>30.047000000000001</v>
      </c>
      <c r="AU79" s="573">
        <v>0</v>
      </c>
      <c r="AV79" s="573">
        <v>0</v>
      </c>
      <c r="AW79" s="33"/>
      <c r="AY79" s="56" t="e">
        <f t="shared" si="19"/>
        <v>#DIV/0!</v>
      </c>
      <c r="AZ79" s="57" t="e">
        <f t="shared" si="20"/>
        <v>#DIV/0!</v>
      </c>
      <c r="BA79" s="57">
        <f t="shared" si="21"/>
        <v>7.2075077307418689E-2</v>
      </c>
      <c r="BB79" s="58"/>
      <c r="BD79" s="76"/>
      <c r="BE79" s="76"/>
      <c r="BF79" s="76"/>
      <c r="BG79" s="105"/>
      <c r="BI79" s="252"/>
      <c r="BJ79" s="76"/>
      <c r="BK79" s="255"/>
      <c r="BL79" s="258"/>
      <c r="BM79" s="251"/>
      <c r="BN79" s="252"/>
      <c r="BO79" s="76"/>
      <c r="BP79" s="255"/>
      <c r="BQ79" s="258"/>
      <c r="BS79" s="252"/>
      <c r="BT79" s="76"/>
      <c r="BU79" s="255"/>
      <c r="BV79" s="258"/>
      <c r="BX79" s="74"/>
      <c r="BY79" s="75"/>
      <c r="BZ79" s="264"/>
      <c r="CA79" s="105"/>
      <c r="CC79" s="260"/>
      <c r="CD79" s="75"/>
      <c r="CE79" s="262"/>
      <c r="CF79" s="258"/>
    </row>
    <row r="80" spans="1:84" s="1" customFormat="1" outlineLevel="1">
      <c r="A80" s="13"/>
      <c r="B80" s="14" t="s">
        <v>1122</v>
      </c>
      <c r="C80" s="15" t="s">
        <v>134</v>
      </c>
      <c r="D80" s="490">
        <v>8046105</v>
      </c>
      <c r="E80" s="15">
        <v>15</v>
      </c>
      <c r="F80" s="15">
        <v>1</v>
      </c>
      <c r="G80" s="16"/>
      <c r="H80" s="251"/>
      <c r="I80" s="30" t="str">
        <f t="shared" si="14"/>
        <v>·</v>
      </c>
      <c r="J80" s="31">
        <f t="shared" si="15"/>
        <v>13.524125772656459</v>
      </c>
      <c r="K80" s="31">
        <f t="shared" si="16"/>
        <v>7.3923609000876818</v>
      </c>
      <c r="L80" s="31">
        <f t="shared" si="23"/>
        <v>6.1316704169284391</v>
      </c>
      <c r="M80" s="87"/>
      <c r="N80" s="31">
        <f t="shared" si="18"/>
        <v>13.524125772656459</v>
      </c>
      <c r="O80" s="544">
        <v>8046105</v>
      </c>
      <c r="P80" s="503">
        <v>108816536</v>
      </c>
      <c r="Q80" s="357">
        <v>59479712</v>
      </c>
      <c r="R80" s="357">
        <v>49336064</v>
      </c>
      <c r="S80" s="550"/>
      <c r="T80" s="503">
        <v>40.748184000000002</v>
      </c>
      <c r="U80" s="357">
        <v>40.903053</v>
      </c>
      <c r="V80" s="357">
        <v>40.903694000000002</v>
      </c>
      <c r="W80" s="550"/>
      <c r="X80" s="507">
        <v>26.475999999999999</v>
      </c>
      <c r="Y80" s="359">
        <v>18.318999999999999</v>
      </c>
      <c r="Z80" s="573">
        <v>0</v>
      </c>
      <c r="AA80" s="573">
        <v>0</v>
      </c>
      <c r="AB80" s="33"/>
      <c r="AD80" s="30" t="str">
        <f t="shared" si="22"/>
        <v>·</v>
      </c>
      <c r="AE80" s="31">
        <f t="shared" si="24"/>
        <v>12.367831640278123</v>
      </c>
      <c r="AF80" s="31">
        <f t="shared" si="25"/>
        <v>7.3923609000876818</v>
      </c>
      <c r="AG80" s="31">
        <f t="shared" si="26"/>
        <v>4.9753762845501024</v>
      </c>
      <c r="AH80" s="87" t="str">
        <f t="shared" si="27"/>
        <v>·</v>
      </c>
      <c r="AI80" s="31">
        <f t="shared" si="28"/>
        <v>12.367831640278123</v>
      </c>
      <c r="AJ80" s="544">
        <v>8046105</v>
      </c>
      <c r="AK80" s="503">
        <v>99512872</v>
      </c>
      <c r="AL80" s="357">
        <v>59479712</v>
      </c>
      <c r="AM80" s="357">
        <v>40032400</v>
      </c>
      <c r="AN80" s="550"/>
      <c r="AO80" s="503">
        <v>40.968189000000002</v>
      </c>
      <c r="AP80" s="357">
        <v>41.772770000000001</v>
      </c>
      <c r="AQ80" s="357">
        <v>41.719203999999998</v>
      </c>
      <c r="AR80" s="550"/>
      <c r="AS80" s="507">
        <v>39.488999999999997</v>
      </c>
      <c r="AT80" s="359">
        <v>32.862000000000002</v>
      </c>
      <c r="AU80" s="573">
        <v>0</v>
      </c>
      <c r="AV80" s="573">
        <v>0</v>
      </c>
      <c r="AW80" s="33"/>
      <c r="AY80" s="56" t="e">
        <f t="shared" si="19"/>
        <v>#DIV/0!</v>
      </c>
      <c r="AZ80" s="57" t="e">
        <f t="shared" si="20"/>
        <v>#DIV/0!</v>
      </c>
      <c r="BA80" s="57">
        <f t="shared" si="21"/>
        <v>5.1103273144384009E-2</v>
      </c>
      <c r="BB80" s="58"/>
      <c r="BD80" s="76"/>
      <c r="BE80" s="76"/>
      <c r="BF80" s="76"/>
      <c r="BG80" s="105"/>
      <c r="BI80" s="252"/>
      <c r="BJ80" s="76"/>
      <c r="BK80" s="255"/>
      <c r="BL80" s="258"/>
      <c r="BM80" s="251"/>
      <c r="BN80" s="252"/>
      <c r="BO80" s="76"/>
      <c r="BP80" s="255"/>
      <c r="BQ80" s="258"/>
      <c r="BS80" s="252"/>
      <c r="BT80" s="76"/>
      <c r="BU80" s="255"/>
      <c r="BV80" s="258"/>
      <c r="BX80" s="74"/>
      <c r="BY80" s="75"/>
      <c r="BZ80" s="264"/>
      <c r="CA80" s="105"/>
      <c r="CC80" s="260"/>
      <c r="CD80" s="75"/>
      <c r="CE80" s="262"/>
      <c r="CF80" s="258"/>
    </row>
    <row r="81" spans="1:84" s="1" customFormat="1" outlineLevel="1">
      <c r="A81" s="13"/>
      <c r="B81" s="14" t="s">
        <v>1122</v>
      </c>
      <c r="C81" s="15" t="s">
        <v>135</v>
      </c>
      <c r="D81" s="490">
        <v>8046105</v>
      </c>
      <c r="E81" s="15">
        <v>15</v>
      </c>
      <c r="F81" s="15">
        <v>1</v>
      </c>
      <c r="G81" s="16"/>
      <c r="H81" s="251"/>
      <c r="I81" s="30" t="str">
        <f t="shared" ref="I81:I82" si="29">IF(OR(ISBLANK(P81),ISBLANK(G81)),"·",P81*G81/F81/1000000)</f>
        <v>·</v>
      </c>
      <c r="J81" s="31">
        <f t="shared" ref="J81:J82" si="30">IF(ISBLANK(P81),"·",P81/D81)</f>
        <v>16.29063702250965</v>
      </c>
      <c r="K81" s="31">
        <f t="shared" ref="K81:K82" si="31">IF(Q81="","·",Q81/D81)</f>
        <v>7.3923609000876818</v>
      </c>
      <c r="L81" s="31">
        <f t="shared" si="23"/>
        <v>8.8981816667816283</v>
      </c>
      <c r="M81" s="87"/>
      <c r="N81" s="31">
        <f t="shared" ref="N81:N82" si="32">IF(ISBLANK(P81),"·",P81/O81)</f>
        <v>16.29063702250965</v>
      </c>
      <c r="O81" s="544">
        <v>8046105</v>
      </c>
      <c r="P81" s="503">
        <v>131076176</v>
      </c>
      <c r="Q81" s="357">
        <v>59479712</v>
      </c>
      <c r="R81" s="357">
        <v>71595704</v>
      </c>
      <c r="S81" s="550"/>
      <c r="T81" s="503">
        <v>46.387348000000003</v>
      </c>
      <c r="U81" s="357">
        <v>46.389740000000003</v>
      </c>
      <c r="V81" s="357">
        <v>46.410888999999997</v>
      </c>
      <c r="W81" s="550"/>
      <c r="X81" s="507">
        <v>26.428999999999998</v>
      </c>
      <c r="Y81" s="359">
        <v>19.968</v>
      </c>
      <c r="Z81" s="573">
        <v>0</v>
      </c>
      <c r="AA81" s="573">
        <v>0</v>
      </c>
      <c r="AB81" s="33"/>
      <c r="AD81" s="30" t="str">
        <f t="shared" si="22"/>
        <v>·</v>
      </c>
      <c r="AE81" s="31">
        <f t="shared" si="24"/>
        <v>15.230452001309951</v>
      </c>
      <c r="AF81" s="31">
        <f t="shared" si="25"/>
        <v>7.3923609000876818</v>
      </c>
      <c r="AG81" s="31">
        <f t="shared" si="26"/>
        <v>7.8379966455819305</v>
      </c>
      <c r="AH81" s="87" t="str">
        <f t="shared" si="27"/>
        <v>·</v>
      </c>
      <c r="AI81" s="31">
        <f t="shared" si="28"/>
        <v>15.230452001309951</v>
      </c>
      <c r="AJ81" s="544">
        <v>8046105</v>
      </c>
      <c r="AK81" s="503">
        <v>122545816</v>
      </c>
      <c r="AL81" s="357">
        <v>59479712</v>
      </c>
      <c r="AM81" s="357">
        <v>63065344</v>
      </c>
      <c r="AN81" s="550"/>
      <c r="AO81" s="503">
        <v>46.443137999999998</v>
      </c>
      <c r="AP81" s="357">
        <v>46.705131999999999</v>
      </c>
      <c r="AQ81" s="357">
        <v>46.598488000000003</v>
      </c>
      <c r="AR81" s="550"/>
      <c r="AS81" s="507">
        <v>45.634</v>
      </c>
      <c r="AT81" s="359">
        <v>32.244</v>
      </c>
      <c r="AU81" s="573">
        <v>0</v>
      </c>
      <c r="AV81" s="573">
        <v>0</v>
      </c>
      <c r="AW81" s="33"/>
      <c r="AY81" s="56" t="e">
        <f t="shared" ref="AY81:AZ82" si="33">AU81/Z81</f>
        <v>#DIV/0!</v>
      </c>
      <c r="AZ81" s="57" t="e">
        <f t="shared" si="33"/>
        <v>#DIV/0!</v>
      </c>
      <c r="BA81" s="57">
        <f t="shared" ref="BA81:BA82" si="34">(AL81/AK81) - (Q81/P81)</f>
        <v>3.1587406244583394E-2</v>
      </c>
      <c r="BB81" s="58"/>
      <c r="BD81" s="76"/>
      <c r="BE81" s="76"/>
      <c r="BF81" s="76"/>
      <c r="BG81" s="105"/>
      <c r="BI81" s="252"/>
      <c r="BJ81" s="76"/>
      <c r="BK81" s="255"/>
      <c r="BL81" s="258"/>
      <c r="BM81" s="251"/>
      <c r="BN81" s="252"/>
      <c r="BO81" s="76"/>
      <c r="BP81" s="255"/>
      <c r="BQ81" s="258"/>
      <c r="BS81" s="252"/>
      <c r="BT81" s="76"/>
      <c r="BU81" s="255"/>
      <c r="BV81" s="258"/>
      <c r="BX81" s="74"/>
      <c r="BY81" s="75"/>
      <c r="BZ81" s="264"/>
      <c r="CA81" s="105"/>
      <c r="CC81" s="260"/>
      <c r="CD81" s="75"/>
      <c r="CE81" s="262"/>
      <c r="CF81" s="258"/>
    </row>
    <row r="82" spans="1:84" s="1" customFormat="1" ht="14.25" outlineLevel="1" thickBot="1">
      <c r="A82" s="17"/>
      <c r="B82" s="18" t="s">
        <v>1122</v>
      </c>
      <c r="C82" s="19" t="s">
        <v>136</v>
      </c>
      <c r="D82" s="491">
        <v>8046105</v>
      </c>
      <c r="E82" s="19">
        <v>15</v>
      </c>
      <c r="F82" s="19">
        <v>1</v>
      </c>
      <c r="G82" s="20"/>
      <c r="H82" s="251"/>
      <c r="I82" s="34" t="str">
        <f t="shared" si="29"/>
        <v>·</v>
      </c>
      <c r="J82" s="35">
        <f t="shared" si="30"/>
        <v>19.407112385433699</v>
      </c>
      <c r="K82" s="35">
        <f t="shared" si="31"/>
        <v>7.3923609000876818</v>
      </c>
      <c r="L82" s="35">
        <f t="shared" si="23"/>
        <v>12.014658023975576</v>
      </c>
      <c r="M82" s="88"/>
      <c r="N82" s="35">
        <f t="shared" si="32"/>
        <v>19.407112385433699</v>
      </c>
      <c r="O82" s="555">
        <v>8046105</v>
      </c>
      <c r="P82" s="505">
        <v>156151664</v>
      </c>
      <c r="Q82" s="361">
        <v>59479712</v>
      </c>
      <c r="R82" s="361">
        <v>96671200</v>
      </c>
      <c r="S82" s="551"/>
      <c r="T82" s="505">
        <v>51.157119999999999</v>
      </c>
      <c r="U82" s="361">
        <v>51.127426</v>
      </c>
      <c r="V82" s="361">
        <v>51.157265000000002</v>
      </c>
      <c r="W82" s="551"/>
      <c r="X82" s="509">
        <v>27.760999999999999</v>
      </c>
      <c r="Y82" s="363">
        <v>20.202999999999999</v>
      </c>
      <c r="Z82" s="575">
        <v>0</v>
      </c>
      <c r="AA82" s="575">
        <v>0</v>
      </c>
      <c r="AB82" s="37"/>
      <c r="AD82" s="34" t="str">
        <f t="shared" si="22"/>
        <v>·</v>
      </c>
      <c r="AE82" s="35">
        <f t="shared" si="24"/>
        <v>18.397253329405967</v>
      </c>
      <c r="AF82" s="35">
        <f t="shared" si="25"/>
        <v>7.3923609000876818</v>
      </c>
      <c r="AG82" s="35">
        <f t="shared" si="26"/>
        <v>11.004798967947846</v>
      </c>
      <c r="AH82" s="88" t="str">
        <f t="shared" si="27"/>
        <v>·</v>
      </c>
      <c r="AI82" s="35">
        <f t="shared" si="28"/>
        <v>18.397253329405967</v>
      </c>
      <c r="AJ82" s="555">
        <v>8046105</v>
      </c>
      <c r="AK82" s="505">
        <v>148026232</v>
      </c>
      <c r="AL82" s="361">
        <v>59479712</v>
      </c>
      <c r="AM82" s="361">
        <v>88545768</v>
      </c>
      <c r="AN82" s="551"/>
      <c r="AO82" s="505">
        <v>51.168506999999998</v>
      </c>
      <c r="AP82" s="361">
        <v>51.214680000000001</v>
      </c>
      <c r="AQ82" s="361">
        <v>51.192627000000002</v>
      </c>
      <c r="AR82" s="551"/>
      <c r="AS82" s="509">
        <v>42.131999999999998</v>
      </c>
      <c r="AT82" s="363">
        <v>31.548999999999999</v>
      </c>
      <c r="AU82" s="575">
        <v>0</v>
      </c>
      <c r="AV82" s="575">
        <v>0</v>
      </c>
      <c r="AW82" s="37"/>
      <c r="AY82" s="59" t="e">
        <f t="shared" si="33"/>
        <v>#DIV/0!</v>
      </c>
      <c r="AZ82" s="60" t="e">
        <f t="shared" si="33"/>
        <v>#DIV/0!</v>
      </c>
      <c r="BA82" s="60">
        <f t="shared" si="34"/>
        <v>2.0908843704732061E-2</v>
      </c>
      <c r="BB82" s="61"/>
      <c r="BD82" s="79"/>
      <c r="BE82" s="79"/>
      <c r="BF82" s="79"/>
      <c r="BG82" s="108"/>
      <c r="BI82" s="253"/>
      <c r="BJ82" s="79"/>
      <c r="BK82" s="256"/>
      <c r="BL82" s="259"/>
      <c r="BM82" s="251"/>
      <c r="BN82" s="253"/>
      <c r="BO82" s="79"/>
      <c r="BP82" s="256"/>
      <c r="BQ82" s="259"/>
      <c r="BS82" s="253"/>
      <c r="BT82" s="79"/>
      <c r="BU82" s="256"/>
      <c r="BV82" s="259"/>
      <c r="BX82" s="77"/>
      <c r="BY82" s="78"/>
      <c r="BZ82" s="265"/>
      <c r="CA82" s="108"/>
      <c r="CC82" s="261"/>
      <c r="CD82" s="78"/>
      <c r="CE82" s="263"/>
      <c r="CF82" s="259"/>
    </row>
    <row r="83" spans="1:84">
      <c r="A83" s="96" t="s">
        <v>179</v>
      </c>
      <c r="B83" s="24" t="s">
        <v>466</v>
      </c>
      <c r="C83" s="25" t="s">
        <v>131</v>
      </c>
      <c r="D83" s="24">
        <f>'AVSC1 limit-lossyG,lossyA,intra'!$D$83</f>
        <v>59931072</v>
      </c>
      <c r="E83" s="25">
        <v>18</v>
      </c>
      <c r="F83" s="25">
        <f>'AVSC1 limit-lossyG,lossyA,intra'!$F$83</f>
        <v>600</v>
      </c>
      <c r="G83" s="26">
        <v>10</v>
      </c>
      <c r="I83" s="46">
        <f t="shared" ref="I83:I100" si="35">IF(OR(ISBLANK(P83),ISBLANK(G83)),"·",P83*G83/F83/1000000)</f>
        <v>19.031781600000002</v>
      </c>
      <c r="J83" s="47">
        <f t="shared" ref="J83:J100" si="36">IF(ISBLANK(P83),"·",P83/D83)</f>
        <v>19.053670456620566</v>
      </c>
      <c r="K83" s="47">
        <f t="shared" ref="K83:K100" si="37">IF(Q83="","·",Q83/D83)</f>
        <v>18.604441182029916</v>
      </c>
      <c r="L83" s="92"/>
      <c r="M83" s="47">
        <f t="shared" ref="M83:M96" si="38">IF(ISBLANK(Q83),"·",S83/D83)</f>
        <v>0.44178418834223421</v>
      </c>
      <c r="N83" s="47">
        <f t="shared" ref="N83:N100" si="39">IF(ISBLANK(P83),"·",P83/O83)</f>
        <v>19.053670456620566</v>
      </c>
      <c r="O83" s="520">
        <v>59931072</v>
      </c>
      <c r="P83" s="502">
        <v>1141906896</v>
      </c>
      <c r="Q83" s="353">
        <v>1114984104</v>
      </c>
      <c r="R83" s="92"/>
      <c r="S83" s="546">
        <v>26476600</v>
      </c>
      <c r="T83" s="266"/>
      <c r="U83" s="104"/>
      <c r="V83" s="104"/>
      <c r="W83" s="514">
        <v>72.472335999999999</v>
      </c>
      <c r="X83" s="506"/>
      <c r="Y83" s="355"/>
      <c r="Z83" s="572">
        <v>0</v>
      </c>
      <c r="AA83" s="572">
        <v>0</v>
      </c>
      <c r="AB83" s="49"/>
      <c r="AD83" s="46">
        <f t="shared" ref="AD83:AD100" si="40">IF(OR(ISBLANK(AK83),ISBLANK(G83)),"·",AK83*G83/F83/1000000)</f>
        <v>19.031781600000002</v>
      </c>
      <c r="AE83" s="47">
        <f t="shared" si="24"/>
        <v>19.053670456620566</v>
      </c>
      <c r="AF83" s="47">
        <f t="shared" si="25"/>
        <v>18.604441182029916</v>
      </c>
      <c r="AG83" s="92" t="str">
        <f t="shared" si="26"/>
        <v>·</v>
      </c>
      <c r="AH83" s="47">
        <f t="shared" si="27"/>
        <v>0.44178418834223421</v>
      </c>
      <c r="AI83" s="47">
        <f t="shared" si="28"/>
        <v>19.053670456620566</v>
      </c>
      <c r="AJ83" s="520">
        <v>59931072</v>
      </c>
      <c r="AK83" s="502">
        <v>1141906896</v>
      </c>
      <c r="AL83" s="353">
        <v>1114984104</v>
      </c>
      <c r="AM83" s="92"/>
      <c r="AN83" s="546">
        <v>26476600</v>
      </c>
      <c r="AO83" s="266"/>
      <c r="AP83" s="104"/>
      <c r="AQ83" s="104"/>
      <c r="AR83" s="514">
        <v>72.472335999999999</v>
      </c>
      <c r="AS83" s="506">
        <v>447.27700000000004</v>
      </c>
      <c r="AT83" s="355">
        <v>169.61499999999998</v>
      </c>
      <c r="AU83" s="572">
        <v>0</v>
      </c>
      <c r="AV83" s="572">
        <v>0</v>
      </c>
      <c r="AW83" s="49"/>
      <c r="AY83" s="68" t="e">
        <f t="shared" ref="AY83:AY100" si="41">AU83/Z83</f>
        <v>#DIV/0!</v>
      </c>
      <c r="AZ83" s="69" t="e">
        <f t="shared" ref="AZ83:AZ100" si="42">AV83/AA83</f>
        <v>#DIV/0!</v>
      </c>
      <c r="BA83" s="69">
        <f t="shared" ref="BA83:BA100" si="43">(AL83/AK83) - (Q83/P83)</f>
        <v>0</v>
      </c>
      <c r="BB83" s="70">
        <f t="array" ref="BB83">AVERAGE(AL83:AL88/AK83:AK88) - AVERAGE(Q83:Q88/P83:P88)</f>
        <v>0</v>
      </c>
      <c r="BD83" s="103"/>
      <c r="BE83" s="104"/>
      <c r="BF83" s="104"/>
      <c r="BG83" s="86">
        <f>IF( OR(ISBLANK($S83:$S88),ISBLANK($AN83:$AN88), ISBLANK($W83:$W88),ISBLANK($AR83:$AR88)), "·", bdRateHermite( $S83:$S88,$W83:$W88, $AN83:$AN88,$AR83:$AR88))</f>
        <v>0</v>
      </c>
      <c r="BH83" s="1"/>
      <c r="BI83" s="103"/>
      <c r="BJ83" s="104"/>
      <c r="BK83" s="104"/>
      <c r="BL83" s="85">
        <f>IF(OR(ISBLANK($P83:$P88),ISBLANK($AK83:$AK88),ISBLANK($W83:$W88),ISBLANK($AR83:$AR88)),"·",bdRateHermite($P83:$P88,$W83:$W88,$AK83:$AK88,$AR83:$AR88))</f>
        <v>0</v>
      </c>
      <c r="BM83" s="1"/>
      <c r="BN83" s="103"/>
      <c r="BO83" s="104"/>
      <c r="BP83" s="104"/>
      <c r="BQ83" s="86">
        <f>IF( OR(ISBLANK($S83:$S88),ISBLANK($AN83:$AN88), ISBLANK($W83:$W88),ISBLANK($AR83:$AR88)), "·", bdRateHermite( $S84:$S88,$W84:$W88, $AN84:$AN88,$AR84:$AR88))</f>
        <v>0</v>
      </c>
      <c r="BS83" s="103"/>
      <c r="BT83" s="104"/>
      <c r="BU83" s="104"/>
      <c r="BV83" s="85">
        <f>IF(OR(ISBLANK($P83:$P88),ISBLANK($AK83:$AK88),ISBLANK($W83:$W88),ISBLANK($AR83:$AR88)),"·",bdRateHermite($P84:$P88,$W84:$W88,$AK84:$AK88,$AR84:$AR88))</f>
        <v>0</v>
      </c>
      <c r="BX83" s="103"/>
      <c r="BY83" s="104"/>
      <c r="BZ83" s="104"/>
      <c r="CA83" s="86">
        <f>IF( OR(ISBLANK($S83:$S87),ISBLANK($AN83:$AN87), ISBLANK($W83:$W87),ISBLANK($AR83:$AR87)), "·", bdRateHermite( $S83:$S87,$W83:$W87, $AN83:$AN87,$AR83:$AR87))</f>
        <v>0</v>
      </c>
      <c r="CC83" s="103"/>
      <c r="CD83" s="104"/>
      <c r="CE83" s="104"/>
      <c r="CF83" s="85">
        <f>IF(OR(ISBLANK($P83:$P87),ISBLANK($AK83:$AK87),ISBLANK($W83:$W87),ISBLANK($AR83:$AR87)),"·",bdRateHermite($P83:$P87,$W83:$W87,$AK83:$AK87,$AR83:$AR87))</f>
        <v>0</v>
      </c>
    </row>
    <row r="84" spans="1:84" outlineLevel="1">
      <c r="A84" s="13"/>
      <c r="B84" s="14" t="s">
        <v>466</v>
      </c>
      <c r="C84" s="15" t="s">
        <v>132</v>
      </c>
      <c r="D84" s="14">
        <f>'AVSC1 limit-lossyG,lossyA,intra'!$D$83</f>
        <v>59931072</v>
      </c>
      <c r="E84" s="15">
        <v>18</v>
      </c>
      <c r="F84" s="15">
        <f>'AVSC1 limit-lossyG,lossyA,intra'!$F$83</f>
        <v>600</v>
      </c>
      <c r="G84" s="16">
        <v>10</v>
      </c>
      <c r="I84" s="30">
        <f t="shared" si="35"/>
        <v>19.441900799999999</v>
      </c>
      <c r="J84" s="31">
        <f t="shared" si="36"/>
        <v>19.464261343431335</v>
      </c>
      <c r="K84" s="31">
        <f t="shared" si="37"/>
        <v>18.604441182029916</v>
      </c>
      <c r="L84" s="87"/>
      <c r="M84" s="31">
        <f t="shared" si="38"/>
        <v>0.85237507515300248</v>
      </c>
      <c r="N84" s="31">
        <f t="shared" si="39"/>
        <v>19.464261343431335</v>
      </c>
      <c r="O84" s="521">
        <v>59931072</v>
      </c>
      <c r="P84" s="503">
        <v>1166514048</v>
      </c>
      <c r="Q84" s="357">
        <v>1114984104</v>
      </c>
      <c r="R84" s="87"/>
      <c r="S84" s="547">
        <v>51083752</v>
      </c>
      <c r="T84" s="267"/>
      <c r="U84" s="106"/>
      <c r="V84" s="106"/>
      <c r="W84" s="515">
        <v>78.009567000000004</v>
      </c>
      <c r="X84" s="507"/>
      <c r="Y84" s="359"/>
      <c r="Z84" s="573">
        <v>0</v>
      </c>
      <c r="AA84" s="573">
        <v>0</v>
      </c>
      <c r="AB84" s="33"/>
      <c r="AD84" s="30">
        <f t="shared" si="40"/>
        <v>19.441900799999999</v>
      </c>
      <c r="AE84" s="31">
        <f t="shared" si="24"/>
        <v>19.464261343431335</v>
      </c>
      <c r="AF84" s="31">
        <f t="shared" si="25"/>
        <v>18.604441182029916</v>
      </c>
      <c r="AG84" s="87" t="str">
        <f t="shared" si="26"/>
        <v>·</v>
      </c>
      <c r="AH84" s="31">
        <f t="shared" si="27"/>
        <v>0.85237507515300248</v>
      </c>
      <c r="AI84" s="31">
        <f t="shared" si="28"/>
        <v>19.464261343431335</v>
      </c>
      <c r="AJ84" s="521">
        <v>59931072</v>
      </c>
      <c r="AK84" s="503">
        <v>1166514048</v>
      </c>
      <c r="AL84" s="357">
        <v>1114984104</v>
      </c>
      <c r="AM84" s="87"/>
      <c r="AN84" s="547">
        <v>51083752</v>
      </c>
      <c r="AO84" s="267"/>
      <c r="AP84" s="106"/>
      <c r="AQ84" s="106"/>
      <c r="AR84" s="515">
        <v>78.009567000000004</v>
      </c>
      <c r="AS84" s="507">
        <v>416.40599999999972</v>
      </c>
      <c r="AT84" s="359">
        <v>171.42900000000006</v>
      </c>
      <c r="AU84" s="573">
        <v>0</v>
      </c>
      <c r="AV84" s="573">
        <v>0</v>
      </c>
      <c r="AW84" s="33"/>
      <c r="AY84" s="56" t="e">
        <f t="shared" si="41"/>
        <v>#DIV/0!</v>
      </c>
      <c r="AZ84" s="57" t="e">
        <f t="shared" si="42"/>
        <v>#DIV/0!</v>
      </c>
      <c r="BA84" s="57">
        <f t="shared" si="43"/>
        <v>0</v>
      </c>
      <c r="BB84" s="58"/>
      <c r="BD84" s="105"/>
      <c r="BE84" s="106"/>
      <c r="BF84" s="106"/>
      <c r="BG84" s="76"/>
      <c r="BI84" s="105"/>
      <c r="BJ84" s="106"/>
      <c r="BK84" s="106"/>
      <c r="BL84" s="76"/>
      <c r="BN84" s="105"/>
      <c r="BO84" s="106"/>
      <c r="BP84" s="106"/>
      <c r="BQ84" s="76"/>
      <c r="BS84" s="105"/>
      <c r="BT84" s="106"/>
      <c r="BU84" s="106"/>
      <c r="BV84" s="76"/>
      <c r="BX84" s="105"/>
      <c r="BY84" s="106"/>
      <c r="BZ84" s="106"/>
      <c r="CA84" s="76"/>
      <c r="CC84" s="105"/>
      <c r="CD84" s="106"/>
      <c r="CE84" s="106"/>
      <c r="CF84" s="76"/>
    </row>
    <row r="85" spans="1:84" outlineLevel="1">
      <c r="A85" s="13"/>
      <c r="B85" s="14" t="s">
        <v>466</v>
      </c>
      <c r="C85" s="15" t="s">
        <v>133</v>
      </c>
      <c r="D85" s="14">
        <f>'AVSC1 limit-lossyG,lossyA,intra'!$D$83</f>
        <v>59931072</v>
      </c>
      <c r="E85" s="15">
        <v>18</v>
      </c>
      <c r="F85" s="15">
        <f>'AVSC1 limit-lossyG,lossyA,intra'!$F$83</f>
        <v>600</v>
      </c>
      <c r="G85" s="16">
        <v>10</v>
      </c>
      <c r="I85" s="30">
        <f t="shared" si="35"/>
        <v>19.9895152</v>
      </c>
      <c r="J85" s="31">
        <f t="shared" si="36"/>
        <v>20.012505566394672</v>
      </c>
      <c r="K85" s="31">
        <f t="shared" si="37"/>
        <v>18.604441182029916</v>
      </c>
      <c r="L85" s="87"/>
      <c r="M85" s="31">
        <f t="shared" si="38"/>
        <v>1.4006192981163428</v>
      </c>
      <c r="N85" s="31">
        <f t="shared" si="39"/>
        <v>20.012505566394672</v>
      </c>
      <c r="O85" s="521">
        <v>59931072</v>
      </c>
      <c r="P85" s="503">
        <v>1199370912</v>
      </c>
      <c r="Q85" s="357">
        <v>1114984104</v>
      </c>
      <c r="R85" s="87"/>
      <c r="S85" s="547">
        <v>83940616</v>
      </c>
      <c r="T85" s="267"/>
      <c r="U85" s="106"/>
      <c r="V85" s="106"/>
      <c r="W85" s="515">
        <v>83.685317999999995</v>
      </c>
      <c r="X85" s="507"/>
      <c r="Y85" s="359"/>
      <c r="Z85" s="573">
        <v>0</v>
      </c>
      <c r="AA85" s="573">
        <v>0</v>
      </c>
      <c r="AB85" s="33"/>
      <c r="AD85" s="30">
        <f t="shared" si="40"/>
        <v>19.9895152</v>
      </c>
      <c r="AE85" s="31">
        <f t="shared" si="24"/>
        <v>20.012505566394672</v>
      </c>
      <c r="AF85" s="31">
        <f t="shared" si="25"/>
        <v>18.604441182029916</v>
      </c>
      <c r="AG85" s="87" t="str">
        <f t="shared" si="26"/>
        <v>·</v>
      </c>
      <c r="AH85" s="31">
        <f t="shared" si="27"/>
        <v>1.4006192981163428</v>
      </c>
      <c r="AI85" s="31">
        <f t="shared" si="28"/>
        <v>20.012505566394672</v>
      </c>
      <c r="AJ85" s="521">
        <v>59931072</v>
      </c>
      <c r="AK85" s="503">
        <v>1199370912</v>
      </c>
      <c r="AL85" s="357">
        <v>1114984104</v>
      </c>
      <c r="AM85" s="87"/>
      <c r="AN85" s="547">
        <v>83940616</v>
      </c>
      <c r="AO85" s="267"/>
      <c r="AP85" s="106"/>
      <c r="AQ85" s="106"/>
      <c r="AR85" s="515">
        <v>83.685317999999995</v>
      </c>
      <c r="AS85" s="507">
        <v>462.98800000000006</v>
      </c>
      <c r="AT85" s="359">
        <v>171.23300000000035</v>
      </c>
      <c r="AU85" s="573">
        <v>0</v>
      </c>
      <c r="AV85" s="573">
        <v>0</v>
      </c>
      <c r="AW85" s="33"/>
      <c r="AY85" s="56" t="e">
        <f t="shared" si="41"/>
        <v>#DIV/0!</v>
      </c>
      <c r="AZ85" s="57" t="e">
        <f t="shared" si="42"/>
        <v>#DIV/0!</v>
      </c>
      <c r="BA85" s="57">
        <f t="shared" si="43"/>
        <v>0</v>
      </c>
      <c r="BB85" s="58"/>
      <c r="BD85" s="105"/>
      <c r="BE85" s="106"/>
      <c r="BF85" s="106"/>
      <c r="BG85" s="76"/>
      <c r="BI85" s="105"/>
      <c r="BJ85" s="106"/>
      <c r="BK85" s="106"/>
      <c r="BL85" s="76"/>
      <c r="BN85" s="105"/>
      <c r="BO85" s="106"/>
      <c r="BP85" s="106"/>
      <c r="BQ85" s="76"/>
      <c r="BS85" s="105"/>
      <c r="BT85" s="106"/>
      <c r="BU85" s="106"/>
      <c r="BV85" s="76"/>
      <c r="BX85" s="105"/>
      <c r="BY85" s="106"/>
      <c r="BZ85" s="106"/>
      <c r="CA85" s="76"/>
      <c r="CC85" s="105"/>
      <c r="CD85" s="106"/>
      <c r="CE85" s="106"/>
      <c r="CF85" s="76"/>
    </row>
    <row r="86" spans="1:84" outlineLevel="1">
      <c r="A86" s="13"/>
      <c r="B86" s="14" t="s">
        <v>466</v>
      </c>
      <c r="C86" s="15" t="s">
        <v>134</v>
      </c>
      <c r="D86" s="14">
        <f>'AVSC1 limit-lossyG,lossyA,intra'!$D$83</f>
        <v>59931072</v>
      </c>
      <c r="E86" s="15">
        <v>18</v>
      </c>
      <c r="F86" s="15">
        <f>'AVSC1 limit-lossyG,lossyA,intra'!$F$83</f>
        <v>600</v>
      </c>
      <c r="G86" s="16">
        <v>10</v>
      </c>
      <c r="I86" s="30">
        <f t="shared" si="35"/>
        <v>20.684103333333333</v>
      </c>
      <c r="J86" s="31">
        <f t="shared" si="36"/>
        <v>20.707892560306615</v>
      </c>
      <c r="K86" s="31">
        <f t="shared" si="37"/>
        <v>18.604441182029916</v>
      </c>
      <c r="L86" s="87"/>
      <c r="M86" s="31">
        <f t="shared" si="38"/>
        <v>2.096015369122715</v>
      </c>
      <c r="N86" s="31">
        <f t="shared" si="39"/>
        <v>20.707892560306615</v>
      </c>
      <c r="O86" s="521">
        <v>59931072</v>
      </c>
      <c r="P86" s="503">
        <v>1241046200</v>
      </c>
      <c r="Q86" s="357">
        <v>1114984104</v>
      </c>
      <c r="R86" s="87"/>
      <c r="S86" s="547">
        <v>125616448</v>
      </c>
      <c r="T86" s="267"/>
      <c r="U86" s="106"/>
      <c r="V86" s="106"/>
      <c r="W86" s="515">
        <v>89.391022000000007</v>
      </c>
      <c r="X86" s="507"/>
      <c r="Y86" s="359"/>
      <c r="Z86" s="573">
        <v>0</v>
      </c>
      <c r="AA86" s="573">
        <v>0</v>
      </c>
      <c r="AB86" s="33"/>
      <c r="AD86" s="30">
        <f t="shared" si="40"/>
        <v>20.684103333333333</v>
      </c>
      <c r="AE86" s="31">
        <f t="shared" si="24"/>
        <v>20.707892560306615</v>
      </c>
      <c r="AF86" s="31">
        <f t="shared" si="25"/>
        <v>18.604441182029916</v>
      </c>
      <c r="AG86" s="87" t="str">
        <f t="shared" si="26"/>
        <v>·</v>
      </c>
      <c r="AH86" s="31">
        <f t="shared" si="27"/>
        <v>2.096015369122715</v>
      </c>
      <c r="AI86" s="31">
        <f t="shared" si="28"/>
        <v>20.707892560306615</v>
      </c>
      <c r="AJ86" s="521">
        <v>59931072</v>
      </c>
      <c r="AK86" s="503">
        <v>1241046200</v>
      </c>
      <c r="AL86" s="357">
        <v>1114984104</v>
      </c>
      <c r="AM86" s="87"/>
      <c r="AN86" s="547">
        <v>125616448</v>
      </c>
      <c r="AO86" s="267"/>
      <c r="AP86" s="106"/>
      <c r="AQ86" s="106"/>
      <c r="AR86" s="515">
        <v>89.391022000000007</v>
      </c>
      <c r="AS86" s="507">
        <v>459.18599999999992</v>
      </c>
      <c r="AT86" s="359">
        <v>172.68900000000016</v>
      </c>
      <c r="AU86" s="573">
        <v>0</v>
      </c>
      <c r="AV86" s="573">
        <v>0</v>
      </c>
      <c r="AW86" s="33"/>
      <c r="AY86" s="56" t="e">
        <f t="shared" si="41"/>
        <v>#DIV/0!</v>
      </c>
      <c r="AZ86" s="57" t="e">
        <f t="shared" si="42"/>
        <v>#DIV/0!</v>
      </c>
      <c r="BA86" s="57">
        <f t="shared" si="43"/>
        <v>0</v>
      </c>
      <c r="BB86" s="58"/>
      <c r="BD86" s="105"/>
      <c r="BE86" s="106"/>
      <c r="BF86" s="106"/>
      <c r="BG86" s="76"/>
      <c r="BI86" s="105"/>
      <c r="BJ86" s="106"/>
      <c r="BK86" s="106"/>
      <c r="BL86" s="76"/>
      <c r="BN86" s="105"/>
      <c r="BO86" s="106"/>
      <c r="BP86" s="106"/>
      <c r="BQ86" s="76"/>
      <c r="BS86" s="105"/>
      <c r="BT86" s="106"/>
      <c r="BU86" s="106"/>
      <c r="BV86" s="76"/>
      <c r="BX86" s="105"/>
      <c r="BY86" s="106"/>
      <c r="BZ86" s="106"/>
      <c r="CA86" s="76"/>
      <c r="CC86" s="105"/>
      <c r="CD86" s="106"/>
      <c r="CE86" s="106"/>
      <c r="CF86" s="76"/>
    </row>
    <row r="87" spans="1:84" outlineLevel="1">
      <c r="A87" s="13"/>
      <c r="B87" s="14" t="s">
        <v>466</v>
      </c>
      <c r="C87" s="15" t="s">
        <v>135</v>
      </c>
      <c r="D87" s="14">
        <f>'AVSC1 limit-lossyG,lossyA,intra'!$D$83</f>
        <v>59931072</v>
      </c>
      <c r="E87" s="15">
        <v>18</v>
      </c>
      <c r="F87" s="15">
        <f>'AVSC1 limit-lossyG,lossyA,intra'!$F$83</f>
        <v>600</v>
      </c>
      <c r="G87" s="16">
        <v>10</v>
      </c>
      <c r="I87" s="30">
        <f t="shared" si="35"/>
        <v>21.504817333333332</v>
      </c>
      <c r="J87" s="31">
        <f t="shared" si="36"/>
        <v>21.52955048092582</v>
      </c>
      <c r="K87" s="31">
        <f t="shared" si="37"/>
        <v>18.604441182029916</v>
      </c>
      <c r="L87" s="87"/>
      <c r="M87" s="31">
        <f t="shared" si="38"/>
        <v>2.9176732897419222</v>
      </c>
      <c r="N87" s="31">
        <f t="shared" si="39"/>
        <v>21.52955048092582</v>
      </c>
      <c r="O87" s="521">
        <v>59931072</v>
      </c>
      <c r="P87" s="503">
        <v>1290289040</v>
      </c>
      <c r="Q87" s="357">
        <v>1114984104</v>
      </c>
      <c r="R87" s="87"/>
      <c r="S87" s="547">
        <v>174859288</v>
      </c>
      <c r="T87" s="267"/>
      <c r="U87" s="106"/>
      <c r="V87" s="106"/>
      <c r="W87" s="515">
        <v>94.846335999999994</v>
      </c>
      <c r="X87" s="507"/>
      <c r="Y87" s="359"/>
      <c r="Z87" s="573">
        <v>0</v>
      </c>
      <c r="AA87" s="573">
        <v>0</v>
      </c>
      <c r="AB87" s="33"/>
      <c r="AD87" s="30">
        <f t="shared" si="40"/>
        <v>21.504817333333332</v>
      </c>
      <c r="AE87" s="31">
        <f t="shared" si="24"/>
        <v>21.52955048092582</v>
      </c>
      <c r="AF87" s="31">
        <f t="shared" si="25"/>
        <v>18.604441182029916</v>
      </c>
      <c r="AG87" s="87" t="str">
        <f t="shared" si="26"/>
        <v>·</v>
      </c>
      <c r="AH87" s="31">
        <f t="shared" si="27"/>
        <v>2.9176732897419222</v>
      </c>
      <c r="AI87" s="31">
        <f t="shared" si="28"/>
        <v>21.52955048092582</v>
      </c>
      <c r="AJ87" s="521">
        <v>59931072</v>
      </c>
      <c r="AK87" s="503">
        <v>1290289040</v>
      </c>
      <c r="AL87" s="357">
        <v>1114984104</v>
      </c>
      <c r="AM87" s="87"/>
      <c r="AN87" s="547">
        <v>174859288</v>
      </c>
      <c r="AO87" s="267"/>
      <c r="AP87" s="106"/>
      <c r="AQ87" s="106"/>
      <c r="AR87" s="515">
        <v>94.846335999999994</v>
      </c>
      <c r="AS87" s="507">
        <v>446.983</v>
      </c>
      <c r="AT87" s="359">
        <v>174.51000000000016</v>
      </c>
      <c r="AU87" s="573">
        <v>0</v>
      </c>
      <c r="AV87" s="573">
        <v>0</v>
      </c>
      <c r="AW87" s="33"/>
      <c r="AY87" s="56" t="e">
        <f t="shared" si="41"/>
        <v>#DIV/0!</v>
      </c>
      <c r="AZ87" s="57" t="e">
        <f t="shared" si="42"/>
        <v>#DIV/0!</v>
      </c>
      <c r="BA87" s="57">
        <f t="shared" si="43"/>
        <v>0</v>
      </c>
      <c r="BB87" s="58"/>
      <c r="BD87" s="105"/>
      <c r="BE87" s="106"/>
      <c r="BF87" s="106"/>
      <c r="BG87" s="76"/>
      <c r="BI87" s="105"/>
      <c r="BJ87" s="106"/>
      <c r="BK87" s="106"/>
      <c r="BL87" s="76"/>
      <c r="BN87" s="105"/>
      <c r="BO87" s="106"/>
      <c r="BP87" s="106"/>
      <c r="BQ87" s="76"/>
      <c r="BS87" s="105"/>
      <c r="BT87" s="106"/>
      <c r="BU87" s="106"/>
      <c r="BV87" s="76"/>
      <c r="BX87" s="105"/>
      <c r="BY87" s="106"/>
      <c r="BZ87" s="106"/>
      <c r="CA87" s="76"/>
      <c r="CC87" s="105"/>
      <c r="CD87" s="106"/>
      <c r="CE87" s="106"/>
      <c r="CF87" s="76"/>
    </row>
    <row r="88" spans="1:84" ht="14.25" outlineLevel="1" thickBot="1">
      <c r="A88" s="13"/>
      <c r="B88" s="21" t="s">
        <v>466</v>
      </c>
      <c r="C88" s="22" t="s">
        <v>136</v>
      </c>
      <c r="D88" s="21">
        <f>'AVSC1 limit-lossyG,lossyA,intra'!$D$83</f>
        <v>59931072</v>
      </c>
      <c r="E88" s="22">
        <v>18</v>
      </c>
      <c r="F88" s="22">
        <f>'AVSC1 limit-lossyG,lossyA,intra'!$F$83</f>
        <v>600</v>
      </c>
      <c r="G88" s="23">
        <v>10</v>
      </c>
      <c r="I88" s="34">
        <f t="shared" si="35"/>
        <v>22.509129066666667</v>
      </c>
      <c r="J88" s="35">
        <f t="shared" si="36"/>
        <v>22.535017294534629</v>
      </c>
      <c r="K88" s="35">
        <f t="shared" si="37"/>
        <v>18.604441182029916</v>
      </c>
      <c r="L88" s="88"/>
      <c r="M88" s="35">
        <f t="shared" si="38"/>
        <v>3.92315331853233</v>
      </c>
      <c r="N88" s="35">
        <f t="shared" si="39"/>
        <v>22.535017294534629</v>
      </c>
      <c r="O88" s="522">
        <v>59931072</v>
      </c>
      <c r="P88" s="505">
        <v>1350547744</v>
      </c>
      <c r="Q88" s="361">
        <v>1114984104</v>
      </c>
      <c r="R88" s="88"/>
      <c r="S88" s="548">
        <v>235118784</v>
      </c>
      <c r="T88" s="545"/>
      <c r="U88" s="109"/>
      <c r="V88" s="109"/>
      <c r="W88" s="517">
        <v>99.581717999999995</v>
      </c>
      <c r="X88" s="509"/>
      <c r="Y88" s="363"/>
      <c r="Z88" s="575">
        <v>0</v>
      </c>
      <c r="AA88" s="575">
        <v>0</v>
      </c>
      <c r="AB88" s="37"/>
      <c r="AD88" s="34">
        <f t="shared" si="40"/>
        <v>22.509129066666667</v>
      </c>
      <c r="AE88" s="35">
        <f t="shared" si="24"/>
        <v>22.535017294534629</v>
      </c>
      <c r="AF88" s="35">
        <f t="shared" si="25"/>
        <v>18.604441182029916</v>
      </c>
      <c r="AG88" s="88" t="str">
        <f t="shared" si="26"/>
        <v>·</v>
      </c>
      <c r="AH88" s="35">
        <f t="shared" si="27"/>
        <v>3.92315331853233</v>
      </c>
      <c r="AI88" s="35">
        <f t="shared" si="28"/>
        <v>22.535017294534629</v>
      </c>
      <c r="AJ88" s="522">
        <v>59931072</v>
      </c>
      <c r="AK88" s="505">
        <v>1350547744</v>
      </c>
      <c r="AL88" s="361">
        <v>1114984104</v>
      </c>
      <c r="AM88" s="88"/>
      <c r="AN88" s="548">
        <v>235118784</v>
      </c>
      <c r="AO88" s="545"/>
      <c r="AP88" s="109"/>
      <c r="AQ88" s="109"/>
      <c r="AR88" s="517">
        <v>99.581717999999995</v>
      </c>
      <c r="AS88" s="509">
        <v>461.6040000000001</v>
      </c>
      <c r="AT88" s="363">
        <v>176.05800000000013</v>
      </c>
      <c r="AU88" s="575">
        <v>0</v>
      </c>
      <c r="AV88" s="575">
        <v>0</v>
      </c>
      <c r="AW88" s="37"/>
      <c r="AY88" s="59" t="e">
        <f t="shared" si="41"/>
        <v>#DIV/0!</v>
      </c>
      <c r="AZ88" s="60" t="e">
        <f t="shared" si="42"/>
        <v>#DIV/0!</v>
      </c>
      <c r="BA88" s="60">
        <f t="shared" si="43"/>
        <v>0</v>
      </c>
      <c r="BB88" s="61"/>
      <c r="BD88" s="108"/>
      <c r="BE88" s="109"/>
      <c r="BF88" s="109"/>
      <c r="BG88" s="79"/>
      <c r="BI88" s="108"/>
      <c r="BJ88" s="109"/>
      <c r="BK88" s="109"/>
      <c r="BL88" s="82"/>
      <c r="BN88" s="134"/>
      <c r="BO88" s="135"/>
      <c r="BP88" s="135"/>
      <c r="BQ88" s="82"/>
      <c r="BS88" s="134"/>
      <c r="BT88" s="135"/>
      <c r="BU88" s="135"/>
      <c r="BV88" s="82"/>
      <c r="BX88" s="134"/>
      <c r="BY88" s="135"/>
      <c r="BZ88" s="135"/>
      <c r="CA88" s="82"/>
      <c r="CC88" s="134"/>
      <c r="CD88" s="135"/>
      <c r="CE88" s="135"/>
      <c r="CF88" s="82"/>
    </row>
    <row r="89" spans="1:84">
      <c r="A89" s="13"/>
      <c r="B89" s="27" t="s">
        <v>469</v>
      </c>
      <c r="C89" s="28" t="s">
        <v>131</v>
      </c>
      <c r="D89" s="27">
        <f>'AVSC1 limit-lossyG,lossyA,intra'!$D$89</f>
        <v>59935680</v>
      </c>
      <c r="E89" s="28">
        <v>18</v>
      </c>
      <c r="F89" s="28">
        <f>'AVSC1 limit-lossyG,lossyA,intra'!$F$83</f>
        <v>600</v>
      </c>
      <c r="G89" s="29">
        <v>10</v>
      </c>
      <c r="I89" s="46">
        <f t="shared" si="35"/>
        <v>19.4057116</v>
      </c>
      <c r="J89" s="47">
        <f t="shared" si="36"/>
        <v>19.426536847500522</v>
      </c>
      <c r="K89" s="47">
        <f t="shared" si="37"/>
        <v>18.942545208463471</v>
      </c>
      <c r="L89" s="87"/>
      <c r="M89" s="47">
        <f t="shared" si="38"/>
        <v>0.47655246424166708</v>
      </c>
      <c r="N89" s="47">
        <f t="shared" si="39"/>
        <v>19.426536847500522</v>
      </c>
      <c r="O89" s="520">
        <v>59935680</v>
      </c>
      <c r="P89" s="502">
        <v>1164342696</v>
      </c>
      <c r="Q89" s="353">
        <v>1135334328</v>
      </c>
      <c r="R89" s="87"/>
      <c r="S89" s="546">
        <v>28562496</v>
      </c>
      <c r="T89" s="266"/>
      <c r="U89" s="104"/>
      <c r="V89" s="104"/>
      <c r="W89" s="514">
        <v>72.452422999999996</v>
      </c>
      <c r="X89" s="506"/>
      <c r="Y89" s="355"/>
      <c r="Z89" s="572">
        <v>0</v>
      </c>
      <c r="AA89" s="572">
        <v>0</v>
      </c>
      <c r="AB89" s="49"/>
      <c r="AD89" s="46">
        <f t="shared" si="40"/>
        <v>19.4057116</v>
      </c>
      <c r="AE89" s="47">
        <f t="shared" si="24"/>
        <v>19.426536847500522</v>
      </c>
      <c r="AF89" s="47">
        <f t="shared" si="25"/>
        <v>18.942545208463471</v>
      </c>
      <c r="AG89" s="87" t="str">
        <f t="shared" si="26"/>
        <v>·</v>
      </c>
      <c r="AH89" s="47">
        <f t="shared" si="27"/>
        <v>0.47655246424166708</v>
      </c>
      <c r="AI89" s="47">
        <f t="shared" si="28"/>
        <v>19.426536847500522</v>
      </c>
      <c r="AJ89" s="520">
        <v>59935680</v>
      </c>
      <c r="AK89" s="502">
        <v>1164342696</v>
      </c>
      <c r="AL89" s="353">
        <v>1135334328</v>
      </c>
      <c r="AM89" s="87"/>
      <c r="AN89" s="546">
        <v>28562496</v>
      </c>
      <c r="AO89" s="266"/>
      <c r="AP89" s="104"/>
      <c r="AQ89" s="104"/>
      <c r="AR89" s="514">
        <v>72.452422999999996</v>
      </c>
      <c r="AS89" s="506">
        <v>422.92900000000043</v>
      </c>
      <c r="AT89" s="355">
        <v>197.62299999999988</v>
      </c>
      <c r="AU89" s="572">
        <v>0</v>
      </c>
      <c r="AV89" s="572">
        <v>0</v>
      </c>
      <c r="AW89" s="49"/>
      <c r="AY89" s="68" t="e">
        <f t="shared" si="41"/>
        <v>#DIV/0!</v>
      </c>
      <c r="AZ89" s="69" t="e">
        <f t="shared" si="42"/>
        <v>#DIV/0!</v>
      </c>
      <c r="BA89" s="69">
        <f t="shared" si="43"/>
        <v>0</v>
      </c>
      <c r="BB89" s="70">
        <f t="array" ref="BB89">AVERAGE(AL89:AL94/AK89:AK94) - AVERAGE(Q89:Q94/P89:P94)</f>
        <v>0</v>
      </c>
      <c r="BD89" s="103"/>
      <c r="BE89" s="104"/>
      <c r="BF89" s="104"/>
      <c r="BG89" s="86">
        <f>IF( OR(ISBLANK($S89:$S94),ISBLANK($AN89:$AN94), ISBLANK($W89:$W94),ISBLANK($AR89:$AR94)), "·", bdRateHermite( $S89:$S94,$W89:$W94, $AN89:$AN94,$AR89:$AR94))</f>
        <v>0</v>
      </c>
      <c r="BH89" s="1"/>
      <c r="BI89" s="103"/>
      <c r="BJ89" s="104"/>
      <c r="BK89" s="104"/>
      <c r="BL89" s="85">
        <f>IF(OR(ISBLANK($P89:$P94),ISBLANK($AK89:$AK94),ISBLANK($W89:$W94),ISBLANK($AR89:$AR94)),"·",bdRateHermite($P89:$P94,$W89:$W94,$AK89:$AK94,$AR89:$AR94))</f>
        <v>0</v>
      </c>
      <c r="BM89" s="1"/>
      <c r="BN89" s="103"/>
      <c r="BO89" s="104"/>
      <c r="BP89" s="104"/>
      <c r="BQ89" s="86">
        <f>IF( OR(ISBLANK($S89:$S94),ISBLANK($AN89:$AN94), ISBLANK($W89:$W94),ISBLANK($AR89:$AR94)), "·", bdRateHermite( $S90:$S94,$W90:$W94, $AN90:$AN94,$AR90:$AR94))</f>
        <v>0</v>
      </c>
      <c r="BS89" s="103"/>
      <c r="BT89" s="104"/>
      <c r="BU89" s="104"/>
      <c r="BV89" s="85">
        <f>IF(OR(ISBLANK($P89:$P94),ISBLANK($AK89:$AK94),ISBLANK($W89:$W94),ISBLANK($AR89:$AR94)),"·",bdRateHermite($P90:$P94,$W90:$W94,$AK90:$AK94,$AR90:$AR94))</f>
        <v>0</v>
      </c>
      <c r="BX89" s="103"/>
      <c r="BY89" s="104"/>
      <c r="BZ89" s="104"/>
      <c r="CA89" s="86">
        <f>IF( OR(ISBLANK($S89:$S93),ISBLANK($AN89:$AN93), ISBLANK($W89:$W93),ISBLANK($AR89:$AR93)), "·", bdRateHermite( $S89:$S93,$W89:$W93, $AN89:$AN93,$AR89:$AR93))</f>
        <v>0</v>
      </c>
      <c r="CC89" s="103"/>
      <c r="CD89" s="104"/>
      <c r="CE89" s="104"/>
      <c r="CF89" s="85">
        <f>IF(OR(ISBLANK($P89:$P93),ISBLANK($AK89:$AK93),ISBLANK($W89:$W93),ISBLANK($AR89:$AR93)),"·",bdRateHermite($P89:$P93,$W89:$W93,$AK89:$AK93,$AR89:$AR93))</f>
        <v>0</v>
      </c>
    </row>
    <row r="90" spans="1:84" outlineLevel="1">
      <c r="A90" s="13"/>
      <c r="B90" s="14" t="s">
        <v>469</v>
      </c>
      <c r="C90" s="15" t="s">
        <v>132</v>
      </c>
      <c r="D90" s="14">
        <f>'AVSC1 limit-lossyG,lossyA,intra'!$D$89</f>
        <v>59935680</v>
      </c>
      <c r="E90" s="15">
        <v>18</v>
      </c>
      <c r="F90" s="15">
        <f>'AVSC1 limit-lossyG,lossyA,intra'!$F$83</f>
        <v>600</v>
      </c>
      <c r="G90" s="16">
        <v>10</v>
      </c>
      <c r="I90" s="30">
        <f t="shared" si="35"/>
        <v>19.863031866666667</v>
      </c>
      <c r="J90" s="31">
        <f t="shared" si="36"/>
        <v>19.884347887602175</v>
      </c>
      <c r="K90" s="31">
        <f t="shared" si="37"/>
        <v>18.942545208463471</v>
      </c>
      <c r="L90" s="87"/>
      <c r="M90" s="31">
        <f t="shared" si="38"/>
        <v>0.93436350434332271</v>
      </c>
      <c r="N90" s="31">
        <f t="shared" si="39"/>
        <v>19.884347887602175</v>
      </c>
      <c r="O90" s="521">
        <v>59935680</v>
      </c>
      <c r="P90" s="503">
        <v>1191781912</v>
      </c>
      <c r="Q90" s="357">
        <v>1135334328</v>
      </c>
      <c r="R90" s="87"/>
      <c r="S90" s="547">
        <v>56001712</v>
      </c>
      <c r="T90" s="267"/>
      <c r="U90" s="106"/>
      <c r="V90" s="106"/>
      <c r="W90" s="515">
        <v>77.950432000000006</v>
      </c>
      <c r="X90" s="507"/>
      <c r="Y90" s="359"/>
      <c r="Z90" s="573">
        <v>0</v>
      </c>
      <c r="AA90" s="573">
        <v>0</v>
      </c>
      <c r="AB90" s="33"/>
      <c r="AD90" s="30">
        <f t="shared" si="40"/>
        <v>19.863031866666667</v>
      </c>
      <c r="AE90" s="31">
        <f t="shared" si="24"/>
        <v>19.884347887602175</v>
      </c>
      <c r="AF90" s="31">
        <f t="shared" si="25"/>
        <v>18.942545208463471</v>
      </c>
      <c r="AG90" s="87" t="str">
        <f t="shared" si="26"/>
        <v>·</v>
      </c>
      <c r="AH90" s="31">
        <f t="shared" si="27"/>
        <v>0.93436350434332271</v>
      </c>
      <c r="AI90" s="31">
        <f t="shared" si="28"/>
        <v>19.884347887602175</v>
      </c>
      <c r="AJ90" s="521">
        <v>59935680</v>
      </c>
      <c r="AK90" s="503">
        <v>1191781912</v>
      </c>
      <c r="AL90" s="357">
        <v>1135334328</v>
      </c>
      <c r="AM90" s="87"/>
      <c r="AN90" s="547">
        <v>56001712</v>
      </c>
      <c r="AO90" s="267"/>
      <c r="AP90" s="106"/>
      <c r="AQ90" s="106"/>
      <c r="AR90" s="515">
        <v>77.950432000000006</v>
      </c>
      <c r="AS90" s="507">
        <v>514.87400000000002</v>
      </c>
      <c r="AT90" s="359">
        <v>211.95899999999997</v>
      </c>
      <c r="AU90" s="573">
        <v>0</v>
      </c>
      <c r="AV90" s="573">
        <v>0</v>
      </c>
      <c r="AW90" s="33"/>
      <c r="AY90" s="56" t="e">
        <f t="shared" si="41"/>
        <v>#DIV/0!</v>
      </c>
      <c r="AZ90" s="57" t="e">
        <f t="shared" si="42"/>
        <v>#DIV/0!</v>
      </c>
      <c r="BA90" s="57">
        <f t="shared" si="43"/>
        <v>0</v>
      </c>
      <c r="BB90" s="58"/>
      <c r="BD90" s="105"/>
      <c r="BE90" s="106"/>
      <c r="BF90" s="106"/>
      <c r="BG90" s="76"/>
      <c r="BI90" s="105"/>
      <c r="BJ90" s="106"/>
      <c r="BK90" s="106"/>
      <c r="BL90" s="76"/>
      <c r="BN90" s="105"/>
      <c r="BO90" s="106"/>
      <c r="BP90" s="106"/>
      <c r="BQ90" s="76"/>
      <c r="BS90" s="105"/>
      <c r="BT90" s="106"/>
      <c r="BU90" s="106"/>
      <c r="BV90" s="76"/>
      <c r="BX90" s="105"/>
      <c r="BY90" s="106"/>
      <c r="BZ90" s="106"/>
      <c r="CA90" s="76"/>
      <c r="CC90" s="105"/>
      <c r="CD90" s="106"/>
      <c r="CE90" s="106"/>
      <c r="CF90" s="76"/>
    </row>
    <row r="91" spans="1:84" outlineLevel="1">
      <c r="A91" s="13"/>
      <c r="B91" s="14" t="s">
        <v>467</v>
      </c>
      <c r="C91" s="15" t="s">
        <v>133</v>
      </c>
      <c r="D91" s="14">
        <f>'AVSC1 limit-lossyG,lossyA,intra'!$D$89</f>
        <v>59935680</v>
      </c>
      <c r="E91" s="15">
        <v>18</v>
      </c>
      <c r="F91" s="15">
        <f>'AVSC1 limit-lossyG,lossyA,intra'!$F$83</f>
        <v>600</v>
      </c>
      <c r="G91" s="16">
        <v>10</v>
      </c>
      <c r="I91" s="30">
        <f t="shared" si="35"/>
        <v>20.468570933333332</v>
      </c>
      <c r="J91" s="31">
        <f t="shared" si="36"/>
        <v>20.490536788770896</v>
      </c>
      <c r="K91" s="31">
        <f t="shared" si="37"/>
        <v>18.942545208463471</v>
      </c>
      <c r="L91" s="87"/>
      <c r="M91" s="31">
        <f t="shared" si="38"/>
        <v>1.5405524055120423</v>
      </c>
      <c r="N91" s="31">
        <f t="shared" si="39"/>
        <v>20.490536788770896</v>
      </c>
      <c r="O91" s="521">
        <v>59935680</v>
      </c>
      <c r="P91" s="503">
        <v>1228114256</v>
      </c>
      <c r="Q91" s="357">
        <v>1135334328</v>
      </c>
      <c r="R91" s="87"/>
      <c r="S91" s="547">
        <v>92334056</v>
      </c>
      <c r="T91" s="267"/>
      <c r="U91" s="106"/>
      <c r="V91" s="106"/>
      <c r="W91" s="515">
        <v>83.551772999999997</v>
      </c>
      <c r="X91" s="507"/>
      <c r="Y91" s="359"/>
      <c r="Z91" s="573">
        <v>0</v>
      </c>
      <c r="AA91" s="573">
        <v>0</v>
      </c>
      <c r="AB91" s="33"/>
      <c r="AD91" s="30">
        <f t="shared" si="40"/>
        <v>20.468570933333332</v>
      </c>
      <c r="AE91" s="31">
        <f t="shared" si="24"/>
        <v>20.490536788770896</v>
      </c>
      <c r="AF91" s="31">
        <f t="shared" si="25"/>
        <v>18.942545208463471</v>
      </c>
      <c r="AG91" s="87" t="str">
        <f t="shared" si="26"/>
        <v>·</v>
      </c>
      <c r="AH91" s="31">
        <f t="shared" si="27"/>
        <v>1.5405524055120423</v>
      </c>
      <c r="AI91" s="31">
        <f t="shared" si="28"/>
        <v>20.490536788770896</v>
      </c>
      <c r="AJ91" s="521">
        <v>59935680</v>
      </c>
      <c r="AK91" s="503">
        <v>1228114256</v>
      </c>
      <c r="AL91" s="357">
        <v>1135334328</v>
      </c>
      <c r="AM91" s="87"/>
      <c r="AN91" s="547">
        <v>92334056</v>
      </c>
      <c r="AO91" s="267"/>
      <c r="AP91" s="106"/>
      <c r="AQ91" s="106"/>
      <c r="AR91" s="515">
        <v>83.551772999999997</v>
      </c>
      <c r="AS91" s="507">
        <v>428.97900000000004</v>
      </c>
      <c r="AT91" s="359">
        <v>199.52700000000016</v>
      </c>
      <c r="AU91" s="573">
        <v>0</v>
      </c>
      <c r="AV91" s="573">
        <v>0</v>
      </c>
      <c r="AW91" s="33"/>
      <c r="AY91" s="56" t="e">
        <f t="shared" si="41"/>
        <v>#DIV/0!</v>
      </c>
      <c r="AZ91" s="57" t="e">
        <f t="shared" si="42"/>
        <v>#DIV/0!</v>
      </c>
      <c r="BA91" s="57">
        <f t="shared" si="43"/>
        <v>0</v>
      </c>
      <c r="BB91" s="58"/>
      <c r="BD91" s="105"/>
      <c r="BE91" s="106"/>
      <c r="BF91" s="106"/>
      <c r="BG91" s="76"/>
      <c r="BI91" s="105"/>
      <c r="BJ91" s="106"/>
      <c r="BK91" s="106"/>
      <c r="BL91" s="76"/>
      <c r="BN91" s="105"/>
      <c r="BO91" s="106"/>
      <c r="BP91" s="106"/>
      <c r="BQ91" s="76"/>
      <c r="BS91" s="105"/>
      <c r="BT91" s="106"/>
      <c r="BU91" s="106"/>
      <c r="BV91" s="76"/>
      <c r="BX91" s="105"/>
      <c r="BY91" s="106"/>
      <c r="BZ91" s="106"/>
      <c r="CA91" s="76"/>
      <c r="CC91" s="105"/>
      <c r="CD91" s="106"/>
      <c r="CE91" s="106"/>
      <c r="CF91" s="76"/>
    </row>
    <row r="92" spans="1:84" outlineLevel="1">
      <c r="A92" s="13"/>
      <c r="B92" s="14" t="s">
        <v>467</v>
      </c>
      <c r="C92" s="15" t="s">
        <v>134</v>
      </c>
      <c r="D92" s="14">
        <f>'AVSC1 limit-lossyG,lossyA,intra'!$D$89</f>
        <v>59935680</v>
      </c>
      <c r="E92" s="15">
        <v>18</v>
      </c>
      <c r="F92" s="15">
        <f>'AVSC1 limit-lossyG,lossyA,intra'!$F$83</f>
        <v>600</v>
      </c>
      <c r="G92" s="16">
        <v>10</v>
      </c>
      <c r="I92" s="30">
        <f t="shared" si="35"/>
        <v>21.217258133333331</v>
      </c>
      <c r="J92" s="31">
        <f t="shared" si="36"/>
        <v>21.240027442751963</v>
      </c>
      <c r="K92" s="31">
        <f t="shared" si="37"/>
        <v>18.942545208463471</v>
      </c>
      <c r="L92" s="87"/>
      <c r="M92" s="31">
        <f t="shared" si="38"/>
        <v>2.2900578753757359</v>
      </c>
      <c r="N92" s="31">
        <f t="shared" si="39"/>
        <v>21.240027442751963</v>
      </c>
      <c r="O92" s="521">
        <v>59935680</v>
      </c>
      <c r="P92" s="503">
        <v>1273035488</v>
      </c>
      <c r="Q92" s="357">
        <v>1135334328</v>
      </c>
      <c r="R92" s="87"/>
      <c r="S92" s="547">
        <v>137256176</v>
      </c>
      <c r="T92" s="267"/>
      <c r="U92" s="106"/>
      <c r="V92" s="106"/>
      <c r="W92" s="515">
        <v>89.283546000000001</v>
      </c>
      <c r="X92" s="507"/>
      <c r="Y92" s="359"/>
      <c r="Z92" s="573">
        <v>0</v>
      </c>
      <c r="AA92" s="573">
        <v>0</v>
      </c>
      <c r="AB92" s="33"/>
      <c r="AD92" s="30">
        <f t="shared" si="40"/>
        <v>21.217258133333331</v>
      </c>
      <c r="AE92" s="31">
        <f t="shared" si="24"/>
        <v>21.240027442751963</v>
      </c>
      <c r="AF92" s="31">
        <f t="shared" si="25"/>
        <v>18.942545208463471</v>
      </c>
      <c r="AG92" s="87" t="str">
        <f t="shared" si="26"/>
        <v>·</v>
      </c>
      <c r="AH92" s="31">
        <f t="shared" si="27"/>
        <v>2.2900578753757359</v>
      </c>
      <c r="AI92" s="31">
        <f t="shared" si="28"/>
        <v>21.240027442751963</v>
      </c>
      <c r="AJ92" s="521">
        <v>59935680</v>
      </c>
      <c r="AK92" s="503">
        <v>1273035488</v>
      </c>
      <c r="AL92" s="357">
        <v>1135334328</v>
      </c>
      <c r="AM92" s="87"/>
      <c r="AN92" s="547">
        <v>137256176</v>
      </c>
      <c r="AO92" s="267"/>
      <c r="AP92" s="106"/>
      <c r="AQ92" s="106"/>
      <c r="AR92" s="515">
        <v>89.283546000000001</v>
      </c>
      <c r="AS92" s="507">
        <v>410.08900000000006</v>
      </c>
      <c r="AT92" s="359">
        <v>220.68399999999983</v>
      </c>
      <c r="AU92" s="573">
        <v>0</v>
      </c>
      <c r="AV92" s="573">
        <v>0</v>
      </c>
      <c r="AW92" s="33"/>
      <c r="AY92" s="56" t="e">
        <f t="shared" si="41"/>
        <v>#DIV/0!</v>
      </c>
      <c r="AZ92" s="57" t="e">
        <f t="shared" si="42"/>
        <v>#DIV/0!</v>
      </c>
      <c r="BA92" s="57">
        <f t="shared" si="43"/>
        <v>0</v>
      </c>
      <c r="BB92" s="58"/>
      <c r="BD92" s="105"/>
      <c r="BE92" s="106"/>
      <c r="BF92" s="106"/>
      <c r="BG92" s="76"/>
      <c r="BI92" s="105"/>
      <c r="BJ92" s="106"/>
      <c r="BK92" s="106"/>
      <c r="BL92" s="76"/>
      <c r="BN92" s="105"/>
      <c r="BO92" s="106"/>
      <c r="BP92" s="106"/>
      <c r="BQ92" s="76"/>
      <c r="BS92" s="105"/>
      <c r="BT92" s="106"/>
      <c r="BU92" s="106"/>
      <c r="BV92" s="76"/>
      <c r="BX92" s="105"/>
      <c r="BY92" s="106"/>
      <c r="BZ92" s="106"/>
      <c r="CA92" s="76"/>
      <c r="CC92" s="105"/>
      <c r="CD92" s="106"/>
      <c r="CE92" s="106"/>
      <c r="CF92" s="76"/>
    </row>
    <row r="93" spans="1:84" outlineLevel="1">
      <c r="A93" s="13"/>
      <c r="B93" s="14" t="s">
        <v>467</v>
      </c>
      <c r="C93" s="15" t="s">
        <v>135</v>
      </c>
      <c r="D93" s="14">
        <f>'AVSC1 limit-lossyG,lossyA,intra'!$D$89</f>
        <v>59935680</v>
      </c>
      <c r="E93" s="15">
        <v>18</v>
      </c>
      <c r="F93" s="15">
        <f>'AVSC1 limit-lossyG,lossyA,intra'!$F$83</f>
        <v>600</v>
      </c>
      <c r="G93" s="16">
        <v>10</v>
      </c>
      <c r="I93" s="30">
        <f t="shared" si="35"/>
        <v>22.08659066666667</v>
      </c>
      <c r="J93" s="31">
        <f t="shared" si="36"/>
        <v>22.110292900656169</v>
      </c>
      <c r="K93" s="31">
        <f t="shared" si="37"/>
        <v>18.942545208463471</v>
      </c>
      <c r="L93" s="87"/>
      <c r="M93" s="31">
        <f t="shared" si="38"/>
        <v>3.1603233332799427</v>
      </c>
      <c r="N93" s="31">
        <f t="shared" si="39"/>
        <v>22.110292900656169</v>
      </c>
      <c r="O93" s="521">
        <v>59935680</v>
      </c>
      <c r="P93" s="503">
        <v>1325195440</v>
      </c>
      <c r="Q93" s="357">
        <v>1135334328</v>
      </c>
      <c r="R93" s="87"/>
      <c r="S93" s="547">
        <v>189416128</v>
      </c>
      <c r="T93" s="267"/>
      <c r="U93" s="106"/>
      <c r="V93" s="106"/>
      <c r="W93" s="515">
        <v>94.785117999999997</v>
      </c>
      <c r="X93" s="507"/>
      <c r="Y93" s="359"/>
      <c r="Z93" s="573">
        <v>0</v>
      </c>
      <c r="AA93" s="573">
        <v>0</v>
      </c>
      <c r="AB93" s="33"/>
      <c r="AD93" s="30">
        <f t="shared" si="40"/>
        <v>22.08659066666667</v>
      </c>
      <c r="AE93" s="31">
        <f t="shared" si="24"/>
        <v>22.110292900656169</v>
      </c>
      <c r="AF93" s="31">
        <f t="shared" si="25"/>
        <v>18.942545208463471</v>
      </c>
      <c r="AG93" s="87" t="str">
        <f t="shared" si="26"/>
        <v>·</v>
      </c>
      <c r="AH93" s="31">
        <f t="shared" si="27"/>
        <v>3.1603233332799427</v>
      </c>
      <c r="AI93" s="31">
        <f t="shared" si="28"/>
        <v>22.110292900656169</v>
      </c>
      <c r="AJ93" s="521">
        <v>59935680</v>
      </c>
      <c r="AK93" s="503">
        <v>1325195440</v>
      </c>
      <c r="AL93" s="357">
        <v>1135334328</v>
      </c>
      <c r="AM93" s="87"/>
      <c r="AN93" s="547">
        <v>189416128</v>
      </c>
      <c r="AO93" s="267"/>
      <c r="AP93" s="106"/>
      <c r="AQ93" s="106"/>
      <c r="AR93" s="515">
        <v>94.785117999999997</v>
      </c>
      <c r="AS93" s="507">
        <v>461.7700000000001</v>
      </c>
      <c r="AT93" s="359">
        <v>198.00000000000026</v>
      </c>
      <c r="AU93" s="573">
        <v>0</v>
      </c>
      <c r="AV93" s="573">
        <v>0</v>
      </c>
      <c r="AW93" s="33"/>
      <c r="AY93" s="56" t="e">
        <f t="shared" si="41"/>
        <v>#DIV/0!</v>
      </c>
      <c r="AZ93" s="57" t="e">
        <f t="shared" si="42"/>
        <v>#DIV/0!</v>
      </c>
      <c r="BA93" s="57">
        <f t="shared" si="43"/>
        <v>0</v>
      </c>
      <c r="BB93" s="58"/>
      <c r="BD93" s="105"/>
      <c r="BE93" s="106"/>
      <c r="BF93" s="106"/>
      <c r="BG93" s="76"/>
      <c r="BI93" s="105"/>
      <c r="BJ93" s="106"/>
      <c r="BK93" s="106"/>
      <c r="BL93" s="76"/>
      <c r="BN93" s="105"/>
      <c r="BO93" s="106"/>
      <c r="BP93" s="106"/>
      <c r="BQ93" s="76"/>
      <c r="BS93" s="105"/>
      <c r="BT93" s="106"/>
      <c r="BU93" s="106"/>
      <c r="BV93" s="76"/>
      <c r="BX93" s="105"/>
      <c r="BY93" s="106"/>
      <c r="BZ93" s="106"/>
      <c r="CA93" s="76"/>
      <c r="CC93" s="105"/>
      <c r="CD93" s="106"/>
      <c r="CE93" s="106"/>
      <c r="CF93" s="76"/>
    </row>
    <row r="94" spans="1:84" ht="14.25" outlineLevel="1" thickBot="1">
      <c r="A94" s="13"/>
      <c r="B94" s="18" t="s">
        <v>467</v>
      </c>
      <c r="C94" s="19" t="s">
        <v>136</v>
      </c>
      <c r="D94" s="18">
        <f>'AVSC1 limit-lossyG,lossyA,intra'!$D$89</f>
        <v>59935680</v>
      </c>
      <c r="E94" s="19">
        <v>18</v>
      </c>
      <c r="F94" s="19">
        <f>'AVSC1 limit-lossyG,lossyA,intra'!$F$83</f>
        <v>600</v>
      </c>
      <c r="G94" s="20">
        <v>10</v>
      </c>
      <c r="I94" s="34">
        <f t="shared" si="35"/>
        <v>23.137575733333335</v>
      </c>
      <c r="J94" s="35">
        <f t="shared" si="36"/>
        <v>23.162405832385652</v>
      </c>
      <c r="K94" s="35">
        <f t="shared" si="37"/>
        <v>18.942545208463471</v>
      </c>
      <c r="L94" s="89"/>
      <c r="M94" s="35">
        <f t="shared" si="38"/>
        <v>4.2124532165147706</v>
      </c>
      <c r="N94" s="35">
        <f t="shared" si="39"/>
        <v>23.162405832385652</v>
      </c>
      <c r="O94" s="525">
        <v>59935680</v>
      </c>
      <c r="P94" s="505">
        <v>1388254544</v>
      </c>
      <c r="Q94" s="361">
        <v>1135334328</v>
      </c>
      <c r="R94" s="89"/>
      <c r="S94" s="548">
        <v>252476248</v>
      </c>
      <c r="T94" s="545"/>
      <c r="U94" s="109"/>
      <c r="V94" s="109"/>
      <c r="W94" s="517">
        <v>99.523101999999994</v>
      </c>
      <c r="X94" s="509"/>
      <c r="Y94" s="363"/>
      <c r="Z94" s="575">
        <v>0</v>
      </c>
      <c r="AA94" s="575">
        <v>0</v>
      </c>
      <c r="AB94" s="37"/>
      <c r="AD94" s="34">
        <f t="shared" si="40"/>
        <v>23.137575733333335</v>
      </c>
      <c r="AE94" s="35">
        <f t="shared" si="24"/>
        <v>23.162405832385652</v>
      </c>
      <c r="AF94" s="35">
        <f t="shared" si="25"/>
        <v>18.942545208463471</v>
      </c>
      <c r="AG94" s="89" t="str">
        <f t="shared" si="26"/>
        <v>·</v>
      </c>
      <c r="AH94" s="35">
        <f t="shared" si="27"/>
        <v>4.2124532165147706</v>
      </c>
      <c r="AI94" s="35">
        <f t="shared" si="28"/>
        <v>23.162405832385652</v>
      </c>
      <c r="AJ94" s="525">
        <v>59935680</v>
      </c>
      <c r="AK94" s="505">
        <v>1388254544</v>
      </c>
      <c r="AL94" s="361">
        <v>1135334328</v>
      </c>
      <c r="AM94" s="89"/>
      <c r="AN94" s="548">
        <v>252476248</v>
      </c>
      <c r="AO94" s="545"/>
      <c r="AP94" s="109"/>
      <c r="AQ94" s="109"/>
      <c r="AR94" s="517">
        <v>99.523101999999994</v>
      </c>
      <c r="AS94" s="509">
        <v>523.38800000000003</v>
      </c>
      <c r="AT94" s="363">
        <v>215.75299999999964</v>
      </c>
      <c r="AU94" s="575">
        <v>0</v>
      </c>
      <c r="AV94" s="575">
        <v>0</v>
      </c>
      <c r="AW94" s="37"/>
      <c r="AY94" s="59" t="e">
        <f t="shared" si="41"/>
        <v>#DIV/0!</v>
      </c>
      <c r="AZ94" s="60" t="e">
        <f t="shared" si="42"/>
        <v>#DIV/0!</v>
      </c>
      <c r="BA94" s="60">
        <f t="shared" si="43"/>
        <v>0</v>
      </c>
      <c r="BB94" s="61"/>
      <c r="BD94" s="108"/>
      <c r="BE94" s="109"/>
      <c r="BF94" s="109"/>
      <c r="BG94" s="79"/>
      <c r="BI94" s="108"/>
      <c r="BJ94" s="109"/>
      <c r="BK94" s="109"/>
      <c r="BL94" s="79"/>
      <c r="BN94" s="108"/>
      <c r="BO94" s="109"/>
      <c r="BP94" s="109"/>
      <c r="BQ94" s="79"/>
      <c r="BS94" s="108"/>
      <c r="BT94" s="109"/>
      <c r="BU94" s="109"/>
      <c r="BV94" s="79"/>
      <c r="BX94" s="108"/>
      <c r="BY94" s="109"/>
      <c r="BZ94" s="109"/>
      <c r="CA94" s="79"/>
      <c r="CC94" s="108"/>
      <c r="CD94" s="109"/>
      <c r="CE94" s="109"/>
      <c r="CF94" s="79"/>
    </row>
    <row r="95" spans="1:84">
      <c r="A95" s="13"/>
      <c r="B95" s="24" t="s">
        <v>470</v>
      </c>
      <c r="C95" s="25" t="s">
        <v>131</v>
      </c>
      <c r="D95" s="27">
        <f>'AVSC1 limit-lossyG,lossyA,intra'!$D$95</f>
        <v>59948032</v>
      </c>
      <c r="E95" s="25">
        <v>18</v>
      </c>
      <c r="F95" s="25">
        <f>'AVSC1 limit-lossyG,lossyA,intra'!$F$83</f>
        <v>600</v>
      </c>
      <c r="G95" s="26">
        <v>10</v>
      </c>
      <c r="I95" s="46">
        <f t="shared" si="35"/>
        <v>20.389928133333331</v>
      </c>
      <c r="J95" s="47">
        <f t="shared" si="36"/>
        <v>20.407603839271989</v>
      </c>
      <c r="K95" s="47">
        <f t="shared" si="37"/>
        <v>20.032813087175239</v>
      </c>
      <c r="L95" s="90"/>
      <c r="M95" s="47">
        <f t="shared" si="38"/>
        <v>0.36735097492441454</v>
      </c>
      <c r="N95" s="47">
        <f t="shared" si="39"/>
        <v>20.407603839271989</v>
      </c>
      <c r="O95" s="520">
        <v>59948032</v>
      </c>
      <c r="P95" s="502">
        <v>1223395688</v>
      </c>
      <c r="Q95" s="353">
        <v>1200927720</v>
      </c>
      <c r="R95" s="90"/>
      <c r="S95" s="546">
        <v>22021968</v>
      </c>
      <c r="T95" s="266"/>
      <c r="U95" s="104"/>
      <c r="V95" s="104"/>
      <c r="W95" s="514">
        <v>72.581421000000006</v>
      </c>
      <c r="X95" s="506"/>
      <c r="Y95" s="355"/>
      <c r="Z95" s="572">
        <v>0</v>
      </c>
      <c r="AA95" s="572">
        <v>0</v>
      </c>
      <c r="AB95" s="49"/>
      <c r="AD95" s="46">
        <f t="shared" si="40"/>
        <v>20.389928133333331</v>
      </c>
      <c r="AE95" s="47">
        <f t="shared" si="24"/>
        <v>20.407603839271989</v>
      </c>
      <c r="AF95" s="47">
        <f t="shared" si="25"/>
        <v>20.032813087175239</v>
      </c>
      <c r="AG95" s="90" t="str">
        <f t="shared" si="26"/>
        <v>·</v>
      </c>
      <c r="AH95" s="47">
        <f t="shared" si="27"/>
        <v>0.36735097492441454</v>
      </c>
      <c r="AI95" s="47">
        <f t="shared" si="28"/>
        <v>20.407603839271989</v>
      </c>
      <c r="AJ95" s="520">
        <v>59948032</v>
      </c>
      <c r="AK95" s="502">
        <v>1223395688</v>
      </c>
      <c r="AL95" s="353">
        <v>1200927720</v>
      </c>
      <c r="AM95" s="90"/>
      <c r="AN95" s="546">
        <v>22021968</v>
      </c>
      <c r="AO95" s="266"/>
      <c r="AP95" s="104"/>
      <c r="AQ95" s="104"/>
      <c r="AR95" s="514">
        <v>72.581421000000006</v>
      </c>
      <c r="AS95" s="506">
        <v>540.57700000000034</v>
      </c>
      <c r="AT95" s="355">
        <v>180.15400000000011</v>
      </c>
      <c r="AU95" s="572">
        <v>0</v>
      </c>
      <c r="AV95" s="572">
        <v>0</v>
      </c>
      <c r="AW95" s="49"/>
      <c r="AY95" s="68" t="e">
        <f t="shared" si="41"/>
        <v>#DIV/0!</v>
      </c>
      <c r="AZ95" s="69" t="e">
        <f t="shared" si="42"/>
        <v>#DIV/0!</v>
      </c>
      <c r="BA95" s="69">
        <f t="shared" si="43"/>
        <v>0</v>
      </c>
      <c r="BB95" s="70">
        <f t="array" ref="BB95">AVERAGE(AL95:AL100/AK95:AK100) - AVERAGE(Q95:Q100/P95:P100)</f>
        <v>0</v>
      </c>
      <c r="BD95" s="103"/>
      <c r="BE95" s="104"/>
      <c r="BF95" s="104"/>
      <c r="BG95" s="86">
        <f>IF( OR(ISBLANK($S95:$S100),ISBLANK($AN95:$AN100), ISBLANK($W95:$W100),ISBLANK($AR95:$AR100)), "·", bdRateHermite( $S95:$S100,$W95:$W100, $AN95:$AN100,$AR95:$AR100))</f>
        <v>0</v>
      </c>
      <c r="BH95" s="1"/>
      <c r="BI95" s="103"/>
      <c r="BJ95" s="104"/>
      <c r="BK95" s="104"/>
      <c r="BL95" s="85">
        <f>IF(OR(ISBLANK($P95:$P100),ISBLANK($AK95:$AK100),ISBLANK($W95:$W100),ISBLANK($AR95:$AR100)),"·",bdRateHermite($P95:$P100,$W95:$W100,$AK95:$AK100,$AR95:$AR100))</f>
        <v>0</v>
      </c>
      <c r="BM95" s="1"/>
      <c r="BN95" s="103"/>
      <c r="BO95" s="104"/>
      <c r="BP95" s="104"/>
      <c r="BQ95" s="86">
        <f>IF( OR(ISBLANK($S95:$S100),ISBLANK($AN95:$AN100), ISBLANK($W95:$W100),ISBLANK($AR95:$AR100)), "·", bdRateHermite( $S96:$S100,$W96:$W100, $AN96:$AN100,$AR96:$AR100))</f>
        <v>0</v>
      </c>
      <c r="BS95" s="103"/>
      <c r="BT95" s="104"/>
      <c r="BU95" s="104"/>
      <c r="BV95" s="85">
        <f>IF(OR(ISBLANK($P95:$P100),ISBLANK($AK95:$AK100),ISBLANK($W95:$W100),ISBLANK($AR95:$AR100)),"·",bdRateHermite($P96:$P100,$W96:$W100,$AK96:$AK100,$AR96:$AR100))</f>
        <v>0</v>
      </c>
      <c r="BX95" s="103"/>
      <c r="BY95" s="104"/>
      <c r="BZ95" s="104"/>
      <c r="CA95" s="86">
        <f>IF( OR(ISBLANK($S95:$S99),ISBLANK($AN95:$AN99), ISBLANK($W95:$W99),ISBLANK($AR95:$AR99)), "·", bdRateHermite( $S95:$S99,$W95:$W99, $AN95:$AN99,$AR95:$AR99))</f>
        <v>0</v>
      </c>
      <c r="CC95" s="103"/>
      <c r="CD95" s="104"/>
      <c r="CE95" s="104"/>
      <c r="CF95" s="85">
        <f>IF(OR(ISBLANK($P95:$P99),ISBLANK($AK95:$AK99),ISBLANK($W95:$W99),ISBLANK($AR95:$AR99)),"·",bdRateHermite($P95:$P99,$W95:$W99,$AK95:$AK99,$AR95:$AR99))</f>
        <v>0</v>
      </c>
    </row>
    <row r="96" spans="1:84" outlineLevel="1">
      <c r="A96" s="13"/>
      <c r="B96" s="14" t="s">
        <v>470</v>
      </c>
      <c r="C96" s="15" t="s">
        <v>132</v>
      </c>
      <c r="D96" s="24">
        <f>'AVSC1 limit-lossyG,lossyA,intra'!$D$95</f>
        <v>59948032</v>
      </c>
      <c r="E96" s="15">
        <v>18</v>
      </c>
      <c r="F96" s="15">
        <f>'AVSC1 limit-lossyG,lossyA,intra'!$F$83</f>
        <v>600</v>
      </c>
      <c r="G96" s="16">
        <v>10</v>
      </c>
      <c r="I96" s="30">
        <f t="shared" si="35"/>
        <v>20.904415733333334</v>
      </c>
      <c r="J96" s="31">
        <f t="shared" si="36"/>
        <v>20.922537440428403</v>
      </c>
      <c r="K96" s="31">
        <f t="shared" si="37"/>
        <v>20.032813087175239</v>
      </c>
      <c r="L96" s="87"/>
      <c r="M96" s="31">
        <f t="shared" si="38"/>
        <v>0.88228457608082944</v>
      </c>
      <c r="N96" s="31">
        <f t="shared" si="39"/>
        <v>20.922537440428403</v>
      </c>
      <c r="O96" s="523">
        <v>59948032</v>
      </c>
      <c r="P96" s="503">
        <v>1254264944</v>
      </c>
      <c r="Q96" s="357">
        <v>1200927720</v>
      </c>
      <c r="R96" s="87"/>
      <c r="S96" s="547">
        <v>52891224</v>
      </c>
      <c r="T96" s="267"/>
      <c r="U96" s="106"/>
      <c r="V96" s="106"/>
      <c r="W96" s="515">
        <v>77.807616999999993</v>
      </c>
      <c r="X96" s="507"/>
      <c r="Y96" s="359"/>
      <c r="Z96" s="573">
        <v>0</v>
      </c>
      <c r="AA96" s="573">
        <v>0</v>
      </c>
      <c r="AB96" s="33"/>
      <c r="AD96" s="30">
        <f t="shared" si="40"/>
        <v>20.904415733333334</v>
      </c>
      <c r="AE96" s="31">
        <f t="shared" si="24"/>
        <v>20.922537440428403</v>
      </c>
      <c r="AF96" s="31">
        <f t="shared" si="25"/>
        <v>20.032813087175239</v>
      </c>
      <c r="AG96" s="87" t="str">
        <f t="shared" si="26"/>
        <v>·</v>
      </c>
      <c r="AH96" s="31">
        <f t="shared" si="27"/>
        <v>0.88228457608082944</v>
      </c>
      <c r="AI96" s="31">
        <f t="shared" si="28"/>
        <v>20.922537440428403</v>
      </c>
      <c r="AJ96" s="523">
        <v>59948032</v>
      </c>
      <c r="AK96" s="503">
        <v>1254264944</v>
      </c>
      <c r="AL96" s="357">
        <v>1200927720</v>
      </c>
      <c r="AM96" s="87"/>
      <c r="AN96" s="547">
        <v>52891224</v>
      </c>
      <c r="AO96" s="267"/>
      <c r="AP96" s="106"/>
      <c r="AQ96" s="106"/>
      <c r="AR96" s="515">
        <v>77.807616999999993</v>
      </c>
      <c r="AS96" s="507">
        <v>515.9939999999998</v>
      </c>
      <c r="AT96" s="359">
        <v>195.70800000000025</v>
      </c>
      <c r="AU96" s="573">
        <v>0</v>
      </c>
      <c r="AV96" s="573">
        <v>0</v>
      </c>
      <c r="AW96" s="33"/>
      <c r="AY96" s="56" t="e">
        <f t="shared" si="41"/>
        <v>#DIV/0!</v>
      </c>
      <c r="AZ96" s="57" t="e">
        <f t="shared" si="42"/>
        <v>#DIV/0!</v>
      </c>
      <c r="BA96" s="57">
        <f t="shared" si="43"/>
        <v>0</v>
      </c>
      <c r="BB96" s="58"/>
      <c r="BD96" s="105"/>
      <c r="BE96" s="106"/>
      <c r="BF96" s="106"/>
      <c r="BG96" s="107"/>
      <c r="BI96" s="105"/>
      <c r="BJ96" s="106"/>
      <c r="BK96" s="106"/>
      <c r="BL96" s="76"/>
      <c r="BN96" s="105"/>
      <c r="BO96" s="106"/>
      <c r="BP96" s="106"/>
      <c r="BQ96" s="107"/>
      <c r="BS96" s="105"/>
      <c r="BT96" s="106"/>
      <c r="BU96" s="106"/>
      <c r="BV96" s="76"/>
      <c r="BX96" s="105"/>
      <c r="BY96" s="106"/>
      <c r="BZ96" s="106"/>
      <c r="CA96" s="107"/>
      <c r="CC96" s="105"/>
      <c r="CD96" s="106"/>
      <c r="CE96" s="106"/>
      <c r="CF96" s="76"/>
    </row>
    <row r="97" spans="1:84" outlineLevel="1">
      <c r="A97" s="13"/>
      <c r="B97" s="14" t="s">
        <v>468</v>
      </c>
      <c r="C97" s="15" t="s">
        <v>133</v>
      </c>
      <c r="D97" s="24">
        <f>'AVSC1 limit-lossyG,lossyA,intra'!$D$95</f>
        <v>59948032</v>
      </c>
      <c r="E97" s="15">
        <v>18</v>
      </c>
      <c r="F97" s="15">
        <f>'AVSC1 limit-lossyG,lossyA,intra'!$F$83</f>
        <v>600</v>
      </c>
      <c r="G97" s="16">
        <v>10</v>
      </c>
      <c r="I97" s="30">
        <f t="shared" si="35"/>
        <v>21.574364533333334</v>
      </c>
      <c r="J97" s="31">
        <f t="shared" si="36"/>
        <v>21.593067008438243</v>
      </c>
      <c r="K97" s="31">
        <f t="shared" si="37"/>
        <v>20.032813087175239</v>
      </c>
      <c r="L97" s="87"/>
      <c r="M97" s="31">
        <f t="shared" ref="M97:M106" si="44">IF(ISBLANK(Q97),"·",S97/D97)</f>
        <v>1.5528141440906684</v>
      </c>
      <c r="N97" s="31">
        <f t="shared" si="39"/>
        <v>21.593067008438243</v>
      </c>
      <c r="O97" s="523">
        <v>59948032</v>
      </c>
      <c r="P97" s="503">
        <v>1294461872</v>
      </c>
      <c r="Q97" s="357">
        <v>1200927720</v>
      </c>
      <c r="R97" s="87"/>
      <c r="S97" s="547">
        <v>93088152</v>
      </c>
      <c r="T97" s="267"/>
      <c r="U97" s="106"/>
      <c r="V97" s="106"/>
      <c r="W97" s="515">
        <v>83.353226000000006</v>
      </c>
      <c r="X97" s="507"/>
      <c r="Y97" s="359"/>
      <c r="Z97" s="573">
        <v>0</v>
      </c>
      <c r="AA97" s="573">
        <v>0</v>
      </c>
      <c r="AB97" s="33"/>
      <c r="AD97" s="30">
        <f t="shared" si="40"/>
        <v>21.574364533333334</v>
      </c>
      <c r="AE97" s="31">
        <f t="shared" si="24"/>
        <v>21.593067008438243</v>
      </c>
      <c r="AF97" s="31">
        <f t="shared" si="25"/>
        <v>20.032813087175239</v>
      </c>
      <c r="AG97" s="87" t="str">
        <f t="shared" si="26"/>
        <v>·</v>
      </c>
      <c r="AH97" s="31">
        <f t="shared" si="27"/>
        <v>1.5528141440906684</v>
      </c>
      <c r="AI97" s="31">
        <f t="shared" si="28"/>
        <v>21.593067008438243</v>
      </c>
      <c r="AJ97" s="523">
        <v>59948032</v>
      </c>
      <c r="AK97" s="503">
        <v>1294461872</v>
      </c>
      <c r="AL97" s="357">
        <v>1200927720</v>
      </c>
      <c r="AM97" s="87"/>
      <c r="AN97" s="547">
        <v>93088152</v>
      </c>
      <c r="AO97" s="267"/>
      <c r="AP97" s="106"/>
      <c r="AQ97" s="106"/>
      <c r="AR97" s="515">
        <v>83.353226000000006</v>
      </c>
      <c r="AS97" s="507">
        <v>554.10599999999999</v>
      </c>
      <c r="AT97" s="359">
        <v>180.73800000000011</v>
      </c>
      <c r="AU97" s="573">
        <v>0</v>
      </c>
      <c r="AV97" s="573">
        <v>0</v>
      </c>
      <c r="AW97" s="33"/>
      <c r="AY97" s="56" t="e">
        <f t="shared" si="41"/>
        <v>#DIV/0!</v>
      </c>
      <c r="AZ97" s="57" t="e">
        <f t="shared" si="42"/>
        <v>#DIV/0!</v>
      </c>
      <c r="BA97" s="57">
        <f t="shared" si="43"/>
        <v>0</v>
      </c>
      <c r="BB97" s="58"/>
      <c r="BD97" s="105"/>
      <c r="BE97" s="106"/>
      <c r="BF97" s="106"/>
      <c r="BG97" s="107"/>
      <c r="BI97" s="105"/>
      <c r="BJ97" s="106"/>
      <c r="BK97" s="106"/>
      <c r="BL97" s="76"/>
      <c r="BN97" s="105"/>
      <c r="BO97" s="106"/>
      <c r="BP97" s="106"/>
      <c r="BQ97" s="107"/>
      <c r="BS97" s="105"/>
      <c r="BT97" s="106"/>
      <c r="BU97" s="106"/>
      <c r="BV97" s="76"/>
      <c r="BX97" s="105"/>
      <c r="BY97" s="106"/>
      <c r="BZ97" s="106"/>
      <c r="CA97" s="107"/>
      <c r="CC97" s="105"/>
      <c r="CD97" s="106"/>
      <c r="CE97" s="106"/>
      <c r="CF97" s="76"/>
    </row>
    <row r="98" spans="1:84" outlineLevel="1">
      <c r="A98" s="13"/>
      <c r="B98" s="14" t="s">
        <v>468</v>
      </c>
      <c r="C98" s="15" t="s">
        <v>134</v>
      </c>
      <c r="D98" s="24">
        <f>'AVSC1 limit-lossyG,lossyA,intra'!$D$95</f>
        <v>59948032</v>
      </c>
      <c r="E98" s="15">
        <v>18</v>
      </c>
      <c r="F98" s="15">
        <f>'AVSC1 limit-lossyG,lossyA,intra'!$F$83</f>
        <v>600</v>
      </c>
      <c r="G98" s="16">
        <v>10</v>
      </c>
      <c r="I98" s="30">
        <f t="shared" si="35"/>
        <v>22.373289733333333</v>
      </c>
      <c r="J98" s="31">
        <f t="shared" si="36"/>
        <v>22.392684784047624</v>
      </c>
      <c r="K98" s="31">
        <f t="shared" si="37"/>
        <v>20.032813087175239</v>
      </c>
      <c r="L98" s="87"/>
      <c r="M98" s="31">
        <f t="shared" si="44"/>
        <v>2.3524440635515775</v>
      </c>
      <c r="N98" s="31">
        <f t="shared" si="39"/>
        <v>22.392684784047624</v>
      </c>
      <c r="O98" s="523">
        <v>59948032</v>
      </c>
      <c r="P98" s="503">
        <v>1342397384</v>
      </c>
      <c r="Q98" s="357">
        <v>1200927720</v>
      </c>
      <c r="R98" s="87"/>
      <c r="S98" s="547">
        <v>141024392</v>
      </c>
      <c r="T98" s="267"/>
      <c r="U98" s="106"/>
      <c r="V98" s="106"/>
      <c r="W98" s="515">
        <v>89.100082</v>
      </c>
      <c r="X98" s="507"/>
      <c r="Y98" s="359"/>
      <c r="Z98" s="573">
        <v>0</v>
      </c>
      <c r="AA98" s="573">
        <v>0</v>
      </c>
      <c r="AB98" s="33"/>
      <c r="AD98" s="30">
        <f t="shared" si="40"/>
        <v>22.373289733333333</v>
      </c>
      <c r="AE98" s="31">
        <f t="shared" si="24"/>
        <v>22.392684784047624</v>
      </c>
      <c r="AF98" s="31">
        <f t="shared" si="25"/>
        <v>20.032813087175239</v>
      </c>
      <c r="AG98" s="87" t="str">
        <f t="shared" si="26"/>
        <v>·</v>
      </c>
      <c r="AH98" s="31">
        <f t="shared" si="27"/>
        <v>2.3524440635515775</v>
      </c>
      <c r="AI98" s="31">
        <f t="shared" si="28"/>
        <v>22.392684784047624</v>
      </c>
      <c r="AJ98" s="523">
        <v>59948032</v>
      </c>
      <c r="AK98" s="503">
        <v>1342397384</v>
      </c>
      <c r="AL98" s="357">
        <v>1200927720</v>
      </c>
      <c r="AM98" s="87"/>
      <c r="AN98" s="547">
        <v>141024392</v>
      </c>
      <c r="AO98" s="267"/>
      <c r="AP98" s="106"/>
      <c r="AQ98" s="106"/>
      <c r="AR98" s="515">
        <v>89.100082</v>
      </c>
      <c r="AS98" s="507">
        <v>512.07399999999996</v>
      </c>
      <c r="AT98" s="359">
        <v>202.16200000000001</v>
      </c>
      <c r="AU98" s="573">
        <v>0</v>
      </c>
      <c r="AV98" s="573">
        <v>0</v>
      </c>
      <c r="AW98" s="33"/>
      <c r="AY98" s="56" t="e">
        <f t="shared" si="41"/>
        <v>#DIV/0!</v>
      </c>
      <c r="AZ98" s="57" t="e">
        <f t="shared" si="42"/>
        <v>#DIV/0!</v>
      </c>
      <c r="BA98" s="57">
        <f t="shared" si="43"/>
        <v>0</v>
      </c>
      <c r="BB98" s="58"/>
      <c r="BD98" s="105"/>
      <c r="BE98" s="106"/>
      <c r="BF98" s="106"/>
      <c r="BG98" s="107"/>
      <c r="BI98" s="105"/>
      <c r="BJ98" s="106"/>
      <c r="BK98" s="106"/>
      <c r="BL98" s="76"/>
      <c r="BN98" s="105"/>
      <c r="BO98" s="106"/>
      <c r="BP98" s="106"/>
      <c r="BQ98" s="107"/>
      <c r="BS98" s="105"/>
      <c r="BT98" s="106"/>
      <c r="BU98" s="106"/>
      <c r="BV98" s="76"/>
      <c r="BX98" s="105"/>
      <c r="BY98" s="106"/>
      <c r="BZ98" s="106"/>
      <c r="CA98" s="107"/>
      <c r="CC98" s="105"/>
      <c r="CD98" s="106"/>
      <c r="CE98" s="106"/>
      <c r="CF98" s="76"/>
    </row>
    <row r="99" spans="1:84" outlineLevel="1">
      <c r="A99" s="13"/>
      <c r="B99" s="14" t="s">
        <v>468</v>
      </c>
      <c r="C99" s="15" t="s">
        <v>135</v>
      </c>
      <c r="D99" s="24">
        <f>'AVSC1 limit-lossyG,lossyA,intra'!$D$95</f>
        <v>59948032</v>
      </c>
      <c r="E99" s="15">
        <v>18</v>
      </c>
      <c r="F99" s="15">
        <f>'AVSC1 limit-lossyG,lossyA,intra'!$F$83</f>
        <v>600</v>
      </c>
      <c r="G99" s="16">
        <v>10</v>
      </c>
      <c r="I99" s="30">
        <f t="shared" si="35"/>
        <v>23.272213600000001</v>
      </c>
      <c r="J99" s="31">
        <f t="shared" si="36"/>
        <v>23.292387913584886</v>
      </c>
      <c r="K99" s="31">
        <f t="shared" si="37"/>
        <v>20.032813087175239</v>
      </c>
      <c r="L99" s="87"/>
      <c r="M99" s="31">
        <f t="shared" si="44"/>
        <v>3.2521471930888408</v>
      </c>
      <c r="N99" s="31">
        <f t="shared" si="39"/>
        <v>23.292387913584886</v>
      </c>
      <c r="O99" s="523">
        <v>59948032</v>
      </c>
      <c r="P99" s="503">
        <v>1396332816</v>
      </c>
      <c r="Q99" s="357">
        <v>1200927720</v>
      </c>
      <c r="R99" s="87"/>
      <c r="S99" s="547">
        <v>194959824</v>
      </c>
      <c r="T99" s="267"/>
      <c r="U99" s="106"/>
      <c r="V99" s="106"/>
      <c r="W99" s="515">
        <v>94.678047000000007</v>
      </c>
      <c r="X99" s="507"/>
      <c r="Y99" s="359"/>
      <c r="Z99" s="573">
        <v>0</v>
      </c>
      <c r="AA99" s="573">
        <v>0</v>
      </c>
      <c r="AB99" s="33"/>
      <c r="AD99" s="30">
        <f t="shared" si="40"/>
        <v>23.272213600000001</v>
      </c>
      <c r="AE99" s="31">
        <f t="shared" si="24"/>
        <v>23.292387913584886</v>
      </c>
      <c r="AF99" s="31">
        <f t="shared" si="25"/>
        <v>20.032813087175239</v>
      </c>
      <c r="AG99" s="87" t="str">
        <f t="shared" si="26"/>
        <v>·</v>
      </c>
      <c r="AH99" s="31">
        <f t="shared" si="27"/>
        <v>3.2521471930888408</v>
      </c>
      <c r="AI99" s="31">
        <f t="shared" si="28"/>
        <v>23.292387913584886</v>
      </c>
      <c r="AJ99" s="523">
        <v>59948032</v>
      </c>
      <c r="AK99" s="503">
        <v>1396332816</v>
      </c>
      <c r="AL99" s="357">
        <v>1200927720</v>
      </c>
      <c r="AM99" s="87"/>
      <c r="AN99" s="547">
        <v>194959824</v>
      </c>
      <c r="AO99" s="267"/>
      <c r="AP99" s="106"/>
      <c r="AQ99" s="106"/>
      <c r="AR99" s="515">
        <v>94.678047000000007</v>
      </c>
      <c r="AS99" s="507">
        <v>534.60900000000061</v>
      </c>
      <c r="AT99" s="359">
        <v>191.09499999999997</v>
      </c>
      <c r="AU99" s="573">
        <v>0</v>
      </c>
      <c r="AV99" s="573">
        <v>0</v>
      </c>
      <c r="AW99" s="33"/>
      <c r="AY99" s="56" t="e">
        <f t="shared" si="41"/>
        <v>#DIV/0!</v>
      </c>
      <c r="AZ99" s="57" t="e">
        <f t="shared" si="42"/>
        <v>#DIV/0!</v>
      </c>
      <c r="BA99" s="57">
        <f t="shared" si="43"/>
        <v>0</v>
      </c>
      <c r="BB99" s="58"/>
      <c r="BD99" s="105"/>
      <c r="BE99" s="106"/>
      <c r="BF99" s="106"/>
      <c r="BG99" s="107"/>
      <c r="BI99" s="105"/>
      <c r="BJ99" s="106"/>
      <c r="BK99" s="106"/>
      <c r="BL99" s="76"/>
      <c r="BN99" s="105"/>
      <c r="BO99" s="106"/>
      <c r="BP99" s="106"/>
      <c r="BQ99" s="107"/>
      <c r="BS99" s="105"/>
      <c r="BT99" s="106"/>
      <c r="BU99" s="106"/>
      <c r="BV99" s="76"/>
      <c r="BX99" s="105"/>
      <c r="BY99" s="106"/>
      <c r="BZ99" s="106"/>
      <c r="CA99" s="107"/>
      <c r="CC99" s="105"/>
      <c r="CD99" s="106"/>
      <c r="CE99" s="106"/>
      <c r="CF99" s="76"/>
    </row>
    <row r="100" spans="1:84" ht="14.25" outlineLevel="1" thickBot="1">
      <c r="A100" s="215"/>
      <c r="B100" s="18" t="s">
        <v>468</v>
      </c>
      <c r="C100" s="19" t="s">
        <v>136</v>
      </c>
      <c r="D100" s="185">
        <f>'AVSC1 limit-lossyG,lossyA,intra'!$D$95</f>
        <v>59948032</v>
      </c>
      <c r="E100" s="19">
        <v>18</v>
      </c>
      <c r="F100" s="19">
        <f>'AVSC1 limit-lossyG,lossyA,intra'!$F$83</f>
        <v>600</v>
      </c>
      <c r="G100" s="20">
        <v>10</v>
      </c>
      <c r="I100" s="34">
        <f t="shared" si="35"/>
        <v>24.360481866666667</v>
      </c>
      <c r="J100" s="35">
        <f t="shared" si="36"/>
        <v>24.381599582785302</v>
      </c>
      <c r="K100" s="35">
        <f t="shared" si="37"/>
        <v>20.032813087175239</v>
      </c>
      <c r="L100" s="88"/>
      <c r="M100" s="35">
        <f t="shared" si="44"/>
        <v>4.3413768778931727</v>
      </c>
      <c r="N100" s="35">
        <f t="shared" si="39"/>
        <v>24.381599582785302</v>
      </c>
      <c r="O100" s="524">
        <v>59948032</v>
      </c>
      <c r="P100" s="505">
        <v>1461628912</v>
      </c>
      <c r="Q100" s="361">
        <v>1200927720</v>
      </c>
      <c r="R100" s="88"/>
      <c r="S100" s="548">
        <v>260257000</v>
      </c>
      <c r="T100" s="545"/>
      <c r="U100" s="109"/>
      <c r="V100" s="109"/>
      <c r="W100" s="517">
        <v>99.443916000000002</v>
      </c>
      <c r="X100" s="509"/>
      <c r="Y100" s="363"/>
      <c r="Z100" s="575">
        <v>0</v>
      </c>
      <c r="AA100" s="575">
        <v>0</v>
      </c>
      <c r="AB100" s="37"/>
      <c r="AD100" s="34">
        <f t="shared" si="40"/>
        <v>24.360481866666667</v>
      </c>
      <c r="AE100" s="35">
        <f t="shared" si="24"/>
        <v>24.381599582785302</v>
      </c>
      <c r="AF100" s="35">
        <f t="shared" si="25"/>
        <v>20.032813087175239</v>
      </c>
      <c r="AG100" s="88" t="str">
        <f t="shared" si="26"/>
        <v>·</v>
      </c>
      <c r="AH100" s="35">
        <f t="shared" si="27"/>
        <v>4.3413768778931727</v>
      </c>
      <c r="AI100" s="35">
        <f t="shared" si="28"/>
        <v>24.381599582785302</v>
      </c>
      <c r="AJ100" s="524">
        <v>59948032</v>
      </c>
      <c r="AK100" s="505">
        <v>1461628912</v>
      </c>
      <c r="AL100" s="361">
        <v>1200927720</v>
      </c>
      <c r="AM100" s="88"/>
      <c r="AN100" s="548">
        <v>260257000</v>
      </c>
      <c r="AO100" s="545"/>
      <c r="AP100" s="109"/>
      <c r="AQ100" s="109"/>
      <c r="AR100" s="517">
        <v>99.443916000000002</v>
      </c>
      <c r="AS100" s="509">
        <v>516.5579999999992</v>
      </c>
      <c r="AT100" s="363">
        <v>197.68499999999972</v>
      </c>
      <c r="AU100" s="575">
        <v>0</v>
      </c>
      <c r="AV100" s="575">
        <v>0</v>
      </c>
      <c r="AW100" s="37"/>
      <c r="AY100" s="59" t="e">
        <f t="shared" si="41"/>
        <v>#DIV/0!</v>
      </c>
      <c r="AZ100" s="60" t="e">
        <f t="shared" si="42"/>
        <v>#DIV/0!</v>
      </c>
      <c r="BA100" s="60">
        <f t="shared" si="43"/>
        <v>0</v>
      </c>
      <c r="BB100" s="61"/>
      <c r="BD100" s="108"/>
      <c r="BE100" s="109"/>
      <c r="BF100" s="109"/>
      <c r="BG100" s="110"/>
      <c r="BI100" s="108"/>
      <c r="BJ100" s="109"/>
      <c r="BK100" s="109"/>
      <c r="BL100" s="79"/>
      <c r="BN100" s="108"/>
      <c r="BO100" s="109"/>
      <c r="BP100" s="109"/>
      <c r="BQ100" s="110"/>
      <c r="BS100" s="108"/>
      <c r="BT100" s="109"/>
      <c r="BU100" s="109"/>
      <c r="BV100" s="79"/>
      <c r="BX100" s="108"/>
      <c r="BY100" s="109"/>
      <c r="BZ100" s="109"/>
      <c r="CA100" s="110"/>
      <c r="CC100" s="108"/>
      <c r="CD100" s="109"/>
      <c r="CE100" s="109"/>
      <c r="CF100" s="79"/>
    </row>
    <row r="101" spans="1:84" s="1" customFormat="1">
      <c r="A101" s="13"/>
      <c r="B101" s="24" t="s">
        <v>814</v>
      </c>
      <c r="C101" s="25" t="s">
        <v>131</v>
      </c>
      <c r="D101" s="27">
        <v>40386600</v>
      </c>
      <c r="E101" s="25">
        <v>20</v>
      </c>
      <c r="F101" s="25">
        <v>387</v>
      </c>
      <c r="G101" s="26">
        <v>20</v>
      </c>
      <c r="H101" s="251"/>
      <c r="I101" s="46">
        <f t="shared" ref="I101:I106" si="45">IF(OR(ISBLANK(P101),ISBLANK(G101)),"·",P101*G101/F101/1000000)</f>
        <v>31.34693581395349</v>
      </c>
      <c r="J101" s="47">
        <f t="shared" ref="J101:J106" si="46">IF(ISBLANK(P101),"·",P101/D101)</f>
        <v>15.018922315817623</v>
      </c>
      <c r="K101" s="47">
        <f t="shared" ref="K101:K106" si="47">IF(Q101="","·",Q101/D101)</f>
        <v>14.81315248126854</v>
      </c>
      <c r="L101" s="92"/>
      <c r="M101" s="47">
        <f t="shared" si="44"/>
        <v>0.19859438526640025</v>
      </c>
      <c r="N101" s="47">
        <f t="shared" ref="N101:N106" si="48">IF(ISBLANK(P101),"·",P101/O101)</f>
        <v>15.018922315817623</v>
      </c>
      <c r="O101" s="520">
        <v>40386600</v>
      </c>
      <c r="P101" s="502">
        <v>606563208</v>
      </c>
      <c r="Q101" s="353">
        <v>598252864</v>
      </c>
      <c r="R101" s="92"/>
      <c r="S101" s="546">
        <v>8020552</v>
      </c>
      <c r="T101" s="266"/>
      <c r="U101" s="104"/>
      <c r="V101" s="104"/>
      <c r="W101" s="514">
        <v>72.805847</v>
      </c>
      <c r="X101" s="506"/>
      <c r="Y101" s="355"/>
      <c r="Z101" s="572">
        <v>0</v>
      </c>
      <c r="AA101" s="572">
        <v>0</v>
      </c>
      <c r="AB101" s="49"/>
      <c r="AD101" s="46">
        <f t="shared" ref="AD101:AD106" si="49">IF(OR(ISBLANK(AK101),ISBLANK(G101)),"·",AK101*G101/F101/1000000)</f>
        <v>31.34693581395349</v>
      </c>
      <c r="AE101" s="47">
        <f t="shared" si="24"/>
        <v>15.018922315817623</v>
      </c>
      <c r="AF101" s="47">
        <f t="shared" si="25"/>
        <v>14.81315248126854</v>
      </c>
      <c r="AG101" s="92" t="str">
        <f t="shared" si="26"/>
        <v>·</v>
      </c>
      <c r="AH101" s="47">
        <f t="shared" si="27"/>
        <v>0.19859438526640025</v>
      </c>
      <c r="AI101" s="47">
        <f t="shared" si="28"/>
        <v>15.018922315817623</v>
      </c>
      <c r="AJ101" s="520">
        <v>40386600</v>
      </c>
      <c r="AK101" s="502">
        <v>606563208</v>
      </c>
      <c r="AL101" s="353">
        <v>598252864</v>
      </c>
      <c r="AM101" s="92"/>
      <c r="AN101" s="546">
        <v>8020552</v>
      </c>
      <c r="AO101" s="266"/>
      <c r="AP101" s="104"/>
      <c r="AQ101" s="104"/>
      <c r="AR101" s="514">
        <v>72.805847</v>
      </c>
      <c r="AS101" s="506">
        <v>270.07400000000013</v>
      </c>
      <c r="AT101" s="355">
        <v>102.97399999999998</v>
      </c>
      <c r="AU101" s="572">
        <v>0</v>
      </c>
      <c r="AV101" s="572">
        <v>0</v>
      </c>
      <c r="AW101" s="49"/>
      <c r="AY101" s="68" t="e">
        <f t="shared" ref="AY101:AY106" si="50">AU101/Z101</f>
        <v>#DIV/0!</v>
      </c>
      <c r="AZ101" s="69" t="e">
        <f t="shared" ref="AZ101:AZ106" si="51">AV101/AA101</f>
        <v>#DIV/0!</v>
      </c>
      <c r="BA101" s="69">
        <f t="shared" ref="BA101:BA106" si="52">(AL101/AK101) - (Q101/P101)</f>
        <v>0</v>
      </c>
      <c r="BB101" s="70">
        <f t="array" ref="BB101">AVERAGE(AL101:AL106/AK101:AK106) - AVERAGE(Q101:Q106/P101:P106)</f>
        <v>0</v>
      </c>
      <c r="BD101" s="103"/>
      <c r="BE101" s="104"/>
      <c r="BF101" s="104"/>
      <c r="BG101" s="86">
        <f>IF( OR(ISBLANK($S101:$S106),ISBLANK($AN101:$AN106), ISBLANK($W101:$W106),ISBLANK($AR101:$AR106)), "·", bdRateHermite( $S101:$S106,$W101:$W106, $AN101:$AN106,$AR101:$AR106))</f>
        <v>0</v>
      </c>
      <c r="BI101" s="103"/>
      <c r="BJ101" s="104"/>
      <c r="BK101" s="104"/>
      <c r="BL101" s="85">
        <f>IF(OR(ISBLANK($P101:$P106),ISBLANK($AK101:$AK106),ISBLANK($W101:$W106),ISBLANK($AR101:$AR106)),"·",bdRateHermite($P101:$P106,$W101:$W106,$AK101:$AK106,$AR101:$AR106))</f>
        <v>0</v>
      </c>
      <c r="BN101" s="103"/>
      <c r="BO101" s="104"/>
      <c r="BP101" s="104"/>
      <c r="BQ101" s="86">
        <f>IF( OR(ISBLANK($S101:$S106),ISBLANK($AN101:$AN106), ISBLANK($W101:$W106),ISBLANK($AR101:$AR106)), "·", bdRateHermite( $S102:$S106,$W102:$W106, $AN102:$AN106,$AR102:$AR106))</f>
        <v>0</v>
      </c>
      <c r="BS101" s="103"/>
      <c r="BT101" s="104"/>
      <c r="BU101" s="104"/>
      <c r="BV101" s="85">
        <f>IF(OR(ISBLANK($P101:$P106),ISBLANK($AK101:$AK106),ISBLANK($W101:$W106),ISBLANK($AR101:$AR106)),"·",bdRateHermite($P102:$P106,$W102:$W106,$AK102:$AK106,$AR102:$AR106))</f>
        <v>0</v>
      </c>
      <c r="BX101" s="103"/>
      <c r="BY101" s="104"/>
      <c r="BZ101" s="104"/>
      <c r="CA101" s="86">
        <f>IF( OR(ISBLANK($S101:$S105),ISBLANK($AN101:$AN105), ISBLANK($W101:$W105),ISBLANK($AR101:$AR105)), "·", bdRateHermite( $S101:$S105,$W101:$W105, $AN101:$AN105,$AR101:$AR105))</f>
        <v>0</v>
      </c>
      <c r="CC101" s="103"/>
      <c r="CD101" s="104"/>
      <c r="CE101" s="104"/>
      <c r="CF101" s="85">
        <f>IF(OR(ISBLANK($P101:$P105),ISBLANK($AK101:$AK105),ISBLANK($W101:$W105),ISBLANK($AR101:$AR105)),"·",bdRateHermite($P101:$P105,$W101:$W105,$AK101:$AK105,$AR101:$AR105))</f>
        <v>0</v>
      </c>
    </row>
    <row r="102" spans="1:84" s="1" customFormat="1" outlineLevel="1">
      <c r="A102" s="13"/>
      <c r="B102" s="24" t="s">
        <v>813</v>
      </c>
      <c r="C102" s="15" t="s">
        <v>132</v>
      </c>
      <c r="D102" s="24">
        <v>40386600</v>
      </c>
      <c r="E102" s="15">
        <v>20</v>
      </c>
      <c r="F102" s="25">
        <v>387</v>
      </c>
      <c r="G102" s="26">
        <v>20</v>
      </c>
      <c r="H102" s="251"/>
      <c r="I102" s="30">
        <f t="shared" si="45"/>
        <v>31.873248992248062</v>
      </c>
      <c r="J102" s="31">
        <f t="shared" si="46"/>
        <v>15.271089123620211</v>
      </c>
      <c r="K102" s="31">
        <f t="shared" si="47"/>
        <v>14.81315248126854</v>
      </c>
      <c r="L102" s="87"/>
      <c r="M102" s="31">
        <f t="shared" si="44"/>
        <v>0.45076119306898821</v>
      </c>
      <c r="N102" s="31">
        <f t="shared" si="48"/>
        <v>15.271089123620211</v>
      </c>
      <c r="O102" s="521">
        <v>40386600</v>
      </c>
      <c r="P102" s="503">
        <v>616747368</v>
      </c>
      <c r="Q102" s="357">
        <v>598252864</v>
      </c>
      <c r="R102" s="87"/>
      <c r="S102" s="547">
        <v>18204712</v>
      </c>
      <c r="T102" s="267"/>
      <c r="U102" s="106"/>
      <c r="V102" s="106"/>
      <c r="W102" s="515">
        <v>78.562873999999994</v>
      </c>
      <c r="X102" s="507"/>
      <c r="Y102" s="359"/>
      <c r="Z102" s="573">
        <v>0</v>
      </c>
      <c r="AA102" s="573">
        <v>0</v>
      </c>
      <c r="AB102" s="33"/>
      <c r="AD102" s="30">
        <f t="shared" si="49"/>
        <v>31.873248992248062</v>
      </c>
      <c r="AE102" s="31">
        <f t="shared" si="24"/>
        <v>15.271089123620211</v>
      </c>
      <c r="AF102" s="31">
        <f t="shared" si="25"/>
        <v>14.81315248126854</v>
      </c>
      <c r="AG102" s="87" t="str">
        <f t="shared" si="26"/>
        <v>·</v>
      </c>
      <c r="AH102" s="31">
        <f t="shared" si="27"/>
        <v>0.45076119306898821</v>
      </c>
      <c r="AI102" s="31">
        <f t="shared" si="28"/>
        <v>15.271089123620211</v>
      </c>
      <c r="AJ102" s="521">
        <v>40386600</v>
      </c>
      <c r="AK102" s="503">
        <v>616747368</v>
      </c>
      <c r="AL102" s="357">
        <v>598252864</v>
      </c>
      <c r="AM102" s="87"/>
      <c r="AN102" s="547">
        <v>18204712</v>
      </c>
      <c r="AO102" s="267"/>
      <c r="AP102" s="106"/>
      <c r="AQ102" s="106"/>
      <c r="AR102" s="515">
        <v>78.562873999999994</v>
      </c>
      <c r="AS102" s="507">
        <v>289.43699999999995</v>
      </c>
      <c r="AT102" s="359">
        <v>109</v>
      </c>
      <c r="AU102" s="573">
        <v>0</v>
      </c>
      <c r="AV102" s="573">
        <v>0</v>
      </c>
      <c r="AW102" s="33"/>
      <c r="AY102" s="56" t="e">
        <f t="shared" si="50"/>
        <v>#DIV/0!</v>
      </c>
      <c r="AZ102" s="57" t="e">
        <f t="shared" si="51"/>
        <v>#DIV/0!</v>
      </c>
      <c r="BA102" s="57">
        <f t="shared" si="52"/>
        <v>0</v>
      </c>
      <c r="BB102" s="58"/>
      <c r="BD102" s="105"/>
      <c r="BE102" s="106"/>
      <c r="BF102" s="106"/>
      <c r="BG102" s="76"/>
      <c r="BI102" s="105"/>
      <c r="BJ102" s="106"/>
      <c r="BK102" s="106"/>
      <c r="BL102" s="76"/>
      <c r="BN102" s="105"/>
      <c r="BO102" s="106"/>
      <c r="BP102" s="106"/>
      <c r="BQ102" s="76"/>
      <c r="BS102" s="105"/>
      <c r="BT102" s="106"/>
      <c r="BU102" s="106"/>
      <c r="BV102" s="76"/>
      <c r="BX102" s="105"/>
      <c r="BY102" s="106"/>
      <c r="BZ102" s="106"/>
      <c r="CA102" s="76"/>
      <c r="CC102" s="105"/>
      <c r="CD102" s="106"/>
      <c r="CE102" s="106"/>
      <c r="CF102" s="76"/>
    </row>
    <row r="103" spans="1:84" s="1" customFormat="1" outlineLevel="1">
      <c r="A103" s="13"/>
      <c r="B103" s="24" t="s">
        <v>813</v>
      </c>
      <c r="C103" s="15" t="s">
        <v>133</v>
      </c>
      <c r="D103" s="24">
        <v>40386600</v>
      </c>
      <c r="E103" s="15">
        <v>20</v>
      </c>
      <c r="F103" s="25">
        <v>387</v>
      </c>
      <c r="G103" s="26">
        <v>20</v>
      </c>
      <c r="H103" s="251"/>
      <c r="I103" s="30">
        <f t="shared" si="45"/>
        <v>32.673105529715762</v>
      </c>
      <c r="J103" s="31">
        <f t="shared" si="46"/>
        <v>15.654315837431227</v>
      </c>
      <c r="K103" s="31">
        <f t="shared" si="47"/>
        <v>14.81315248126854</v>
      </c>
      <c r="L103" s="87"/>
      <c r="M103" s="31">
        <f t="shared" si="44"/>
        <v>0.83398790688000479</v>
      </c>
      <c r="N103" s="31">
        <f t="shared" si="48"/>
        <v>15.654315837431227</v>
      </c>
      <c r="O103" s="521">
        <v>40386600</v>
      </c>
      <c r="P103" s="503">
        <v>632224592</v>
      </c>
      <c r="Q103" s="357">
        <v>598252864</v>
      </c>
      <c r="R103" s="87"/>
      <c r="S103" s="547">
        <v>33681936</v>
      </c>
      <c r="T103" s="267"/>
      <c r="U103" s="106"/>
      <c r="V103" s="106"/>
      <c r="W103" s="515">
        <v>84.215187</v>
      </c>
      <c r="X103" s="507"/>
      <c r="Y103" s="359"/>
      <c r="Z103" s="573">
        <v>0</v>
      </c>
      <c r="AA103" s="573">
        <v>0</v>
      </c>
      <c r="AB103" s="33"/>
      <c r="AD103" s="30">
        <f t="shared" si="49"/>
        <v>32.673105529715762</v>
      </c>
      <c r="AE103" s="31">
        <f t="shared" si="24"/>
        <v>15.654315837431227</v>
      </c>
      <c r="AF103" s="31">
        <f t="shared" si="25"/>
        <v>14.81315248126854</v>
      </c>
      <c r="AG103" s="87" t="str">
        <f t="shared" si="26"/>
        <v>·</v>
      </c>
      <c r="AH103" s="31">
        <f t="shared" si="27"/>
        <v>0.83398790688000479</v>
      </c>
      <c r="AI103" s="31">
        <f t="shared" si="28"/>
        <v>15.654315837431227</v>
      </c>
      <c r="AJ103" s="521">
        <v>40386600</v>
      </c>
      <c r="AK103" s="503">
        <v>632224592</v>
      </c>
      <c r="AL103" s="357">
        <v>598252864</v>
      </c>
      <c r="AM103" s="87"/>
      <c r="AN103" s="547">
        <v>33681936</v>
      </c>
      <c r="AO103" s="267"/>
      <c r="AP103" s="106"/>
      <c r="AQ103" s="106"/>
      <c r="AR103" s="515">
        <v>84.215187</v>
      </c>
      <c r="AS103" s="507">
        <v>267.45999999999992</v>
      </c>
      <c r="AT103" s="359">
        <v>101.44999999999985</v>
      </c>
      <c r="AU103" s="573">
        <v>0</v>
      </c>
      <c r="AV103" s="573">
        <v>0</v>
      </c>
      <c r="AW103" s="33"/>
      <c r="AY103" s="56" t="e">
        <f t="shared" si="50"/>
        <v>#DIV/0!</v>
      </c>
      <c r="AZ103" s="57" t="e">
        <f t="shared" si="51"/>
        <v>#DIV/0!</v>
      </c>
      <c r="BA103" s="57">
        <f t="shared" si="52"/>
        <v>0</v>
      </c>
      <c r="BB103" s="58"/>
      <c r="BD103" s="105"/>
      <c r="BE103" s="106"/>
      <c r="BF103" s="106"/>
      <c r="BG103" s="76"/>
      <c r="BI103" s="105"/>
      <c r="BJ103" s="106"/>
      <c r="BK103" s="106"/>
      <c r="BL103" s="76"/>
      <c r="BN103" s="105"/>
      <c r="BO103" s="106"/>
      <c r="BP103" s="106"/>
      <c r="BQ103" s="76"/>
      <c r="BS103" s="105"/>
      <c r="BT103" s="106"/>
      <c r="BU103" s="106"/>
      <c r="BV103" s="76"/>
      <c r="BX103" s="105"/>
      <c r="BY103" s="106"/>
      <c r="BZ103" s="106"/>
      <c r="CA103" s="76"/>
      <c r="CC103" s="105"/>
      <c r="CD103" s="106"/>
      <c r="CE103" s="106"/>
      <c r="CF103" s="76"/>
    </row>
    <row r="104" spans="1:84" s="1" customFormat="1" outlineLevel="1">
      <c r="A104" s="13"/>
      <c r="B104" s="24" t="s">
        <v>813</v>
      </c>
      <c r="C104" s="15" t="s">
        <v>134</v>
      </c>
      <c r="D104" s="24">
        <v>40386600</v>
      </c>
      <c r="E104" s="15">
        <v>20</v>
      </c>
      <c r="F104" s="25">
        <v>387</v>
      </c>
      <c r="G104" s="26">
        <v>20</v>
      </c>
      <c r="H104" s="251"/>
      <c r="I104" s="30">
        <f t="shared" si="45"/>
        <v>33.633725684754523</v>
      </c>
      <c r="J104" s="31">
        <f t="shared" si="46"/>
        <v>16.114567505063562</v>
      </c>
      <c r="K104" s="31">
        <f t="shared" si="47"/>
        <v>14.81315248126854</v>
      </c>
      <c r="L104" s="87"/>
      <c r="M104" s="31">
        <f t="shared" si="44"/>
        <v>1.2942583926351809</v>
      </c>
      <c r="N104" s="31">
        <f t="shared" si="48"/>
        <v>16.114567505063562</v>
      </c>
      <c r="O104" s="521">
        <v>40386600</v>
      </c>
      <c r="P104" s="503">
        <v>650812592</v>
      </c>
      <c r="Q104" s="357">
        <v>598252864</v>
      </c>
      <c r="R104" s="87"/>
      <c r="S104" s="547">
        <v>52270696</v>
      </c>
      <c r="T104" s="267"/>
      <c r="U104" s="106"/>
      <c r="V104" s="106"/>
      <c r="W104" s="515">
        <v>89.768508999999995</v>
      </c>
      <c r="X104" s="507"/>
      <c r="Y104" s="359"/>
      <c r="Z104" s="573">
        <v>0</v>
      </c>
      <c r="AA104" s="573">
        <v>0</v>
      </c>
      <c r="AB104" s="33"/>
      <c r="AD104" s="30">
        <f t="shared" si="49"/>
        <v>33.633725684754523</v>
      </c>
      <c r="AE104" s="31">
        <f t="shared" si="24"/>
        <v>16.114567505063562</v>
      </c>
      <c r="AF104" s="31">
        <f t="shared" si="25"/>
        <v>14.81315248126854</v>
      </c>
      <c r="AG104" s="87" t="str">
        <f t="shared" si="26"/>
        <v>·</v>
      </c>
      <c r="AH104" s="31">
        <f t="shared" si="27"/>
        <v>1.2942583926351809</v>
      </c>
      <c r="AI104" s="31">
        <f t="shared" si="28"/>
        <v>16.114567505063562</v>
      </c>
      <c r="AJ104" s="521">
        <v>40386600</v>
      </c>
      <c r="AK104" s="503">
        <v>650812592</v>
      </c>
      <c r="AL104" s="357">
        <v>598252864</v>
      </c>
      <c r="AM104" s="87"/>
      <c r="AN104" s="547">
        <v>52270696</v>
      </c>
      <c r="AO104" s="267"/>
      <c r="AP104" s="106"/>
      <c r="AQ104" s="106"/>
      <c r="AR104" s="515">
        <v>89.768508999999995</v>
      </c>
      <c r="AS104" s="507">
        <v>285.24600000000015</v>
      </c>
      <c r="AT104" s="359">
        <v>115.08499999999999</v>
      </c>
      <c r="AU104" s="573">
        <v>0</v>
      </c>
      <c r="AV104" s="573">
        <v>0</v>
      </c>
      <c r="AW104" s="33"/>
      <c r="AY104" s="56" t="e">
        <f t="shared" si="50"/>
        <v>#DIV/0!</v>
      </c>
      <c r="AZ104" s="57" t="e">
        <f t="shared" si="51"/>
        <v>#DIV/0!</v>
      </c>
      <c r="BA104" s="57">
        <f t="shared" si="52"/>
        <v>0</v>
      </c>
      <c r="BB104" s="58"/>
      <c r="BD104" s="105"/>
      <c r="BE104" s="106"/>
      <c r="BF104" s="106"/>
      <c r="BG104" s="76"/>
      <c r="BI104" s="105"/>
      <c r="BJ104" s="106"/>
      <c r="BK104" s="106"/>
      <c r="BL104" s="76"/>
      <c r="BN104" s="105"/>
      <c r="BO104" s="106"/>
      <c r="BP104" s="106"/>
      <c r="BQ104" s="76"/>
      <c r="BS104" s="105"/>
      <c r="BT104" s="106"/>
      <c r="BU104" s="106"/>
      <c r="BV104" s="76"/>
      <c r="BX104" s="105"/>
      <c r="BY104" s="106"/>
      <c r="BZ104" s="106"/>
      <c r="CA104" s="76"/>
      <c r="CC104" s="105"/>
      <c r="CD104" s="106"/>
      <c r="CE104" s="106"/>
      <c r="CF104" s="76"/>
    </row>
    <row r="105" spans="1:84" s="1" customFormat="1" outlineLevel="1">
      <c r="A105" s="13"/>
      <c r="B105" s="24" t="s">
        <v>813</v>
      </c>
      <c r="C105" s="15" t="s">
        <v>135</v>
      </c>
      <c r="D105" s="24">
        <v>40386600</v>
      </c>
      <c r="E105" s="15">
        <v>20</v>
      </c>
      <c r="F105" s="25">
        <v>387</v>
      </c>
      <c r="G105" s="26">
        <v>20</v>
      </c>
      <c r="H105" s="251"/>
      <c r="I105" s="30">
        <f t="shared" si="45"/>
        <v>34.861712868217055</v>
      </c>
      <c r="J105" s="31">
        <f t="shared" si="46"/>
        <v>16.702919879365929</v>
      </c>
      <c r="K105" s="31">
        <f t="shared" si="47"/>
        <v>14.81315248126854</v>
      </c>
      <c r="L105" s="87"/>
      <c r="M105" s="31">
        <f t="shared" si="44"/>
        <v>1.8826107669375487</v>
      </c>
      <c r="N105" s="31">
        <f t="shared" si="48"/>
        <v>16.702919879365929</v>
      </c>
      <c r="O105" s="521">
        <v>40386600</v>
      </c>
      <c r="P105" s="503">
        <v>674574144</v>
      </c>
      <c r="Q105" s="357">
        <v>598252864</v>
      </c>
      <c r="R105" s="87"/>
      <c r="S105" s="547">
        <v>76032248</v>
      </c>
      <c r="T105" s="267"/>
      <c r="U105" s="106"/>
      <c r="V105" s="106"/>
      <c r="W105" s="515">
        <v>95.008339000000007</v>
      </c>
      <c r="X105" s="507"/>
      <c r="Y105" s="359"/>
      <c r="Z105" s="573">
        <v>0</v>
      </c>
      <c r="AA105" s="573">
        <v>0</v>
      </c>
      <c r="AB105" s="33"/>
      <c r="AD105" s="30">
        <f t="shared" si="49"/>
        <v>34.861712868217055</v>
      </c>
      <c r="AE105" s="31">
        <f t="shared" si="24"/>
        <v>16.702919879365929</v>
      </c>
      <c r="AF105" s="31">
        <f t="shared" si="25"/>
        <v>14.81315248126854</v>
      </c>
      <c r="AG105" s="87" t="str">
        <f t="shared" si="26"/>
        <v>·</v>
      </c>
      <c r="AH105" s="31">
        <f t="shared" si="27"/>
        <v>1.8826107669375487</v>
      </c>
      <c r="AI105" s="31">
        <f t="shared" si="28"/>
        <v>16.702919879365929</v>
      </c>
      <c r="AJ105" s="521">
        <v>40386600</v>
      </c>
      <c r="AK105" s="503">
        <v>674574144</v>
      </c>
      <c r="AL105" s="357">
        <v>598252864</v>
      </c>
      <c r="AM105" s="87"/>
      <c r="AN105" s="547">
        <v>76032248</v>
      </c>
      <c r="AO105" s="267"/>
      <c r="AP105" s="106"/>
      <c r="AQ105" s="106"/>
      <c r="AR105" s="515">
        <v>95.008339000000007</v>
      </c>
      <c r="AS105" s="507">
        <v>280.28099999999989</v>
      </c>
      <c r="AT105" s="359">
        <v>101.31799999999993</v>
      </c>
      <c r="AU105" s="573">
        <v>0</v>
      </c>
      <c r="AV105" s="573">
        <v>0</v>
      </c>
      <c r="AW105" s="33"/>
      <c r="AY105" s="56" t="e">
        <f t="shared" si="50"/>
        <v>#DIV/0!</v>
      </c>
      <c r="AZ105" s="57" t="e">
        <f t="shared" si="51"/>
        <v>#DIV/0!</v>
      </c>
      <c r="BA105" s="57">
        <f t="shared" si="52"/>
        <v>0</v>
      </c>
      <c r="BB105" s="58"/>
      <c r="BD105" s="105"/>
      <c r="BE105" s="106"/>
      <c r="BF105" s="106"/>
      <c r="BG105" s="76"/>
      <c r="BI105" s="105"/>
      <c r="BJ105" s="106"/>
      <c r="BK105" s="106"/>
      <c r="BL105" s="76"/>
      <c r="BN105" s="105"/>
      <c r="BO105" s="106"/>
      <c r="BP105" s="106"/>
      <c r="BQ105" s="76"/>
      <c r="BS105" s="105"/>
      <c r="BT105" s="106"/>
      <c r="BU105" s="106"/>
      <c r="BV105" s="76"/>
      <c r="BX105" s="105"/>
      <c r="BY105" s="106"/>
      <c r="BZ105" s="106"/>
      <c r="CA105" s="76"/>
      <c r="CC105" s="105"/>
      <c r="CD105" s="106"/>
      <c r="CE105" s="106"/>
      <c r="CF105" s="76"/>
    </row>
    <row r="106" spans="1:84" s="1" customFormat="1" ht="14.25" outlineLevel="1" thickBot="1">
      <c r="A106" s="13"/>
      <c r="B106" s="217" t="s">
        <v>813</v>
      </c>
      <c r="C106" s="22" t="s">
        <v>136</v>
      </c>
      <c r="D106" s="217">
        <v>40386600</v>
      </c>
      <c r="E106" s="22">
        <v>20</v>
      </c>
      <c r="F106" s="188">
        <v>387</v>
      </c>
      <c r="G106" s="216">
        <v>20</v>
      </c>
      <c r="H106" s="251"/>
      <c r="I106" s="34">
        <f t="shared" si="45"/>
        <v>36.289783979328163</v>
      </c>
      <c r="J106" s="35">
        <f t="shared" si="46"/>
        <v>17.387136327395719</v>
      </c>
      <c r="K106" s="35">
        <f t="shared" si="47"/>
        <v>14.81315248126854</v>
      </c>
      <c r="L106" s="88"/>
      <c r="M106" s="35">
        <f t="shared" si="44"/>
        <v>2.566850192885759</v>
      </c>
      <c r="N106" s="35">
        <f t="shared" si="48"/>
        <v>17.387136327395719</v>
      </c>
      <c r="O106" s="525">
        <v>40386600</v>
      </c>
      <c r="P106" s="505">
        <v>702207320</v>
      </c>
      <c r="Q106" s="361">
        <v>598252864</v>
      </c>
      <c r="R106" s="88"/>
      <c r="S106" s="548">
        <v>103666352</v>
      </c>
      <c r="T106" s="545"/>
      <c r="U106" s="109"/>
      <c r="V106" s="109"/>
      <c r="W106" s="517">
        <v>99.477622999999994</v>
      </c>
      <c r="X106" s="509"/>
      <c r="Y106" s="363"/>
      <c r="Z106" s="575">
        <v>0</v>
      </c>
      <c r="AA106" s="575">
        <v>0</v>
      </c>
      <c r="AB106" s="37"/>
      <c r="AD106" s="34">
        <f t="shared" si="49"/>
        <v>36.289783979328163</v>
      </c>
      <c r="AE106" s="35">
        <f t="shared" si="24"/>
        <v>17.387136327395719</v>
      </c>
      <c r="AF106" s="35">
        <f t="shared" si="25"/>
        <v>14.81315248126854</v>
      </c>
      <c r="AG106" s="88" t="str">
        <f t="shared" si="26"/>
        <v>·</v>
      </c>
      <c r="AH106" s="35">
        <f t="shared" si="27"/>
        <v>2.566850192885759</v>
      </c>
      <c r="AI106" s="35">
        <f t="shared" si="28"/>
        <v>17.387136327395719</v>
      </c>
      <c r="AJ106" s="525">
        <v>40386600</v>
      </c>
      <c r="AK106" s="505">
        <v>702207320</v>
      </c>
      <c r="AL106" s="361">
        <v>598252864</v>
      </c>
      <c r="AM106" s="88"/>
      <c r="AN106" s="548">
        <v>103666352</v>
      </c>
      <c r="AO106" s="545"/>
      <c r="AP106" s="109"/>
      <c r="AQ106" s="109"/>
      <c r="AR106" s="517">
        <v>99.477622999999994</v>
      </c>
      <c r="AS106" s="509">
        <v>314.99299999999988</v>
      </c>
      <c r="AT106" s="363">
        <v>109.33999999999996</v>
      </c>
      <c r="AU106" s="575">
        <v>0</v>
      </c>
      <c r="AV106" s="575">
        <v>0</v>
      </c>
      <c r="AW106" s="37"/>
      <c r="AY106" s="59" t="e">
        <f t="shared" si="50"/>
        <v>#DIV/0!</v>
      </c>
      <c r="AZ106" s="60" t="e">
        <f t="shared" si="51"/>
        <v>#DIV/0!</v>
      </c>
      <c r="BA106" s="60">
        <f t="shared" si="52"/>
        <v>0</v>
      </c>
      <c r="BB106" s="61"/>
      <c r="BD106" s="108"/>
      <c r="BE106" s="109"/>
      <c r="BF106" s="109"/>
      <c r="BG106" s="79"/>
      <c r="BI106" s="108"/>
      <c r="BJ106" s="109"/>
      <c r="BK106" s="109"/>
      <c r="BL106" s="82"/>
      <c r="BN106" s="134"/>
      <c r="BO106" s="135"/>
      <c r="BP106" s="135"/>
      <c r="BQ106" s="82"/>
      <c r="BS106" s="134"/>
      <c r="BT106" s="135"/>
      <c r="BU106" s="135"/>
      <c r="BV106" s="82"/>
      <c r="BX106" s="134"/>
      <c r="BY106" s="135"/>
      <c r="BZ106" s="135"/>
      <c r="CA106" s="82"/>
      <c r="CC106" s="134"/>
      <c r="CD106" s="135"/>
      <c r="CE106" s="135"/>
      <c r="CF106" s="82"/>
    </row>
    <row r="107" spans="1:84" s="1" customFormat="1">
      <c r="A107" s="13"/>
      <c r="B107" s="27" t="s">
        <v>815</v>
      </c>
      <c r="C107" s="28" t="s">
        <v>131</v>
      </c>
      <c r="D107" s="27">
        <v>40439600</v>
      </c>
      <c r="E107" s="28">
        <v>20</v>
      </c>
      <c r="F107" s="28">
        <v>387</v>
      </c>
      <c r="G107" s="29">
        <v>20</v>
      </c>
      <c r="H107" s="251"/>
      <c r="I107" s="46">
        <f t="shared" ref="I107:I136" si="53">IF(OR(ISBLANK(P107),ISBLANK(G107)),"·",P107*G107/F107/1000000)</f>
        <v>37.40976620155039</v>
      </c>
      <c r="J107" s="47">
        <f t="shared" ref="J107:J136" si="54">IF(ISBLANK(P107),"·",P107/D107)</f>
        <v>17.900250645406977</v>
      </c>
      <c r="K107" s="47">
        <f t="shared" ref="K107:K136" si="55">IF(Q107="","·",Q107/D107)</f>
        <v>17.680129773786092</v>
      </c>
      <c r="L107" s="90"/>
      <c r="M107" s="47">
        <f t="shared" ref="M107:M108" si="56">IF(ISBLANK(Q107),"·",S107/D107)</f>
        <v>0.21296056340814448</v>
      </c>
      <c r="N107" s="47">
        <f t="shared" ref="N107:N136" si="57">IF(ISBLANK(P107),"·",P107/O107)</f>
        <v>17.900250645406977</v>
      </c>
      <c r="O107" s="520">
        <v>40439600</v>
      </c>
      <c r="P107" s="502">
        <v>723878976</v>
      </c>
      <c r="Q107" s="353">
        <v>714977376</v>
      </c>
      <c r="R107" s="90"/>
      <c r="S107" s="546">
        <v>8612040</v>
      </c>
      <c r="T107" s="266"/>
      <c r="U107" s="104"/>
      <c r="V107" s="104"/>
      <c r="W107" s="514">
        <v>72.644820999999993</v>
      </c>
      <c r="X107" s="506"/>
      <c r="Y107" s="355"/>
      <c r="Z107" s="572">
        <v>0</v>
      </c>
      <c r="AA107" s="572">
        <v>0</v>
      </c>
      <c r="AB107" s="49"/>
      <c r="AD107" s="46">
        <f t="shared" ref="AD107:AD136" si="58">IF(OR(ISBLANK(AK107),ISBLANK(G107)),"·",AK107*G107/F107/1000000)</f>
        <v>37.40976620155039</v>
      </c>
      <c r="AE107" s="47">
        <f t="shared" si="24"/>
        <v>17.900250645406977</v>
      </c>
      <c r="AF107" s="47">
        <f t="shared" si="25"/>
        <v>17.680129773786092</v>
      </c>
      <c r="AG107" s="90" t="str">
        <f t="shared" si="26"/>
        <v>·</v>
      </c>
      <c r="AH107" s="47">
        <f t="shared" si="27"/>
        <v>0.21296056340814448</v>
      </c>
      <c r="AI107" s="47">
        <f t="shared" si="28"/>
        <v>17.900250645406977</v>
      </c>
      <c r="AJ107" s="520">
        <v>40439600</v>
      </c>
      <c r="AK107" s="502">
        <v>723878976</v>
      </c>
      <c r="AL107" s="353">
        <v>714977376</v>
      </c>
      <c r="AM107" s="90"/>
      <c r="AN107" s="546">
        <v>8612040</v>
      </c>
      <c r="AO107" s="266"/>
      <c r="AP107" s="104"/>
      <c r="AQ107" s="104"/>
      <c r="AR107" s="514">
        <v>72.644820999999993</v>
      </c>
      <c r="AS107" s="506">
        <v>310.61500000000001</v>
      </c>
      <c r="AT107" s="355">
        <v>121.43300000000005</v>
      </c>
      <c r="AU107" s="572">
        <v>0</v>
      </c>
      <c r="AV107" s="572">
        <v>0</v>
      </c>
      <c r="AW107" s="49"/>
      <c r="AY107" s="68" t="e">
        <f t="shared" ref="AY107:AY136" si="59">AU107/Z107</f>
        <v>#DIV/0!</v>
      </c>
      <c r="AZ107" s="69" t="e">
        <f t="shared" ref="AZ107:AZ136" si="60">AV107/AA107</f>
        <v>#DIV/0!</v>
      </c>
      <c r="BA107" s="69">
        <f t="shared" ref="BA107:BA136" si="61">(AL107/AK107) - (Q107/P107)</f>
        <v>0</v>
      </c>
      <c r="BB107" s="70">
        <f t="array" ref="BB107">AVERAGE(AL107:AL112/AK107:AK112) - AVERAGE(Q107:Q112/P107:P112)</f>
        <v>0</v>
      </c>
      <c r="BD107" s="103"/>
      <c r="BE107" s="104"/>
      <c r="BF107" s="104"/>
      <c r="BG107" s="86">
        <f>IF( OR(ISBLANK($S107:$S112),ISBLANK($AN107:$AN112), ISBLANK($W107:$W112),ISBLANK($AR107:$AR112)), "·", bdRateHermite( $S107:$S112,$W107:$W112, $AN107:$AN112,$AR107:$AR112))</f>
        <v>0</v>
      </c>
      <c r="BI107" s="103"/>
      <c r="BJ107" s="104"/>
      <c r="BK107" s="104"/>
      <c r="BL107" s="85">
        <f>IF(OR(ISBLANK($P107:$P112),ISBLANK($AK107:$AK112),ISBLANK($W107:$W112),ISBLANK($AR107:$AR112)),"·",bdRateHermite($P107:$P112,$W107:$W112,$AK107:$AK112,$AR107:$AR112))</f>
        <v>0</v>
      </c>
      <c r="BN107" s="103"/>
      <c r="BO107" s="104"/>
      <c r="BP107" s="104"/>
      <c r="BQ107" s="86">
        <f>IF( OR(ISBLANK($S107:$S112),ISBLANK($AN107:$AN112), ISBLANK($W107:$W112),ISBLANK($AR107:$AR112)), "·", bdRateHermite( $S108:$S112,$W108:$W112, $AN108:$AN112,$AR108:$AR112))</f>
        <v>0</v>
      </c>
      <c r="BS107" s="103"/>
      <c r="BT107" s="104"/>
      <c r="BU107" s="104"/>
      <c r="BV107" s="85">
        <f>IF(OR(ISBLANK($P107:$P112),ISBLANK($AK107:$AK112),ISBLANK($W107:$W112),ISBLANK($AR107:$AR112)),"·",bdRateHermite($P108:$P112,$W108:$W112,$AK108:$AK112,$AR108:$AR112))</f>
        <v>0</v>
      </c>
      <c r="BX107" s="103"/>
      <c r="BY107" s="104"/>
      <c r="BZ107" s="104"/>
      <c r="CA107" s="86">
        <f>IF( OR(ISBLANK($S107:$S111),ISBLANK($AN107:$AN111), ISBLANK($W107:$W111),ISBLANK($AR107:$AR111)), "·", bdRateHermite( $S107:$S111,$W107:$W111, $AN107:$AN111,$AR107:$AR111))</f>
        <v>0</v>
      </c>
      <c r="CC107" s="103"/>
      <c r="CD107" s="104"/>
      <c r="CE107" s="104"/>
      <c r="CF107" s="85">
        <f>IF(OR(ISBLANK($P107:$P111),ISBLANK($AK107:$AK111),ISBLANK($W107:$W111),ISBLANK($AR107:$AR111)),"·",bdRateHermite($P107:$P111,$W107:$W111,$AK107:$AK111,$AR107:$AR111))</f>
        <v>0</v>
      </c>
    </row>
    <row r="108" spans="1:84" s="1" customFormat="1" outlineLevel="1">
      <c r="A108" s="13"/>
      <c r="B108" s="24" t="s">
        <v>815</v>
      </c>
      <c r="C108" s="15" t="s">
        <v>132</v>
      </c>
      <c r="D108" s="24">
        <v>40439600</v>
      </c>
      <c r="E108" s="25">
        <v>20</v>
      </c>
      <c r="F108" s="25">
        <v>387</v>
      </c>
      <c r="G108" s="26">
        <v>20</v>
      </c>
      <c r="H108" s="251"/>
      <c r="I108" s="30">
        <f t="shared" si="53"/>
        <v>38.116842997416022</v>
      </c>
      <c r="J108" s="31">
        <f t="shared" si="54"/>
        <v>18.238580797040523</v>
      </c>
      <c r="K108" s="31">
        <f t="shared" si="55"/>
        <v>17.680129773786092</v>
      </c>
      <c r="L108" s="87"/>
      <c r="M108" s="31">
        <f t="shared" si="56"/>
        <v>0.5512907150416918</v>
      </c>
      <c r="N108" s="31">
        <f t="shared" si="57"/>
        <v>18.238580797040523</v>
      </c>
      <c r="O108" s="521">
        <v>40439600</v>
      </c>
      <c r="P108" s="503">
        <v>737560912</v>
      </c>
      <c r="Q108" s="357">
        <v>714977376</v>
      </c>
      <c r="R108" s="87"/>
      <c r="S108" s="547">
        <v>22293976</v>
      </c>
      <c r="T108" s="267"/>
      <c r="U108" s="106"/>
      <c r="V108" s="106"/>
      <c r="W108" s="515">
        <v>78.294334000000006</v>
      </c>
      <c r="X108" s="507"/>
      <c r="Y108" s="359"/>
      <c r="Z108" s="573">
        <v>0</v>
      </c>
      <c r="AA108" s="573">
        <v>0</v>
      </c>
      <c r="AB108" s="33"/>
      <c r="AD108" s="30">
        <f t="shared" si="58"/>
        <v>38.116842997416022</v>
      </c>
      <c r="AE108" s="31">
        <f t="shared" si="24"/>
        <v>18.238580797040523</v>
      </c>
      <c r="AF108" s="31">
        <f t="shared" si="25"/>
        <v>17.680129773786092</v>
      </c>
      <c r="AG108" s="87" t="str">
        <f t="shared" si="26"/>
        <v>·</v>
      </c>
      <c r="AH108" s="31">
        <f t="shared" si="27"/>
        <v>0.5512907150416918</v>
      </c>
      <c r="AI108" s="31">
        <f t="shared" si="28"/>
        <v>18.238580797040523</v>
      </c>
      <c r="AJ108" s="521">
        <v>40439600</v>
      </c>
      <c r="AK108" s="503">
        <v>737560912</v>
      </c>
      <c r="AL108" s="357">
        <v>714977376</v>
      </c>
      <c r="AM108" s="87"/>
      <c r="AN108" s="547">
        <v>22293976</v>
      </c>
      <c r="AO108" s="267"/>
      <c r="AP108" s="106"/>
      <c r="AQ108" s="106"/>
      <c r="AR108" s="515">
        <v>78.294334000000006</v>
      </c>
      <c r="AS108" s="507">
        <v>306.90299999999979</v>
      </c>
      <c r="AT108" s="359">
        <v>117.40199999999999</v>
      </c>
      <c r="AU108" s="573">
        <v>0</v>
      </c>
      <c r="AV108" s="573">
        <v>0</v>
      </c>
      <c r="AW108" s="33"/>
      <c r="AY108" s="56" t="e">
        <f t="shared" si="59"/>
        <v>#DIV/0!</v>
      </c>
      <c r="AZ108" s="57" t="e">
        <f t="shared" si="60"/>
        <v>#DIV/0!</v>
      </c>
      <c r="BA108" s="57">
        <f t="shared" si="61"/>
        <v>0</v>
      </c>
      <c r="BB108" s="58"/>
      <c r="BD108" s="105"/>
      <c r="BE108" s="106"/>
      <c r="BF108" s="106"/>
      <c r="BG108" s="107"/>
      <c r="BI108" s="105"/>
      <c r="BJ108" s="106"/>
      <c r="BK108" s="106"/>
      <c r="BL108" s="76"/>
      <c r="BN108" s="105"/>
      <c r="BO108" s="106"/>
      <c r="BP108" s="106"/>
      <c r="BQ108" s="107"/>
      <c r="BS108" s="105"/>
      <c r="BT108" s="106"/>
      <c r="BU108" s="106"/>
      <c r="BV108" s="76"/>
      <c r="BX108" s="105"/>
      <c r="BY108" s="106"/>
      <c r="BZ108" s="106"/>
      <c r="CA108" s="107"/>
      <c r="CC108" s="105"/>
      <c r="CD108" s="106"/>
      <c r="CE108" s="106"/>
      <c r="CF108" s="76"/>
    </row>
    <row r="109" spans="1:84" s="1" customFormat="1" outlineLevel="1">
      <c r="A109" s="13"/>
      <c r="B109" s="24" t="s">
        <v>815</v>
      </c>
      <c r="C109" s="15" t="s">
        <v>133</v>
      </c>
      <c r="D109" s="24">
        <v>40439600</v>
      </c>
      <c r="E109" s="15">
        <v>20</v>
      </c>
      <c r="F109" s="25">
        <v>387</v>
      </c>
      <c r="G109" s="26">
        <v>20</v>
      </c>
      <c r="H109" s="251"/>
      <c r="I109" s="30">
        <f t="shared" si="53"/>
        <v>39.111937157622741</v>
      </c>
      <c r="J109" s="31">
        <f t="shared" si="54"/>
        <v>18.714724774725763</v>
      </c>
      <c r="K109" s="31">
        <f t="shared" si="55"/>
        <v>17.680129773786092</v>
      </c>
      <c r="L109" s="87"/>
      <c r="M109" s="31">
        <f t="shared" ref="M109:M112" si="62">IF(ISBLANK(Q109),"·",S109/D109)</f>
        <v>1.0274346927269311</v>
      </c>
      <c r="N109" s="31">
        <f t="shared" si="57"/>
        <v>18.714724774725763</v>
      </c>
      <c r="O109" s="521">
        <v>40439600</v>
      </c>
      <c r="P109" s="503">
        <v>756815984</v>
      </c>
      <c r="Q109" s="357">
        <v>714977376</v>
      </c>
      <c r="R109" s="87"/>
      <c r="S109" s="547">
        <v>41549048</v>
      </c>
      <c r="T109" s="267"/>
      <c r="U109" s="106"/>
      <c r="V109" s="106"/>
      <c r="W109" s="515">
        <v>83.914023999999998</v>
      </c>
      <c r="X109" s="507"/>
      <c r="Y109" s="359"/>
      <c r="Z109" s="573">
        <v>0</v>
      </c>
      <c r="AA109" s="573">
        <v>0</v>
      </c>
      <c r="AB109" s="33"/>
      <c r="AD109" s="30">
        <f t="shared" si="58"/>
        <v>39.111937157622741</v>
      </c>
      <c r="AE109" s="31">
        <f t="shared" si="24"/>
        <v>18.714724774725763</v>
      </c>
      <c r="AF109" s="31">
        <f t="shared" si="25"/>
        <v>17.680129773786092</v>
      </c>
      <c r="AG109" s="87" t="str">
        <f t="shared" si="26"/>
        <v>·</v>
      </c>
      <c r="AH109" s="31">
        <f t="shared" si="27"/>
        <v>1.0274346927269311</v>
      </c>
      <c r="AI109" s="31">
        <f t="shared" si="28"/>
        <v>18.714724774725763</v>
      </c>
      <c r="AJ109" s="521">
        <v>40439600</v>
      </c>
      <c r="AK109" s="503">
        <v>756815984</v>
      </c>
      <c r="AL109" s="357">
        <v>714977376</v>
      </c>
      <c r="AM109" s="87"/>
      <c r="AN109" s="547">
        <v>41549048</v>
      </c>
      <c r="AO109" s="267"/>
      <c r="AP109" s="106"/>
      <c r="AQ109" s="106"/>
      <c r="AR109" s="515">
        <v>83.914023999999998</v>
      </c>
      <c r="AS109" s="507">
        <v>334.0180000000002</v>
      </c>
      <c r="AT109" s="359">
        <v>120.29500000000006</v>
      </c>
      <c r="AU109" s="573">
        <v>0</v>
      </c>
      <c r="AV109" s="573">
        <v>0</v>
      </c>
      <c r="AW109" s="33"/>
      <c r="AY109" s="56" t="e">
        <f t="shared" si="59"/>
        <v>#DIV/0!</v>
      </c>
      <c r="AZ109" s="57" t="e">
        <f t="shared" si="60"/>
        <v>#DIV/0!</v>
      </c>
      <c r="BA109" s="57">
        <f t="shared" si="61"/>
        <v>0</v>
      </c>
      <c r="BB109" s="58"/>
      <c r="BD109" s="105"/>
      <c r="BE109" s="106"/>
      <c r="BF109" s="106"/>
      <c r="BG109" s="107"/>
      <c r="BI109" s="105"/>
      <c r="BJ109" s="106"/>
      <c r="BK109" s="106"/>
      <c r="BL109" s="76"/>
      <c r="BN109" s="105"/>
      <c r="BO109" s="106"/>
      <c r="BP109" s="106"/>
      <c r="BQ109" s="107"/>
      <c r="BS109" s="105"/>
      <c r="BT109" s="106"/>
      <c r="BU109" s="106"/>
      <c r="BV109" s="76"/>
      <c r="BX109" s="105"/>
      <c r="BY109" s="106"/>
      <c r="BZ109" s="106"/>
      <c r="CA109" s="107"/>
      <c r="CC109" s="105"/>
      <c r="CD109" s="106"/>
      <c r="CE109" s="106"/>
      <c r="CF109" s="76"/>
    </row>
    <row r="110" spans="1:84" s="1" customFormat="1" outlineLevel="1">
      <c r="A110" s="13"/>
      <c r="B110" s="24" t="s">
        <v>815</v>
      </c>
      <c r="C110" s="15" t="s">
        <v>134</v>
      </c>
      <c r="D110" s="24">
        <v>40439600</v>
      </c>
      <c r="E110" s="15">
        <v>20</v>
      </c>
      <c r="F110" s="25">
        <v>387</v>
      </c>
      <c r="G110" s="26">
        <v>20</v>
      </c>
      <c r="H110" s="251"/>
      <c r="I110" s="30">
        <f t="shared" si="53"/>
        <v>40.297630594315244</v>
      </c>
      <c r="J110" s="31">
        <f t="shared" si="54"/>
        <v>19.282068863193505</v>
      </c>
      <c r="K110" s="31">
        <f t="shared" si="55"/>
        <v>17.680129773786092</v>
      </c>
      <c r="L110" s="87"/>
      <c r="M110" s="31">
        <f t="shared" si="62"/>
        <v>1.5947914420518501</v>
      </c>
      <c r="N110" s="31">
        <f t="shared" si="57"/>
        <v>19.282068863193505</v>
      </c>
      <c r="O110" s="521">
        <v>40439600</v>
      </c>
      <c r="P110" s="503">
        <v>779759152</v>
      </c>
      <c r="Q110" s="357">
        <v>714977376</v>
      </c>
      <c r="R110" s="87"/>
      <c r="S110" s="547">
        <v>64492728</v>
      </c>
      <c r="T110" s="267"/>
      <c r="U110" s="106"/>
      <c r="V110" s="106"/>
      <c r="W110" s="515">
        <v>89.532195999999999</v>
      </c>
      <c r="X110" s="507"/>
      <c r="Y110" s="359"/>
      <c r="Z110" s="573">
        <v>0</v>
      </c>
      <c r="AA110" s="573">
        <v>0</v>
      </c>
      <c r="AB110" s="33"/>
      <c r="AD110" s="30">
        <f t="shared" si="58"/>
        <v>40.297630594315244</v>
      </c>
      <c r="AE110" s="31">
        <f t="shared" si="24"/>
        <v>19.282068863193505</v>
      </c>
      <c r="AF110" s="31">
        <f t="shared" si="25"/>
        <v>17.680129773786092</v>
      </c>
      <c r="AG110" s="87" t="str">
        <f t="shared" si="26"/>
        <v>·</v>
      </c>
      <c r="AH110" s="31">
        <f t="shared" si="27"/>
        <v>1.5947914420518501</v>
      </c>
      <c r="AI110" s="31">
        <f t="shared" si="28"/>
        <v>19.282068863193505</v>
      </c>
      <c r="AJ110" s="521">
        <v>40439600</v>
      </c>
      <c r="AK110" s="503">
        <v>779759152</v>
      </c>
      <c r="AL110" s="357">
        <v>714977376</v>
      </c>
      <c r="AM110" s="87"/>
      <c r="AN110" s="547">
        <v>64492728</v>
      </c>
      <c r="AO110" s="267"/>
      <c r="AP110" s="106"/>
      <c r="AQ110" s="106"/>
      <c r="AR110" s="515">
        <v>89.532195999999999</v>
      </c>
      <c r="AS110" s="507">
        <v>295.30300000000022</v>
      </c>
      <c r="AT110" s="359">
        <v>117.74600000000011</v>
      </c>
      <c r="AU110" s="573">
        <v>0</v>
      </c>
      <c r="AV110" s="573">
        <v>0</v>
      </c>
      <c r="AW110" s="33"/>
      <c r="AY110" s="56" t="e">
        <f t="shared" si="59"/>
        <v>#DIV/0!</v>
      </c>
      <c r="AZ110" s="57" t="e">
        <f t="shared" si="60"/>
        <v>#DIV/0!</v>
      </c>
      <c r="BA110" s="57">
        <f t="shared" si="61"/>
        <v>0</v>
      </c>
      <c r="BB110" s="58"/>
      <c r="BD110" s="105"/>
      <c r="BE110" s="106"/>
      <c r="BF110" s="106"/>
      <c r="BG110" s="107"/>
      <c r="BI110" s="105"/>
      <c r="BJ110" s="106"/>
      <c r="BK110" s="106"/>
      <c r="BL110" s="76"/>
      <c r="BN110" s="105"/>
      <c r="BO110" s="106"/>
      <c r="BP110" s="106"/>
      <c r="BQ110" s="107"/>
      <c r="BS110" s="105"/>
      <c r="BT110" s="106"/>
      <c r="BU110" s="106"/>
      <c r="BV110" s="76"/>
      <c r="BX110" s="105"/>
      <c r="BY110" s="106"/>
      <c r="BZ110" s="106"/>
      <c r="CA110" s="107"/>
      <c r="CC110" s="105"/>
      <c r="CD110" s="106"/>
      <c r="CE110" s="106"/>
      <c r="CF110" s="76"/>
    </row>
    <row r="111" spans="1:84" s="1" customFormat="1" outlineLevel="1">
      <c r="A111" s="13"/>
      <c r="B111" s="24" t="s">
        <v>815</v>
      </c>
      <c r="C111" s="15" t="s">
        <v>135</v>
      </c>
      <c r="D111" s="24">
        <v>40439600</v>
      </c>
      <c r="E111" s="15">
        <v>20</v>
      </c>
      <c r="F111" s="25">
        <v>387</v>
      </c>
      <c r="G111" s="26">
        <v>20</v>
      </c>
      <c r="H111" s="251"/>
      <c r="I111" s="30">
        <f t="shared" si="53"/>
        <v>41.746833695090444</v>
      </c>
      <c r="J111" s="31">
        <f t="shared" si="54"/>
        <v>19.975500054402122</v>
      </c>
      <c r="K111" s="31">
        <f t="shared" si="55"/>
        <v>17.680129773786092</v>
      </c>
      <c r="L111" s="87"/>
      <c r="M111" s="31">
        <f t="shared" si="62"/>
        <v>2.2882226332604674</v>
      </c>
      <c r="N111" s="31">
        <f t="shared" si="57"/>
        <v>19.975500054402122</v>
      </c>
      <c r="O111" s="521">
        <v>40439600</v>
      </c>
      <c r="P111" s="503">
        <v>807801232</v>
      </c>
      <c r="Q111" s="357">
        <v>714977376</v>
      </c>
      <c r="R111" s="87"/>
      <c r="S111" s="547">
        <v>92534808</v>
      </c>
      <c r="T111" s="267"/>
      <c r="U111" s="106"/>
      <c r="V111" s="106"/>
      <c r="W111" s="515">
        <v>94.883133000000001</v>
      </c>
      <c r="X111" s="507"/>
      <c r="Y111" s="359"/>
      <c r="Z111" s="573">
        <v>0</v>
      </c>
      <c r="AA111" s="573">
        <v>0</v>
      </c>
      <c r="AB111" s="33"/>
      <c r="AD111" s="30">
        <f t="shared" si="58"/>
        <v>41.746833695090444</v>
      </c>
      <c r="AE111" s="31">
        <f t="shared" si="24"/>
        <v>19.975500054402122</v>
      </c>
      <c r="AF111" s="31">
        <f t="shared" si="25"/>
        <v>17.680129773786092</v>
      </c>
      <c r="AG111" s="87" t="str">
        <f t="shared" si="26"/>
        <v>·</v>
      </c>
      <c r="AH111" s="31">
        <f t="shared" si="27"/>
        <v>2.2882226332604674</v>
      </c>
      <c r="AI111" s="31">
        <f t="shared" si="28"/>
        <v>19.975500054402122</v>
      </c>
      <c r="AJ111" s="521">
        <v>40439600</v>
      </c>
      <c r="AK111" s="503">
        <v>807801232</v>
      </c>
      <c r="AL111" s="357">
        <v>714977376</v>
      </c>
      <c r="AM111" s="87"/>
      <c r="AN111" s="547">
        <v>92534808</v>
      </c>
      <c r="AO111" s="267"/>
      <c r="AP111" s="106"/>
      <c r="AQ111" s="106"/>
      <c r="AR111" s="515">
        <v>94.883133000000001</v>
      </c>
      <c r="AS111" s="507">
        <v>305.38599999999997</v>
      </c>
      <c r="AT111" s="359">
        <v>116.30599999999997</v>
      </c>
      <c r="AU111" s="573">
        <v>0</v>
      </c>
      <c r="AV111" s="573">
        <v>0</v>
      </c>
      <c r="AW111" s="33"/>
      <c r="AY111" s="56" t="e">
        <f t="shared" si="59"/>
        <v>#DIV/0!</v>
      </c>
      <c r="AZ111" s="57" t="e">
        <f t="shared" si="60"/>
        <v>#DIV/0!</v>
      </c>
      <c r="BA111" s="57">
        <f t="shared" si="61"/>
        <v>0</v>
      </c>
      <c r="BB111" s="58"/>
      <c r="BD111" s="105"/>
      <c r="BE111" s="106"/>
      <c r="BF111" s="106"/>
      <c r="BG111" s="107"/>
      <c r="BI111" s="105"/>
      <c r="BJ111" s="106"/>
      <c r="BK111" s="106"/>
      <c r="BL111" s="76"/>
      <c r="BN111" s="105"/>
      <c r="BO111" s="106"/>
      <c r="BP111" s="106"/>
      <c r="BQ111" s="107"/>
      <c r="BS111" s="105"/>
      <c r="BT111" s="106"/>
      <c r="BU111" s="106"/>
      <c r="BV111" s="76"/>
      <c r="BX111" s="105"/>
      <c r="BY111" s="106"/>
      <c r="BZ111" s="106"/>
      <c r="CA111" s="107"/>
      <c r="CC111" s="105"/>
      <c r="CD111" s="106"/>
      <c r="CE111" s="106"/>
      <c r="CF111" s="76"/>
    </row>
    <row r="112" spans="1:84" s="1" customFormat="1" ht="14.25" outlineLevel="1" thickBot="1">
      <c r="A112" s="13"/>
      <c r="B112" s="185" t="s">
        <v>815</v>
      </c>
      <c r="C112" s="19" t="s">
        <v>136</v>
      </c>
      <c r="D112" s="185">
        <v>40439600</v>
      </c>
      <c r="E112" s="19">
        <v>20</v>
      </c>
      <c r="F112" s="189">
        <v>387</v>
      </c>
      <c r="G112" s="218">
        <v>20</v>
      </c>
      <c r="H112" s="251"/>
      <c r="I112" s="34">
        <f t="shared" si="53"/>
        <v>43.421644651162786</v>
      </c>
      <c r="J112" s="35">
        <f t="shared" si="54"/>
        <v>20.77688265957131</v>
      </c>
      <c r="K112" s="35">
        <f t="shared" si="55"/>
        <v>17.680129773786092</v>
      </c>
      <c r="L112" s="88"/>
      <c r="M112" s="35">
        <f t="shared" si="62"/>
        <v>3.0896157232020101</v>
      </c>
      <c r="N112" s="35">
        <f t="shared" si="57"/>
        <v>20.77688265957131</v>
      </c>
      <c r="O112" s="525">
        <v>40439600</v>
      </c>
      <c r="P112" s="505">
        <v>840208824</v>
      </c>
      <c r="Q112" s="361">
        <v>714977376</v>
      </c>
      <c r="R112" s="88"/>
      <c r="S112" s="548">
        <v>124942824</v>
      </c>
      <c r="T112" s="545"/>
      <c r="U112" s="109"/>
      <c r="V112" s="109"/>
      <c r="W112" s="517">
        <v>99.434905999999998</v>
      </c>
      <c r="X112" s="509"/>
      <c r="Y112" s="363"/>
      <c r="Z112" s="575">
        <v>0</v>
      </c>
      <c r="AA112" s="575">
        <v>0</v>
      </c>
      <c r="AB112" s="37"/>
      <c r="AD112" s="34">
        <f t="shared" si="58"/>
        <v>43.421644651162786</v>
      </c>
      <c r="AE112" s="35">
        <f t="shared" si="24"/>
        <v>20.77688265957131</v>
      </c>
      <c r="AF112" s="35">
        <f t="shared" si="25"/>
        <v>17.680129773786092</v>
      </c>
      <c r="AG112" s="88" t="str">
        <f t="shared" si="26"/>
        <v>·</v>
      </c>
      <c r="AH112" s="35">
        <f t="shared" si="27"/>
        <v>3.0896157232020101</v>
      </c>
      <c r="AI112" s="35">
        <f t="shared" si="28"/>
        <v>20.77688265957131</v>
      </c>
      <c r="AJ112" s="525">
        <v>40439600</v>
      </c>
      <c r="AK112" s="505">
        <v>840208824</v>
      </c>
      <c r="AL112" s="361">
        <v>714977376</v>
      </c>
      <c r="AM112" s="88"/>
      <c r="AN112" s="548">
        <v>124942824</v>
      </c>
      <c r="AO112" s="545"/>
      <c r="AP112" s="109"/>
      <c r="AQ112" s="109"/>
      <c r="AR112" s="517">
        <v>99.434905999999998</v>
      </c>
      <c r="AS112" s="509">
        <v>316.39900000000023</v>
      </c>
      <c r="AT112" s="363">
        <v>114.31700000000002</v>
      </c>
      <c r="AU112" s="575">
        <v>0</v>
      </c>
      <c r="AV112" s="575">
        <v>0</v>
      </c>
      <c r="AW112" s="37"/>
      <c r="AY112" s="59" t="e">
        <f t="shared" si="59"/>
        <v>#DIV/0!</v>
      </c>
      <c r="AZ112" s="60" t="e">
        <f t="shared" si="60"/>
        <v>#DIV/0!</v>
      </c>
      <c r="BA112" s="60">
        <f t="shared" si="61"/>
        <v>0</v>
      </c>
      <c r="BB112" s="61"/>
      <c r="BD112" s="108"/>
      <c r="BE112" s="109"/>
      <c r="BF112" s="109"/>
      <c r="BG112" s="110"/>
      <c r="BI112" s="108"/>
      <c r="BJ112" s="109"/>
      <c r="BK112" s="109"/>
      <c r="BL112" s="79"/>
      <c r="BN112" s="108"/>
      <c r="BO112" s="109"/>
      <c r="BP112" s="109"/>
      <c r="BQ112" s="110"/>
      <c r="BS112" s="108"/>
      <c r="BT112" s="109"/>
      <c r="BU112" s="109"/>
      <c r="BV112" s="79"/>
      <c r="BX112" s="108"/>
      <c r="BY112" s="109"/>
      <c r="BZ112" s="109"/>
      <c r="CA112" s="110"/>
      <c r="CC112" s="108"/>
      <c r="CD112" s="109"/>
      <c r="CE112" s="109"/>
      <c r="CF112" s="79"/>
    </row>
    <row r="113" spans="1:84" s="1" customFormat="1">
      <c r="A113" s="96" t="s">
        <v>877</v>
      </c>
      <c r="B113" s="27" t="s">
        <v>872</v>
      </c>
      <c r="C113" s="25" t="s">
        <v>131</v>
      </c>
      <c r="D113" s="24">
        <v>186907991</v>
      </c>
      <c r="E113" s="25">
        <v>11</v>
      </c>
      <c r="F113" s="25">
        <v>64</v>
      </c>
      <c r="G113" s="26">
        <v>30</v>
      </c>
      <c r="H113" s="251"/>
      <c r="I113" s="46">
        <f t="shared" si="53"/>
        <v>98.474561249999994</v>
      </c>
      <c r="J113" s="47">
        <f t="shared" si="54"/>
        <v>1.1239704780733533</v>
      </c>
      <c r="K113" s="47">
        <f t="shared" si="55"/>
        <v>1.0091804796082795</v>
      </c>
      <c r="L113" s="47">
        <f>IF(ISBLANK(R113),"·",R113/D113)</f>
        <v>0.1145923397143571</v>
      </c>
      <c r="M113" s="92"/>
      <c r="N113" s="47">
        <f t="shared" si="57"/>
        <v>1.1239704780733533</v>
      </c>
      <c r="O113" s="523">
        <v>186907991</v>
      </c>
      <c r="P113" s="502">
        <v>210079064</v>
      </c>
      <c r="Q113" s="353">
        <v>188623896</v>
      </c>
      <c r="R113" s="353">
        <v>21418224</v>
      </c>
      <c r="S113" s="549"/>
      <c r="T113" s="502">
        <v>25.566825999999999</v>
      </c>
      <c r="U113" s="353">
        <v>30.840418</v>
      </c>
      <c r="V113" s="353">
        <v>33.44379</v>
      </c>
      <c r="W113" s="549"/>
      <c r="X113" s="506">
        <v>456.75399999999979</v>
      </c>
      <c r="Y113" s="355">
        <v>327.36900000000003</v>
      </c>
      <c r="Z113" s="572">
        <v>0</v>
      </c>
      <c r="AA113" s="572">
        <v>0</v>
      </c>
      <c r="AB113" s="49"/>
      <c r="AD113" s="46">
        <f t="shared" si="58"/>
        <v>95.94436125</v>
      </c>
      <c r="AE113" s="47">
        <f t="shared" si="24"/>
        <v>1.0950912419790548</v>
      </c>
      <c r="AF113" s="47">
        <f t="shared" si="25"/>
        <v>1.0091804796082795</v>
      </c>
      <c r="AG113" s="47">
        <f t="shared" si="26"/>
        <v>8.5713103620058712E-2</v>
      </c>
      <c r="AH113" s="92" t="str">
        <f>IF(ISBLANK(AN113),"·",AN113/D113)</f>
        <v>·</v>
      </c>
      <c r="AI113" s="47">
        <f t="shared" si="28"/>
        <v>1.0950912419790548</v>
      </c>
      <c r="AJ113" s="523">
        <v>186907991</v>
      </c>
      <c r="AK113" s="502">
        <v>204681304</v>
      </c>
      <c r="AL113" s="353">
        <v>188623896</v>
      </c>
      <c r="AM113" s="353">
        <v>16020464</v>
      </c>
      <c r="AN113" s="549"/>
      <c r="AO113" s="502">
        <v>25.109112</v>
      </c>
      <c r="AP113" s="353">
        <v>33.113655000000001</v>
      </c>
      <c r="AQ113" s="353">
        <v>33.567863000000003</v>
      </c>
      <c r="AR113" s="549"/>
      <c r="AS113" s="506">
        <v>628.24900000000014</v>
      </c>
      <c r="AT113" s="355">
        <v>479.0920000000001</v>
      </c>
      <c r="AU113" s="572">
        <v>0</v>
      </c>
      <c r="AV113" s="572">
        <v>0</v>
      </c>
      <c r="AW113" s="49"/>
      <c r="AY113" s="68" t="e">
        <f t="shared" si="59"/>
        <v>#DIV/0!</v>
      </c>
      <c r="AZ113" s="69" t="e">
        <f t="shared" si="60"/>
        <v>#DIV/0!</v>
      </c>
      <c r="BA113" s="69">
        <f t="shared" si="61"/>
        <v>2.3678235335408582E-2</v>
      </c>
      <c r="BB113" s="70">
        <f t="array" ref="BB113">AVERAGE(AL113:AL118/AK113:AK118) - AVERAGE(Q113:Q118/P113:P118)</f>
        <v>3.4886667505861224E-2</v>
      </c>
      <c r="BD113" s="86">
        <f>IF( OR(ISBLANK($R113:$R118),ISBLANK($AM113:$AM118), ISBLANK(T113:T118),ISBLANK(AO113:AO118)), "·", bdRateHermite( $R113:$R118,$T113:$T118, $AM113:$AM118,$AO113:$AO118))</f>
        <v>-0.2206780785148349</v>
      </c>
      <c r="BE113" s="86">
        <f>IF( OR(ISBLANK($R113:$R118),ISBLANK($AM113:$AM118), ISBLANK(U113:U118),ISBLANK(AP113:AP118)), "·", bdRateHermite( $R113:$R118,$U113:$U118, $AM113:$AM118,$AP113:$AP118))</f>
        <v>-0.3647198854369581</v>
      </c>
      <c r="BF113" s="86">
        <f>IF( OR(ISBLANK($R113:$R118),ISBLANK($AM113:$AM118), ISBLANK(V113:V118),ISBLANK(AQ113:AQ118)), "·", bdRateHermite( $R113:$R118,$V113:$V118, $AM113:$AM118,$AQ113:$AQ118))</f>
        <v>-0.36055498658842844</v>
      </c>
      <c r="BG113" s="103"/>
      <c r="BI113" s="250">
        <f>IF(OR(ISBLANK($P113:$P118),ISBLANK($AK113:$AK118),ISBLANK(T113:T118),ISBLANK(AO113:AO118)),"·",bdRateHermite($P113:$P118,$T113:$T118,$AK113:$AK118,$AO113:$AO118))</f>
        <v>-8.7969979473382587E-2</v>
      </c>
      <c r="BJ113" s="85">
        <f>IF(OR(ISBLANK($P113:$P118),ISBLANK($AK113:$AK118),ISBLANK(U113:U118),ISBLANK(AP113:AP118)),"·",bdRateHermite($P113:$P118,$U113:$U118,$AK113:$AK118,$AP113:$AP118))</f>
        <v>-0.17240896713963527</v>
      </c>
      <c r="BK113" s="254">
        <f>IF(OR(ISBLANK($P113:$P118),ISBLANK($AK113:$AK118),ISBLANK(V113:V118),ISBLANK(AQ113:AQ118)),"·",bdRateHermite($P113:$P118,$V113:$V118,$AK113:$AK118,$AQ113:$AQ118))</f>
        <v>-0.19164637336171875</v>
      </c>
      <c r="BL113" s="257"/>
      <c r="BM113" s="251"/>
      <c r="BN113" s="86">
        <f>IF( OR(ISBLANK($R113:$R118),ISBLANK($AM113:$AM118), ISBLANK(T113:T118),ISBLANK(AO113:AO118)), "·", bdRateHermite( $R114:$R118,$T114:$T118, $AM114:$AM118,$AO114:$AO118))</f>
        <v>-0.23241649765686156</v>
      </c>
      <c r="BO113" s="86">
        <f>IF( OR(ISBLANK($R113:$R118),ISBLANK($AM113:$AM118), ISBLANK(U113:U118),ISBLANK(AP113:AP118)), "·", bdRateHermite( $R114:$R118,$U114:$U118, $AM114:$AM118,$AP114:$AP118))</f>
        <v>-0.3620299960597998</v>
      </c>
      <c r="BP113" s="86">
        <f>IF( OR(ISBLANK($R113:$R118),ISBLANK($AM113:$AM118), ISBLANK(V113:V118),ISBLANK(AQ113:AQ118)), "·", bdRateHermite( $R114:$R118,$V114:$V118, $AM114:$AM118,$AQ114:$AQ118))</f>
        <v>-0.36055498658842844</v>
      </c>
      <c r="BQ113" s="103"/>
      <c r="BS113" s="250">
        <f>IF(OR(ISBLANK($P113:$P118),ISBLANK($AK113:$AK118),ISBLANK(T113:T118),ISBLANK(AO113:AO118)),"·",bdRateHermite($P114:$P118,$T114:$T118,$AK114:$AK118,$AO114:$AO118))</f>
        <v>-0.1070474994678573</v>
      </c>
      <c r="BT113" s="85">
        <f>IF(OR(ISBLANK($P113:$P118),ISBLANK($AK113:$AK118),ISBLANK(U113:U118),ISBLANK(AP113:AP118)),"·",bdRateHermite($P114:$P118,$U114:$U118,$AK114:$AK118,$AP114:$AP118))</f>
        <v>-0.17705445334168979</v>
      </c>
      <c r="BU113" s="254">
        <f>IF(OR(ISBLANK($P113:$P118),ISBLANK($AK113:$AK118),ISBLANK(V113:V118),ISBLANK(AQ113:AQ118)),"·",bdRateHermite($P114:$P118,$V114:$V118,$AK114:$AK118,$AQ114:$AQ118))</f>
        <v>-0.19164637336171875</v>
      </c>
      <c r="BV113" s="257"/>
      <c r="BX113" s="86">
        <f>IF( OR(ISBLANK($R113:$R118),ISBLANK($AM113:$AM118), ISBLANK(T113:T118),ISBLANK(AO113:AO118)), "·", bdRateHermite( $R113:$R117,$T113:$T117, $AM113:$AM117,$AO113:$AO117))</f>
        <v>-0.24544334299800741</v>
      </c>
      <c r="BY113" s="86">
        <f>IF( OR(ISBLANK($R113:$R118),ISBLANK($AM113:$AM118), ISBLANK(U113:U118),ISBLANK(AP113:AP118)), "·", bdRateHermite( $R113:$R117,$U113:$U117, $AM113:$AM117,$AP113:$AP117))</f>
        <v>-0.41808679884336131</v>
      </c>
      <c r="BZ113" s="86">
        <f>IF( OR(ISBLANK($R113:$R118),ISBLANK($AM113:$AM118), ISBLANK(V113:V118),ISBLANK(AQ113:AQ118)), "·", bdRateHermite( $R113:$R117,$V113:$V117, $AM113:$AM117,$AQ113:$AQ117))</f>
        <v>-0.39842767867627993</v>
      </c>
      <c r="CA113" s="103"/>
      <c r="CC113" s="250">
        <f>IF(OR(ISBLANK($P113:$P118),ISBLANK($AK113:$AK118),ISBLANK(T113:T118),ISBLANK(AO113:AO118)),"·",bdRateHermite($P113:$P117,$T113:$T117,$AK113:$AK117,$AO113:$AO117))</f>
        <v>-9.0771747262531344E-2</v>
      </c>
      <c r="CD113" s="85">
        <f>IF(OR(ISBLANK($P113:$P118),ISBLANK($AK113:$AK118),ISBLANK(U113:U118),ISBLANK(AP113:AP118)),"·",bdRateHermite($P113:$P117,$U113:$U117,$AK113:$AK117,$AP113:$AP117))</f>
        <v>-0.18711517116012044</v>
      </c>
      <c r="CE113" s="254">
        <f>IF(OR(ISBLANK($P113:$P118),ISBLANK($AK113:$AK118),ISBLANK(V113:V118),ISBLANK(AQ113:AQ118)),"·",bdRateHermite($P113:$P117,$V113:$V117,$AK113:$AK117,$AQ113:$AQ117))</f>
        <v>-0.19535519707388249</v>
      </c>
      <c r="CF113" s="257"/>
    </row>
    <row r="114" spans="1:84" s="1" customFormat="1" outlineLevel="1">
      <c r="A114" s="13"/>
      <c r="B114" s="14" t="s">
        <v>878</v>
      </c>
      <c r="C114" s="15" t="s">
        <v>132</v>
      </c>
      <c r="D114" s="14">
        <v>186907991</v>
      </c>
      <c r="E114" s="15">
        <v>11</v>
      </c>
      <c r="F114" s="25">
        <v>64</v>
      </c>
      <c r="G114" s="16">
        <v>30</v>
      </c>
      <c r="H114" s="251"/>
      <c r="I114" s="30">
        <f t="shared" si="53"/>
        <v>108.15430125</v>
      </c>
      <c r="J114" s="31">
        <f t="shared" si="54"/>
        <v>1.2344532449658614</v>
      </c>
      <c r="K114" s="31">
        <f t="shared" si="55"/>
        <v>1.0091804796082795</v>
      </c>
      <c r="L114" s="31">
        <f t="shared" ref="L114:L123" si="63">IF(ISBLANK(R114),"·",R114/D114)</f>
        <v>0.22507510660686519</v>
      </c>
      <c r="M114" s="87"/>
      <c r="N114" s="31">
        <f t="shared" si="57"/>
        <v>1.2344532449658614</v>
      </c>
      <c r="O114" s="521">
        <v>186907991</v>
      </c>
      <c r="P114" s="503">
        <v>230729176</v>
      </c>
      <c r="Q114" s="357">
        <v>188623896</v>
      </c>
      <c r="R114" s="357">
        <v>42068336</v>
      </c>
      <c r="S114" s="550"/>
      <c r="T114" s="503">
        <v>31.374098</v>
      </c>
      <c r="U114" s="357">
        <v>32.156897999999998</v>
      </c>
      <c r="V114" s="357">
        <v>33.061141999999997</v>
      </c>
      <c r="W114" s="550"/>
      <c r="X114" s="507">
        <v>492.32700000000006</v>
      </c>
      <c r="Y114" s="359">
        <v>322.14099999999996</v>
      </c>
      <c r="Z114" s="573">
        <v>0</v>
      </c>
      <c r="AA114" s="573">
        <v>0</v>
      </c>
      <c r="AB114" s="33"/>
      <c r="AD114" s="30">
        <f t="shared" si="58"/>
        <v>104.11623</v>
      </c>
      <c r="AE114" s="31">
        <f t="shared" si="24"/>
        <v>1.1883634445570601</v>
      </c>
      <c r="AF114" s="31">
        <f t="shared" si="25"/>
        <v>1.0091804796082795</v>
      </c>
      <c r="AG114" s="31">
        <f t="shared" si="26"/>
        <v>0.17898530619806405</v>
      </c>
      <c r="AH114" s="87" t="str">
        <f t="shared" si="27"/>
        <v>·</v>
      </c>
      <c r="AI114" s="31">
        <f t="shared" si="28"/>
        <v>1.1883634445570601</v>
      </c>
      <c r="AJ114" s="521">
        <v>186907991</v>
      </c>
      <c r="AK114" s="503">
        <v>222114624</v>
      </c>
      <c r="AL114" s="357">
        <v>188623896</v>
      </c>
      <c r="AM114" s="357">
        <v>33453784</v>
      </c>
      <c r="AN114" s="550"/>
      <c r="AO114" s="503">
        <v>31.332761999999999</v>
      </c>
      <c r="AP114" s="357">
        <v>34.058472000000002</v>
      </c>
      <c r="AQ114" s="357">
        <v>35.857868000000003</v>
      </c>
      <c r="AR114" s="550"/>
      <c r="AS114" s="507">
        <v>653.72100000000012</v>
      </c>
      <c r="AT114" s="359">
        <v>477.9819999999998</v>
      </c>
      <c r="AU114" s="573">
        <v>0</v>
      </c>
      <c r="AV114" s="573">
        <v>0</v>
      </c>
      <c r="AW114" s="33"/>
      <c r="AY114" s="56" t="e">
        <f t="shared" si="59"/>
        <v>#DIV/0!</v>
      </c>
      <c r="AZ114" s="57" t="e">
        <f t="shared" si="60"/>
        <v>#DIV/0!</v>
      </c>
      <c r="BA114" s="57">
        <f t="shared" si="61"/>
        <v>3.1706604786668424E-2</v>
      </c>
      <c r="BB114" s="58"/>
      <c r="BD114" s="76"/>
      <c r="BE114" s="76"/>
      <c r="BF114" s="76"/>
      <c r="BG114" s="105"/>
      <c r="BI114" s="252"/>
      <c r="BJ114" s="76"/>
      <c r="BK114" s="255"/>
      <c r="BL114" s="258"/>
      <c r="BM114" s="251"/>
      <c r="BN114" s="76"/>
      <c r="BO114" s="76"/>
      <c r="BP114" s="76"/>
      <c r="BQ114" s="105"/>
      <c r="BS114" s="252"/>
      <c r="BT114" s="76"/>
      <c r="BU114" s="255"/>
      <c r="BV114" s="258"/>
      <c r="BX114" s="74"/>
      <c r="BY114" s="75"/>
      <c r="BZ114" s="264"/>
      <c r="CA114" s="105"/>
      <c r="CC114" s="260"/>
      <c r="CD114" s="75"/>
      <c r="CE114" s="262"/>
      <c r="CF114" s="258"/>
    </row>
    <row r="115" spans="1:84" s="1" customFormat="1" outlineLevel="1">
      <c r="A115" s="13"/>
      <c r="B115" s="14" t="s">
        <v>878</v>
      </c>
      <c r="C115" s="15" t="s">
        <v>133</v>
      </c>
      <c r="D115" s="14">
        <v>186907991</v>
      </c>
      <c r="E115" s="15">
        <v>11</v>
      </c>
      <c r="F115" s="25">
        <v>64</v>
      </c>
      <c r="G115" s="16">
        <v>30</v>
      </c>
      <c r="H115" s="251"/>
      <c r="I115" s="30">
        <f t="shared" si="53"/>
        <v>133.15033124999999</v>
      </c>
      <c r="J115" s="31">
        <f t="shared" si="54"/>
        <v>1.5197533207662588</v>
      </c>
      <c r="K115" s="31">
        <f t="shared" si="55"/>
        <v>1.0091804796082795</v>
      </c>
      <c r="L115" s="31">
        <f t="shared" si="63"/>
        <v>0.51037518240726265</v>
      </c>
      <c r="M115" s="87"/>
      <c r="N115" s="31">
        <f t="shared" si="57"/>
        <v>1.5197533207662588</v>
      </c>
      <c r="O115" s="521">
        <v>186907991</v>
      </c>
      <c r="P115" s="503">
        <v>284054040</v>
      </c>
      <c r="Q115" s="357">
        <v>188623896</v>
      </c>
      <c r="R115" s="357">
        <v>95393200</v>
      </c>
      <c r="S115" s="550"/>
      <c r="T115" s="503">
        <v>36.732990000000001</v>
      </c>
      <c r="U115" s="357">
        <v>38.148288999999998</v>
      </c>
      <c r="V115" s="357">
        <v>39.463459</v>
      </c>
      <c r="W115" s="550"/>
      <c r="X115" s="507">
        <v>483.6339999999999</v>
      </c>
      <c r="Y115" s="359">
        <v>328.46899999999999</v>
      </c>
      <c r="Z115" s="573">
        <v>0</v>
      </c>
      <c r="AA115" s="573">
        <v>0</v>
      </c>
      <c r="AB115" s="33"/>
      <c r="AD115" s="30">
        <f t="shared" si="58"/>
        <v>121.5215475</v>
      </c>
      <c r="AE115" s="31">
        <f t="shared" si="24"/>
        <v>1.3870245280203135</v>
      </c>
      <c r="AF115" s="31">
        <f t="shared" si="25"/>
        <v>1.0091804796082795</v>
      </c>
      <c r="AG115" s="31">
        <f t="shared" si="26"/>
        <v>0.37764638966131736</v>
      </c>
      <c r="AH115" s="87" t="str">
        <f t="shared" si="27"/>
        <v>·</v>
      </c>
      <c r="AI115" s="31">
        <f t="shared" si="28"/>
        <v>1.3870245280203135</v>
      </c>
      <c r="AJ115" s="521">
        <v>186907991</v>
      </c>
      <c r="AK115" s="503">
        <v>259245968</v>
      </c>
      <c r="AL115" s="357">
        <v>188623896</v>
      </c>
      <c r="AM115" s="357">
        <v>70585128</v>
      </c>
      <c r="AN115" s="550"/>
      <c r="AO115" s="503">
        <v>37.251967999999998</v>
      </c>
      <c r="AP115" s="357">
        <v>39.952812000000002</v>
      </c>
      <c r="AQ115" s="357">
        <v>40.178702999999999</v>
      </c>
      <c r="AR115" s="550"/>
      <c r="AS115" s="507">
        <v>650.37499999999966</v>
      </c>
      <c r="AT115" s="359">
        <v>468.02100000000019</v>
      </c>
      <c r="AU115" s="573">
        <v>0</v>
      </c>
      <c r="AV115" s="573">
        <v>0</v>
      </c>
      <c r="AW115" s="33"/>
      <c r="AY115" s="56" t="e">
        <f t="shared" si="59"/>
        <v>#DIV/0!</v>
      </c>
      <c r="AZ115" s="57" t="e">
        <f t="shared" si="60"/>
        <v>#DIV/0!</v>
      </c>
      <c r="BA115" s="57">
        <f t="shared" si="61"/>
        <v>6.3544321008556892E-2</v>
      </c>
      <c r="BB115" s="58"/>
      <c r="BD115" s="76"/>
      <c r="BE115" s="76"/>
      <c r="BF115" s="76"/>
      <c r="BG115" s="105"/>
      <c r="BI115" s="252"/>
      <c r="BJ115" s="76"/>
      <c r="BK115" s="255"/>
      <c r="BL115" s="258"/>
      <c r="BM115" s="251"/>
      <c r="BN115" s="76"/>
      <c r="BO115" s="76"/>
      <c r="BP115" s="76"/>
      <c r="BQ115" s="105"/>
      <c r="BS115" s="252"/>
      <c r="BT115" s="76"/>
      <c r="BU115" s="255"/>
      <c r="BV115" s="258"/>
      <c r="BX115" s="74"/>
      <c r="BY115" s="75"/>
      <c r="BZ115" s="264"/>
      <c r="CA115" s="105"/>
      <c r="CC115" s="260"/>
      <c r="CD115" s="75"/>
      <c r="CE115" s="262"/>
      <c r="CF115" s="258"/>
    </row>
    <row r="116" spans="1:84" s="1" customFormat="1" outlineLevel="1">
      <c r="A116" s="13"/>
      <c r="B116" s="14" t="s">
        <v>872</v>
      </c>
      <c r="C116" s="15" t="s">
        <v>134</v>
      </c>
      <c r="D116" s="14">
        <v>186907991</v>
      </c>
      <c r="E116" s="15">
        <v>11</v>
      </c>
      <c r="F116" s="25">
        <v>64</v>
      </c>
      <c r="G116" s="16">
        <v>30</v>
      </c>
      <c r="H116" s="251"/>
      <c r="I116" s="30">
        <f t="shared" si="53"/>
        <v>202.65308999999999</v>
      </c>
      <c r="J116" s="31">
        <f t="shared" si="54"/>
        <v>2.3130449890716549</v>
      </c>
      <c r="K116" s="31">
        <f t="shared" si="55"/>
        <v>1.0091804796082795</v>
      </c>
      <c r="L116" s="31">
        <f t="shared" si="63"/>
        <v>1.3036675355415916</v>
      </c>
      <c r="M116" s="87"/>
      <c r="N116" s="31">
        <f t="shared" si="57"/>
        <v>2.3130449890716549</v>
      </c>
      <c r="O116" s="521">
        <v>186907991</v>
      </c>
      <c r="P116" s="503">
        <v>432326592</v>
      </c>
      <c r="Q116" s="357">
        <v>188623896</v>
      </c>
      <c r="R116" s="357">
        <v>243665880</v>
      </c>
      <c r="S116" s="550"/>
      <c r="T116" s="503">
        <v>41.82</v>
      </c>
      <c r="U116" s="357">
        <v>42.96069</v>
      </c>
      <c r="V116" s="357">
        <v>44.187767000000001</v>
      </c>
      <c r="W116" s="550"/>
      <c r="X116" s="507">
        <v>504.36400000000015</v>
      </c>
      <c r="Y116" s="359">
        <v>330.41</v>
      </c>
      <c r="Z116" s="573">
        <v>0</v>
      </c>
      <c r="AA116" s="573">
        <v>0</v>
      </c>
      <c r="AB116" s="33"/>
      <c r="AD116" s="30">
        <f t="shared" si="58"/>
        <v>179.1244725</v>
      </c>
      <c r="AE116" s="31">
        <f t="shared" si="24"/>
        <v>2.0444936888760417</v>
      </c>
      <c r="AF116" s="31">
        <f t="shared" si="25"/>
        <v>1.0091804796082795</v>
      </c>
      <c r="AG116" s="31">
        <f t="shared" si="26"/>
        <v>1.0351162353459784</v>
      </c>
      <c r="AH116" s="87" t="str">
        <f t="shared" si="27"/>
        <v>·</v>
      </c>
      <c r="AI116" s="31">
        <f t="shared" si="28"/>
        <v>2.0444936888760417</v>
      </c>
      <c r="AJ116" s="521">
        <v>186907991</v>
      </c>
      <c r="AK116" s="503">
        <v>382132208</v>
      </c>
      <c r="AL116" s="357">
        <v>188623896</v>
      </c>
      <c r="AM116" s="357">
        <v>193471496</v>
      </c>
      <c r="AN116" s="550"/>
      <c r="AO116" s="503">
        <v>42.262810000000002</v>
      </c>
      <c r="AP116" s="357">
        <v>44.647953000000001</v>
      </c>
      <c r="AQ116" s="357">
        <v>46.233116000000003</v>
      </c>
      <c r="AR116" s="550"/>
      <c r="AS116" s="507">
        <v>668.92500000000018</v>
      </c>
      <c r="AT116" s="359">
        <v>484.53800000000007</v>
      </c>
      <c r="AU116" s="573">
        <v>0</v>
      </c>
      <c r="AV116" s="573">
        <v>0</v>
      </c>
      <c r="AW116" s="33"/>
      <c r="AY116" s="56" t="e">
        <f t="shared" si="59"/>
        <v>#DIV/0!</v>
      </c>
      <c r="AZ116" s="57" t="e">
        <f t="shared" si="60"/>
        <v>#DIV/0!</v>
      </c>
      <c r="BA116" s="57">
        <f t="shared" si="61"/>
        <v>5.730945079777966E-2</v>
      </c>
      <c r="BB116" s="58"/>
      <c r="BD116" s="76"/>
      <c r="BE116" s="76"/>
      <c r="BF116" s="76"/>
      <c r="BG116" s="105"/>
      <c r="BI116" s="252"/>
      <c r="BJ116" s="76"/>
      <c r="BK116" s="255"/>
      <c r="BL116" s="258"/>
      <c r="BM116" s="251"/>
      <c r="BN116" s="76"/>
      <c r="BO116" s="76"/>
      <c r="BP116" s="76"/>
      <c r="BQ116" s="105"/>
      <c r="BS116" s="252"/>
      <c r="BT116" s="76"/>
      <c r="BU116" s="255"/>
      <c r="BV116" s="258"/>
      <c r="BX116" s="74"/>
      <c r="BY116" s="75"/>
      <c r="BZ116" s="264"/>
      <c r="CA116" s="105"/>
      <c r="CC116" s="260"/>
      <c r="CD116" s="75"/>
      <c r="CE116" s="262"/>
      <c r="CF116" s="258"/>
    </row>
    <row r="117" spans="1:84" s="1" customFormat="1" outlineLevel="1">
      <c r="A117" s="13"/>
      <c r="B117" s="14" t="s">
        <v>872</v>
      </c>
      <c r="C117" s="15" t="s">
        <v>135</v>
      </c>
      <c r="D117" s="14">
        <v>186907991</v>
      </c>
      <c r="E117" s="15">
        <v>11</v>
      </c>
      <c r="F117" s="25">
        <v>64</v>
      </c>
      <c r="G117" s="16">
        <v>30</v>
      </c>
      <c r="H117" s="251"/>
      <c r="I117" s="30">
        <f t="shared" si="53"/>
        <v>344.72877749999998</v>
      </c>
      <c r="J117" s="31">
        <f t="shared" si="54"/>
        <v>3.9346706797570792</v>
      </c>
      <c r="K117" s="31">
        <f t="shared" si="55"/>
        <v>1.0091804796082795</v>
      </c>
      <c r="L117" s="31">
        <f t="shared" si="63"/>
        <v>2.9252932262270157</v>
      </c>
      <c r="M117" s="87"/>
      <c r="N117" s="31">
        <f t="shared" si="57"/>
        <v>3.9346706797570792</v>
      </c>
      <c r="O117" s="521">
        <v>186907991</v>
      </c>
      <c r="P117" s="503">
        <v>735421392</v>
      </c>
      <c r="Q117" s="357">
        <v>188623896</v>
      </c>
      <c r="R117" s="357">
        <v>546760680</v>
      </c>
      <c r="S117" s="550"/>
      <c r="T117" s="503">
        <v>46.804825000000001</v>
      </c>
      <c r="U117" s="357">
        <v>47.985419999999998</v>
      </c>
      <c r="V117" s="357">
        <v>49.086750000000002</v>
      </c>
      <c r="W117" s="550"/>
      <c r="X117" s="507">
        <v>476.738</v>
      </c>
      <c r="Y117" s="359">
        <v>342.79900000000009</v>
      </c>
      <c r="Z117" s="573">
        <v>0</v>
      </c>
      <c r="AA117" s="573">
        <v>0</v>
      </c>
      <c r="AB117" s="33"/>
      <c r="AD117" s="30">
        <f t="shared" si="58"/>
        <v>313.63649249999997</v>
      </c>
      <c r="AE117" s="31">
        <f t="shared" si="24"/>
        <v>3.579789073865761</v>
      </c>
      <c r="AF117" s="31">
        <f t="shared" si="25"/>
        <v>1.0091804796082795</v>
      </c>
      <c r="AG117" s="31">
        <f t="shared" si="26"/>
        <v>2.5704116203356975</v>
      </c>
      <c r="AH117" s="87" t="str">
        <f t="shared" si="27"/>
        <v>·</v>
      </c>
      <c r="AI117" s="31">
        <f t="shared" si="28"/>
        <v>3.579789073865761</v>
      </c>
      <c r="AJ117" s="521">
        <v>186907991</v>
      </c>
      <c r="AK117" s="503">
        <v>669091184</v>
      </c>
      <c r="AL117" s="357">
        <v>188623896</v>
      </c>
      <c r="AM117" s="357">
        <v>480430472</v>
      </c>
      <c r="AN117" s="550"/>
      <c r="AO117" s="503">
        <v>46.935696</v>
      </c>
      <c r="AP117" s="357">
        <v>48.713951000000002</v>
      </c>
      <c r="AQ117" s="357">
        <v>50.299999</v>
      </c>
      <c r="AR117" s="550"/>
      <c r="AS117" s="507">
        <v>642.62900000000002</v>
      </c>
      <c r="AT117" s="359">
        <v>514.79600000000005</v>
      </c>
      <c r="AU117" s="573">
        <v>0</v>
      </c>
      <c r="AV117" s="573">
        <v>0</v>
      </c>
      <c r="AW117" s="33"/>
      <c r="AY117" s="56" t="e">
        <f t="shared" si="59"/>
        <v>#DIV/0!</v>
      </c>
      <c r="AZ117" s="57" t="e">
        <f t="shared" si="60"/>
        <v>#DIV/0!</v>
      </c>
      <c r="BA117" s="57">
        <f t="shared" si="61"/>
        <v>2.5426495375555747E-2</v>
      </c>
      <c r="BB117" s="58"/>
      <c r="BD117" s="76"/>
      <c r="BE117" s="76"/>
      <c r="BF117" s="76"/>
      <c r="BG117" s="105"/>
      <c r="BI117" s="252"/>
      <c r="BJ117" s="76"/>
      <c r="BK117" s="255"/>
      <c r="BL117" s="258"/>
      <c r="BM117" s="251"/>
      <c r="BN117" s="76"/>
      <c r="BO117" s="76"/>
      <c r="BP117" s="76"/>
      <c r="BQ117" s="105"/>
      <c r="BS117" s="252"/>
      <c r="BT117" s="76"/>
      <c r="BU117" s="255"/>
      <c r="BV117" s="258"/>
      <c r="BX117" s="74"/>
      <c r="BY117" s="75"/>
      <c r="BZ117" s="264"/>
      <c r="CA117" s="105"/>
      <c r="CC117" s="260"/>
      <c r="CD117" s="75"/>
      <c r="CE117" s="262"/>
      <c r="CF117" s="258"/>
    </row>
    <row r="118" spans="1:84" s="1" customFormat="1" ht="14.25" outlineLevel="1" thickBot="1">
      <c r="A118" s="13"/>
      <c r="B118" s="18" t="s">
        <v>872</v>
      </c>
      <c r="C118" s="22" t="s">
        <v>136</v>
      </c>
      <c r="D118" s="21">
        <v>186907991</v>
      </c>
      <c r="E118" s="22">
        <v>11</v>
      </c>
      <c r="F118" s="188">
        <v>64</v>
      </c>
      <c r="G118" s="23">
        <v>30</v>
      </c>
      <c r="H118" s="251"/>
      <c r="I118" s="34">
        <f t="shared" si="53"/>
        <v>568.12469999999996</v>
      </c>
      <c r="J118" s="35">
        <f t="shared" si="54"/>
        <v>6.4844705328837442</v>
      </c>
      <c r="K118" s="35">
        <f t="shared" si="55"/>
        <v>1.0091804796082795</v>
      </c>
      <c r="L118" s="35">
        <f>IF(ISBLANK(R118),"·",R118/D118)</f>
        <v>5.4750932933627219</v>
      </c>
      <c r="M118" s="88"/>
      <c r="N118" s="35">
        <f t="shared" si="57"/>
        <v>6.4844705328837442</v>
      </c>
      <c r="O118" s="522">
        <v>186907991</v>
      </c>
      <c r="P118" s="505">
        <v>1211999360</v>
      </c>
      <c r="Q118" s="361">
        <v>188623896</v>
      </c>
      <c r="R118" s="361">
        <v>1023338688</v>
      </c>
      <c r="S118" s="551"/>
      <c r="T118" s="505">
        <v>51.255791000000002</v>
      </c>
      <c r="U118" s="361">
        <v>52.428955000000002</v>
      </c>
      <c r="V118" s="361">
        <v>53.220725999999999</v>
      </c>
      <c r="W118" s="551"/>
      <c r="X118" s="509">
        <v>533.05000000000018</v>
      </c>
      <c r="Y118" s="363">
        <v>351.98099999999999</v>
      </c>
      <c r="Z118" s="575">
        <v>0</v>
      </c>
      <c r="AA118" s="575">
        <v>0</v>
      </c>
      <c r="AB118" s="37"/>
      <c r="AD118" s="34">
        <f t="shared" si="58"/>
        <v>541.49071875000004</v>
      </c>
      <c r="AE118" s="35">
        <f t="shared" si="24"/>
        <v>6.1804751836426295</v>
      </c>
      <c r="AF118" s="35">
        <f t="shared" si="25"/>
        <v>1.0091804796082795</v>
      </c>
      <c r="AG118" s="35">
        <f t="shared" si="26"/>
        <v>5.1710979441216081</v>
      </c>
      <c r="AH118" s="88" t="str">
        <f t="shared" si="27"/>
        <v>·</v>
      </c>
      <c r="AI118" s="35">
        <f t="shared" si="28"/>
        <v>6.1804751836426295</v>
      </c>
      <c r="AJ118" s="522">
        <v>186907991</v>
      </c>
      <c r="AK118" s="505">
        <v>1155180200</v>
      </c>
      <c r="AL118" s="361">
        <v>188623896</v>
      </c>
      <c r="AM118" s="361">
        <v>966519528</v>
      </c>
      <c r="AN118" s="551"/>
      <c r="AO118" s="505">
        <v>51.265839</v>
      </c>
      <c r="AP118" s="361">
        <v>52.594665999999997</v>
      </c>
      <c r="AQ118" s="361">
        <v>53.526927999999998</v>
      </c>
      <c r="AR118" s="551"/>
      <c r="AS118" s="509">
        <v>696.68900000000008</v>
      </c>
      <c r="AT118" s="363">
        <v>500.65799999999996</v>
      </c>
      <c r="AU118" s="575">
        <v>0</v>
      </c>
      <c r="AV118" s="575">
        <v>0</v>
      </c>
      <c r="AW118" s="37"/>
      <c r="AY118" s="59" t="e">
        <f t="shared" si="59"/>
        <v>#DIV/0!</v>
      </c>
      <c r="AZ118" s="60" t="e">
        <f t="shared" si="60"/>
        <v>#DIV/0!</v>
      </c>
      <c r="BA118" s="60">
        <f t="shared" si="61"/>
        <v>7.6548977311976518E-3</v>
      </c>
      <c r="BB118" s="61"/>
      <c r="BD118" s="79"/>
      <c r="BE118" s="79"/>
      <c r="BF118" s="79"/>
      <c r="BG118" s="108"/>
      <c r="BI118" s="253"/>
      <c r="BJ118" s="79"/>
      <c r="BK118" s="256"/>
      <c r="BL118" s="259"/>
      <c r="BM118" s="251"/>
      <c r="BN118" s="79"/>
      <c r="BO118" s="79"/>
      <c r="BP118" s="79"/>
      <c r="BQ118" s="108"/>
      <c r="BS118" s="253"/>
      <c r="BT118" s="79"/>
      <c r="BU118" s="256"/>
      <c r="BV118" s="259"/>
      <c r="BX118" s="77"/>
      <c r="BY118" s="78"/>
      <c r="BZ118" s="265"/>
      <c r="CA118" s="108"/>
      <c r="CC118" s="261"/>
      <c r="CD118" s="78"/>
      <c r="CE118" s="263"/>
      <c r="CF118" s="259"/>
    </row>
    <row r="119" spans="1:84" s="1" customFormat="1">
      <c r="A119" s="13"/>
      <c r="B119" s="27" t="s">
        <v>879</v>
      </c>
      <c r="C119" s="28" t="s">
        <v>131</v>
      </c>
      <c r="D119" s="27">
        <v>166028718</v>
      </c>
      <c r="E119" s="28">
        <v>11</v>
      </c>
      <c r="F119" s="28">
        <v>64</v>
      </c>
      <c r="G119" s="29">
        <v>30</v>
      </c>
      <c r="H119" s="251"/>
      <c r="I119" s="46">
        <f t="shared" si="53"/>
        <v>92.161312499999994</v>
      </c>
      <c r="J119" s="47">
        <f t="shared" si="54"/>
        <v>1.184197543463535</v>
      </c>
      <c r="K119" s="47">
        <f t="shared" si="55"/>
        <v>1.0594718439011255</v>
      </c>
      <c r="L119" s="47">
        <f>IF(ISBLANK(R119),"·",R119/D119)</f>
        <v>0.12450385842285429</v>
      </c>
      <c r="M119" s="87"/>
      <c r="N119" s="47">
        <f t="shared" si="57"/>
        <v>1.184197543463535</v>
      </c>
      <c r="O119" s="520">
        <v>166028718</v>
      </c>
      <c r="P119" s="502">
        <v>196610800</v>
      </c>
      <c r="Q119" s="353">
        <v>175902752</v>
      </c>
      <c r="R119" s="353">
        <v>20671216</v>
      </c>
      <c r="S119" s="550"/>
      <c r="T119" s="502">
        <v>25.526479999999999</v>
      </c>
      <c r="U119" s="353">
        <v>31.025058999999999</v>
      </c>
      <c r="V119" s="353">
        <v>33.980815999999997</v>
      </c>
      <c r="W119" s="550"/>
      <c r="X119" s="506">
        <v>436.93599999999998</v>
      </c>
      <c r="Y119" s="355">
        <v>270.82500000000005</v>
      </c>
      <c r="Z119" s="572">
        <v>0</v>
      </c>
      <c r="AA119" s="572">
        <v>0</v>
      </c>
      <c r="AB119" s="49"/>
      <c r="AD119" s="46">
        <f t="shared" si="58"/>
        <v>89.509826250000003</v>
      </c>
      <c r="AE119" s="47">
        <f t="shared" si="24"/>
        <v>1.1501281121739433</v>
      </c>
      <c r="AF119" s="47">
        <f t="shared" si="25"/>
        <v>1.0594718439011255</v>
      </c>
      <c r="AG119" s="47">
        <f t="shared" si="26"/>
        <v>9.0434427133262565E-2</v>
      </c>
      <c r="AH119" s="87" t="str">
        <f t="shared" si="27"/>
        <v>·</v>
      </c>
      <c r="AI119" s="47">
        <f t="shared" si="28"/>
        <v>1.1501281121739433</v>
      </c>
      <c r="AJ119" s="520">
        <v>166028718</v>
      </c>
      <c r="AK119" s="502">
        <v>190954296</v>
      </c>
      <c r="AL119" s="353">
        <v>175902752</v>
      </c>
      <c r="AM119" s="353">
        <v>15014712</v>
      </c>
      <c r="AN119" s="550"/>
      <c r="AO119" s="502">
        <v>25.218547999999998</v>
      </c>
      <c r="AP119" s="353">
        <v>34.910240000000002</v>
      </c>
      <c r="AQ119" s="353">
        <v>34.784191</v>
      </c>
      <c r="AR119" s="550"/>
      <c r="AS119" s="506">
        <v>563.46599999999989</v>
      </c>
      <c r="AT119" s="355">
        <v>377.03399999999993</v>
      </c>
      <c r="AU119" s="572">
        <v>0</v>
      </c>
      <c r="AV119" s="572">
        <v>0</v>
      </c>
      <c r="AW119" s="49"/>
      <c r="AY119" s="68" t="e">
        <f t="shared" si="59"/>
        <v>#DIV/0!</v>
      </c>
      <c r="AZ119" s="69" t="e">
        <f t="shared" si="60"/>
        <v>#DIV/0!</v>
      </c>
      <c r="BA119" s="69">
        <f t="shared" si="61"/>
        <v>2.6502322160648295E-2</v>
      </c>
      <c r="BB119" s="70">
        <f t="array" ref="BB119">AVERAGE(AL119:AL124/AK119:AK124) - AVERAGE(Q119:Q124/P119:P124)</f>
        <v>3.5752736832810772E-2</v>
      </c>
      <c r="BD119" s="86">
        <f>IF( OR(ISBLANK($R119:$R124),ISBLANK($AM119:$AM124), ISBLANK(T119:T124),ISBLANK(AO119:AO124)), "·", bdRateHermite( $R119:$R124,$T119:$T124, $AM119:$AM124,$AO119:$AO124))</f>
        <v>-0.22402325446123839</v>
      </c>
      <c r="BE119" s="86">
        <f>IF( OR(ISBLANK($R119:$R124),ISBLANK($AM119:$AM124), ISBLANK(U119:U124),ISBLANK(AP119:AP124)), "·", bdRateHermite( $R119:$R124,$U119:$U124, $AM119:$AM124,$AP119:$AP124))</f>
        <v>-0.2966040036606844</v>
      </c>
      <c r="BF119" s="86">
        <f>IF( OR(ISBLANK($R119:$R124),ISBLANK($AM119:$AM124), ISBLANK(V119:V124),ISBLANK(AQ119:AQ124)), "·", bdRateHermite( $R119:$R124,$V119:$V124, $AM119:$AM124,$AQ119:$AQ124))</f>
        <v>-0.39850987863995069</v>
      </c>
      <c r="BG119" s="103"/>
      <c r="BI119" s="250">
        <f>IF(OR(ISBLANK($P119:$P124),ISBLANK($AK119:$AK124),ISBLANK(T119:T124),ISBLANK(AO119:AO124)),"·",bdRateHermite($P119:$P124,$T119:$T124,$AK119:$AK124,$AO119:$AO124))</f>
        <v>-8.5642745901187256E-2</v>
      </c>
      <c r="BJ119" s="85">
        <f>IF(OR(ISBLANK($P119:$P124),ISBLANK($AK119:$AK124),ISBLANK(U119:U124),ISBLANK(AP119:AP124)),"·",bdRateHermite($P119:$P124,$U119:$U124,$AK119:$AK124,$AP119:$AP124))</f>
        <v>-0.12563646296058595</v>
      </c>
      <c r="BK119" s="254">
        <f>IF(OR(ISBLANK($P119:$P124),ISBLANK($AK119:$AK124),ISBLANK(V119:V124),ISBLANK(AQ119:AQ124)),"·",bdRateHermite($P119:$P124,$V119:$V124,$AK119:$AK124,$AQ119:$AQ124))</f>
        <v>-0.18784929401472217</v>
      </c>
      <c r="BL119" s="257"/>
      <c r="BM119" s="251"/>
      <c r="BN119" s="86">
        <f>IF( OR(ISBLANK($R119:$R124),ISBLANK($AM119:$AM124), ISBLANK(T119:T124),ISBLANK(AO119:AO124)), "·", bdRateHermite( $R120:$R124,$T120:$T124, $AM120:$AM124,$AO120:$AO124))</f>
        <v>-0.2220412831878581</v>
      </c>
      <c r="BO119" s="86">
        <f>IF( OR(ISBLANK($R119:$R124),ISBLANK($AM119:$AM124), ISBLANK(U119:U124),ISBLANK(AP119:AP124)), "·", bdRateHermite( $R120:$R124,$U120:$U124, $AM120:$AM124,$AP120:$AP124))</f>
        <v>-0.33859536621879305</v>
      </c>
      <c r="BP119" s="86">
        <f>IF( OR(ISBLANK($R119:$R124),ISBLANK($AM119:$AM124), ISBLANK(V119:V124),ISBLANK(AQ119:AQ124)), "·", bdRateHermite( $R120:$R124,$V120:$V124, $AM120:$AM124,$AQ120:$AQ124))</f>
        <v>-0.35516465311250722</v>
      </c>
      <c r="BQ119" s="103"/>
      <c r="BS119" s="250">
        <f>IF(OR(ISBLANK($P119:$P124),ISBLANK($AK119:$AK124),ISBLANK(T119:T124),ISBLANK(AO119:AO124)),"·",bdRateHermite($P120:$P124,$T120:$T124,$AK120:$AK124,$AO120:$AO124))</f>
        <v>-0.10070753894113793</v>
      </c>
      <c r="BT119" s="85">
        <f>IF(OR(ISBLANK($P119:$P124),ISBLANK($AK119:$AK124),ISBLANK(U119:U124),ISBLANK(AP119:AP124)),"·",bdRateHermite($P120:$P124,$U120:$U124,$AK120:$AK124,$AP120:$AP124))</f>
        <v>-0.16521661647205332</v>
      </c>
      <c r="BU119" s="254">
        <f>IF(OR(ISBLANK($P119:$P124),ISBLANK($AK119:$AK124),ISBLANK(V119:V124),ISBLANK(AQ119:AQ124)),"·",bdRateHermite($P120:$P124,$V120:$V124,$AK120:$AK124,$AQ120:$AQ124))</f>
        <v>-0.1843442214175085</v>
      </c>
      <c r="BV119" s="257"/>
      <c r="BX119" s="86">
        <f>IF( OR(ISBLANK($R119:$R124),ISBLANK($AM119:$AM124), ISBLANK(T119:T124),ISBLANK(AO119:AO124)), "·", bdRateHermite( $R119:$R123,$T119:$T123, $AM119:$AM123,$AO119:$AO123))</f>
        <v>-0.25099686956689737</v>
      </c>
      <c r="BY119" s="86">
        <f>IF( OR(ISBLANK($R119:$R124),ISBLANK($AM119:$AM124), ISBLANK(U119:U124),ISBLANK(AP119:AP124)), "·", bdRateHermite( $R119:$R123,$U119:$U123, $AM119:$AM123,$AP119:$AP123))</f>
        <v>-0.34252169889750184</v>
      </c>
      <c r="BZ119" s="86">
        <f>IF( OR(ISBLANK($R119:$R124),ISBLANK($AM119:$AM124), ISBLANK(V119:V124),ISBLANK(AQ119:AQ124)), "·", bdRateHermite( $R119:$R123,$V119:$V123, $AM119:$AM123,$AQ119:$AQ123))</f>
        <v>-0.44649544298903721</v>
      </c>
      <c r="CA119" s="103"/>
      <c r="CC119" s="250">
        <f>IF(OR(ISBLANK($P119:$P124),ISBLANK($AK119:$AK124),ISBLANK(T119:T124),ISBLANK(AO119:AO124)),"·",bdRateHermite($P119:$P123,$T119:$T123,$AK119:$AK123,$AO119:$AO123))</f>
        <v>-8.9522794130690531E-2</v>
      </c>
      <c r="CD119" s="85">
        <f>IF(OR(ISBLANK($P119:$P124),ISBLANK($AK119:$AK124),ISBLANK(U119:U124),ISBLANK(AP119:AP124)),"·",bdRateHermite($P119:$P123,$U119:$U123,$AK119:$AK123,$AP119:$AP123))</f>
        <v>-0.12896037631202262</v>
      </c>
      <c r="CE119" s="254">
        <f>IF(OR(ISBLANK($P119:$P124),ISBLANK($AK119:$AK124),ISBLANK(V119:V124),ISBLANK(AQ119:AQ124)),"·",bdRateHermite($P119:$P123,$V119:$V123,$AK119:$AK123,$AQ119:$AQ123))</f>
        <v>-0.19522363481006766</v>
      </c>
      <c r="CF119" s="257"/>
    </row>
    <row r="120" spans="1:84" s="1" customFormat="1" outlineLevel="1">
      <c r="A120" s="13"/>
      <c r="B120" s="14" t="s">
        <v>874</v>
      </c>
      <c r="C120" s="15" t="s">
        <v>132</v>
      </c>
      <c r="D120" s="14">
        <v>166028718</v>
      </c>
      <c r="E120" s="15">
        <v>11</v>
      </c>
      <c r="F120" s="25">
        <v>64</v>
      </c>
      <c r="G120" s="16">
        <v>30</v>
      </c>
      <c r="H120" s="251"/>
      <c r="I120" s="30">
        <f t="shared" si="53"/>
        <v>102.31452</v>
      </c>
      <c r="J120" s="31">
        <f t="shared" si="54"/>
        <v>1.3146579617629766</v>
      </c>
      <c r="K120" s="31">
        <f t="shared" si="55"/>
        <v>1.0594718439011255</v>
      </c>
      <c r="L120" s="31">
        <f t="shared" si="63"/>
        <v>0.25496427672229571</v>
      </c>
      <c r="M120" s="87"/>
      <c r="N120" s="31">
        <f t="shared" si="57"/>
        <v>1.3146579617629766</v>
      </c>
      <c r="O120" s="521">
        <v>166028718</v>
      </c>
      <c r="P120" s="503">
        <v>218270976</v>
      </c>
      <c r="Q120" s="357">
        <v>175902752</v>
      </c>
      <c r="R120" s="357">
        <v>42331392</v>
      </c>
      <c r="S120" s="550"/>
      <c r="T120" s="503">
        <v>31.094017000000001</v>
      </c>
      <c r="U120" s="357">
        <v>31.775949000000001</v>
      </c>
      <c r="V120" s="357">
        <v>34.027641000000003</v>
      </c>
      <c r="W120" s="550"/>
      <c r="X120" s="507">
        <v>450.17199999999991</v>
      </c>
      <c r="Y120" s="359">
        <v>274.51599999999991</v>
      </c>
      <c r="Z120" s="573">
        <v>0</v>
      </c>
      <c r="AA120" s="573">
        <v>0</v>
      </c>
      <c r="AB120" s="33"/>
      <c r="AD120" s="30">
        <f t="shared" si="58"/>
        <v>97.564920000000001</v>
      </c>
      <c r="AE120" s="31">
        <f t="shared" si="24"/>
        <v>1.2536294835451298</v>
      </c>
      <c r="AF120" s="31">
        <f t="shared" si="25"/>
        <v>1.0594718439011255</v>
      </c>
      <c r="AG120" s="31">
        <f t="shared" si="26"/>
        <v>0.19393579850444909</v>
      </c>
      <c r="AH120" s="87" t="str">
        <f t="shared" si="27"/>
        <v>·</v>
      </c>
      <c r="AI120" s="31">
        <f t="shared" si="28"/>
        <v>1.2536294835451298</v>
      </c>
      <c r="AJ120" s="521">
        <v>166028718</v>
      </c>
      <c r="AK120" s="503">
        <v>208138496</v>
      </c>
      <c r="AL120" s="357">
        <v>175902752</v>
      </c>
      <c r="AM120" s="357">
        <v>32198912</v>
      </c>
      <c r="AN120" s="550"/>
      <c r="AO120" s="503">
        <v>31.150023000000001</v>
      </c>
      <c r="AP120" s="357">
        <v>34.129142999999999</v>
      </c>
      <c r="AQ120" s="357">
        <v>36.527327999999997</v>
      </c>
      <c r="AR120" s="550"/>
      <c r="AS120" s="507">
        <v>535.20900000000017</v>
      </c>
      <c r="AT120" s="359">
        <v>377.37500000000006</v>
      </c>
      <c r="AU120" s="573">
        <v>0</v>
      </c>
      <c r="AV120" s="573">
        <v>0</v>
      </c>
      <c r="AW120" s="33"/>
      <c r="AY120" s="56" t="e">
        <f t="shared" si="59"/>
        <v>#DIV/0!</v>
      </c>
      <c r="AZ120" s="57" t="e">
        <f t="shared" si="60"/>
        <v>#DIV/0!</v>
      </c>
      <c r="BA120" s="57">
        <f t="shared" si="61"/>
        <v>3.9231958291278568E-2</v>
      </c>
      <c r="BB120" s="58"/>
      <c r="BD120" s="76"/>
      <c r="BE120" s="76"/>
      <c r="BF120" s="76"/>
      <c r="BG120" s="105"/>
      <c r="BI120" s="252"/>
      <c r="BJ120" s="76"/>
      <c r="BK120" s="255"/>
      <c r="BL120" s="258"/>
      <c r="BM120" s="251"/>
      <c r="BN120" s="252"/>
      <c r="BO120" s="76"/>
      <c r="BP120" s="255"/>
      <c r="BQ120" s="258"/>
      <c r="BS120" s="252"/>
      <c r="BT120" s="76"/>
      <c r="BU120" s="255"/>
      <c r="BV120" s="258"/>
      <c r="BX120" s="74"/>
      <c r="BY120" s="75"/>
      <c r="BZ120" s="264"/>
      <c r="CA120" s="105"/>
      <c r="CC120" s="260"/>
      <c r="CD120" s="75"/>
      <c r="CE120" s="262"/>
      <c r="CF120" s="258"/>
    </row>
    <row r="121" spans="1:84" s="1" customFormat="1" outlineLevel="1">
      <c r="A121" s="13"/>
      <c r="B121" s="14" t="s">
        <v>874</v>
      </c>
      <c r="C121" s="15" t="s">
        <v>133</v>
      </c>
      <c r="D121" s="14">
        <v>166028718</v>
      </c>
      <c r="E121" s="15">
        <v>11</v>
      </c>
      <c r="F121" s="25">
        <v>64</v>
      </c>
      <c r="G121" s="16">
        <v>30</v>
      </c>
      <c r="H121" s="251"/>
      <c r="I121" s="30">
        <f t="shared" si="53"/>
        <v>126.65421375</v>
      </c>
      <c r="J121" s="31">
        <f t="shared" si="54"/>
        <v>1.6274031339566206</v>
      </c>
      <c r="K121" s="31">
        <f t="shared" si="55"/>
        <v>1.0594718439011255</v>
      </c>
      <c r="L121" s="31">
        <f t="shared" si="63"/>
        <v>0.56770944891594</v>
      </c>
      <c r="M121" s="87"/>
      <c r="N121" s="31">
        <f t="shared" si="57"/>
        <v>1.6274031339566206</v>
      </c>
      <c r="O121" s="521">
        <v>166028718</v>
      </c>
      <c r="P121" s="503">
        <v>270195656</v>
      </c>
      <c r="Q121" s="357">
        <v>175902752</v>
      </c>
      <c r="R121" s="357">
        <v>94256072</v>
      </c>
      <c r="S121" s="550"/>
      <c r="T121" s="503">
        <v>36.554324999999999</v>
      </c>
      <c r="U121" s="357">
        <v>38.238731000000001</v>
      </c>
      <c r="V121" s="357">
        <v>39.945210000000003</v>
      </c>
      <c r="W121" s="550"/>
      <c r="X121" s="507">
        <v>445.15100000000001</v>
      </c>
      <c r="Y121" s="359">
        <v>283.51799999999997</v>
      </c>
      <c r="Z121" s="573">
        <v>0</v>
      </c>
      <c r="AA121" s="573">
        <v>0</v>
      </c>
      <c r="AB121" s="33"/>
      <c r="AD121" s="30">
        <f t="shared" si="58"/>
        <v>115.53649125</v>
      </c>
      <c r="AE121" s="31">
        <f t="shared" si="24"/>
        <v>1.4845494861919009</v>
      </c>
      <c r="AF121" s="31">
        <f t="shared" si="25"/>
        <v>1.0594718439011255</v>
      </c>
      <c r="AG121" s="31">
        <f t="shared" si="26"/>
        <v>0.42485580115122012</v>
      </c>
      <c r="AH121" s="87" t="str">
        <f t="shared" si="27"/>
        <v>·</v>
      </c>
      <c r="AI121" s="31">
        <f t="shared" si="28"/>
        <v>1.4845494861919009</v>
      </c>
      <c r="AJ121" s="521">
        <v>166028718</v>
      </c>
      <c r="AK121" s="503">
        <v>246477848</v>
      </c>
      <c r="AL121" s="357">
        <v>175902752</v>
      </c>
      <c r="AM121" s="357">
        <v>70538264</v>
      </c>
      <c r="AN121" s="550"/>
      <c r="AO121" s="503">
        <v>37.024650999999999</v>
      </c>
      <c r="AP121" s="357">
        <v>39.798026999999998</v>
      </c>
      <c r="AQ121" s="357">
        <v>40.988464</v>
      </c>
      <c r="AR121" s="550"/>
      <c r="AS121" s="507">
        <v>572.99900000000014</v>
      </c>
      <c r="AT121" s="359">
        <v>379.91300000000001</v>
      </c>
      <c r="AU121" s="573">
        <v>0</v>
      </c>
      <c r="AV121" s="573">
        <v>0</v>
      </c>
      <c r="AW121" s="33"/>
      <c r="AY121" s="56" t="e">
        <f t="shared" si="59"/>
        <v>#DIV/0!</v>
      </c>
      <c r="AZ121" s="57" t="e">
        <f t="shared" si="60"/>
        <v>#DIV/0!</v>
      </c>
      <c r="BA121" s="57">
        <f t="shared" si="61"/>
        <v>6.2645651061298158E-2</v>
      </c>
      <c r="BB121" s="58"/>
      <c r="BD121" s="76"/>
      <c r="BE121" s="76"/>
      <c r="BF121" s="76"/>
      <c r="BG121" s="105"/>
      <c r="BI121" s="252"/>
      <c r="BJ121" s="76"/>
      <c r="BK121" s="255"/>
      <c r="BL121" s="258"/>
      <c r="BM121" s="251"/>
      <c r="BN121" s="252"/>
      <c r="BO121" s="76"/>
      <c r="BP121" s="255"/>
      <c r="BQ121" s="258"/>
      <c r="BS121" s="252"/>
      <c r="BT121" s="76"/>
      <c r="BU121" s="255"/>
      <c r="BV121" s="258"/>
      <c r="BX121" s="74"/>
      <c r="BY121" s="75"/>
      <c r="BZ121" s="264"/>
      <c r="CA121" s="105"/>
      <c r="CC121" s="260"/>
      <c r="CD121" s="75"/>
      <c r="CE121" s="262"/>
      <c r="CF121" s="258"/>
    </row>
    <row r="122" spans="1:84" s="1" customFormat="1" outlineLevel="1">
      <c r="A122" s="13"/>
      <c r="B122" s="14" t="s">
        <v>874</v>
      </c>
      <c r="C122" s="15" t="s">
        <v>134</v>
      </c>
      <c r="D122" s="14">
        <v>166028718</v>
      </c>
      <c r="E122" s="15">
        <v>11</v>
      </c>
      <c r="F122" s="25">
        <v>64</v>
      </c>
      <c r="G122" s="16">
        <v>30</v>
      </c>
      <c r="H122" s="251"/>
      <c r="I122" s="30">
        <f t="shared" si="53"/>
        <v>187.039725</v>
      </c>
      <c r="J122" s="31">
        <f t="shared" si="54"/>
        <v>2.4033076012789545</v>
      </c>
      <c r="K122" s="31">
        <f t="shared" si="55"/>
        <v>1.0594718439011255</v>
      </c>
      <c r="L122" s="31">
        <f t="shared" si="63"/>
        <v>1.3436140126071443</v>
      </c>
      <c r="M122" s="87"/>
      <c r="N122" s="31">
        <f t="shared" si="57"/>
        <v>2.4033076012789545</v>
      </c>
      <c r="O122" s="521">
        <v>166028718</v>
      </c>
      <c r="P122" s="503">
        <v>399018080</v>
      </c>
      <c r="Q122" s="357">
        <v>175902752</v>
      </c>
      <c r="R122" s="357">
        <v>223078512</v>
      </c>
      <c r="S122" s="550"/>
      <c r="T122" s="503">
        <v>41.730553</v>
      </c>
      <c r="U122" s="357">
        <v>43.297744999999999</v>
      </c>
      <c r="V122" s="357">
        <v>44.412227999999999</v>
      </c>
      <c r="W122" s="550"/>
      <c r="X122" s="507">
        <v>455.38900000000007</v>
      </c>
      <c r="Y122" s="359">
        <v>276.00399999999996</v>
      </c>
      <c r="Z122" s="573">
        <v>0</v>
      </c>
      <c r="AA122" s="573">
        <v>0</v>
      </c>
      <c r="AB122" s="33"/>
      <c r="AD122" s="30">
        <f t="shared" si="58"/>
        <v>166.61115000000001</v>
      </c>
      <c r="AE122" s="31">
        <f t="shared" si="24"/>
        <v>2.140817108519744</v>
      </c>
      <c r="AF122" s="31">
        <f t="shared" si="25"/>
        <v>1.0594718439011255</v>
      </c>
      <c r="AG122" s="31">
        <f t="shared" si="26"/>
        <v>1.0811235198479339</v>
      </c>
      <c r="AH122" s="87" t="str">
        <f t="shared" si="27"/>
        <v>·</v>
      </c>
      <c r="AI122" s="31">
        <f t="shared" si="28"/>
        <v>2.140817108519744</v>
      </c>
      <c r="AJ122" s="521">
        <v>166028718</v>
      </c>
      <c r="AK122" s="503">
        <v>355437120</v>
      </c>
      <c r="AL122" s="357">
        <v>175902752</v>
      </c>
      <c r="AM122" s="357">
        <v>179497552</v>
      </c>
      <c r="AN122" s="550"/>
      <c r="AO122" s="503">
        <v>42.104832000000002</v>
      </c>
      <c r="AP122" s="357">
        <v>44.875934999999998</v>
      </c>
      <c r="AQ122" s="357">
        <v>46.214806000000003</v>
      </c>
      <c r="AR122" s="550"/>
      <c r="AS122" s="507">
        <v>544.04199999999992</v>
      </c>
      <c r="AT122" s="359">
        <v>384.38499999999999</v>
      </c>
      <c r="AU122" s="573">
        <v>0</v>
      </c>
      <c r="AV122" s="573">
        <v>0</v>
      </c>
      <c r="AW122" s="33"/>
      <c r="AY122" s="56" t="e">
        <f t="shared" si="59"/>
        <v>#DIV/0!</v>
      </c>
      <c r="AZ122" s="57" t="e">
        <f t="shared" si="60"/>
        <v>#DIV/0!</v>
      </c>
      <c r="BA122" s="57">
        <f t="shared" si="61"/>
        <v>5.4052286600666022E-2</v>
      </c>
      <c r="BB122" s="58"/>
      <c r="BD122" s="76"/>
      <c r="BE122" s="76"/>
      <c r="BF122" s="76"/>
      <c r="BG122" s="105"/>
      <c r="BI122" s="252"/>
      <c r="BJ122" s="76"/>
      <c r="BK122" s="255"/>
      <c r="BL122" s="258"/>
      <c r="BM122" s="251"/>
      <c r="BN122" s="252"/>
      <c r="BO122" s="76"/>
      <c r="BP122" s="255"/>
      <c r="BQ122" s="258"/>
      <c r="BS122" s="252"/>
      <c r="BT122" s="76"/>
      <c r="BU122" s="255"/>
      <c r="BV122" s="258"/>
      <c r="BX122" s="74"/>
      <c r="BY122" s="75"/>
      <c r="BZ122" s="264"/>
      <c r="CA122" s="105"/>
      <c r="CC122" s="260"/>
      <c r="CD122" s="75"/>
      <c r="CE122" s="262"/>
      <c r="CF122" s="258"/>
    </row>
    <row r="123" spans="1:84" s="1" customFormat="1" outlineLevel="1">
      <c r="A123" s="13"/>
      <c r="B123" s="14" t="s">
        <v>874</v>
      </c>
      <c r="C123" s="15" t="s">
        <v>135</v>
      </c>
      <c r="D123" s="14">
        <v>166028718</v>
      </c>
      <c r="E123" s="15">
        <v>11</v>
      </c>
      <c r="F123" s="25">
        <v>64</v>
      </c>
      <c r="G123" s="16">
        <v>30</v>
      </c>
      <c r="H123" s="251"/>
      <c r="I123" s="30">
        <f t="shared" si="53"/>
        <v>308.89513875</v>
      </c>
      <c r="J123" s="31">
        <f t="shared" si="54"/>
        <v>3.9690500772282058</v>
      </c>
      <c r="K123" s="31">
        <f t="shared" si="55"/>
        <v>1.0594718439011255</v>
      </c>
      <c r="L123" s="31">
        <f t="shared" si="63"/>
        <v>2.9093564885563956</v>
      </c>
      <c r="M123" s="87"/>
      <c r="N123" s="31">
        <f t="shared" si="57"/>
        <v>3.9690500772282058</v>
      </c>
      <c r="O123" s="521">
        <v>166028718</v>
      </c>
      <c r="P123" s="503">
        <v>658976296</v>
      </c>
      <c r="Q123" s="357">
        <v>175902752</v>
      </c>
      <c r="R123" s="357">
        <v>483036728</v>
      </c>
      <c r="S123" s="550"/>
      <c r="T123" s="503">
        <v>46.739403000000003</v>
      </c>
      <c r="U123" s="357">
        <v>48.233500999999997</v>
      </c>
      <c r="V123" s="357">
        <v>48.849316000000002</v>
      </c>
      <c r="W123" s="550"/>
      <c r="X123" s="507">
        <v>450.16899999999998</v>
      </c>
      <c r="Y123" s="359">
        <v>295.51400000000001</v>
      </c>
      <c r="Z123" s="573">
        <v>0</v>
      </c>
      <c r="AA123" s="573">
        <v>0</v>
      </c>
      <c r="AB123" s="33"/>
      <c r="AD123" s="30">
        <f t="shared" si="58"/>
        <v>283.15556249999997</v>
      </c>
      <c r="AE123" s="31">
        <f t="shared" si="24"/>
        <v>3.6383175590140979</v>
      </c>
      <c r="AF123" s="31">
        <f t="shared" si="25"/>
        <v>1.0594718439011255</v>
      </c>
      <c r="AG123" s="31">
        <f t="shared" si="26"/>
        <v>2.5786239703422873</v>
      </c>
      <c r="AH123" s="87" t="str">
        <f t="shared" si="27"/>
        <v>·</v>
      </c>
      <c r="AI123" s="31">
        <f t="shared" si="28"/>
        <v>3.6383175590140979</v>
      </c>
      <c r="AJ123" s="521">
        <v>166028718</v>
      </c>
      <c r="AK123" s="503">
        <v>604065200</v>
      </c>
      <c r="AL123" s="357">
        <v>175902752</v>
      </c>
      <c r="AM123" s="357">
        <v>428125632</v>
      </c>
      <c r="AN123" s="550"/>
      <c r="AO123" s="503">
        <v>46.829799999999999</v>
      </c>
      <c r="AP123" s="357">
        <v>48.962418</v>
      </c>
      <c r="AQ123" s="357">
        <v>49.920203999999998</v>
      </c>
      <c r="AR123" s="550"/>
      <c r="AS123" s="507">
        <v>577.90600000000006</v>
      </c>
      <c r="AT123" s="359">
        <v>397.37900000000008</v>
      </c>
      <c r="AU123" s="573">
        <v>0</v>
      </c>
      <c r="AV123" s="573">
        <v>0</v>
      </c>
      <c r="AW123" s="33"/>
      <c r="AY123" s="56" t="e">
        <f t="shared" si="59"/>
        <v>#DIV/0!</v>
      </c>
      <c r="AZ123" s="57" t="e">
        <f t="shared" si="60"/>
        <v>#DIV/0!</v>
      </c>
      <c r="BA123" s="57">
        <f t="shared" si="61"/>
        <v>2.4264935229319828E-2</v>
      </c>
      <c r="BB123" s="58"/>
      <c r="BD123" s="76"/>
      <c r="BE123" s="76"/>
      <c r="BF123" s="76"/>
      <c r="BG123" s="105"/>
      <c r="BI123" s="252"/>
      <c r="BJ123" s="76"/>
      <c r="BK123" s="255"/>
      <c r="BL123" s="258"/>
      <c r="BM123" s="251"/>
      <c r="BN123" s="252"/>
      <c r="BO123" s="76"/>
      <c r="BP123" s="255"/>
      <c r="BQ123" s="258"/>
      <c r="BS123" s="252"/>
      <c r="BT123" s="76"/>
      <c r="BU123" s="255"/>
      <c r="BV123" s="258"/>
      <c r="BX123" s="74"/>
      <c r="BY123" s="75"/>
      <c r="BZ123" s="264"/>
      <c r="CA123" s="105"/>
      <c r="CC123" s="260"/>
      <c r="CD123" s="75"/>
      <c r="CE123" s="262"/>
      <c r="CF123" s="258"/>
    </row>
    <row r="124" spans="1:84" s="1" customFormat="1" ht="14.25" outlineLevel="1" thickBot="1">
      <c r="A124" s="13"/>
      <c r="B124" s="18" t="s">
        <v>874</v>
      </c>
      <c r="C124" s="19" t="s">
        <v>136</v>
      </c>
      <c r="D124" s="18">
        <v>166028718</v>
      </c>
      <c r="E124" s="19">
        <v>11</v>
      </c>
      <c r="F124" s="189">
        <v>64</v>
      </c>
      <c r="G124" s="20">
        <v>30</v>
      </c>
      <c r="H124" s="251"/>
      <c r="I124" s="34">
        <f t="shared" si="53"/>
        <v>510.18785250000002</v>
      </c>
      <c r="J124" s="35">
        <f t="shared" si="54"/>
        <v>6.5554969351747934</v>
      </c>
      <c r="K124" s="35">
        <f t="shared" si="55"/>
        <v>1.0594718439011255</v>
      </c>
      <c r="L124" s="35">
        <f>IF(ISBLANK(R124),"·",R124/D124)</f>
        <v>5.4958033465029823</v>
      </c>
      <c r="M124" s="89"/>
      <c r="N124" s="35">
        <f t="shared" si="57"/>
        <v>6.5554969351747934</v>
      </c>
      <c r="O124" s="525">
        <v>166028718</v>
      </c>
      <c r="P124" s="505">
        <v>1088400752</v>
      </c>
      <c r="Q124" s="361">
        <v>175902752</v>
      </c>
      <c r="R124" s="361">
        <v>912461184</v>
      </c>
      <c r="S124" s="552"/>
      <c r="T124" s="505">
        <v>51.232413999999999</v>
      </c>
      <c r="U124" s="361">
        <v>52.818024000000001</v>
      </c>
      <c r="V124" s="361">
        <v>53.033073000000002</v>
      </c>
      <c r="W124" s="552"/>
      <c r="X124" s="509">
        <v>470.4579999999998</v>
      </c>
      <c r="Y124" s="363">
        <v>297.04500000000013</v>
      </c>
      <c r="Z124" s="575">
        <v>0</v>
      </c>
      <c r="AA124" s="575">
        <v>0</v>
      </c>
      <c r="AB124" s="37"/>
      <c r="AD124" s="34">
        <f t="shared" si="58"/>
        <v>486.64316624999998</v>
      </c>
      <c r="AE124" s="35">
        <f t="shared" si="24"/>
        <v>6.2529669596075541</v>
      </c>
      <c r="AF124" s="35">
        <f t="shared" si="25"/>
        <v>1.0594718439011255</v>
      </c>
      <c r="AG124" s="35">
        <f t="shared" si="26"/>
        <v>5.1932733709357439</v>
      </c>
      <c r="AH124" s="89" t="str">
        <f t="shared" si="27"/>
        <v>·</v>
      </c>
      <c r="AI124" s="35">
        <f t="shared" si="28"/>
        <v>6.2529669596075541</v>
      </c>
      <c r="AJ124" s="525">
        <v>166028718</v>
      </c>
      <c r="AK124" s="505">
        <v>1038172088</v>
      </c>
      <c r="AL124" s="361">
        <v>175902752</v>
      </c>
      <c r="AM124" s="361">
        <v>862232520</v>
      </c>
      <c r="AN124" s="552"/>
      <c r="AO124" s="505">
        <v>51.230651999999999</v>
      </c>
      <c r="AP124" s="361">
        <v>52.975093999999999</v>
      </c>
      <c r="AQ124" s="361">
        <v>53.367519000000001</v>
      </c>
      <c r="AR124" s="552"/>
      <c r="AS124" s="509">
        <v>560.35700000000008</v>
      </c>
      <c r="AT124" s="363">
        <v>406.53099999999989</v>
      </c>
      <c r="AU124" s="575">
        <v>0</v>
      </c>
      <c r="AV124" s="575">
        <v>0</v>
      </c>
      <c r="AW124" s="37"/>
      <c r="AY124" s="59" t="e">
        <f t="shared" si="59"/>
        <v>#DIV/0!</v>
      </c>
      <c r="AZ124" s="60" t="e">
        <f t="shared" si="60"/>
        <v>#DIV/0!</v>
      </c>
      <c r="BA124" s="60">
        <f t="shared" si="61"/>
        <v>7.8192676536542605E-3</v>
      </c>
      <c r="BB124" s="61"/>
      <c r="BD124" s="79"/>
      <c r="BE124" s="79"/>
      <c r="BF124" s="79"/>
      <c r="BG124" s="108"/>
      <c r="BI124" s="253"/>
      <c r="BJ124" s="79"/>
      <c r="BK124" s="256"/>
      <c r="BL124" s="259"/>
      <c r="BM124" s="251"/>
      <c r="BN124" s="253"/>
      <c r="BO124" s="79"/>
      <c r="BP124" s="256"/>
      <c r="BQ124" s="259"/>
      <c r="BS124" s="253"/>
      <c r="BT124" s="79"/>
      <c r="BU124" s="256"/>
      <c r="BV124" s="259"/>
      <c r="BX124" s="77"/>
      <c r="BY124" s="78"/>
      <c r="BZ124" s="265"/>
      <c r="CA124" s="108"/>
      <c r="CC124" s="261"/>
      <c r="CD124" s="78"/>
      <c r="CE124" s="263"/>
      <c r="CF124" s="259"/>
    </row>
    <row r="125" spans="1:84" s="1" customFormat="1">
      <c r="A125" s="13"/>
      <c r="B125" s="24" t="s">
        <v>880</v>
      </c>
      <c r="C125" s="25" t="s">
        <v>131</v>
      </c>
      <c r="D125" s="27">
        <v>156840910</v>
      </c>
      <c r="E125" s="28">
        <v>11</v>
      </c>
      <c r="F125" s="25">
        <v>64</v>
      </c>
      <c r="G125" s="29">
        <v>30</v>
      </c>
      <c r="H125" s="251"/>
      <c r="I125" s="46">
        <f t="shared" si="53"/>
        <v>80.659305000000003</v>
      </c>
      <c r="J125" s="47">
        <f t="shared" si="54"/>
        <v>1.0971192656303768</v>
      </c>
      <c r="K125" s="47">
        <f t="shared" si="55"/>
        <v>1.0042908320284549</v>
      </c>
      <c r="L125" s="47">
        <f>IF(ISBLANK(R125),"·",R125/D125)</f>
        <v>9.2594311012350036E-2</v>
      </c>
      <c r="M125" s="90"/>
      <c r="N125" s="47">
        <f t="shared" si="57"/>
        <v>1.0971192656303768</v>
      </c>
      <c r="O125" s="520">
        <v>156840910</v>
      </c>
      <c r="P125" s="502">
        <v>172073184</v>
      </c>
      <c r="Q125" s="353">
        <v>157513888</v>
      </c>
      <c r="R125" s="353">
        <v>14522576</v>
      </c>
      <c r="S125" s="553"/>
      <c r="T125" s="502">
        <v>26.354382999999999</v>
      </c>
      <c r="U125" s="353">
        <v>32.281680999999999</v>
      </c>
      <c r="V125" s="207">
        <v>35.981712000000002</v>
      </c>
      <c r="W125" s="553"/>
      <c r="X125" s="506">
        <v>412.91900000000004</v>
      </c>
      <c r="Y125" s="355">
        <v>234.70100000000002</v>
      </c>
      <c r="Z125" s="572">
        <v>0</v>
      </c>
      <c r="AA125" s="572">
        <v>0</v>
      </c>
      <c r="AB125" s="49"/>
      <c r="AD125" s="46">
        <f t="shared" si="58"/>
        <v>78.663082500000002</v>
      </c>
      <c r="AE125" s="47">
        <f t="shared" si="24"/>
        <v>1.0699668600494603</v>
      </c>
      <c r="AF125" s="47">
        <f t="shared" si="25"/>
        <v>1.0042908320284549</v>
      </c>
      <c r="AG125" s="47">
        <f t="shared" si="26"/>
        <v>6.5441905431433675E-2</v>
      </c>
      <c r="AH125" s="90" t="str">
        <f t="shared" si="27"/>
        <v>·</v>
      </c>
      <c r="AI125" s="47">
        <f t="shared" si="28"/>
        <v>1.0699668600494603</v>
      </c>
      <c r="AJ125" s="520">
        <v>156840910</v>
      </c>
      <c r="AK125" s="502">
        <v>167814576</v>
      </c>
      <c r="AL125" s="353">
        <v>157513888</v>
      </c>
      <c r="AM125" s="353">
        <v>10263968</v>
      </c>
      <c r="AN125" s="553"/>
      <c r="AO125" s="502">
        <v>26.559259000000001</v>
      </c>
      <c r="AP125" s="353">
        <v>34.730614000000003</v>
      </c>
      <c r="AQ125" s="353">
        <v>36.425319999999999</v>
      </c>
      <c r="AR125" s="553"/>
      <c r="AS125" s="506">
        <v>509.178</v>
      </c>
      <c r="AT125" s="355">
        <v>355.815</v>
      </c>
      <c r="AU125" s="572">
        <v>0</v>
      </c>
      <c r="AV125" s="572">
        <v>0</v>
      </c>
      <c r="AW125" s="49"/>
      <c r="AY125" s="68" t="e">
        <f t="shared" si="59"/>
        <v>#DIV/0!</v>
      </c>
      <c r="AZ125" s="69" t="e">
        <f t="shared" si="60"/>
        <v>#DIV/0!</v>
      </c>
      <c r="BA125" s="69">
        <f t="shared" si="61"/>
        <v>2.322970220279752E-2</v>
      </c>
      <c r="BB125" s="70">
        <f t="array" ref="BB125">AVERAGE(AL125:AL130/AK125:AK130) - AVERAGE(Q125:Q130/P125:P130)</f>
        <v>3.3890234351267368E-2</v>
      </c>
      <c r="BD125" s="86">
        <f>IF( OR(ISBLANK($R125:$R130),ISBLANK($AM125:$AM130), ISBLANK(T125:T130),ISBLANK(AO125:AO130)), "·", bdRateHermite( $R125:$R130,$T125:$T130, $AM125:$AM130,$AO125:$AO130))</f>
        <v>-0.24242371924370076</v>
      </c>
      <c r="BE125" s="86">
        <f>IF( OR(ISBLANK($R125:$R130),ISBLANK($AM125:$AM130), ISBLANK(U125:U130),ISBLANK(AP125:AP130)), "·", bdRateHermite( $R125:$R130,$U125:$U130, $AM125:$AM130,$AP125:$AP130))</f>
        <v>-0.32274523434521019</v>
      </c>
      <c r="BF125" s="86">
        <f>IF( OR(ISBLANK($R125:$R130),ISBLANK($AM125:$AM130), ISBLANK(V125:V130),ISBLANK(AQ125:AQ130)), "·", bdRateHermite( $R125:$R130,$V125:$V130, $AM125:$AM130,$AQ125:$AQ130))</f>
        <v>-0.36982404453281592</v>
      </c>
      <c r="BG125" s="103"/>
      <c r="BI125" s="250">
        <f>IF(OR(ISBLANK($P125:$P130),ISBLANK($AK125:$AK130),ISBLANK(T125:T130),ISBLANK(AO125:AO130)),"·",bdRateHermite($P125:$P130,$T125:$T130,$AK125:$AK130,$AO125:$AO130))</f>
        <v>-8.8888538649266491E-2</v>
      </c>
      <c r="BJ125" s="85">
        <f>IF(OR(ISBLANK($P125:$P130),ISBLANK($AK125:$AK130),ISBLANK(U125:U130),ISBLANK(AP125:AP130)),"·",bdRateHermite($P125:$P130,$U125:$U130,$AK125:$AK130,$AP125:$AP130))</f>
        <v>-0.13755060561836241</v>
      </c>
      <c r="BK125" s="254">
        <f>IF(OR(ISBLANK($P125:$P130),ISBLANK($AK125:$AK130),ISBLANK(V125:V130),ISBLANK(AQ125:AQ130)),"·",bdRateHermite($P125:$P130,$V125:$V130,$AK125:$AK130,$AQ125:$AQ130))</f>
        <v>-0.19566365547507802</v>
      </c>
      <c r="BL125" s="257"/>
      <c r="BM125" s="251"/>
      <c r="BN125" s="86">
        <f>IF( OR(ISBLANK($R125:$R130),ISBLANK($AM125:$AM130), ISBLANK(T125:T130),ISBLANK(AO125:AO130)), "·", bdRateHermite( $R126:$R130,$T126:$T130, $AM126:$AM130,$AO126:$AO130))</f>
        <v>-0.23211129035977351</v>
      </c>
      <c r="BO125" s="86">
        <f>IF( OR(ISBLANK($R125:$R130),ISBLANK($AM125:$AM130), ISBLANK(U125:U130),ISBLANK(AP125:AP130)), "·", bdRateHermite( $R126:$R130,$U126:$U130, $AM126:$AM130,$AP126:$AP130))</f>
        <v>-0.31622693919457778</v>
      </c>
      <c r="BP125" s="86">
        <f>IF( OR(ISBLANK($R125:$R130),ISBLANK($AM125:$AM130), ISBLANK(V125:V130),ISBLANK(AQ125:AQ130)), "·", bdRateHermite( $R126:$R130,$V126:$V130, $AM126:$AM130,$AQ126:$AQ130))</f>
        <v>-0.36982404453281592</v>
      </c>
      <c r="BQ125" s="103"/>
      <c r="BS125" s="250">
        <f>IF(OR(ISBLANK($P125:$P130),ISBLANK($AK125:$AK130),ISBLANK(T125:T130),ISBLANK(AO125:AO130)),"·",bdRateHermite($P126:$P130,$T126:$T130,$AK126:$AK130,$AO126:$AO130))</f>
        <v>-0.10595791646976105</v>
      </c>
      <c r="BT125" s="85">
        <f>IF(OR(ISBLANK($P125:$P130),ISBLANK($AK125:$AK130),ISBLANK(U125:U130),ISBLANK(AP125:AP130)),"·",bdRateHermite($P126:$P130,$U126:$U130,$AK126:$AK130,$AP126:$AP130))</f>
        <v>-0.14487528630341118</v>
      </c>
      <c r="BU125" s="254">
        <f>IF(OR(ISBLANK($P125:$P130),ISBLANK($AK125:$AK130),ISBLANK(V125:V130),ISBLANK(AQ125:AQ130)),"·",bdRateHermite($P126:$P130,$V126:$V130,$AK126:$AK130,$AQ126:$AQ130))</f>
        <v>-0.19566365547507802</v>
      </c>
      <c r="BV125" s="257"/>
      <c r="BX125" s="86">
        <f>IF( OR(ISBLANK($R125:$R130),ISBLANK($AM125:$AM130), ISBLANK(T125:T130),ISBLANK(AO125:AO130)), "·", bdRateHermite( $R125:$R129,$T125:$T129, $AM125:$AM129,$AO125:$AO129))</f>
        <v>-0.27505696593360418</v>
      </c>
      <c r="BY125" s="86">
        <f>IF( OR(ISBLANK($R125:$R130),ISBLANK($AM125:$AM130), ISBLANK(U125:U130),ISBLANK(AP125:AP130)), "·", bdRateHermite( $R125:$R129,$U125:$U129, $AM125:$AM129,$AP125:$AP129))</f>
        <v>-0.38080045141244467</v>
      </c>
      <c r="BZ125" s="86">
        <f>IF( OR(ISBLANK($R125:$R130),ISBLANK($AM125:$AM130), ISBLANK(V125:V130),ISBLANK(AQ125:AQ130)), "·", bdRateHermite( $R125:$R129,$V125:$V129, $AM125:$AM129,$AQ125:$AQ129))</f>
        <v>-0.43295689119143144</v>
      </c>
      <c r="CA125" s="103"/>
      <c r="CC125" s="250">
        <f>IF(OR(ISBLANK($P125:$P130),ISBLANK($AK125:$AK130),ISBLANK(T125:T130),ISBLANK(AO125:AO130)),"·",bdRateHermite($P125:$P129,$T125:$T129,$AK125:$AK129,$AO125:$AO129))</f>
        <v>-9.4230392762006399E-2</v>
      </c>
      <c r="CD125" s="85">
        <f>IF(OR(ISBLANK($P125:$P130),ISBLANK($AK125:$AK130),ISBLANK(U125:U130),ISBLANK(AP125:AP130)),"·",bdRateHermite($P125:$P129,$U125:$U129,$AK125:$AK129,$AP125:$AP129))</f>
        <v>-0.15072219574417745</v>
      </c>
      <c r="CE125" s="254">
        <f>IF(OR(ISBLANK($P125:$P130),ISBLANK($AK125:$AK130),ISBLANK(V125:V130),ISBLANK(AQ125:AQ130)),"·",bdRateHermite($P125:$P129,$V125:$V129,$AK125:$AK129,$AQ125:$AQ129))</f>
        <v>-0.22001172180454776</v>
      </c>
      <c r="CF125" s="257"/>
    </row>
    <row r="126" spans="1:84" s="1" customFormat="1" outlineLevel="1">
      <c r="A126" s="13"/>
      <c r="B126" s="14" t="s">
        <v>881</v>
      </c>
      <c r="C126" s="15" t="s">
        <v>132</v>
      </c>
      <c r="D126" s="14">
        <v>156840910</v>
      </c>
      <c r="E126" s="15">
        <v>11</v>
      </c>
      <c r="F126" s="25">
        <v>64</v>
      </c>
      <c r="G126" s="16">
        <v>30</v>
      </c>
      <c r="H126" s="251"/>
      <c r="I126" s="30">
        <f t="shared" si="53"/>
        <v>88.108106250000006</v>
      </c>
      <c r="J126" s="31">
        <f t="shared" si="54"/>
        <v>1.1984370659415327</v>
      </c>
      <c r="K126" s="31">
        <f t="shared" si="55"/>
        <v>1.0042908320284549</v>
      </c>
      <c r="L126" s="31">
        <f t="shared" ref="L126:L129" si="64">IF(ISBLANK(R126),"·",R126/D126)</f>
        <v>0.19391211132350608</v>
      </c>
      <c r="M126" s="87"/>
      <c r="N126" s="31">
        <f t="shared" si="57"/>
        <v>1.1984370659415327</v>
      </c>
      <c r="O126" s="521">
        <v>156840910</v>
      </c>
      <c r="P126" s="503">
        <v>187963960</v>
      </c>
      <c r="Q126" s="357">
        <v>157513888</v>
      </c>
      <c r="R126" s="357">
        <v>30413352</v>
      </c>
      <c r="S126" s="550"/>
      <c r="T126" s="503">
        <v>31.918365000000001</v>
      </c>
      <c r="U126" s="357">
        <v>32.877521999999999</v>
      </c>
      <c r="V126" s="208">
        <v>34.528182999999999</v>
      </c>
      <c r="W126" s="550"/>
      <c r="X126" s="507">
        <v>411.44100000000003</v>
      </c>
      <c r="Y126" s="359">
        <v>249.79300000000001</v>
      </c>
      <c r="Z126" s="573">
        <v>0</v>
      </c>
      <c r="AA126" s="573">
        <v>0</v>
      </c>
      <c r="AB126" s="33"/>
      <c r="AD126" s="30">
        <f t="shared" si="58"/>
        <v>84.59758875</v>
      </c>
      <c r="AE126" s="31">
        <f t="shared" si="24"/>
        <v>1.1506873812451102</v>
      </c>
      <c r="AF126" s="31">
        <f t="shared" si="25"/>
        <v>1.0042908320284549</v>
      </c>
      <c r="AG126" s="31">
        <f t="shared" si="26"/>
        <v>0.14616242662708345</v>
      </c>
      <c r="AH126" s="87" t="str">
        <f t="shared" si="27"/>
        <v>·</v>
      </c>
      <c r="AI126" s="31">
        <f t="shared" si="28"/>
        <v>1.1506873812451102</v>
      </c>
      <c r="AJ126" s="521">
        <v>156840910</v>
      </c>
      <c r="AK126" s="503">
        <v>180474856</v>
      </c>
      <c r="AL126" s="357">
        <v>157513888</v>
      </c>
      <c r="AM126" s="357">
        <v>22924248</v>
      </c>
      <c r="AN126" s="550"/>
      <c r="AO126" s="503">
        <v>32.173470000000002</v>
      </c>
      <c r="AP126" s="357">
        <v>34.356273999999999</v>
      </c>
      <c r="AQ126" s="357">
        <v>37.299458000000001</v>
      </c>
      <c r="AR126" s="550"/>
      <c r="AS126" s="507">
        <v>507.404</v>
      </c>
      <c r="AT126" s="359">
        <v>355.68499999999995</v>
      </c>
      <c r="AU126" s="573">
        <v>0</v>
      </c>
      <c r="AV126" s="573">
        <v>0</v>
      </c>
      <c r="AW126" s="33"/>
      <c r="AY126" s="56" t="e">
        <f t="shared" si="59"/>
        <v>#DIV/0!</v>
      </c>
      <c r="AZ126" s="57" t="e">
        <f t="shared" si="60"/>
        <v>#DIV/0!</v>
      </c>
      <c r="BA126" s="57">
        <f t="shared" si="61"/>
        <v>3.4774222059897442E-2</v>
      </c>
      <c r="BB126" s="58"/>
      <c r="BD126" s="76"/>
      <c r="BE126" s="76"/>
      <c r="BF126" s="76"/>
      <c r="BG126" s="105"/>
      <c r="BI126" s="252"/>
      <c r="BJ126" s="76"/>
      <c r="BK126" s="255"/>
      <c r="BL126" s="258"/>
      <c r="BM126" s="251"/>
      <c r="BN126" s="252"/>
      <c r="BO126" s="76"/>
      <c r="BP126" s="255"/>
      <c r="BQ126" s="258"/>
      <c r="BS126" s="252"/>
      <c r="BT126" s="76"/>
      <c r="BU126" s="255"/>
      <c r="BV126" s="258"/>
      <c r="BX126" s="74"/>
      <c r="BY126" s="75"/>
      <c r="BZ126" s="264"/>
      <c r="CA126" s="105"/>
      <c r="CC126" s="260"/>
      <c r="CD126" s="75"/>
      <c r="CE126" s="262"/>
      <c r="CF126" s="258"/>
    </row>
    <row r="127" spans="1:84" s="1" customFormat="1" outlineLevel="1">
      <c r="A127" s="13"/>
      <c r="B127" s="14" t="s">
        <v>881</v>
      </c>
      <c r="C127" s="15" t="s">
        <v>133</v>
      </c>
      <c r="D127" s="14">
        <v>156840910</v>
      </c>
      <c r="E127" s="15">
        <v>11</v>
      </c>
      <c r="F127" s="25">
        <v>64</v>
      </c>
      <c r="G127" s="16">
        <v>30</v>
      </c>
      <c r="H127" s="251"/>
      <c r="I127" s="30">
        <f t="shared" si="53"/>
        <v>111.80786999999999</v>
      </c>
      <c r="J127" s="31">
        <f t="shared" si="54"/>
        <v>1.5207987252815607</v>
      </c>
      <c r="K127" s="31">
        <f t="shared" si="55"/>
        <v>1.0042908320284549</v>
      </c>
      <c r="L127" s="31">
        <f t="shared" si="64"/>
        <v>0.51627377066353419</v>
      </c>
      <c r="M127" s="87"/>
      <c r="N127" s="31">
        <f t="shared" si="57"/>
        <v>1.5207987252815607</v>
      </c>
      <c r="O127" s="521">
        <v>156840910</v>
      </c>
      <c r="P127" s="503">
        <v>238523456</v>
      </c>
      <c r="Q127" s="357">
        <v>157513888</v>
      </c>
      <c r="R127" s="357">
        <v>80972848</v>
      </c>
      <c r="S127" s="550"/>
      <c r="T127" s="503">
        <v>36.722935</v>
      </c>
      <c r="U127" s="357">
        <v>39.536586999999997</v>
      </c>
      <c r="V127" s="357">
        <v>39.770012000000001</v>
      </c>
      <c r="W127" s="550"/>
      <c r="X127" s="507">
        <v>403.42500000000013</v>
      </c>
      <c r="Y127" s="359">
        <v>252.34000000000009</v>
      </c>
      <c r="Z127" s="573">
        <v>0</v>
      </c>
      <c r="AA127" s="573">
        <v>0</v>
      </c>
      <c r="AB127" s="33"/>
      <c r="AD127" s="30">
        <f t="shared" si="58"/>
        <v>102.01708125</v>
      </c>
      <c r="AE127" s="31">
        <f t="shared" si="24"/>
        <v>1.3876254607296017</v>
      </c>
      <c r="AF127" s="31">
        <f t="shared" si="25"/>
        <v>1.0042908320284549</v>
      </c>
      <c r="AG127" s="31">
        <f t="shared" si="26"/>
        <v>0.38310050611157509</v>
      </c>
      <c r="AH127" s="87" t="str">
        <f t="shared" si="27"/>
        <v>·</v>
      </c>
      <c r="AI127" s="31">
        <f t="shared" si="28"/>
        <v>1.3876254607296017</v>
      </c>
      <c r="AJ127" s="521">
        <v>156840910</v>
      </c>
      <c r="AK127" s="503">
        <v>217636440</v>
      </c>
      <c r="AL127" s="357">
        <v>157513888</v>
      </c>
      <c r="AM127" s="357">
        <v>60085832</v>
      </c>
      <c r="AN127" s="550"/>
      <c r="AO127" s="503">
        <v>37.27187</v>
      </c>
      <c r="AP127" s="357">
        <v>40.640957</v>
      </c>
      <c r="AQ127" s="357">
        <v>40.544609000000001</v>
      </c>
      <c r="AR127" s="550"/>
      <c r="AS127" s="507">
        <v>509.85999999999996</v>
      </c>
      <c r="AT127" s="359">
        <v>355.86599999999987</v>
      </c>
      <c r="AU127" s="573">
        <v>0</v>
      </c>
      <c r="AV127" s="573">
        <v>0</v>
      </c>
      <c r="AW127" s="33"/>
      <c r="AY127" s="56" t="e">
        <f t="shared" si="59"/>
        <v>#DIV/0!</v>
      </c>
      <c r="AZ127" s="57" t="e">
        <f t="shared" si="60"/>
        <v>#DIV/0!</v>
      </c>
      <c r="BA127" s="57">
        <f t="shared" si="61"/>
        <v>6.3377126484226221E-2</v>
      </c>
      <c r="BB127" s="58"/>
      <c r="BD127" s="76"/>
      <c r="BE127" s="76"/>
      <c r="BF127" s="76"/>
      <c r="BG127" s="105"/>
      <c r="BI127" s="252"/>
      <c r="BJ127" s="76"/>
      <c r="BK127" s="255"/>
      <c r="BL127" s="258"/>
      <c r="BM127" s="251"/>
      <c r="BN127" s="252"/>
      <c r="BO127" s="76"/>
      <c r="BP127" s="255"/>
      <c r="BQ127" s="258"/>
      <c r="BS127" s="252"/>
      <c r="BT127" s="76"/>
      <c r="BU127" s="255"/>
      <c r="BV127" s="258"/>
      <c r="BX127" s="74"/>
      <c r="BY127" s="75"/>
      <c r="BZ127" s="264"/>
      <c r="CA127" s="105"/>
      <c r="CC127" s="260"/>
      <c r="CD127" s="75"/>
      <c r="CE127" s="262"/>
      <c r="CF127" s="258"/>
    </row>
    <row r="128" spans="1:84" s="1" customFormat="1" outlineLevel="1">
      <c r="A128" s="13"/>
      <c r="B128" s="14" t="s">
        <v>881</v>
      </c>
      <c r="C128" s="15" t="s">
        <v>134</v>
      </c>
      <c r="D128" s="14">
        <v>156840910</v>
      </c>
      <c r="E128" s="15">
        <v>11</v>
      </c>
      <c r="F128" s="25">
        <v>64</v>
      </c>
      <c r="G128" s="16">
        <v>30</v>
      </c>
      <c r="H128" s="251"/>
      <c r="I128" s="30">
        <f t="shared" si="53"/>
        <v>176.00563124999999</v>
      </c>
      <c r="J128" s="31">
        <f t="shared" si="54"/>
        <v>2.39400982817557</v>
      </c>
      <c r="K128" s="31">
        <f t="shared" si="55"/>
        <v>1.0042908320284549</v>
      </c>
      <c r="L128" s="31">
        <f t="shared" si="64"/>
        <v>1.3894856386640451</v>
      </c>
      <c r="M128" s="87"/>
      <c r="N128" s="31">
        <f t="shared" si="57"/>
        <v>2.39400982817557</v>
      </c>
      <c r="O128" s="521">
        <v>156840910</v>
      </c>
      <c r="P128" s="503">
        <v>375478680</v>
      </c>
      <c r="Q128" s="357">
        <v>157513888</v>
      </c>
      <c r="R128" s="357">
        <v>217928192</v>
      </c>
      <c r="S128" s="550"/>
      <c r="T128" s="503">
        <v>41.662052000000003</v>
      </c>
      <c r="U128" s="357">
        <v>43.819789999999998</v>
      </c>
      <c r="V128" s="357">
        <v>43.702720999999997</v>
      </c>
      <c r="W128" s="550"/>
      <c r="X128" s="507">
        <v>423.77</v>
      </c>
      <c r="Y128" s="359">
        <v>262.09099999999995</v>
      </c>
      <c r="Z128" s="573">
        <v>0</v>
      </c>
      <c r="AA128" s="573">
        <v>0</v>
      </c>
      <c r="AB128" s="33"/>
      <c r="AD128" s="30">
        <f t="shared" si="58"/>
        <v>155.92167000000001</v>
      </c>
      <c r="AE128" s="31">
        <f t="shared" si="24"/>
        <v>2.1208299288750618</v>
      </c>
      <c r="AF128" s="31">
        <f t="shared" si="25"/>
        <v>1.0042908320284549</v>
      </c>
      <c r="AG128" s="31">
        <f t="shared" si="26"/>
        <v>1.1163057393635372</v>
      </c>
      <c r="AH128" s="87" t="str">
        <f t="shared" si="27"/>
        <v>·</v>
      </c>
      <c r="AI128" s="31">
        <f t="shared" si="28"/>
        <v>2.1208299288750618</v>
      </c>
      <c r="AJ128" s="521">
        <v>156840910</v>
      </c>
      <c r="AK128" s="503">
        <v>332632896</v>
      </c>
      <c r="AL128" s="357">
        <v>157513888</v>
      </c>
      <c r="AM128" s="357">
        <v>175082408</v>
      </c>
      <c r="AN128" s="550"/>
      <c r="AO128" s="503">
        <v>42.011566000000002</v>
      </c>
      <c r="AP128" s="357">
        <v>44.822074999999998</v>
      </c>
      <c r="AQ128" s="357">
        <v>45.759117000000003</v>
      </c>
      <c r="AR128" s="550"/>
      <c r="AS128" s="507">
        <v>513.68799999999999</v>
      </c>
      <c r="AT128" s="359">
        <v>362.26699999999994</v>
      </c>
      <c r="AU128" s="573">
        <v>0</v>
      </c>
      <c r="AV128" s="573">
        <v>0</v>
      </c>
      <c r="AW128" s="33"/>
      <c r="AY128" s="56" t="e">
        <f t="shared" si="59"/>
        <v>#DIV/0!</v>
      </c>
      <c r="AZ128" s="57" t="e">
        <f t="shared" si="60"/>
        <v>#DIV/0!</v>
      </c>
      <c r="BA128" s="57">
        <f t="shared" si="61"/>
        <v>5.403516304717737E-2</v>
      </c>
      <c r="BB128" s="58"/>
      <c r="BD128" s="76"/>
      <c r="BE128" s="76"/>
      <c r="BF128" s="76"/>
      <c r="BG128" s="105"/>
      <c r="BI128" s="252"/>
      <c r="BJ128" s="76"/>
      <c r="BK128" s="255"/>
      <c r="BL128" s="258"/>
      <c r="BM128" s="251"/>
      <c r="BN128" s="252"/>
      <c r="BO128" s="76"/>
      <c r="BP128" s="255"/>
      <c r="BQ128" s="258"/>
      <c r="BS128" s="252"/>
      <c r="BT128" s="76"/>
      <c r="BU128" s="255"/>
      <c r="BV128" s="258"/>
      <c r="BX128" s="74"/>
      <c r="BY128" s="75"/>
      <c r="BZ128" s="264"/>
      <c r="CA128" s="105"/>
      <c r="CC128" s="260"/>
      <c r="CD128" s="75"/>
      <c r="CE128" s="262"/>
      <c r="CF128" s="258"/>
    </row>
    <row r="129" spans="1:84" s="1" customFormat="1" outlineLevel="1">
      <c r="A129" s="13"/>
      <c r="B129" s="14" t="s">
        <v>881</v>
      </c>
      <c r="C129" s="15" t="s">
        <v>135</v>
      </c>
      <c r="D129" s="14">
        <v>156840910</v>
      </c>
      <c r="E129" s="15">
        <v>11</v>
      </c>
      <c r="F129" s="25">
        <v>64</v>
      </c>
      <c r="G129" s="16">
        <v>30</v>
      </c>
      <c r="H129" s="251"/>
      <c r="I129" s="30">
        <f t="shared" si="53"/>
        <v>310.70101125000002</v>
      </c>
      <c r="J129" s="31">
        <f t="shared" si="54"/>
        <v>4.2261220239030743</v>
      </c>
      <c r="K129" s="31">
        <f t="shared" si="55"/>
        <v>1.0042908320284549</v>
      </c>
      <c r="L129" s="31">
        <f t="shared" si="64"/>
        <v>3.2215978343915501</v>
      </c>
      <c r="M129" s="87"/>
      <c r="N129" s="31">
        <f t="shared" si="57"/>
        <v>4.2261220239030743</v>
      </c>
      <c r="O129" s="521">
        <v>156840910</v>
      </c>
      <c r="P129" s="503">
        <v>662828824</v>
      </c>
      <c r="Q129" s="357">
        <v>157513888</v>
      </c>
      <c r="R129" s="357">
        <v>505278336</v>
      </c>
      <c r="S129" s="550"/>
      <c r="T129" s="503">
        <v>46.702331999999998</v>
      </c>
      <c r="U129" s="357">
        <v>48.108924999999999</v>
      </c>
      <c r="V129" s="357">
        <v>48.476222999999997</v>
      </c>
      <c r="W129" s="550"/>
      <c r="X129" s="507">
        <v>416.12100000000009</v>
      </c>
      <c r="Y129" s="359">
        <v>263.279</v>
      </c>
      <c r="Z129" s="573">
        <v>0</v>
      </c>
      <c r="AA129" s="573">
        <v>0</v>
      </c>
      <c r="AB129" s="33"/>
      <c r="AD129" s="30">
        <f t="shared" si="58"/>
        <v>284.66092125</v>
      </c>
      <c r="AE129" s="31">
        <f t="shared" si="24"/>
        <v>3.8719274964675989</v>
      </c>
      <c r="AF129" s="31">
        <f t="shared" si="25"/>
        <v>1.0042908320284549</v>
      </c>
      <c r="AG129" s="31">
        <f t="shared" si="26"/>
        <v>2.8674033069560743</v>
      </c>
      <c r="AH129" s="87" t="str">
        <f t="shared" si="27"/>
        <v>·</v>
      </c>
      <c r="AI129" s="31">
        <f t="shared" si="28"/>
        <v>3.8719274964675989</v>
      </c>
      <c r="AJ129" s="521">
        <v>156840910</v>
      </c>
      <c r="AK129" s="503">
        <v>607276632</v>
      </c>
      <c r="AL129" s="357">
        <v>157513888</v>
      </c>
      <c r="AM129" s="357">
        <v>449726144</v>
      </c>
      <c r="AN129" s="550"/>
      <c r="AO129" s="503">
        <v>46.790745000000001</v>
      </c>
      <c r="AP129" s="357">
        <v>48.630004999999997</v>
      </c>
      <c r="AQ129" s="357">
        <v>49.168906999999997</v>
      </c>
      <c r="AR129" s="550"/>
      <c r="AS129" s="507">
        <v>521.59899999999993</v>
      </c>
      <c r="AT129" s="359">
        <v>373.09999999999997</v>
      </c>
      <c r="AU129" s="573">
        <v>0</v>
      </c>
      <c r="AV129" s="573">
        <v>0</v>
      </c>
      <c r="AW129" s="33"/>
      <c r="AY129" s="56" t="e">
        <f t="shared" si="59"/>
        <v>#DIV/0!</v>
      </c>
      <c r="AZ129" s="57" t="e">
        <f t="shared" si="60"/>
        <v>#DIV/0!</v>
      </c>
      <c r="BA129" s="57">
        <f t="shared" si="61"/>
        <v>2.1738626253844595E-2</v>
      </c>
      <c r="BB129" s="58"/>
      <c r="BD129" s="76"/>
      <c r="BE129" s="76"/>
      <c r="BF129" s="76"/>
      <c r="BG129" s="105"/>
      <c r="BI129" s="252"/>
      <c r="BJ129" s="76"/>
      <c r="BK129" s="255"/>
      <c r="BL129" s="258"/>
      <c r="BM129" s="251"/>
      <c r="BN129" s="252"/>
      <c r="BO129" s="76"/>
      <c r="BP129" s="255"/>
      <c r="BQ129" s="258"/>
      <c r="BS129" s="252"/>
      <c r="BT129" s="76"/>
      <c r="BU129" s="255"/>
      <c r="BV129" s="258"/>
      <c r="BX129" s="74"/>
      <c r="BY129" s="75"/>
      <c r="BZ129" s="264"/>
      <c r="CA129" s="105"/>
      <c r="CC129" s="260"/>
      <c r="CD129" s="75"/>
      <c r="CE129" s="262"/>
      <c r="CF129" s="258"/>
    </row>
    <row r="130" spans="1:84" s="1" customFormat="1" ht="14.25" outlineLevel="1" thickBot="1">
      <c r="A130" s="215"/>
      <c r="B130" s="18" t="s">
        <v>882</v>
      </c>
      <c r="C130" s="19" t="s">
        <v>136</v>
      </c>
      <c r="D130" s="18">
        <v>156840910</v>
      </c>
      <c r="E130" s="19">
        <v>11</v>
      </c>
      <c r="F130" s="188">
        <v>64</v>
      </c>
      <c r="G130" s="20">
        <v>30</v>
      </c>
      <c r="H130" s="251"/>
      <c r="I130" s="34">
        <f t="shared" si="53"/>
        <v>503.38387875000001</v>
      </c>
      <c r="J130" s="35">
        <f t="shared" si="54"/>
        <v>6.8469738411999774</v>
      </c>
      <c r="K130" s="35">
        <f t="shared" si="55"/>
        <v>1.0042908320284549</v>
      </c>
      <c r="L130" s="35">
        <f>IF(ISBLANK(R130),"·",R130/D130)</f>
        <v>5.842450569816255</v>
      </c>
      <c r="M130" s="88"/>
      <c r="N130" s="35">
        <f t="shared" si="57"/>
        <v>6.8469738411999774</v>
      </c>
      <c r="O130" s="525">
        <v>156840910</v>
      </c>
      <c r="P130" s="505">
        <v>1073885608</v>
      </c>
      <c r="Q130" s="361">
        <v>157513888</v>
      </c>
      <c r="R130" s="361">
        <v>916335264</v>
      </c>
      <c r="S130" s="551"/>
      <c r="T130" s="505">
        <v>51.221642000000003</v>
      </c>
      <c r="U130" s="361">
        <v>52.641624</v>
      </c>
      <c r="V130" s="361">
        <v>52.112366000000002</v>
      </c>
      <c r="W130" s="551"/>
      <c r="X130" s="509">
        <v>443.54000000000008</v>
      </c>
      <c r="Y130" s="363">
        <v>282.04300000000006</v>
      </c>
      <c r="Z130" s="575">
        <v>0</v>
      </c>
      <c r="AA130" s="575">
        <v>0</v>
      </c>
      <c r="AB130" s="37"/>
      <c r="AD130" s="34">
        <f t="shared" si="58"/>
        <v>483.01129500000002</v>
      </c>
      <c r="AE130" s="35">
        <f t="shared" si="24"/>
        <v>6.5698681294312813</v>
      </c>
      <c r="AF130" s="35">
        <f t="shared" si="25"/>
        <v>1.0042908320284549</v>
      </c>
      <c r="AG130" s="35">
        <f t="shared" si="26"/>
        <v>5.5653448580475589</v>
      </c>
      <c r="AH130" s="88" t="str">
        <f t="shared" si="27"/>
        <v>·</v>
      </c>
      <c r="AI130" s="35">
        <f t="shared" si="28"/>
        <v>6.5698681294312813</v>
      </c>
      <c r="AJ130" s="525">
        <v>156840910</v>
      </c>
      <c r="AK130" s="505">
        <v>1030424096</v>
      </c>
      <c r="AL130" s="361">
        <v>157513888</v>
      </c>
      <c r="AM130" s="361">
        <v>872873752</v>
      </c>
      <c r="AN130" s="551"/>
      <c r="AO130" s="505">
        <v>51.223385</v>
      </c>
      <c r="AP130" s="361">
        <v>52.691901999999999</v>
      </c>
      <c r="AQ130" s="361">
        <v>52.316788000000003</v>
      </c>
      <c r="AR130" s="551"/>
      <c r="AS130" s="509">
        <v>530.03200000000015</v>
      </c>
      <c r="AT130" s="363">
        <v>380.93400000000008</v>
      </c>
      <c r="AU130" s="575">
        <v>0</v>
      </c>
      <c r="AV130" s="575">
        <v>0</v>
      </c>
      <c r="AW130" s="37"/>
      <c r="AY130" s="59" t="e">
        <f t="shared" si="59"/>
        <v>#DIV/0!</v>
      </c>
      <c r="AZ130" s="60" t="e">
        <f t="shared" si="60"/>
        <v>#DIV/0!</v>
      </c>
      <c r="BA130" s="60">
        <f t="shared" si="61"/>
        <v>6.186566059660531E-3</v>
      </c>
      <c r="BB130" s="61"/>
      <c r="BD130" s="79"/>
      <c r="BE130" s="79"/>
      <c r="BF130" s="79"/>
      <c r="BG130" s="108"/>
      <c r="BI130" s="253"/>
      <c r="BJ130" s="79"/>
      <c r="BK130" s="256"/>
      <c r="BL130" s="259"/>
      <c r="BM130" s="251"/>
      <c r="BN130" s="253"/>
      <c r="BO130" s="79"/>
      <c r="BP130" s="256"/>
      <c r="BQ130" s="259"/>
      <c r="BS130" s="253"/>
      <c r="BT130" s="79"/>
      <c r="BU130" s="256"/>
      <c r="BV130" s="259"/>
      <c r="BX130" s="77"/>
      <c r="BY130" s="78"/>
      <c r="BZ130" s="265"/>
      <c r="CA130" s="108"/>
      <c r="CC130" s="261"/>
      <c r="CD130" s="78"/>
      <c r="CE130" s="263"/>
      <c r="CF130" s="259"/>
    </row>
    <row r="131" spans="1:84" s="1" customFormat="1">
      <c r="A131" s="13"/>
      <c r="B131" s="24" t="s">
        <v>883</v>
      </c>
      <c r="C131" s="25" t="s">
        <v>131</v>
      </c>
      <c r="D131" s="27">
        <v>163936020</v>
      </c>
      <c r="E131" s="28">
        <v>11</v>
      </c>
      <c r="F131" s="28">
        <v>64</v>
      </c>
      <c r="G131" s="29">
        <v>30</v>
      </c>
      <c r="H131" s="251"/>
      <c r="I131" s="46">
        <f t="shared" si="53"/>
        <v>88.734063750000004</v>
      </c>
      <c r="J131" s="47">
        <f t="shared" si="54"/>
        <v>1.1547147234634585</v>
      </c>
      <c r="K131" s="47">
        <f t="shared" si="55"/>
        <v>0.97643853986451545</v>
      </c>
      <c r="L131" s="47">
        <f>IF(ISBLANK(R131),"·",R131/D131)</f>
        <v>0.17805170578131641</v>
      </c>
      <c r="M131" s="92"/>
      <c r="N131" s="47">
        <f t="shared" si="57"/>
        <v>1.1547147234634585</v>
      </c>
      <c r="O131" s="520">
        <v>163936020</v>
      </c>
      <c r="P131" s="502">
        <v>189299336</v>
      </c>
      <c r="Q131" s="353">
        <v>160073448</v>
      </c>
      <c r="R131" s="353">
        <v>29189088</v>
      </c>
      <c r="S131" s="549"/>
      <c r="T131" s="502">
        <v>24.786154</v>
      </c>
      <c r="U131" s="353">
        <v>28.428439999999998</v>
      </c>
      <c r="V131" s="353">
        <v>35.062224999999998</v>
      </c>
      <c r="W131" s="549"/>
      <c r="X131" s="506">
        <v>476.07499999999999</v>
      </c>
      <c r="Y131" s="355">
        <v>298.13499999999993</v>
      </c>
      <c r="Z131" s="572">
        <v>0</v>
      </c>
      <c r="AA131" s="572">
        <v>0</v>
      </c>
      <c r="AB131" s="49"/>
      <c r="AD131" s="46">
        <f t="shared" si="58"/>
        <v>85.128768750000006</v>
      </c>
      <c r="AE131" s="47">
        <f t="shared" si="24"/>
        <v>1.1077982739851804</v>
      </c>
      <c r="AF131" s="47">
        <f t="shared" si="25"/>
        <v>0.97643853986451545</v>
      </c>
      <c r="AG131" s="47">
        <f t="shared" si="26"/>
        <v>0.13113525630303821</v>
      </c>
      <c r="AH131" s="92" t="str">
        <f t="shared" si="27"/>
        <v>·</v>
      </c>
      <c r="AI131" s="47">
        <f t="shared" si="28"/>
        <v>1.1077982739851804</v>
      </c>
      <c r="AJ131" s="520">
        <v>163936020</v>
      </c>
      <c r="AK131" s="502">
        <v>181608040</v>
      </c>
      <c r="AL131" s="353">
        <v>160073448</v>
      </c>
      <c r="AM131" s="353">
        <v>21497792</v>
      </c>
      <c r="AN131" s="549"/>
      <c r="AO131" s="502">
        <v>24.659137999999999</v>
      </c>
      <c r="AP131" s="353">
        <v>35.244785</v>
      </c>
      <c r="AQ131" s="353">
        <v>36.438248000000002</v>
      </c>
      <c r="AR131" s="549"/>
      <c r="AS131" s="506">
        <v>558.49000000000012</v>
      </c>
      <c r="AT131" s="355">
        <v>396.37499999999989</v>
      </c>
      <c r="AU131" s="572">
        <v>0</v>
      </c>
      <c r="AV131" s="572">
        <v>0</v>
      </c>
      <c r="AW131" s="49"/>
      <c r="AY131" s="68" t="e">
        <f t="shared" si="59"/>
        <v>#DIV/0!</v>
      </c>
      <c r="AZ131" s="69" t="e">
        <f t="shared" si="60"/>
        <v>#DIV/0!</v>
      </c>
      <c r="BA131" s="69">
        <f t="shared" si="61"/>
        <v>3.5812501984821221E-2</v>
      </c>
      <c r="BB131" s="70">
        <f t="array" ref="BB131">AVERAGE(AL131:AL136/AK131:AK136) - AVERAGE(Q131:Q136/P131:P136)</f>
        <v>3.3679485631683936E-2</v>
      </c>
      <c r="BD131" s="86">
        <f>IF( OR(ISBLANK($R131:$R136),ISBLANK($AM131:$AM136), ISBLANK(T131:T136),ISBLANK(AO131:AO136)), "·", bdRateHermite( $R131:$R136,$T131:$T136, $AM131:$AM136,$AO131:$AO136))</f>
        <v>-0.1931495841043348</v>
      </c>
      <c r="BE131" s="86">
        <f>IF( OR(ISBLANK($R131:$R136),ISBLANK($AM131:$AM136), ISBLANK(U131:U136),ISBLANK(AP131:AP136)), "·", bdRateHermite( $R131:$R136,$U131:$U136, $AM131:$AM136,$AP131:$AP136))</f>
        <v>-0.37767068360887968</v>
      </c>
      <c r="BF131" s="86">
        <f>IF( OR(ISBLANK($R131:$R136),ISBLANK($AM131:$AM136), ISBLANK(V131:V136),ISBLANK(AQ131:AQ136)), "·", bdRateHermite( $R131:$R136,$V131:$V136, $AM131:$AM136,$AQ131:$AQ136))</f>
        <v>-0.29188517669589975</v>
      </c>
      <c r="BG131" s="103"/>
      <c r="BI131" s="250">
        <f>IF(OR(ISBLANK($P131:$P136),ISBLANK($AK131:$AK136),ISBLANK(T131:T136),ISBLANK(AO131:AO136)),"·",bdRateHermite($P131:$P136,$T131:$T136,$AK131:$AK136,$AO131:$AO136))</f>
        <v>-8.6680668350093915E-2</v>
      </c>
      <c r="BJ131" s="85">
        <f>IF(OR(ISBLANK($P131:$P136),ISBLANK($AK131:$AK136),ISBLANK(U131:U136),ISBLANK(AP131:AP136)),"·",bdRateHermite($P131:$P136,$U131:$U136,$AK131:$AK136,$AP131:$AP136))</f>
        <v>-0.19856449291590428</v>
      </c>
      <c r="BK131" s="254">
        <f>IF(OR(ISBLANK($P131:$P136),ISBLANK($AK131:$AK136),ISBLANK(V131:V136),ISBLANK(AQ131:AQ136)),"·",bdRateHermite($P131:$P136,$V131:$V136,$AK131:$AK136,$AQ131:$AQ136))</f>
        <v>-0.16988762006989599</v>
      </c>
      <c r="BL131" s="257"/>
      <c r="BM131" s="251"/>
      <c r="BN131" s="86">
        <f>IF( OR(ISBLANK($R131:$R136),ISBLANK($AM131:$AM136), ISBLANK(T131:T136),ISBLANK(AO131:AO136)), "·", bdRateHermite( $R132:$R136,$T132:$T136, $AM132:$AM136,$AO132:$AO136))</f>
        <v>-0.18628059435879896</v>
      </c>
      <c r="BO131" s="86">
        <f>IF( OR(ISBLANK($R131:$R136),ISBLANK($AM131:$AM136), ISBLANK(U131:U136),ISBLANK(AP131:AP136)), "·", bdRateHermite( $R132:$R136,$U132:$U136, $AM132:$AM136,$AP132:$AP136))</f>
        <v>-0.31756092216372034</v>
      </c>
      <c r="BP131" s="86">
        <f>IF( OR(ISBLANK($R131:$R136),ISBLANK($AM131:$AM136), ISBLANK(V131:V136),ISBLANK(AQ131:AQ136)), "·", bdRateHermite( $R132:$R136,$V132:$V136, $AM132:$AM136,$AQ132:$AQ136))</f>
        <v>-0.29188517669589975</v>
      </c>
      <c r="BQ131" s="103"/>
      <c r="BS131" s="250">
        <f>IF(OR(ISBLANK($P131:$P136),ISBLANK($AK131:$AK136),ISBLANK(T131:T136),ISBLANK(AO131:AO136)),"·",bdRateHermite($P132:$P136,$T132:$T136,$AK132:$AK136,$AO132:$AO136))</f>
        <v>-9.9209326136046716E-2</v>
      </c>
      <c r="BT131" s="85">
        <f>IF(OR(ISBLANK($P131:$P136),ISBLANK($AK131:$AK136),ISBLANK(U131:U136),ISBLANK(AP131:AP136)),"·",bdRateHermite($P132:$P136,$U132:$U136,$AK132:$AK136,$AP132:$AP136))</f>
        <v>-0.18192421492265975</v>
      </c>
      <c r="BU131" s="254">
        <f>IF(OR(ISBLANK($P131:$P136),ISBLANK($AK131:$AK136),ISBLANK(V131:V136),ISBLANK(AQ131:AQ136)),"·",bdRateHermite($P132:$P136,$V132:$V136,$AK132:$AK136,$AQ132:$AQ136))</f>
        <v>-0.16988762006989599</v>
      </c>
      <c r="BV131" s="257"/>
      <c r="BX131" s="86">
        <f>IF( OR(ISBLANK($R131:$R136),ISBLANK($AM131:$AM136), ISBLANK(T131:T136),ISBLANK(AO131:AO136)), "·", bdRateHermite( $R131:$R135,$T131:$T135, $AM131:$AM135,$AO131:$AO135))</f>
        <v>-0.2128211883754102</v>
      </c>
      <c r="BY131" s="86">
        <f>IF( OR(ISBLANK($R131:$R136),ISBLANK($AM131:$AM136), ISBLANK(U131:U136),ISBLANK(AP131:AP136)), "·", bdRateHermite( $R131:$R135,$U131:$U135, $AM131:$AM135,$AP131:$AP135))</f>
        <v>-0.45094935663649827</v>
      </c>
      <c r="BZ131" s="86">
        <f>IF( OR(ISBLANK($R131:$R136),ISBLANK($AM131:$AM136), ISBLANK(V131:V136),ISBLANK(AQ131:AQ136)), "·", bdRateHermite( $R131:$R135,$V131:$V135, $AM131:$AM135,$AQ131:$AQ135))</f>
        <v>-0.32422848068176802</v>
      </c>
      <c r="CA131" s="103"/>
      <c r="CC131" s="250">
        <f>IF(OR(ISBLANK($P131:$P136),ISBLANK($AK131:$AK136),ISBLANK(T131:T136),ISBLANK(AO131:AO136)),"·",bdRateHermite($P131:$P135,$T131:$T135,$AK131:$AK135,$AO131:$AO135))</f>
        <v>-8.975826277312926E-2</v>
      </c>
      <c r="CD131" s="85">
        <f>IF(OR(ISBLANK($P131:$P136),ISBLANK($AK131:$AK136),ISBLANK(U131:U136),ISBLANK(AP131:AP136)),"·",bdRateHermite($P131:$P135,$U131:$U135,$AK131:$AK135,$AP131:$AP135))</f>
        <v>-0.22791242478478335</v>
      </c>
      <c r="CE131" s="254">
        <f>IF(OR(ISBLANK($P131:$P136),ISBLANK($AK131:$AK136),ISBLANK(V131:V136),ISBLANK(AQ131:AQ136)),"·",bdRateHermite($P131:$P135,$V131:$V135,$AK131:$AK135,$AQ131:$AQ135))</f>
        <v>-0.17742462678197102</v>
      </c>
      <c r="CF131" s="257"/>
    </row>
    <row r="132" spans="1:84" s="1" customFormat="1" outlineLevel="1">
      <c r="A132" s="13"/>
      <c r="B132" s="24" t="s">
        <v>883</v>
      </c>
      <c r="C132" s="15" t="s">
        <v>132</v>
      </c>
      <c r="D132" s="14">
        <v>163936020</v>
      </c>
      <c r="E132" s="15">
        <v>11</v>
      </c>
      <c r="F132" s="25">
        <v>64</v>
      </c>
      <c r="G132" s="16">
        <v>30</v>
      </c>
      <c r="H132" s="251"/>
      <c r="I132" s="30">
        <f t="shared" si="53"/>
        <v>102.50235375</v>
      </c>
      <c r="J132" s="31">
        <f t="shared" si="54"/>
        <v>1.3338843287765556</v>
      </c>
      <c r="K132" s="31">
        <f t="shared" si="55"/>
        <v>0.97643853986451545</v>
      </c>
      <c r="L132" s="31">
        <f t="shared" ref="L132:L135" si="65">IF(ISBLANK(R132),"·",R132/D132)</f>
        <v>0.35722131109441352</v>
      </c>
      <c r="M132" s="87"/>
      <c r="N132" s="31">
        <f t="shared" si="57"/>
        <v>1.3338843287765556</v>
      </c>
      <c r="O132" s="521">
        <v>163936020</v>
      </c>
      <c r="P132" s="503">
        <v>218671688</v>
      </c>
      <c r="Q132" s="357">
        <v>160073448</v>
      </c>
      <c r="R132" s="357">
        <v>58561440</v>
      </c>
      <c r="S132" s="550"/>
      <c r="T132" s="503">
        <v>30.638331999999998</v>
      </c>
      <c r="U132" s="357">
        <v>30.292337</v>
      </c>
      <c r="V132" s="357">
        <v>31.612368</v>
      </c>
      <c r="W132" s="550"/>
      <c r="X132" s="507">
        <v>454.24299999999999</v>
      </c>
      <c r="Y132" s="359">
        <v>272.37299999999993</v>
      </c>
      <c r="Z132" s="573">
        <v>0</v>
      </c>
      <c r="AA132" s="573">
        <v>0</v>
      </c>
      <c r="AB132" s="33"/>
      <c r="AD132" s="30">
        <f t="shared" si="58"/>
        <v>96.992171249999998</v>
      </c>
      <c r="AE132" s="31">
        <f t="shared" si="24"/>
        <v>1.2621791842939702</v>
      </c>
      <c r="AF132" s="31">
        <f t="shared" si="25"/>
        <v>0.97643853986451545</v>
      </c>
      <c r="AG132" s="31">
        <f t="shared" si="26"/>
        <v>0.28551616661182821</v>
      </c>
      <c r="AH132" s="87" t="str">
        <f t="shared" si="27"/>
        <v>·</v>
      </c>
      <c r="AI132" s="31">
        <f t="shared" si="28"/>
        <v>1.2621791842939702</v>
      </c>
      <c r="AJ132" s="521">
        <v>163936020</v>
      </c>
      <c r="AK132" s="503">
        <v>206916632</v>
      </c>
      <c r="AL132" s="357">
        <v>160073448</v>
      </c>
      <c r="AM132" s="357">
        <v>46806384</v>
      </c>
      <c r="AN132" s="550"/>
      <c r="AO132" s="503">
        <v>30.695906000000001</v>
      </c>
      <c r="AP132" s="357">
        <v>32.798023000000001</v>
      </c>
      <c r="AQ132" s="357">
        <v>33.788193</v>
      </c>
      <c r="AR132" s="550"/>
      <c r="AS132" s="507">
        <v>551.4319999999999</v>
      </c>
      <c r="AT132" s="359">
        <v>400.58700000000016</v>
      </c>
      <c r="AU132" s="573">
        <v>0</v>
      </c>
      <c r="AV132" s="573">
        <v>0</v>
      </c>
      <c r="AW132" s="33"/>
      <c r="AY132" s="56" t="e">
        <f t="shared" si="59"/>
        <v>#DIV/0!</v>
      </c>
      <c r="AZ132" s="57" t="e">
        <f t="shared" si="60"/>
        <v>#DIV/0!</v>
      </c>
      <c r="BA132" s="57">
        <f t="shared" si="61"/>
        <v>4.1586851732583252E-2</v>
      </c>
      <c r="BB132" s="58"/>
      <c r="BD132" s="76"/>
      <c r="BE132" s="76"/>
      <c r="BF132" s="76"/>
      <c r="BG132" s="105"/>
      <c r="BI132" s="252"/>
      <c r="BJ132" s="76"/>
      <c r="BK132" s="255"/>
      <c r="BL132" s="258"/>
      <c r="BM132" s="251"/>
      <c r="BN132" s="252"/>
      <c r="BO132" s="76"/>
      <c r="BP132" s="255"/>
      <c r="BQ132" s="258"/>
      <c r="BS132" s="252"/>
      <c r="BT132" s="76"/>
      <c r="BU132" s="255"/>
      <c r="BV132" s="258"/>
      <c r="BX132" s="74"/>
      <c r="BY132" s="75"/>
      <c r="BZ132" s="264"/>
      <c r="CA132" s="105"/>
      <c r="CC132" s="260"/>
      <c r="CD132" s="75"/>
      <c r="CE132" s="262"/>
      <c r="CF132" s="258"/>
    </row>
    <row r="133" spans="1:84" s="1" customFormat="1" outlineLevel="1">
      <c r="A133" s="13"/>
      <c r="B133" s="24" t="s">
        <v>883</v>
      </c>
      <c r="C133" s="15" t="s">
        <v>133</v>
      </c>
      <c r="D133" s="14">
        <v>163936020</v>
      </c>
      <c r="E133" s="15">
        <v>11</v>
      </c>
      <c r="F133" s="25">
        <v>64</v>
      </c>
      <c r="G133" s="16">
        <v>30</v>
      </c>
      <c r="H133" s="251"/>
      <c r="I133" s="30">
        <f t="shared" si="53"/>
        <v>133.16475</v>
      </c>
      <c r="J133" s="31">
        <f t="shared" si="54"/>
        <v>1.7329004327419928</v>
      </c>
      <c r="K133" s="31">
        <f t="shared" si="55"/>
        <v>0.97643853986451545</v>
      </c>
      <c r="L133" s="31">
        <f t="shared" si="65"/>
        <v>0.75623741505985076</v>
      </c>
      <c r="M133" s="87"/>
      <c r="N133" s="31">
        <f t="shared" si="57"/>
        <v>1.7329004327419928</v>
      </c>
      <c r="O133" s="521">
        <v>163936020</v>
      </c>
      <c r="P133" s="503">
        <v>284084800</v>
      </c>
      <c r="Q133" s="357">
        <v>160073448</v>
      </c>
      <c r="R133" s="357">
        <v>123974552</v>
      </c>
      <c r="S133" s="550"/>
      <c r="T133" s="503">
        <v>36.294598000000001</v>
      </c>
      <c r="U133" s="357">
        <v>35.677791999999997</v>
      </c>
      <c r="V133" s="357">
        <v>37.837173</v>
      </c>
      <c r="W133" s="550"/>
      <c r="X133" s="507">
        <v>483.79700000000003</v>
      </c>
      <c r="Y133" s="359">
        <v>288.83500000000004</v>
      </c>
      <c r="Z133" s="573">
        <v>0</v>
      </c>
      <c r="AA133" s="573">
        <v>0</v>
      </c>
      <c r="AB133" s="33"/>
      <c r="AD133" s="30">
        <f t="shared" si="58"/>
        <v>121.54387875</v>
      </c>
      <c r="AE133" s="31">
        <f t="shared" si="24"/>
        <v>1.5816756317495082</v>
      </c>
      <c r="AF133" s="31">
        <f t="shared" si="25"/>
        <v>0.97643853986451545</v>
      </c>
      <c r="AG133" s="31">
        <f t="shared" si="26"/>
        <v>0.60501261406736606</v>
      </c>
      <c r="AH133" s="87" t="str">
        <f t="shared" si="27"/>
        <v>·</v>
      </c>
      <c r="AI133" s="31">
        <f t="shared" si="28"/>
        <v>1.5816756317495082</v>
      </c>
      <c r="AJ133" s="521">
        <v>163936020</v>
      </c>
      <c r="AK133" s="503">
        <v>259293608</v>
      </c>
      <c r="AL133" s="357">
        <v>160073448</v>
      </c>
      <c r="AM133" s="357">
        <v>99183360</v>
      </c>
      <c r="AN133" s="550"/>
      <c r="AO133" s="503">
        <v>36.660873000000002</v>
      </c>
      <c r="AP133" s="357">
        <v>37.855198000000001</v>
      </c>
      <c r="AQ133" s="357">
        <v>38.7211</v>
      </c>
      <c r="AR133" s="550"/>
      <c r="AS133" s="507">
        <v>561.92999999999995</v>
      </c>
      <c r="AT133" s="359">
        <v>404.30100000000004</v>
      </c>
      <c r="AU133" s="573">
        <v>0</v>
      </c>
      <c r="AV133" s="573">
        <v>0</v>
      </c>
      <c r="AW133" s="33"/>
      <c r="AY133" s="56" t="e">
        <f t="shared" si="59"/>
        <v>#DIV/0!</v>
      </c>
      <c r="AZ133" s="57" t="e">
        <f t="shared" si="60"/>
        <v>#DIV/0!</v>
      </c>
      <c r="BA133" s="57">
        <f t="shared" si="61"/>
        <v>5.3873712018145614E-2</v>
      </c>
      <c r="BB133" s="58"/>
      <c r="BD133" s="76"/>
      <c r="BE133" s="76"/>
      <c r="BF133" s="76"/>
      <c r="BG133" s="105"/>
      <c r="BI133" s="252"/>
      <c r="BJ133" s="76"/>
      <c r="BK133" s="255"/>
      <c r="BL133" s="258"/>
      <c r="BM133" s="251"/>
      <c r="BN133" s="252"/>
      <c r="BO133" s="76"/>
      <c r="BP133" s="255"/>
      <c r="BQ133" s="258"/>
      <c r="BS133" s="252"/>
      <c r="BT133" s="76"/>
      <c r="BU133" s="255"/>
      <c r="BV133" s="258"/>
      <c r="BX133" s="74"/>
      <c r="BY133" s="75"/>
      <c r="BZ133" s="264"/>
      <c r="CA133" s="105"/>
      <c r="CC133" s="260"/>
      <c r="CD133" s="75"/>
      <c r="CE133" s="262"/>
      <c r="CF133" s="258"/>
    </row>
    <row r="134" spans="1:84" s="1" customFormat="1" outlineLevel="1">
      <c r="A134" s="13"/>
      <c r="B134" s="24" t="s">
        <v>883</v>
      </c>
      <c r="C134" s="15" t="s">
        <v>134</v>
      </c>
      <c r="D134" s="14">
        <v>163936020</v>
      </c>
      <c r="E134" s="15">
        <v>11</v>
      </c>
      <c r="F134" s="25">
        <v>64</v>
      </c>
      <c r="G134" s="16">
        <v>30</v>
      </c>
      <c r="H134" s="251"/>
      <c r="I134" s="30">
        <f t="shared" si="53"/>
        <v>198.96697875000001</v>
      </c>
      <c r="J134" s="31">
        <f t="shared" si="54"/>
        <v>2.5891984446127214</v>
      </c>
      <c r="K134" s="31">
        <f t="shared" si="55"/>
        <v>0.97643853986451545</v>
      </c>
      <c r="L134" s="31">
        <f t="shared" si="65"/>
        <v>1.6125363541215652</v>
      </c>
      <c r="M134" s="87"/>
      <c r="N134" s="31">
        <f t="shared" si="57"/>
        <v>2.5891984446127214</v>
      </c>
      <c r="O134" s="521">
        <v>163936020</v>
      </c>
      <c r="P134" s="503">
        <v>424462888</v>
      </c>
      <c r="Q134" s="357">
        <v>160073448</v>
      </c>
      <c r="R134" s="357">
        <v>264352792</v>
      </c>
      <c r="S134" s="550"/>
      <c r="T134" s="503">
        <v>41.698860000000003</v>
      </c>
      <c r="U134" s="357">
        <v>41.931018999999999</v>
      </c>
      <c r="V134" s="357">
        <v>43.628613000000001</v>
      </c>
      <c r="W134" s="550"/>
      <c r="X134" s="507">
        <v>468.52100000000007</v>
      </c>
      <c r="Y134" s="359">
        <v>266.51200000000006</v>
      </c>
      <c r="Z134" s="573">
        <v>0</v>
      </c>
      <c r="AA134" s="573">
        <v>0</v>
      </c>
      <c r="AB134" s="33"/>
      <c r="AD134" s="30">
        <f t="shared" si="58"/>
        <v>178.55206874999999</v>
      </c>
      <c r="AE134" s="31">
        <f t="shared" ref="AE134:AE136" si="66">IF(ISBLANK(AK134),"·",AK134/D134)</f>
        <v>2.3235349985927436</v>
      </c>
      <c r="AF134" s="31">
        <f t="shared" ref="AF134:AF136" si="67">IF(AL134="","·",AL134/D134)</f>
        <v>0.97643853986451545</v>
      </c>
      <c r="AG134" s="31">
        <f t="shared" ref="AG134:AG136" si="68">IF(ISBLANK(AM134),"·",AM134/D134)</f>
        <v>1.3468729081015873</v>
      </c>
      <c r="AH134" s="87" t="str">
        <f t="shared" ref="AH134:AH136" si="69">IF(ISBLANK(AN134),"·",AN134/D134)</f>
        <v>·</v>
      </c>
      <c r="AI134" s="31">
        <f t="shared" ref="AI134:AI136" si="70">IF(ISBLANK(AK134),"·",AK134/AJ134)</f>
        <v>2.3235349985927436</v>
      </c>
      <c r="AJ134" s="521">
        <v>163936020</v>
      </c>
      <c r="AK134" s="503">
        <v>380911080</v>
      </c>
      <c r="AL134" s="357">
        <v>160073448</v>
      </c>
      <c r="AM134" s="357">
        <v>220800984</v>
      </c>
      <c r="AN134" s="550"/>
      <c r="AO134" s="503">
        <v>42.074043000000003</v>
      </c>
      <c r="AP134" s="357">
        <v>44.073188999999999</v>
      </c>
      <c r="AQ134" s="357">
        <v>45.686089000000003</v>
      </c>
      <c r="AR134" s="550"/>
      <c r="AS134" s="507">
        <v>551.64200000000005</v>
      </c>
      <c r="AT134" s="359">
        <v>410.70400000000012</v>
      </c>
      <c r="AU134" s="573">
        <v>0</v>
      </c>
      <c r="AV134" s="573">
        <v>0</v>
      </c>
      <c r="AW134" s="33"/>
      <c r="AY134" s="56" t="e">
        <f t="shared" si="59"/>
        <v>#DIV/0!</v>
      </c>
      <c r="AZ134" s="57" t="e">
        <f t="shared" si="60"/>
        <v>#DIV/0!</v>
      </c>
      <c r="BA134" s="57">
        <f t="shared" si="61"/>
        <v>4.3118352478174027E-2</v>
      </c>
      <c r="BB134" s="58"/>
      <c r="BD134" s="76"/>
      <c r="BE134" s="76"/>
      <c r="BF134" s="76"/>
      <c r="BG134" s="105"/>
      <c r="BI134" s="252"/>
      <c r="BJ134" s="76"/>
      <c r="BK134" s="255"/>
      <c r="BL134" s="258"/>
      <c r="BM134" s="251"/>
      <c r="BN134" s="252"/>
      <c r="BO134" s="76"/>
      <c r="BP134" s="255"/>
      <c r="BQ134" s="258"/>
      <c r="BS134" s="252"/>
      <c r="BT134" s="76"/>
      <c r="BU134" s="255"/>
      <c r="BV134" s="258"/>
      <c r="BX134" s="74"/>
      <c r="BY134" s="75"/>
      <c r="BZ134" s="264"/>
      <c r="CA134" s="105"/>
      <c r="CC134" s="260"/>
      <c r="CD134" s="75"/>
      <c r="CE134" s="262"/>
      <c r="CF134" s="258"/>
    </row>
    <row r="135" spans="1:84" s="1" customFormat="1" outlineLevel="1">
      <c r="A135" s="13"/>
      <c r="B135" s="24" t="s">
        <v>883</v>
      </c>
      <c r="C135" s="15" t="s">
        <v>135</v>
      </c>
      <c r="D135" s="14">
        <v>163936020</v>
      </c>
      <c r="E135" s="15">
        <v>11</v>
      </c>
      <c r="F135" s="25">
        <v>64</v>
      </c>
      <c r="G135" s="16">
        <v>30</v>
      </c>
      <c r="H135" s="251"/>
      <c r="I135" s="30">
        <f t="shared" si="53"/>
        <v>311.74468875000002</v>
      </c>
      <c r="J135" s="31">
        <f t="shared" si="54"/>
        <v>4.0567981094087804</v>
      </c>
      <c r="K135" s="31">
        <f t="shared" si="55"/>
        <v>0.97643853986451545</v>
      </c>
      <c r="L135" s="31">
        <f t="shared" si="65"/>
        <v>3.0801360189176239</v>
      </c>
      <c r="M135" s="87"/>
      <c r="N135" s="31">
        <f t="shared" si="57"/>
        <v>4.0567981094087804</v>
      </c>
      <c r="O135" s="521">
        <v>163936020</v>
      </c>
      <c r="P135" s="503">
        <v>665055336</v>
      </c>
      <c r="Q135" s="357">
        <v>160073448</v>
      </c>
      <c r="R135" s="357">
        <v>504945240</v>
      </c>
      <c r="S135" s="550"/>
      <c r="T135" s="503">
        <v>46.862918999999998</v>
      </c>
      <c r="U135" s="357">
        <v>48.156975000000003</v>
      </c>
      <c r="V135" s="357">
        <v>48.893836999999998</v>
      </c>
      <c r="W135" s="550"/>
      <c r="X135" s="507">
        <v>493.18600000000015</v>
      </c>
      <c r="Y135" s="359">
        <v>299.34100000000001</v>
      </c>
      <c r="Z135" s="573">
        <v>0</v>
      </c>
      <c r="AA135" s="573">
        <v>0</v>
      </c>
      <c r="AB135" s="33"/>
      <c r="AD135" s="30">
        <f t="shared" si="58"/>
        <v>287.42770875000002</v>
      </c>
      <c r="AE135" s="31">
        <f t="shared" si="66"/>
        <v>3.7403562194568343</v>
      </c>
      <c r="AF135" s="31">
        <f t="shared" si="67"/>
        <v>0.97643853986451545</v>
      </c>
      <c r="AG135" s="31">
        <f t="shared" si="68"/>
        <v>2.7636941289656782</v>
      </c>
      <c r="AH135" s="87" t="str">
        <f t="shared" si="69"/>
        <v>·</v>
      </c>
      <c r="AI135" s="31">
        <f t="shared" si="70"/>
        <v>3.7403562194568343</v>
      </c>
      <c r="AJ135" s="521">
        <v>163936020</v>
      </c>
      <c r="AK135" s="503">
        <v>613179112</v>
      </c>
      <c r="AL135" s="357">
        <v>160073448</v>
      </c>
      <c r="AM135" s="357">
        <v>453069016</v>
      </c>
      <c r="AN135" s="550"/>
      <c r="AO135" s="503">
        <v>47.032093000000003</v>
      </c>
      <c r="AP135" s="357">
        <v>49.137416999999999</v>
      </c>
      <c r="AQ135" s="357">
        <v>50.067954999999998</v>
      </c>
      <c r="AR135" s="550"/>
      <c r="AS135" s="507">
        <v>568.87</v>
      </c>
      <c r="AT135" s="359">
        <v>404.52899999999994</v>
      </c>
      <c r="AU135" s="573">
        <v>0</v>
      </c>
      <c r="AV135" s="573">
        <v>0</v>
      </c>
      <c r="AW135" s="33"/>
      <c r="AY135" s="56" t="e">
        <f t="shared" si="59"/>
        <v>#DIV/0!</v>
      </c>
      <c r="AZ135" s="57" t="e">
        <f t="shared" si="60"/>
        <v>#DIV/0!</v>
      </c>
      <c r="BA135" s="57">
        <f t="shared" si="61"/>
        <v>2.0363035677128466E-2</v>
      </c>
      <c r="BB135" s="58"/>
      <c r="BD135" s="76"/>
      <c r="BE135" s="76"/>
      <c r="BF135" s="76"/>
      <c r="BG135" s="105"/>
      <c r="BI135" s="252"/>
      <c r="BJ135" s="76"/>
      <c r="BK135" s="255"/>
      <c r="BL135" s="258"/>
      <c r="BM135" s="251"/>
      <c r="BN135" s="252"/>
      <c r="BO135" s="76"/>
      <c r="BP135" s="255"/>
      <c r="BQ135" s="258"/>
      <c r="BS135" s="252"/>
      <c r="BT135" s="76"/>
      <c r="BU135" s="255"/>
      <c r="BV135" s="258"/>
      <c r="BX135" s="74"/>
      <c r="BY135" s="75"/>
      <c r="BZ135" s="264"/>
      <c r="CA135" s="105"/>
      <c r="CC135" s="260"/>
      <c r="CD135" s="75"/>
      <c r="CE135" s="262"/>
      <c r="CF135" s="258"/>
    </row>
    <row r="136" spans="1:84" s="1" customFormat="1" ht="14.25" outlineLevel="1" thickBot="1">
      <c r="A136" s="17"/>
      <c r="B136" s="18" t="s">
        <v>883</v>
      </c>
      <c r="C136" s="19" t="s">
        <v>136</v>
      </c>
      <c r="D136" s="18">
        <v>163936020</v>
      </c>
      <c r="E136" s="19">
        <v>11</v>
      </c>
      <c r="F136" s="189">
        <v>64</v>
      </c>
      <c r="G136" s="20">
        <v>30</v>
      </c>
      <c r="H136" s="251"/>
      <c r="I136" s="34">
        <f t="shared" si="53"/>
        <v>496.44549375000003</v>
      </c>
      <c r="J136" s="35">
        <f t="shared" si="54"/>
        <v>6.4603478844978666</v>
      </c>
      <c r="K136" s="35">
        <f t="shared" si="55"/>
        <v>0.97643853986451545</v>
      </c>
      <c r="L136" s="35">
        <f>IF(ISBLANK(R136),"·",R136/D136)</f>
        <v>5.4836878923863104</v>
      </c>
      <c r="M136" s="88"/>
      <c r="N136" s="35">
        <f t="shared" si="57"/>
        <v>6.4603478844978666</v>
      </c>
      <c r="O136" s="525">
        <v>163936020</v>
      </c>
      <c r="P136" s="505">
        <v>1059083720</v>
      </c>
      <c r="Q136" s="361">
        <v>160073448</v>
      </c>
      <c r="R136" s="361">
        <v>898973968</v>
      </c>
      <c r="S136" s="551"/>
      <c r="T136" s="505">
        <v>51.296230000000001</v>
      </c>
      <c r="U136" s="361">
        <v>53.269500999999998</v>
      </c>
      <c r="V136" s="361">
        <v>53.688167999999997</v>
      </c>
      <c r="W136" s="551"/>
      <c r="X136" s="509">
        <v>483.38500000000005</v>
      </c>
      <c r="Y136" s="363">
        <v>277.35900000000009</v>
      </c>
      <c r="Z136" s="575">
        <v>0</v>
      </c>
      <c r="AA136" s="575">
        <v>0</v>
      </c>
      <c r="AB136" s="37"/>
      <c r="AD136" s="34">
        <f t="shared" si="58"/>
        <v>473.50551374999998</v>
      </c>
      <c r="AE136" s="35">
        <f t="shared" si="66"/>
        <v>6.1618251803355966</v>
      </c>
      <c r="AF136" s="35">
        <f t="shared" si="67"/>
        <v>0.97643853986451545</v>
      </c>
      <c r="AG136" s="35">
        <f t="shared" si="68"/>
        <v>5.1851651882240404</v>
      </c>
      <c r="AH136" s="88" t="str">
        <f t="shared" si="69"/>
        <v>·</v>
      </c>
      <c r="AI136" s="35">
        <f t="shared" si="70"/>
        <v>6.1618251803355966</v>
      </c>
      <c r="AJ136" s="525">
        <v>163936020</v>
      </c>
      <c r="AK136" s="505">
        <v>1010145096</v>
      </c>
      <c r="AL136" s="361">
        <v>160073448</v>
      </c>
      <c r="AM136" s="361">
        <v>850035344</v>
      </c>
      <c r="AN136" s="551"/>
      <c r="AO136" s="505">
        <v>51.324986000000003</v>
      </c>
      <c r="AP136" s="361">
        <v>53.531204000000002</v>
      </c>
      <c r="AQ136" s="361">
        <v>54.052985999999997</v>
      </c>
      <c r="AR136" s="551"/>
      <c r="AS136" s="509">
        <v>579.03400000000011</v>
      </c>
      <c r="AT136" s="363">
        <v>421.84900000000005</v>
      </c>
      <c r="AU136" s="575">
        <v>0</v>
      </c>
      <c r="AV136" s="575">
        <v>0</v>
      </c>
      <c r="AW136" s="37"/>
      <c r="AY136" s="59" t="e">
        <f t="shared" si="59"/>
        <v>#DIV/0!</v>
      </c>
      <c r="AZ136" s="60" t="e">
        <f t="shared" si="60"/>
        <v>#DIV/0!</v>
      </c>
      <c r="BA136" s="60">
        <f t="shared" si="61"/>
        <v>7.3224598992509549E-3</v>
      </c>
      <c r="BB136" s="61"/>
      <c r="BD136" s="79"/>
      <c r="BE136" s="79"/>
      <c r="BF136" s="79"/>
      <c r="BG136" s="108"/>
      <c r="BI136" s="253"/>
      <c r="BJ136" s="79"/>
      <c r="BK136" s="256"/>
      <c r="BL136" s="259"/>
      <c r="BM136" s="251"/>
      <c r="BN136" s="253"/>
      <c r="BO136" s="79"/>
      <c r="BP136" s="256"/>
      <c r="BQ136" s="259"/>
      <c r="BS136" s="253"/>
      <c r="BT136" s="79"/>
      <c r="BU136" s="256"/>
      <c r="BV136" s="259"/>
      <c r="BX136" s="77"/>
      <c r="BY136" s="78"/>
      <c r="BZ136" s="265"/>
      <c r="CA136" s="108"/>
      <c r="CC136" s="261"/>
      <c r="CD136" s="78"/>
      <c r="CE136" s="263"/>
      <c r="CF136" s="259"/>
    </row>
    <row r="137" spans="1:84" s="1" customFormat="1">
      <c r="B137" s="6" t="s">
        <v>1125</v>
      </c>
      <c r="H137" s="251"/>
      <c r="J137" s="7">
        <f>AVERAGE(J5:J40)</f>
        <v>22.361551296372525</v>
      </c>
      <c r="K137" s="7">
        <f>AVERAGE(K5:K40)</f>
        <v>15.747350786695067</v>
      </c>
      <c r="L137" s="53"/>
      <c r="M137" s="7">
        <f>AVERAGE(M5:M40)</f>
        <v>6.6141050622016389</v>
      </c>
      <c r="X137" s="7" t="e">
        <f>AVERAGE(X5:X40)</f>
        <v>#DIV/0!</v>
      </c>
      <c r="Y137" s="7" t="e">
        <f>AVERAGE(Y5:Y40)</f>
        <v>#DIV/0!</v>
      </c>
      <c r="Z137" s="571">
        <f t="shared" ref="Z137:AB137" si="71">AVERAGE(Z5:Z40)</f>
        <v>0</v>
      </c>
      <c r="AA137" s="571">
        <f t="shared" si="71"/>
        <v>0</v>
      </c>
      <c r="AB137" s="7" t="e">
        <f t="shared" si="71"/>
        <v>#DIV/0!</v>
      </c>
      <c r="AE137" s="7">
        <f>AVERAGE(AE5:AE40)</f>
        <v>22.361551296372525</v>
      </c>
      <c r="AF137" s="7">
        <f>AVERAGE(AF5:AF40)</f>
        <v>15.747350786695067</v>
      </c>
      <c r="AG137" s="53"/>
      <c r="AH137" s="7">
        <f>AVERAGE(AH5:AH40)</f>
        <v>6.6141050622016389</v>
      </c>
      <c r="AS137" s="7">
        <f>AVERAGE(AS5:AS40)</f>
        <v>29.505000000000003</v>
      </c>
      <c r="AT137" s="7">
        <f>AVERAGE(AT5:AT40)</f>
        <v>20.003638888888887</v>
      </c>
      <c r="AU137" s="571">
        <f t="shared" ref="AU137:AV137" si="72">AVERAGE(AU5:AU40)</f>
        <v>0</v>
      </c>
      <c r="AV137" s="571">
        <f t="shared" si="72"/>
        <v>0</v>
      </c>
      <c r="AW137" s="7"/>
      <c r="AY137" s="2" t="e">
        <f>AVERAGE(AY5:AY40)</f>
        <v>#DIV/0!</v>
      </c>
      <c r="AZ137" s="2" t="e">
        <f>AVERAGE(AZ5:AZ40)</f>
        <v>#DIV/0!</v>
      </c>
      <c r="BA137" s="2">
        <f>AVERAGE(BA5:BA40)</f>
        <v>0</v>
      </c>
      <c r="BB137" s="2">
        <f>AVERAGE(BB5:BB40)</f>
        <v>0</v>
      </c>
      <c r="BC137" s="590"/>
      <c r="BD137" s="297"/>
      <c r="BE137" s="297"/>
      <c r="BF137" s="297"/>
      <c r="BG137" s="2">
        <f>AVERAGE(BG5:BG40)</f>
        <v>0</v>
      </c>
      <c r="BH137" s="590"/>
      <c r="BI137" s="297"/>
      <c r="BJ137" s="297"/>
      <c r="BK137" s="297"/>
      <c r="BL137" s="2">
        <f>AVERAGE(BL5:BL40)</f>
        <v>0</v>
      </c>
      <c r="BM137" s="590"/>
      <c r="BN137" s="297"/>
      <c r="BO137" s="297"/>
      <c r="BP137" s="297"/>
      <c r="BQ137" s="2">
        <f>AVERAGE(BQ5:BQ40)</f>
        <v>0</v>
      </c>
      <c r="BR137" s="590"/>
      <c r="BS137" s="297"/>
      <c r="BT137" s="297"/>
      <c r="BU137" s="297"/>
      <c r="BV137" s="2">
        <f>AVERAGE(BV5:BV40)</f>
        <v>0</v>
      </c>
      <c r="BW137" s="590"/>
      <c r="BX137" s="297"/>
      <c r="BY137" s="297"/>
      <c r="BZ137" s="297"/>
      <c r="CA137" s="2">
        <f>AVERAGE(CA5:CA40)</f>
        <v>0</v>
      </c>
      <c r="CB137" s="590"/>
      <c r="CC137" s="297"/>
      <c r="CD137" s="297"/>
      <c r="CE137" s="297"/>
      <c r="CF137" s="2">
        <f>AVERAGE(CF5:CF40)</f>
        <v>0</v>
      </c>
    </row>
    <row r="138" spans="1:84" s="1" customFormat="1">
      <c r="B138" s="6" t="s">
        <v>1138</v>
      </c>
      <c r="H138" s="251"/>
      <c r="J138" s="7">
        <f>AVERAGE(J41:J82)</f>
        <v>18.174123500676675</v>
      </c>
      <c r="K138" s="7">
        <f>AVERAGE(K41:K82)</f>
        <v>14.159026455206448</v>
      </c>
      <c r="L138" s="7">
        <f>AVERAGE(L41:L82)</f>
        <v>4.015007592794829</v>
      </c>
      <c r="M138" s="53"/>
      <c r="X138" s="7">
        <f>AVERAGE(X41:X82)</f>
        <v>122.43573809523807</v>
      </c>
      <c r="Y138" s="7">
        <f>AVERAGE(Y41:Y82)</f>
        <v>78.6952142857143</v>
      </c>
      <c r="Z138" s="571">
        <f t="shared" ref="Z138:AB138" si="73">AVERAGE(Z41:Z82)</f>
        <v>0</v>
      </c>
      <c r="AA138" s="571">
        <f t="shared" si="73"/>
        <v>0</v>
      </c>
      <c r="AB138" s="7" t="e">
        <f t="shared" si="73"/>
        <v>#DIV/0!</v>
      </c>
      <c r="AE138" s="7">
        <f>AVERAGE(AE41:AE82)</f>
        <v>17.258758409776132</v>
      </c>
      <c r="AF138" s="7">
        <f>AVERAGE(AF41:AF82)</f>
        <v>14.159026455206448</v>
      </c>
      <c r="AG138" s="7">
        <f>AVERAGE(AG41:AG82)</f>
        <v>3.0996425018942877</v>
      </c>
      <c r="AH138" s="53"/>
      <c r="AS138" s="7">
        <f>AVERAGE(AS41:AS82)</f>
        <v>205.93826190476184</v>
      </c>
      <c r="AT138" s="7">
        <f>AVERAGE(AT41:AT82)</f>
        <v>145.06797619047623</v>
      </c>
      <c r="AU138" s="571">
        <f t="shared" ref="AU138:AV138" si="74">AVERAGE(AU41:AU82)</f>
        <v>0</v>
      </c>
      <c r="AV138" s="571">
        <f t="shared" si="74"/>
        <v>0</v>
      </c>
      <c r="AW138" s="7"/>
      <c r="AY138" s="2" t="e">
        <f>AVERAGE(AY41:AY82)</f>
        <v>#DIV/0!</v>
      </c>
      <c r="AZ138" s="2" t="e">
        <f>AVERAGE(AZ41:AZ82)</f>
        <v>#DIV/0!</v>
      </c>
      <c r="BA138" s="2">
        <f>AVERAGE(BA41:BA82)</f>
        <v>4.3861199224725277E-2</v>
      </c>
      <c r="BB138" s="2">
        <f>AVERAGE(BB41:BB82)</f>
        <v>4.3861199224725297E-2</v>
      </c>
      <c r="BC138" s="590"/>
      <c r="BD138" s="2">
        <f>AVERAGE(BD41:BD82)</f>
        <v>-0.44162479974636387</v>
      </c>
      <c r="BE138" s="2">
        <f>AVERAGE(BE41:BE82)</f>
        <v>-0.49905112684221659</v>
      </c>
      <c r="BF138" s="2">
        <f>AVERAGE(BF41:BF82)</f>
        <v>-0.48205475010109833</v>
      </c>
      <c r="BG138" s="298"/>
      <c r="BH138" s="590"/>
      <c r="BI138" s="2">
        <f>AVERAGE(BI41:BI82)</f>
        <v>-7.3140662416635457E-2</v>
      </c>
      <c r="BJ138" s="2">
        <f>AVERAGE(BJ41:BJ82)</f>
        <v>-9.3707929497319625E-2</v>
      </c>
      <c r="BK138" s="2">
        <f>AVERAGE(BK41:BK82)</f>
        <v>-9.5764664041768019E-2</v>
      </c>
      <c r="BL138" s="298"/>
      <c r="BM138" s="590"/>
      <c r="BN138" s="2">
        <f>AVERAGE(BN41:BN82)</f>
        <v>-0.38795473517452528</v>
      </c>
      <c r="BO138" s="2">
        <f>AVERAGE(BO41:BO82)</f>
        <v>-0.45395885706474665</v>
      </c>
      <c r="BP138" s="2">
        <f>AVERAGE(BP41:BP82)</f>
        <v>-0.45112503719094993</v>
      </c>
      <c r="BQ138" s="298"/>
      <c r="BR138" s="590"/>
      <c r="BS138" s="2">
        <f>AVERAGE(BS41:BS82)</f>
        <v>-7.8466258204548195E-2</v>
      </c>
      <c r="BT138" s="2">
        <f>AVERAGE(BT41:BT82)</f>
        <v>-9.8761645306287962E-2</v>
      </c>
      <c r="BU138" s="2">
        <f>AVERAGE(BU41:BU82)</f>
        <v>-0.10035608888955656</v>
      </c>
      <c r="BV138" s="298"/>
      <c r="BW138" s="590"/>
      <c r="BX138" s="2">
        <f>AVERAGE(BX41:BX82)</f>
        <v>-0.48420696635780719</v>
      </c>
      <c r="BY138" s="2">
        <f>AVERAGE(BY41:BY82)</f>
        <v>-0.54419500585707226</v>
      </c>
      <c r="BZ138" s="2">
        <f>AVERAGE(BZ41:BZ82)</f>
        <v>-0.52656268612527501</v>
      </c>
      <c r="CA138" s="298"/>
      <c r="CB138" s="590"/>
      <c r="CC138" s="2">
        <f>AVERAGE(CC41:CC82)</f>
        <v>-7.6563356681639494E-2</v>
      </c>
      <c r="CD138" s="2">
        <f>AVERAGE(CD41:CD82)</f>
        <v>-9.7865213833458212E-2</v>
      </c>
      <c r="CE138" s="2">
        <f>AVERAGE(CE41:CE82)</f>
        <v>-0.10063988120821932</v>
      </c>
      <c r="CF138" s="298"/>
    </row>
    <row r="139" spans="1:84">
      <c r="B139" s="6" t="s">
        <v>172</v>
      </c>
      <c r="J139" s="7">
        <f>AVERAGE(J83:J112)</f>
        <v>19.788129491782399</v>
      </c>
      <c r="K139" s="7">
        <f>AVERAGE(K83:K112)</f>
        <v>18.014616346544653</v>
      </c>
      <c r="L139" s="53"/>
      <c r="M139" s="493">
        <f>AVERAGE(M83:M112)</f>
        <v>1.7661906591756835</v>
      </c>
      <c r="R139" s="1"/>
      <c r="T139" s="1"/>
      <c r="U139" s="1"/>
      <c r="V139" s="1"/>
      <c r="W139" s="1"/>
      <c r="X139" s="7" t="e">
        <f>AVERAGE(X83:X112)</f>
        <v>#DIV/0!</v>
      </c>
      <c r="Y139" s="7" t="e">
        <f>AVERAGE(Y83:Y112)</f>
        <v>#DIV/0!</v>
      </c>
      <c r="Z139" s="571">
        <f t="shared" ref="Z139:AB139" si="75">AVERAGE(Z83:Z112)</f>
        <v>0</v>
      </c>
      <c r="AA139" s="571">
        <f t="shared" si="75"/>
        <v>0</v>
      </c>
      <c r="AB139" s="7" t="e">
        <f t="shared" si="75"/>
        <v>#DIV/0!</v>
      </c>
      <c r="AE139" s="7">
        <f>AVERAGE(AE83:AE112)</f>
        <v>19.788129491782399</v>
      </c>
      <c r="AF139" s="7">
        <f>AVERAGE(AF83:AF112)</f>
        <v>18.014616346544653</v>
      </c>
      <c r="AG139" s="53"/>
      <c r="AH139" s="493">
        <f>AVERAGE(AH83:AH112)</f>
        <v>1.7661906591756835</v>
      </c>
      <c r="AM139" s="1"/>
      <c r="AO139" s="1"/>
      <c r="AP139" s="1"/>
      <c r="AQ139" s="1"/>
      <c r="AS139" s="7">
        <f>AVERAGE(AS83:AS112)</f>
        <v>406.88353333333333</v>
      </c>
      <c r="AT139" s="7">
        <f>AVERAGE(AT83:AT112)</f>
        <v>159.10960000000003</v>
      </c>
      <c r="AU139" s="571">
        <f t="shared" ref="AU139:AV139" si="76">AVERAGE(AU83:AU112)</f>
        <v>0</v>
      </c>
      <c r="AV139" s="571">
        <f t="shared" si="76"/>
        <v>0</v>
      </c>
      <c r="AW139" s="7"/>
      <c r="AY139" s="2" t="e">
        <f>AVERAGE(AY83:AY112)</f>
        <v>#DIV/0!</v>
      </c>
      <c r="AZ139" s="2" t="e">
        <f>AVERAGE(AZ83:AZ112)</f>
        <v>#DIV/0!</v>
      </c>
      <c r="BA139" s="2">
        <f>AVERAGE(BA83:BA112)</f>
        <v>0</v>
      </c>
      <c r="BB139" s="2">
        <f>AVERAGE(BB83:BB112)</f>
        <v>0</v>
      </c>
      <c r="BC139" s="590"/>
      <c r="BD139" s="298"/>
      <c r="BE139" s="298"/>
      <c r="BF139" s="298"/>
      <c r="BG139" s="2">
        <f>AVERAGE(BG83:BG112)</f>
        <v>0</v>
      </c>
      <c r="BH139" s="590"/>
      <c r="BI139" s="298"/>
      <c r="BJ139" s="298"/>
      <c r="BK139" s="298"/>
      <c r="BL139" s="2">
        <f>AVERAGE(BL83:BL112)</f>
        <v>0</v>
      </c>
      <c r="BM139" s="590"/>
      <c r="BN139" s="298"/>
      <c r="BO139" s="298"/>
      <c r="BP139" s="298"/>
      <c r="BQ139" s="2">
        <f>AVERAGE(BQ83:BQ112)</f>
        <v>0</v>
      </c>
      <c r="BR139" s="590"/>
      <c r="BS139" s="298"/>
      <c r="BT139" s="298"/>
      <c r="BU139" s="298"/>
      <c r="BV139" s="2">
        <f>AVERAGE(BV83:BV112)</f>
        <v>0</v>
      </c>
      <c r="BW139" s="590"/>
      <c r="BX139" s="298"/>
      <c r="BY139" s="298"/>
      <c r="BZ139" s="298"/>
      <c r="CA139" s="2">
        <f>AVERAGE(CA83:CA112)</f>
        <v>0</v>
      </c>
      <c r="CB139" s="590"/>
      <c r="CC139" s="298"/>
      <c r="CD139" s="298"/>
      <c r="CE139" s="298"/>
      <c r="CF139" s="2">
        <f>AVERAGE(CF83:CF112)</f>
        <v>0</v>
      </c>
    </row>
    <row r="140" spans="1:84" s="1" customFormat="1">
      <c r="B140" s="6" t="s">
        <v>906</v>
      </c>
      <c r="H140" s="251"/>
      <c r="J140" s="7">
        <f>AVERAGE(J113:J136)</f>
        <v>2.8448242155006871</v>
      </c>
      <c r="K140" s="7">
        <f>AVERAGE(K113:K136)</f>
        <v>1.0123454238505933</v>
      </c>
      <c r="L140" s="7">
        <f>AVERAGE(L113:L136)</f>
        <v>1.8322597103674891</v>
      </c>
      <c r="M140" s="53"/>
      <c r="X140" s="7">
        <f t="shared" ref="X140:Y140" si="77">AVERAGE(X113:X136)</f>
        <v>459.39854166666674</v>
      </c>
      <c r="Y140" s="7">
        <f t="shared" si="77"/>
        <v>289.47470833333335</v>
      </c>
      <c r="Z140" s="571">
        <f t="shared" ref="Z140:AB140" si="78">AVERAGE(Z113:Z136)</f>
        <v>0</v>
      </c>
      <c r="AA140" s="571">
        <f t="shared" si="78"/>
        <v>0</v>
      </c>
      <c r="AB140" s="7" t="e">
        <f t="shared" si="78"/>
        <v>#DIV/0!</v>
      </c>
      <c r="AE140" s="7">
        <f>AVERAGE(AE113:AE136)</f>
        <v>2.6559966923002158</v>
      </c>
      <c r="AF140" s="7">
        <f>AVERAGE(AF113:AF136)</f>
        <v>1.0123454238505933</v>
      </c>
      <c r="AG140" s="7">
        <f>AVERAGE(AG113:AG136)</f>
        <v>1.6434321871670177</v>
      </c>
      <c r="AH140" s="53"/>
      <c r="AS140" s="7">
        <f t="shared" ref="AS140:AT140" si="79">AVERAGE(AS113:AS136)</f>
        <v>573.23858333333339</v>
      </c>
      <c r="AT140" s="7">
        <f t="shared" si="79"/>
        <v>411.2381666666667</v>
      </c>
      <c r="AU140" s="571">
        <f t="shared" ref="AU140:AV140" si="80">AVERAGE(AU113:AU136)</f>
        <v>0</v>
      </c>
      <c r="AV140" s="571">
        <f t="shared" si="80"/>
        <v>0</v>
      </c>
      <c r="AW140" s="7"/>
      <c r="AY140" s="2" t="e">
        <f t="shared" ref="AY140:AZ140" si="81">AVERAGE(AY113:AY136)</f>
        <v>#DIV/0!</v>
      </c>
      <c r="AZ140" s="2" t="e">
        <f t="shared" si="81"/>
        <v>#DIV/0!</v>
      </c>
      <c r="BA140" s="2">
        <f t="shared" ref="BA140:BB140" si="82">AVERAGE(BA113:BA136)</f>
        <v>3.4552281080405804E-2</v>
      </c>
      <c r="BB140" s="2">
        <f t="shared" si="82"/>
        <v>3.4552281080405825E-2</v>
      </c>
      <c r="BC140" s="590"/>
      <c r="BD140" s="2">
        <f t="shared" ref="BD140:BF140" si="83">AVERAGE(BD113:BD136)</f>
        <v>-0.22006865908102721</v>
      </c>
      <c r="BE140" s="2">
        <f t="shared" si="83"/>
        <v>-0.34043495176293309</v>
      </c>
      <c r="BF140" s="2">
        <f t="shared" si="83"/>
        <v>-0.35519352161427376</v>
      </c>
      <c r="BG140" s="249"/>
      <c r="BH140" s="590"/>
      <c r="BI140" s="2">
        <f t="shared" ref="BI140:BK140" si="84">AVERAGE(BI113:BI136)</f>
        <v>-8.7295483093482562E-2</v>
      </c>
      <c r="BJ140" s="2">
        <f t="shared" si="84"/>
        <v>-0.15854013215862198</v>
      </c>
      <c r="BK140" s="2">
        <f t="shared" si="84"/>
        <v>-0.18626173573035373</v>
      </c>
      <c r="BL140" s="249"/>
      <c r="BM140" s="590"/>
      <c r="BN140" s="2">
        <f t="shared" ref="BN140:BP140" si="85">AVERAGE(BN113:BN136)</f>
        <v>-0.21821241639082303</v>
      </c>
      <c r="BO140" s="2">
        <f t="shared" si="85"/>
        <v>-0.33360330590922271</v>
      </c>
      <c r="BP140" s="2">
        <f t="shared" si="85"/>
        <v>-0.34435721523241281</v>
      </c>
      <c r="BQ140" s="249"/>
      <c r="BR140" s="590"/>
      <c r="BS140" s="2">
        <f t="shared" ref="BS140:BU140" si="86">AVERAGE(BS113:BS136)</f>
        <v>-0.10323057025370075</v>
      </c>
      <c r="BT140" s="2">
        <f t="shared" si="86"/>
        <v>-0.16726764275995351</v>
      </c>
      <c r="BU140" s="2">
        <f t="shared" si="86"/>
        <v>-0.18538546758105032</v>
      </c>
      <c r="BV140" s="249"/>
      <c r="BW140" s="590"/>
      <c r="BX140" s="2">
        <f t="shared" ref="BX140:BZ140" si="87">AVERAGE(BX113:BX136)</f>
        <v>-0.24607959171847979</v>
      </c>
      <c r="BY140" s="2">
        <f t="shared" si="87"/>
        <v>-0.39808957644745147</v>
      </c>
      <c r="BZ140" s="2">
        <f t="shared" si="87"/>
        <v>-0.40052712338462915</v>
      </c>
      <c r="CA140" s="249"/>
      <c r="CB140" s="590"/>
      <c r="CC140" s="2">
        <f t="shared" ref="CC140:CE140" si="88">AVERAGE(CC113:CC136)</f>
        <v>-9.1070799232089383E-2</v>
      </c>
      <c r="CD140" s="2">
        <f t="shared" si="88"/>
        <v>-0.17367754200027596</v>
      </c>
      <c r="CE140" s="2">
        <f t="shared" si="88"/>
        <v>-0.19700379511761723</v>
      </c>
      <c r="CF140" s="249"/>
    </row>
    <row r="141" spans="1:84" s="1" customFormat="1" ht="27">
      <c r="B141" s="6" t="s">
        <v>1139</v>
      </c>
      <c r="H141" s="251"/>
      <c r="J141" s="7">
        <f>AVERAGE(J5:J40,J83:J112)</f>
        <v>21.191814112467924</v>
      </c>
      <c r="K141" s="7">
        <f>AVERAGE(K5:K40,K83:K112)</f>
        <v>16.777926041172144</v>
      </c>
      <c r="L141" s="53"/>
      <c r="M141" s="7">
        <f>AVERAGE(M5:M40,M83:M112)</f>
        <v>4.4105076062807518</v>
      </c>
      <c r="X141" s="7" t="e">
        <f>AVERAGE(X5:X40,X83:X112)</f>
        <v>#DIV/0!</v>
      </c>
      <c r="Y141" s="7" t="e">
        <f>AVERAGE(Y5:Y40,Y83:Y112)</f>
        <v>#DIV/0!</v>
      </c>
      <c r="Z141" s="571">
        <f t="shared" ref="Z141:AB141" si="89">AVERAGE(Z5:Z40,Z83:Z112)</f>
        <v>0</v>
      </c>
      <c r="AA141" s="571">
        <f t="shared" si="89"/>
        <v>0</v>
      </c>
      <c r="AB141" s="7" t="e">
        <f t="shared" si="89"/>
        <v>#DIV/0!</v>
      </c>
      <c r="AE141" s="7">
        <f>AVERAGE(AE5:AE40,AE83:AE112)</f>
        <v>21.191814112467924</v>
      </c>
      <c r="AF141" s="7">
        <f>AVERAGE(AF5:AF40,AF83:AF112)</f>
        <v>16.777926041172144</v>
      </c>
      <c r="AG141" s="53"/>
      <c r="AH141" s="7">
        <f>AVERAGE(AH5:AH40,AH83:AH112)</f>
        <v>4.4105076062807518</v>
      </c>
      <c r="AS141" s="7">
        <f>AVERAGE(AS5:AS40,AS83:AS112)</f>
        <v>201.04069696969697</v>
      </c>
      <c r="AT141" s="7">
        <f>AVERAGE(AT5:AT40,AT83:AT112)</f>
        <v>83.233621212121221</v>
      </c>
      <c r="AU141" s="571">
        <f t="shared" ref="AU141:AV141" si="90">AVERAGE(AU5:AU40,AU83:AU112)</f>
        <v>0</v>
      </c>
      <c r="AV141" s="571">
        <f t="shared" si="90"/>
        <v>0</v>
      </c>
      <c r="AW141" s="7"/>
      <c r="AY141" s="2" t="e">
        <f>AVERAGE(AY5:AY40,AY83:AY112)</f>
        <v>#DIV/0!</v>
      </c>
      <c r="AZ141" s="2" t="e">
        <f>AVERAGE(AZ5:AZ40,AZ83:AZ112)</f>
        <v>#DIV/0!</v>
      </c>
      <c r="BA141" s="2">
        <f>AVERAGE(BA5:BA40,BA83:BA112)</f>
        <v>0</v>
      </c>
      <c r="BB141" s="2">
        <f>AVERAGE(BB5:BB40,BB83:BB112)</f>
        <v>0</v>
      </c>
      <c r="BC141" s="590"/>
      <c r="BD141" s="298"/>
      <c r="BE141" s="298"/>
      <c r="BF141" s="298"/>
      <c r="BG141" s="2">
        <f>AVERAGE(BG5:BG40,BG83:BG112)</f>
        <v>0</v>
      </c>
      <c r="BH141" s="590"/>
      <c r="BI141" s="298"/>
      <c r="BJ141" s="298"/>
      <c r="BK141" s="298"/>
      <c r="BL141" s="2">
        <f>AVERAGE(BL5:BL40,BL83:BL112)</f>
        <v>0</v>
      </c>
      <c r="BM141" s="590"/>
      <c r="BN141" s="298"/>
      <c r="BO141" s="298"/>
      <c r="BP141" s="298"/>
      <c r="BQ141" s="2">
        <f>AVERAGE(BQ5:BQ40,BQ83:BQ112)</f>
        <v>0</v>
      </c>
      <c r="BR141" s="590"/>
      <c r="BS141" s="298"/>
      <c r="BT141" s="298"/>
      <c r="BU141" s="298"/>
      <c r="BV141" s="2">
        <f>AVERAGE(BV5:BV40,BV83:BV112)</f>
        <v>0</v>
      </c>
      <c r="BW141" s="590"/>
      <c r="BX141" s="298"/>
      <c r="BY141" s="298"/>
      <c r="BZ141" s="298"/>
      <c r="CA141" s="2">
        <f>AVERAGE(CA5:CA40,CA83:CA112)</f>
        <v>0</v>
      </c>
      <c r="CB141" s="590"/>
      <c r="CC141" s="298"/>
      <c r="CD141" s="298"/>
      <c r="CE141" s="298"/>
      <c r="CF141" s="2">
        <f>AVERAGE(CF5:CF40,CF83:CF112)</f>
        <v>0</v>
      </c>
    </row>
    <row r="142" spans="1:84">
      <c r="B142" s="6" t="s">
        <v>137</v>
      </c>
      <c r="J142" s="7">
        <f>AVERAGE(J5:J136)</f>
        <v>16.895823481994835</v>
      </c>
      <c r="K142" s="7">
        <f>AVERAGE(K5:K136)</f>
        <v>13.078170606124594</v>
      </c>
      <c r="L142" s="7">
        <f>AVERAGE(L5:L136)</f>
        <v>3.2212810900939779</v>
      </c>
      <c r="M142" s="7">
        <f>AVERAGE(M5:M136)</f>
        <v>4.4105076062807518</v>
      </c>
      <c r="R142" s="1"/>
      <c r="T142" s="1"/>
      <c r="U142" s="1"/>
      <c r="V142" s="1"/>
      <c r="W142" s="1"/>
      <c r="X142" s="7">
        <f>AVERAGE(X5:X136)</f>
        <v>244.9676666666667</v>
      </c>
      <c r="Y142" s="7">
        <f>AVERAGE(Y5:Y136)</f>
        <v>155.34230303030307</v>
      </c>
      <c r="Z142" s="571">
        <f t="shared" ref="Z142:AB142" si="91">AVERAGE(Z5:Z136)</f>
        <v>0</v>
      </c>
      <c r="AA142" s="571">
        <f t="shared" si="91"/>
        <v>0</v>
      </c>
      <c r="AB142" s="7" t="e">
        <f t="shared" si="91"/>
        <v>#DIV/0!</v>
      </c>
      <c r="AE142" s="7">
        <f>AVERAGE(AE5:AE136)</f>
        <v>16.570238676126397</v>
      </c>
      <c r="AF142" s="7">
        <f>AVERAGE(AF5:AF136)</f>
        <v>13.078170606124594</v>
      </c>
      <c r="AG142" s="7">
        <f>AVERAGE(AG5:AG136)</f>
        <v>2.5701114783570982</v>
      </c>
      <c r="AH142" s="7">
        <f>AVERAGE(AH5:AH136)</f>
        <v>4.4105076062807518</v>
      </c>
      <c r="AM142" s="1"/>
      <c r="AO142" s="1"/>
      <c r="AP142" s="1"/>
      <c r="AQ142" s="1"/>
      <c r="AS142" s="7">
        <f>AVERAGE(AS5:AS136)</f>
        <v>270.27135606060602</v>
      </c>
      <c r="AT142" s="7">
        <f>AVERAGE(AT5:AT136)</f>
        <v>162.54537878787878</v>
      </c>
      <c r="AU142" s="571">
        <f t="shared" ref="AU142:AV142" si="92">AVERAGE(AU5:AU136)</f>
        <v>0</v>
      </c>
      <c r="AV142" s="571">
        <f t="shared" si="92"/>
        <v>0</v>
      </c>
      <c r="AW142" s="7"/>
      <c r="AY142" s="2" t="e">
        <f>AVERAGE(AY5:AY136)</f>
        <v>#DIV/0!</v>
      </c>
      <c r="AZ142" s="2" t="e">
        <f>AVERAGE(AZ5:AZ136)</f>
        <v>#DIV/0!</v>
      </c>
      <c r="BA142" s="2">
        <f>AVERAGE(BA5:BA136)</f>
        <v>2.0238069040668185E-2</v>
      </c>
      <c r="BB142" s="2">
        <f>AVERAGE(BB5:BB136)</f>
        <v>2.0238069040668199E-2</v>
      </c>
      <c r="BC142" s="590"/>
      <c r="BD142" s="2">
        <f>AVERAGE(BD5:BD136)</f>
        <v>-0.36105893041351417</v>
      </c>
      <c r="BE142" s="2">
        <f>AVERAGE(BE5:BE136)</f>
        <v>-0.44137251772247715</v>
      </c>
      <c r="BF142" s="2">
        <f>AVERAGE(BF5:BF136)</f>
        <v>-0.43592339428770754</v>
      </c>
      <c r="BG142" s="2">
        <f>AVERAGE(BG5:BG136)</f>
        <v>0</v>
      </c>
      <c r="BH142" s="590"/>
      <c r="BI142" s="2">
        <f>AVERAGE(BI5:BI136)</f>
        <v>-7.828786993548896E-2</v>
      </c>
      <c r="BJ142" s="2">
        <f>AVERAGE(BJ5:BJ136)</f>
        <v>-0.11728327591961139</v>
      </c>
      <c r="BK142" s="2">
        <f>AVERAGE(BK5:BK136)</f>
        <v>-0.12867269011034466</v>
      </c>
      <c r="BL142" s="2">
        <f>AVERAGE(BL5:BL136)</f>
        <v>0</v>
      </c>
      <c r="BM142" s="590"/>
      <c r="BN142" s="2">
        <f>AVERAGE(BN5:BN136)</f>
        <v>-0.3262302556168154</v>
      </c>
      <c r="BO142" s="2">
        <f>AVERAGE(BO5:BO136)</f>
        <v>-0.41019320209910148</v>
      </c>
      <c r="BP142" s="2">
        <f>AVERAGE(BP5:BP136)</f>
        <v>-0.41230037466057273</v>
      </c>
      <c r="BQ142" s="2">
        <f>AVERAGE(BQ5:BQ136)</f>
        <v>0</v>
      </c>
      <c r="BR142" s="590"/>
      <c r="BS142" s="2">
        <f>AVERAGE(BS5:BS136)</f>
        <v>-8.7471462586058216E-2</v>
      </c>
      <c r="BT142" s="2">
        <f>AVERAGE(BT5:BT136)</f>
        <v>-0.12367291710762088</v>
      </c>
      <c r="BU142" s="2">
        <f>AVERAGE(BU5:BU136)</f>
        <v>-0.13127586295919064</v>
      </c>
      <c r="BV142" s="2">
        <f>AVERAGE(BV5:BV136)</f>
        <v>0</v>
      </c>
      <c r="BW142" s="590"/>
      <c r="BX142" s="2">
        <f>AVERAGE(BX5:BX136)</f>
        <v>-0.39761519376168819</v>
      </c>
      <c r="BY142" s="2">
        <f>AVERAGE(BY5:BY136)</f>
        <v>-0.49106575879902842</v>
      </c>
      <c r="BZ142" s="2">
        <f>AVERAGE(BZ5:BZ136)</f>
        <v>-0.48073157240140385</v>
      </c>
      <c r="CA142" s="2">
        <f>AVERAGE(CA5:CA136)</f>
        <v>0</v>
      </c>
      <c r="CB142" s="590"/>
      <c r="CC142" s="2">
        <f>AVERAGE(CC5:CC136)</f>
        <v>-8.1838790336348541E-2</v>
      </c>
      <c r="CD142" s="2">
        <f>AVERAGE(CD5:CD136)</f>
        <v>-0.12543333316684649</v>
      </c>
      <c r="CE142" s="2">
        <f>AVERAGE(CE5:CE136)</f>
        <v>-0.13568130444800036</v>
      </c>
      <c r="CF142" s="2">
        <f>AVERAGE(CF5:CF136)</f>
        <v>0</v>
      </c>
    </row>
    <row r="143" spans="1:84" s="1" customFormat="1" outlineLevel="2">
      <c r="A143" s="338" t="s">
        <v>138</v>
      </c>
      <c r="B143" s="6" t="s">
        <v>1127</v>
      </c>
      <c r="H143" s="251"/>
      <c r="X143" s="8"/>
      <c r="Y143" s="8"/>
      <c r="AS143" s="12" t="e">
        <f>AS137/X137</f>
        <v>#DIV/0!</v>
      </c>
      <c r="AT143" s="12" t="e">
        <f t="shared" ref="AT143:AV148" si="93">AT137/Y137</f>
        <v>#DIV/0!</v>
      </c>
      <c r="AU143" s="12" t="e">
        <f t="shared" si="93"/>
        <v>#DIV/0!</v>
      </c>
      <c r="AV143" s="12" t="e">
        <f t="shared" si="93"/>
        <v>#DIV/0!</v>
      </c>
      <c r="AW143" s="12"/>
    </row>
    <row r="144" spans="1:84" s="1" customFormat="1" outlineLevel="2">
      <c r="B144" s="6" t="s">
        <v>1128</v>
      </c>
      <c r="H144" s="251"/>
      <c r="AS144" s="12">
        <f t="shared" ref="AS144:AS148" si="94">AS138/X138</f>
        <v>1.6820110296927386</v>
      </c>
      <c r="AT144" s="12">
        <f t="shared" si="93"/>
        <v>1.8434154796730848</v>
      </c>
      <c r="AU144" s="12" t="e">
        <f t="shared" si="93"/>
        <v>#DIV/0!</v>
      </c>
      <c r="AV144" s="12" t="e">
        <f t="shared" si="93"/>
        <v>#DIV/0!</v>
      </c>
      <c r="AW144" s="12"/>
    </row>
    <row r="145" spans="1:49" ht="27" outlineLevel="2">
      <c r="A145" s="6"/>
      <c r="B145" s="6" t="s">
        <v>1130</v>
      </c>
      <c r="X145" s="8"/>
      <c r="Y145" s="8"/>
      <c r="AS145" s="12" t="e">
        <f t="shared" si="94"/>
        <v>#DIV/0!</v>
      </c>
      <c r="AT145" s="12" t="e">
        <f t="shared" si="93"/>
        <v>#DIV/0!</v>
      </c>
      <c r="AU145" s="12" t="e">
        <f t="shared" si="93"/>
        <v>#DIV/0!</v>
      </c>
      <c r="AV145" s="12" t="e">
        <f t="shared" si="93"/>
        <v>#DIV/0!</v>
      </c>
      <c r="AW145" s="12"/>
    </row>
    <row r="146" spans="1:49" outlineLevel="2">
      <c r="B146" s="6" t="s">
        <v>1131</v>
      </c>
      <c r="AS146" s="12">
        <f t="shared" si="94"/>
        <v>1.247802357520907</v>
      </c>
      <c r="AT146" s="12">
        <f t="shared" si="93"/>
        <v>1.4206359133562763</v>
      </c>
      <c r="AU146" s="12" t="e">
        <f t="shared" si="93"/>
        <v>#DIV/0!</v>
      </c>
      <c r="AV146" s="12" t="e">
        <f t="shared" si="93"/>
        <v>#DIV/0!</v>
      </c>
      <c r="AW146" s="12"/>
    </row>
    <row r="147" spans="1:49" ht="27" outlineLevel="2">
      <c r="B147" s="6" t="s">
        <v>1133</v>
      </c>
      <c r="X147" s="8"/>
      <c r="Y147" s="8"/>
      <c r="AS147" s="12" t="e">
        <f t="shared" si="94"/>
        <v>#DIV/0!</v>
      </c>
      <c r="AT147" s="12" t="e">
        <f t="shared" si="93"/>
        <v>#DIV/0!</v>
      </c>
      <c r="AU147" s="12" t="e">
        <f t="shared" si="93"/>
        <v>#DIV/0!</v>
      </c>
      <c r="AV147" s="12" t="e">
        <f t="shared" si="93"/>
        <v>#DIV/0!</v>
      </c>
      <c r="AW147" s="12"/>
    </row>
    <row r="148" spans="1:49" outlineLevel="2" collapsed="1">
      <c r="B148" s="6" t="s">
        <v>1135</v>
      </c>
      <c r="AS148" s="12">
        <f t="shared" si="94"/>
        <v>1.1032939968700877</v>
      </c>
      <c r="AT148" s="12">
        <f t="shared" si="93"/>
        <v>1.0463690547717102</v>
      </c>
      <c r="AU148" s="12" t="e">
        <f t="shared" si="93"/>
        <v>#DIV/0!</v>
      </c>
      <c r="AV148" s="12" t="e">
        <f t="shared" si="93"/>
        <v>#DIV/0!</v>
      </c>
      <c r="AW148" s="12"/>
    </row>
  </sheetData>
  <mergeCells count="48">
    <mergeCell ref="BX1:CA1"/>
    <mergeCell ref="CC1:CF1"/>
    <mergeCell ref="BX2:CA2"/>
    <mergeCell ref="CC2:CF2"/>
    <mergeCell ref="BD1:BG1"/>
    <mergeCell ref="BI1:BL1"/>
    <mergeCell ref="BN1:BQ1"/>
    <mergeCell ref="BS1:BV1"/>
    <mergeCell ref="BN2:BQ2"/>
    <mergeCell ref="BS2:BV2"/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BB2:BB3"/>
    <mergeCell ref="BD2:BG2"/>
    <mergeCell ref="BI2:BL2"/>
    <mergeCell ref="AT2:AT3"/>
    <mergeCell ref="AU2:AU3"/>
    <mergeCell ref="AV2:AV3"/>
    <mergeCell ref="AW2:AW3"/>
    <mergeCell ref="AY2:AY3"/>
    <mergeCell ref="A1:G1"/>
    <mergeCell ref="I1:AB1"/>
    <mergeCell ref="AD1:AW1"/>
    <mergeCell ref="AZ2:AZ3"/>
    <mergeCell ref="BA2:BA3"/>
    <mergeCell ref="AI2:AI3"/>
    <mergeCell ref="AJ2:AJ3"/>
    <mergeCell ref="AK2:AN2"/>
    <mergeCell ref="AO2:AR2"/>
    <mergeCell ref="AS2:AS3"/>
    <mergeCell ref="Z2:Z3"/>
    <mergeCell ref="AA2:AA3"/>
    <mergeCell ref="AB2:AB3"/>
    <mergeCell ref="AD2:AD3"/>
    <mergeCell ref="AE2:AH2"/>
    <mergeCell ref="O2:O3"/>
  </mergeCells>
  <phoneticPr fontId="2" type="noConversion"/>
  <conditionalFormatting sqref="BD83:BF88 BD90:BF94 BD96:BF100 AH65:AH76">
    <cfRule type="cellIs" dxfId="4485" priority="2693" operator="greaterThanOrEqual">
      <formula>0.03</formula>
    </cfRule>
    <cfRule type="cellIs" dxfId="4484" priority="2694" operator="lessThanOrEqual">
      <formula>-0.03</formula>
    </cfRule>
  </conditionalFormatting>
  <conditionalFormatting sqref="BG84:BG88 BG90:BG94 BG96:BG100">
    <cfRule type="cellIs" dxfId="4483" priority="2685" operator="greaterThanOrEqual">
      <formula>0.03</formula>
    </cfRule>
    <cfRule type="cellIs" dxfId="4482" priority="2686" operator="lessThanOrEqual">
      <formula>-0.03</formula>
    </cfRule>
  </conditionalFormatting>
  <conditionalFormatting sqref="BL84:BL88 BL90:BL94 BL96:BL100">
    <cfRule type="cellIs" dxfId="4481" priority="2695" operator="greaterThanOrEqual">
      <formula>0.03</formula>
    </cfRule>
    <cfRule type="cellIs" dxfId="4480" priority="2696" operator="lessThanOrEqual">
      <formula>-0.03</formula>
    </cfRule>
  </conditionalFormatting>
  <conditionalFormatting sqref="BI84:BK88 BI90:BK94 BI96:BK100">
    <cfRule type="cellIs" dxfId="4479" priority="2681" operator="greaterThanOrEqual">
      <formula>0.03</formula>
    </cfRule>
    <cfRule type="cellIs" dxfId="4478" priority="2682" operator="lessThanOrEqual">
      <formula>-0.03</formula>
    </cfRule>
  </conditionalFormatting>
  <conditionalFormatting sqref="AG83:AG100">
    <cfRule type="cellIs" dxfId="4477" priority="2675" operator="greaterThanOrEqual">
      <formula>0.03</formula>
    </cfRule>
    <cfRule type="cellIs" dxfId="4476" priority="2676" operator="lessThanOrEqual">
      <formula>-0.03</formula>
    </cfRule>
  </conditionalFormatting>
  <conditionalFormatting sqref="BN84:BP88 BN90:BP94 BN96:BP100">
    <cfRule type="cellIs" dxfId="4475" priority="2669" operator="greaterThanOrEqual">
      <formula>0.03</formula>
    </cfRule>
    <cfRule type="cellIs" dxfId="4474" priority="2670" operator="lessThanOrEqual">
      <formula>-0.03</formula>
    </cfRule>
  </conditionalFormatting>
  <conditionalFormatting sqref="BQ84:BQ88 BQ90:BQ94 BQ96:BQ100">
    <cfRule type="cellIs" dxfId="4473" priority="2667" operator="greaterThanOrEqual">
      <formula>0.03</formula>
    </cfRule>
    <cfRule type="cellIs" dxfId="4472" priority="2668" operator="lessThanOrEqual">
      <formula>-0.03</formula>
    </cfRule>
  </conditionalFormatting>
  <conditionalFormatting sqref="BV84:BV88 BV90:BV94 BV96:BV100">
    <cfRule type="cellIs" dxfId="4471" priority="2671" operator="greaterThanOrEqual">
      <formula>0.03</formula>
    </cfRule>
    <cfRule type="cellIs" dxfId="4470" priority="2672" operator="lessThanOrEqual">
      <formula>-0.03</formula>
    </cfRule>
  </conditionalFormatting>
  <conditionalFormatting sqref="BS84:BU88 BS90:BU94 BS96:BU100">
    <cfRule type="cellIs" dxfId="4469" priority="2665" operator="greaterThanOrEqual">
      <formula>0.03</formula>
    </cfRule>
    <cfRule type="cellIs" dxfId="4468" priority="2666" operator="lessThanOrEqual">
      <formula>-0.03</formula>
    </cfRule>
  </conditionalFormatting>
  <conditionalFormatting sqref="BX84:BZ88 BX90:BZ94 BX96:BZ100">
    <cfRule type="cellIs" dxfId="4467" priority="2661" operator="greaterThanOrEqual">
      <formula>0.03</formula>
    </cfRule>
    <cfRule type="cellIs" dxfId="4466" priority="2662" operator="lessThanOrEqual">
      <formula>-0.03</formula>
    </cfRule>
  </conditionalFormatting>
  <conditionalFormatting sqref="CA84:CA88 CA90:CA94 CA96:CA100">
    <cfRule type="cellIs" dxfId="4465" priority="2659" operator="greaterThanOrEqual">
      <formula>0.03</formula>
    </cfRule>
    <cfRule type="cellIs" dxfId="4464" priority="2660" operator="lessThanOrEqual">
      <formula>-0.03</formula>
    </cfRule>
  </conditionalFormatting>
  <conditionalFormatting sqref="CF84:CF88 CF90:CF94 CF96:CF100">
    <cfRule type="cellIs" dxfId="4463" priority="2663" operator="greaterThanOrEqual">
      <formula>0.03</formula>
    </cfRule>
    <cfRule type="cellIs" dxfId="4462" priority="2664" operator="lessThanOrEqual">
      <formula>-0.03</formula>
    </cfRule>
  </conditionalFormatting>
  <conditionalFormatting sqref="CC84:CE88 CC90:CE94 CC96:CE100">
    <cfRule type="cellIs" dxfId="4461" priority="2657" operator="greaterThanOrEqual">
      <formula>0.03</formula>
    </cfRule>
    <cfRule type="cellIs" dxfId="4460" priority="2658" operator="lessThanOrEqual">
      <formula>-0.03</formula>
    </cfRule>
  </conditionalFormatting>
  <conditionalFormatting sqref="BD89:BF89">
    <cfRule type="cellIs" dxfId="4459" priority="2653" operator="greaterThanOrEqual">
      <formula>0.03</formula>
    </cfRule>
    <cfRule type="cellIs" dxfId="4458" priority="2654" operator="lessThanOrEqual">
      <formula>-0.03</formula>
    </cfRule>
  </conditionalFormatting>
  <conditionalFormatting sqref="BL102:BL106">
    <cfRule type="cellIs" dxfId="4457" priority="2607" operator="greaterThanOrEqual">
      <formula>0.03</formula>
    </cfRule>
    <cfRule type="cellIs" dxfId="4456" priority="2608" operator="lessThanOrEqual">
      <formula>-0.03</formula>
    </cfRule>
  </conditionalFormatting>
  <conditionalFormatting sqref="BD101:BF106">
    <cfRule type="cellIs" dxfId="4455" priority="2605" operator="greaterThanOrEqual">
      <formula>0.03</formula>
    </cfRule>
    <cfRule type="cellIs" dxfId="4454" priority="2606" operator="lessThanOrEqual">
      <formula>-0.03</formula>
    </cfRule>
  </conditionalFormatting>
  <conditionalFormatting sqref="BI102:BK106">
    <cfRule type="cellIs" dxfId="4453" priority="2599" operator="greaterThanOrEqual">
      <formula>0.03</formula>
    </cfRule>
    <cfRule type="cellIs" dxfId="4452" priority="2600" operator="lessThanOrEqual">
      <formula>-0.03</formula>
    </cfRule>
  </conditionalFormatting>
  <conditionalFormatting sqref="BG102:BG106">
    <cfRule type="cellIs" dxfId="4451" priority="2603" operator="greaterThanOrEqual">
      <formula>0.03</formula>
    </cfRule>
    <cfRule type="cellIs" dxfId="4450" priority="2604" operator="lessThanOrEqual">
      <formula>-0.03</formula>
    </cfRule>
  </conditionalFormatting>
  <conditionalFormatting sqref="AG101:AG106">
    <cfRule type="cellIs" dxfId="4449" priority="2593" operator="greaterThanOrEqual">
      <formula>0.03</formula>
    </cfRule>
    <cfRule type="cellIs" dxfId="4448" priority="2594" operator="lessThanOrEqual">
      <formula>-0.03</formula>
    </cfRule>
  </conditionalFormatting>
  <conditionalFormatting sqref="BV102:BV106">
    <cfRule type="cellIs" dxfId="4447" priority="2589" operator="greaterThanOrEqual">
      <formula>0.03</formula>
    </cfRule>
    <cfRule type="cellIs" dxfId="4446" priority="2590" operator="lessThanOrEqual">
      <formula>-0.03</formula>
    </cfRule>
  </conditionalFormatting>
  <conditionalFormatting sqref="BD95:BF95">
    <cfRule type="cellIs" dxfId="4445" priority="2629" operator="greaterThanOrEqual">
      <formula>0.03</formula>
    </cfRule>
    <cfRule type="cellIs" dxfId="4444" priority="2630" operator="lessThanOrEqual">
      <formula>-0.03</formula>
    </cfRule>
  </conditionalFormatting>
  <conditionalFormatting sqref="BN102:BP106">
    <cfRule type="cellIs" dxfId="4443" priority="2587" operator="greaterThanOrEqual">
      <formula>0.03</formula>
    </cfRule>
    <cfRule type="cellIs" dxfId="4442" priority="2588" operator="lessThanOrEqual">
      <formula>-0.03</formula>
    </cfRule>
  </conditionalFormatting>
  <conditionalFormatting sqref="BQ102:BQ106">
    <cfRule type="cellIs" dxfId="4441" priority="2585" operator="greaterThanOrEqual">
      <formula>0.03</formula>
    </cfRule>
    <cfRule type="cellIs" dxfId="4440" priority="2586" operator="lessThanOrEqual">
      <formula>-0.03</formula>
    </cfRule>
  </conditionalFormatting>
  <conditionalFormatting sqref="BS102:BU106">
    <cfRule type="cellIs" dxfId="4439" priority="2583" operator="greaterThanOrEqual">
      <formula>0.03</formula>
    </cfRule>
    <cfRule type="cellIs" dxfId="4438" priority="2584" operator="lessThanOrEqual">
      <formula>-0.03</formula>
    </cfRule>
  </conditionalFormatting>
  <conditionalFormatting sqref="BX102:BZ106">
    <cfRule type="cellIs" dxfId="4437" priority="2579" operator="greaterThanOrEqual">
      <formula>0.03</formula>
    </cfRule>
    <cfRule type="cellIs" dxfId="4436" priority="2580" operator="lessThanOrEqual">
      <formula>-0.03</formula>
    </cfRule>
  </conditionalFormatting>
  <conditionalFormatting sqref="CA102:CA106">
    <cfRule type="cellIs" dxfId="4435" priority="2577" operator="greaterThanOrEqual">
      <formula>0.03</formula>
    </cfRule>
    <cfRule type="cellIs" dxfId="4434" priority="2578" operator="lessThanOrEqual">
      <formula>-0.03</formula>
    </cfRule>
  </conditionalFormatting>
  <conditionalFormatting sqref="CF102:CF106">
    <cfRule type="cellIs" dxfId="4433" priority="2581" operator="greaterThanOrEqual">
      <formula>0.03</formula>
    </cfRule>
    <cfRule type="cellIs" dxfId="4432" priority="2582" operator="lessThanOrEqual">
      <formula>-0.03</formula>
    </cfRule>
  </conditionalFormatting>
  <conditionalFormatting sqref="CC102:CE106">
    <cfRule type="cellIs" dxfId="4431" priority="2575" operator="greaterThanOrEqual">
      <formula>0.03</formula>
    </cfRule>
    <cfRule type="cellIs" dxfId="4430" priority="2576" operator="lessThanOrEqual">
      <formula>-0.03</formula>
    </cfRule>
  </conditionalFormatting>
  <conditionalFormatting sqref="BX101:BZ101">
    <cfRule type="cellIs" dxfId="4429" priority="2247" operator="greaterThanOrEqual">
      <formula>0.03</formula>
    </cfRule>
    <cfRule type="cellIs" dxfId="4428" priority="2248" operator="lessThanOrEqual">
      <formula>-0.03</formula>
    </cfRule>
  </conditionalFormatting>
  <conditionalFormatting sqref="CA101">
    <cfRule type="cellIs" dxfId="4427" priority="2245" operator="greaterThanOrEqual">
      <formula>0.03</formula>
    </cfRule>
    <cfRule type="cellIs" dxfId="4426" priority="2246" operator="lessThanOrEqual">
      <formula>-0.03</formula>
    </cfRule>
  </conditionalFormatting>
  <conditionalFormatting sqref="CF101">
    <cfRule type="cellIs" dxfId="4425" priority="2249" operator="greaterThanOrEqual">
      <formula>0.03</formula>
    </cfRule>
    <cfRule type="cellIs" dxfId="4424" priority="2250" operator="lessThanOrEqual">
      <formula>-0.03</formula>
    </cfRule>
  </conditionalFormatting>
  <conditionalFormatting sqref="CC101:CE101">
    <cfRule type="cellIs" dxfId="4423" priority="2243" operator="greaterThanOrEqual">
      <formula>0.03</formula>
    </cfRule>
    <cfRule type="cellIs" dxfId="4422" priority="2244" operator="lessThanOrEqual">
      <formula>-0.03</formula>
    </cfRule>
  </conditionalFormatting>
  <conditionalFormatting sqref="BV101">
    <cfRule type="cellIs" dxfId="4421" priority="2239" operator="greaterThanOrEqual">
      <formula>0.03</formula>
    </cfRule>
    <cfRule type="cellIs" dxfId="4420" priority="2240" operator="lessThanOrEqual">
      <formula>-0.03</formula>
    </cfRule>
  </conditionalFormatting>
  <conditionalFormatting sqref="BL95">
    <cfRule type="cellIs" dxfId="4419" priority="2237" operator="greaterThanOrEqual">
      <formula>0.03</formula>
    </cfRule>
    <cfRule type="cellIs" dxfId="4418" priority="2238" operator="lessThanOrEqual">
      <formula>-0.03</formula>
    </cfRule>
  </conditionalFormatting>
  <conditionalFormatting sqref="BQ101">
    <cfRule type="cellIs" dxfId="4417" priority="2241" operator="greaterThanOrEqual">
      <formula>0.03</formula>
    </cfRule>
    <cfRule type="cellIs" dxfId="4416" priority="2242" operator="lessThanOrEqual">
      <formula>-0.03</formula>
    </cfRule>
  </conditionalFormatting>
  <conditionalFormatting sqref="BG95">
    <cfRule type="cellIs" dxfId="4415" priority="2235" operator="greaterThanOrEqual">
      <formula>0.03</formula>
    </cfRule>
    <cfRule type="cellIs" dxfId="4414" priority="2236" operator="lessThanOrEqual">
      <formula>-0.03</formula>
    </cfRule>
  </conditionalFormatting>
  <conditionalFormatting sqref="BD108:BF112">
    <cfRule type="cellIs" dxfId="4413" priority="2523" operator="greaterThanOrEqual">
      <formula>0.03</formula>
    </cfRule>
    <cfRule type="cellIs" dxfId="4412" priority="2524" operator="lessThanOrEqual">
      <formula>-0.03</formula>
    </cfRule>
  </conditionalFormatting>
  <conditionalFormatting sqref="BG108:BG112">
    <cfRule type="cellIs" dxfId="4411" priority="2521" operator="greaterThanOrEqual">
      <formula>0.03</formula>
    </cfRule>
    <cfRule type="cellIs" dxfId="4410" priority="2522" operator="lessThanOrEqual">
      <formula>-0.03</formula>
    </cfRule>
  </conditionalFormatting>
  <conditionalFormatting sqref="BL108:BL112">
    <cfRule type="cellIs" dxfId="4409" priority="2525" operator="greaterThanOrEqual">
      <formula>0.03</formula>
    </cfRule>
    <cfRule type="cellIs" dxfId="4408" priority="2526" operator="lessThanOrEqual">
      <formula>-0.03</formula>
    </cfRule>
  </conditionalFormatting>
  <conditionalFormatting sqref="BI108:BK112">
    <cfRule type="cellIs" dxfId="4407" priority="2517" operator="greaterThanOrEqual">
      <formula>0.03</formula>
    </cfRule>
    <cfRule type="cellIs" dxfId="4406" priority="2518" operator="lessThanOrEqual">
      <formula>-0.03</formula>
    </cfRule>
  </conditionalFormatting>
  <conditionalFormatting sqref="AG107:AG112">
    <cfRule type="cellIs" dxfId="4405" priority="2511" operator="greaterThanOrEqual">
      <formula>0.03</formula>
    </cfRule>
    <cfRule type="cellIs" dxfId="4404" priority="2512" operator="lessThanOrEqual">
      <formula>-0.03</formula>
    </cfRule>
  </conditionalFormatting>
  <conditionalFormatting sqref="BN108:BP112">
    <cfRule type="cellIs" dxfId="4403" priority="2505" operator="greaterThanOrEqual">
      <formula>0.03</formula>
    </cfRule>
    <cfRule type="cellIs" dxfId="4402" priority="2506" operator="lessThanOrEqual">
      <formula>-0.03</formula>
    </cfRule>
  </conditionalFormatting>
  <conditionalFormatting sqref="BQ108:BQ112">
    <cfRule type="cellIs" dxfId="4401" priority="2503" operator="greaterThanOrEqual">
      <formula>0.03</formula>
    </cfRule>
    <cfRule type="cellIs" dxfId="4400" priority="2504" operator="lessThanOrEqual">
      <formula>-0.03</formula>
    </cfRule>
  </conditionalFormatting>
  <conditionalFormatting sqref="BV108:BV112">
    <cfRule type="cellIs" dxfId="4399" priority="2507" operator="greaterThanOrEqual">
      <formula>0.03</formula>
    </cfRule>
    <cfRule type="cellIs" dxfId="4398" priority="2508" operator="lessThanOrEqual">
      <formula>-0.03</formula>
    </cfRule>
  </conditionalFormatting>
  <conditionalFormatting sqref="BS108:BU112">
    <cfRule type="cellIs" dxfId="4397" priority="2501" operator="greaterThanOrEqual">
      <formula>0.03</formula>
    </cfRule>
    <cfRule type="cellIs" dxfId="4396" priority="2502" operator="lessThanOrEqual">
      <formula>-0.03</formula>
    </cfRule>
  </conditionalFormatting>
  <conditionalFormatting sqref="BX108:BZ112">
    <cfRule type="cellIs" dxfId="4395" priority="2497" operator="greaterThanOrEqual">
      <formula>0.03</formula>
    </cfRule>
    <cfRule type="cellIs" dxfId="4394" priority="2498" operator="lessThanOrEqual">
      <formula>-0.03</formula>
    </cfRule>
  </conditionalFormatting>
  <conditionalFormatting sqref="CA108:CA112">
    <cfRule type="cellIs" dxfId="4393" priority="2495" operator="greaterThanOrEqual">
      <formula>0.03</formula>
    </cfRule>
    <cfRule type="cellIs" dxfId="4392" priority="2496" operator="lessThanOrEqual">
      <formula>-0.03</formula>
    </cfRule>
  </conditionalFormatting>
  <conditionalFormatting sqref="CF108:CF112">
    <cfRule type="cellIs" dxfId="4391" priority="2499" operator="greaterThanOrEqual">
      <formula>0.03</formula>
    </cfRule>
    <cfRule type="cellIs" dxfId="4390" priority="2500" operator="lessThanOrEqual">
      <formula>-0.03</formula>
    </cfRule>
  </conditionalFormatting>
  <conditionalFormatting sqref="CC108:CE112">
    <cfRule type="cellIs" dxfId="4389" priority="2493" operator="greaterThanOrEqual">
      <formula>0.03</formula>
    </cfRule>
    <cfRule type="cellIs" dxfId="4388" priority="2494" operator="lessThanOrEqual">
      <formula>-0.03</formula>
    </cfRule>
  </conditionalFormatting>
  <conditionalFormatting sqref="BD107:BF107">
    <cfRule type="cellIs" dxfId="4387" priority="2489" operator="greaterThanOrEqual">
      <formula>0.03</formula>
    </cfRule>
    <cfRule type="cellIs" dxfId="4386" priority="2490" operator="lessThanOrEqual">
      <formula>-0.03</formula>
    </cfRule>
  </conditionalFormatting>
  <conditionalFormatting sqref="BV83">
    <cfRule type="cellIs" dxfId="4385" priority="2173" operator="greaterThanOrEqual">
      <formula>0.03</formula>
    </cfRule>
    <cfRule type="cellIs" dxfId="4384" priority="2174" operator="lessThanOrEqual">
      <formula>-0.03</formula>
    </cfRule>
  </conditionalFormatting>
  <conditionalFormatting sqref="CC83:CE83">
    <cfRule type="cellIs" dxfId="4383" priority="2177" operator="greaterThanOrEqual">
      <formula>0.03</formula>
    </cfRule>
    <cfRule type="cellIs" dxfId="4382" priority="2178" operator="lessThanOrEqual">
      <formula>-0.03</formula>
    </cfRule>
  </conditionalFormatting>
  <conditionalFormatting sqref="BI114:BK118">
    <cfRule type="cellIs" dxfId="4381" priority="2171" operator="greaterThanOrEqual">
      <formula>0.03</formula>
    </cfRule>
    <cfRule type="cellIs" dxfId="4380" priority="2172" operator="lessThanOrEqual">
      <formula>-0.03</formula>
    </cfRule>
  </conditionalFormatting>
  <conditionalFormatting sqref="BD114:BF118">
    <cfRule type="cellIs" dxfId="4379" priority="2167" operator="greaterThanOrEqual">
      <formula>0.03</formula>
    </cfRule>
    <cfRule type="cellIs" dxfId="4378" priority="2168" operator="lessThanOrEqual">
      <formula>-0.03</formula>
    </cfRule>
  </conditionalFormatting>
  <conditionalFormatting sqref="BL107">
    <cfRule type="cellIs" dxfId="4377" priority="2325" operator="greaterThanOrEqual">
      <formula>0.03</formula>
    </cfRule>
    <cfRule type="cellIs" dxfId="4376" priority="2326" operator="lessThanOrEqual">
      <formula>-0.03</formula>
    </cfRule>
  </conditionalFormatting>
  <conditionalFormatting sqref="BG107">
    <cfRule type="cellIs" dxfId="4375" priority="2323" operator="greaterThanOrEqual">
      <formula>0.03</formula>
    </cfRule>
    <cfRule type="cellIs" dxfId="4374" priority="2324" operator="lessThanOrEqual">
      <formula>-0.03</formula>
    </cfRule>
  </conditionalFormatting>
  <conditionalFormatting sqref="BN107:BP107">
    <cfRule type="cellIs" dxfId="4373" priority="2319" operator="greaterThanOrEqual">
      <formula>0.03</formula>
    </cfRule>
    <cfRule type="cellIs" dxfId="4372" priority="2320" operator="lessThanOrEqual">
      <formula>-0.03</formula>
    </cfRule>
  </conditionalFormatting>
  <conditionalFormatting sqref="BS107:BU107">
    <cfRule type="cellIs" dxfId="4371" priority="2317" operator="greaterThanOrEqual">
      <formula>0.03</formula>
    </cfRule>
    <cfRule type="cellIs" dxfId="4370" priority="2318" operator="lessThanOrEqual">
      <formula>-0.03</formula>
    </cfRule>
  </conditionalFormatting>
  <conditionalFormatting sqref="BI107:BK107">
    <cfRule type="cellIs" dxfId="4369" priority="2321" operator="greaterThanOrEqual">
      <formula>0.03</formula>
    </cfRule>
    <cfRule type="cellIs" dxfId="4368" priority="2322" operator="lessThanOrEqual">
      <formula>-0.03</formula>
    </cfRule>
  </conditionalFormatting>
  <conditionalFormatting sqref="CF107">
    <cfRule type="cellIs" dxfId="4367" priority="2315" operator="greaterThanOrEqual">
      <formula>0.03</formula>
    </cfRule>
    <cfRule type="cellIs" dxfId="4366" priority="2316" operator="lessThanOrEqual">
      <formula>-0.03</formula>
    </cfRule>
  </conditionalFormatting>
  <conditionalFormatting sqref="BV107">
    <cfRule type="cellIs" dxfId="4365" priority="2305" operator="greaterThanOrEqual">
      <formula>0.03</formula>
    </cfRule>
    <cfRule type="cellIs" dxfId="4364" priority="2306" operator="lessThanOrEqual">
      <formula>-0.03</formula>
    </cfRule>
  </conditionalFormatting>
  <conditionalFormatting sqref="BQ107">
    <cfRule type="cellIs" dxfId="4363" priority="2307" operator="greaterThanOrEqual">
      <formula>0.03</formula>
    </cfRule>
    <cfRule type="cellIs" dxfId="4362" priority="2308" operator="lessThanOrEqual">
      <formula>-0.03</formula>
    </cfRule>
  </conditionalFormatting>
  <conditionalFormatting sqref="BN101:BP101">
    <cfRule type="cellIs" dxfId="4361" priority="2253" operator="greaterThanOrEqual">
      <formula>0.03</formula>
    </cfRule>
    <cfRule type="cellIs" dxfId="4360" priority="2254" operator="lessThanOrEqual">
      <formula>-0.03</formula>
    </cfRule>
  </conditionalFormatting>
  <conditionalFormatting sqref="BG101">
    <cfRule type="cellIs" dxfId="4359" priority="2257" operator="greaterThanOrEqual">
      <formula>0.03</formula>
    </cfRule>
    <cfRule type="cellIs" dxfId="4358" priority="2258" operator="lessThanOrEqual">
      <formula>-0.03</formula>
    </cfRule>
  </conditionalFormatting>
  <conditionalFormatting sqref="BS101:BU101">
    <cfRule type="cellIs" dxfId="4357" priority="2251" operator="greaterThanOrEqual">
      <formula>0.03</formula>
    </cfRule>
    <cfRule type="cellIs" dxfId="4356" priority="2252" operator="lessThanOrEqual">
      <formula>-0.03</formula>
    </cfRule>
  </conditionalFormatting>
  <conditionalFormatting sqref="BI95:BK95">
    <cfRule type="cellIs" dxfId="4355" priority="2233" operator="greaterThanOrEqual">
      <formula>0.03</formula>
    </cfRule>
    <cfRule type="cellIs" dxfId="4354" priority="2234" operator="lessThanOrEqual">
      <formula>-0.03</formula>
    </cfRule>
  </conditionalFormatting>
  <conditionalFormatting sqref="BS95:BU95">
    <cfRule type="cellIs" dxfId="4353" priority="2229" operator="greaterThanOrEqual">
      <formula>0.03</formula>
    </cfRule>
    <cfRule type="cellIs" dxfId="4352" priority="2230" operator="lessThanOrEqual">
      <formula>-0.03</formula>
    </cfRule>
  </conditionalFormatting>
  <conditionalFormatting sqref="CF95">
    <cfRule type="cellIs" dxfId="4351" priority="2227" operator="greaterThanOrEqual">
      <formula>0.03</formula>
    </cfRule>
    <cfRule type="cellIs" dxfId="4350" priority="2228" operator="lessThanOrEqual">
      <formula>-0.03</formula>
    </cfRule>
  </conditionalFormatting>
  <conditionalFormatting sqref="BN95:BP95">
    <cfRule type="cellIs" dxfId="4349" priority="2231" operator="greaterThanOrEqual">
      <formula>0.03</formula>
    </cfRule>
    <cfRule type="cellIs" dxfId="4348" priority="2232" operator="lessThanOrEqual">
      <formula>-0.03</formula>
    </cfRule>
  </conditionalFormatting>
  <conditionalFormatting sqref="BX95:BZ95">
    <cfRule type="cellIs" dxfId="4347" priority="2225" operator="greaterThanOrEqual">
      <formula>0.03</formula>
    </cfRule>
    <cfRule type="cellIs" dxfId="4346" priority="2226" operator="lessThanOrEqual">
      <formula>-0.03</formula>
    </cfRule>
  </conditionalFormatting>
  <conditionalFormatting sqref="CC95:CE95">
    <cfRule type="cellIs" dxfId="4345" priority="2221" operator="greaterThanOrEqual">
      <formula>0.03</formula>
    </cfRule>
    <cfRule type="cellIs" dxfId="4344" priority="2222" operator="lessThanOrEqual">
      <formula>-0.03</formula>
    </cfRule>
  </conditionalFormatting>
  <conditionalFormatting sqref="BQ95">
    <cfRule type="cellIs" dxfId="4343" priority="2219" operator="greaterThanOrEqual">
      <formula>0.03</formula>
    </cfRule>
    <cfRule type="cellIs" dxfId="4342" priority="2220" operator="lessThanOrEqual">
      <formula>-0.03</formula>
    </cfRule>
  </conditionalFormatting>
  <conditionalFormatting sqref="CA95">
    <cfRule type="cellIs" dxfId="4341" priority="2223" operator="greaterThanOrEqual">
      <formula>0.03</formula>
    </cfRule>
    <cfRule type="cellIs" dxfId="4340" priority="2224" operator="lessThanOrEqual">
      <formula>-0.03</formula>
    </cfRule>
  </conditionalFormatting>
  <conditionalFormatting sqref="BV95">
    <cfRule type="cellIs" dxfId="4339" priority="2217" operator="greaterThanOrEqual">
      <formula>0.03</formula>
    </cfRule>
    <cfRule type="cellIs" dxfId="4338" priority="2218" operator="lessThanOrEqual">
      <formula>-0.03</formula>
    </cfRule>
  </conditionalFormatting>
  <conditionalFormatting sqref="BG89">
    <cfRule type="cellIs" dxfId="4337" priority="2213" operator="greaterThanOrEqual">
      <formula>0.03</formula>
    </cfRule>
    <cfRule type="cellIs" dxfId="4336" priority="2214" operator="lessThanOrEqual">
      <formula>-0.03</formula>
    </cfRule>
  </conditionalFormatting>
  <conditionalFormatting sqref="BI89:BK89">
    <cfRule type="cellIs" dxfId="4335" priority="2211" operator="greaterThanOrEqual">
      <formula>0.03</formula>
    </cfRule>
    <cfRule type="cellIs" dxfId="4334" priority="2212" operator="lessThanOrEqual">
      <formula>-0.03</formula>
    </cfRule>
  </conditionalFormatting>
  <conditionalFormatting sqref="BL89">
    <cfRule type="cellIs" dxfId="4333" priority="2215" operator="greaterThanOrEqual">
      <formula>0.03</formula>
    </cfRule>
    <cfRule type="cellIs" dxfId="4332" priority="2216" operator="lessThanOrEqual">
      <formula>-0.03</formula>
    </cfRule>
  </conditionalFormatting>
  <conditionalFormatting sqref="BN89:BP89">
    <cfRule type="cellIs" dxfId="4331" priority="2209" operator="greaterThanOrEqual">
      <formula>0.03</formula>
    </cfRule>
    <cfRule type="cellIs" dxfId="4330" priority="2210" operator="lessThanOrEqual">
      <formula>-0.03</formula>
    </cfRule>
  </conditionalFormatting>
  <conditionalFormatting sqref="CF89">
    <cfRule type="cellIs" dxfId="4329" priority="2205" operator="greaterThanOrEqual">
      <formula>0.03</formula>
    </cfRule>
    <cfRule type="cellIs" dxfId="4328" priority="2206" operator="lessThanOrEqual">
      <formula>-0.03</formula>
    </cfRule>
  </conditionalFormatting>
  <conditionalFormatting sqref="CF83">
    <cfRule type="cellIs" dxfId="4327" priority="2183" operator="greaterThanOrEqual">
      <formula>0.03</formula>
    </cfRule>
    <cfRule type="cellIs" dxfId="4326" priority="2184" operator="lessThanOrEqual">
      <formula>-0.03</formula>
    </cfRule>
  </conditionalFormatting>
  <conditionalFormatting sqref="BI83:BK83">
    <cfRule type="cellIs" dxfId="4325" priority="2189" operator="greaterThanOrEqual">
      <formula>0.03</formula>
    </cfRule>
    <cfRule type="cellIs" dxfId="4324" priority="2190" operator="lessThanOrEqual">
      <formula>-0.03</formula>
    </cfRule>
  </conditionalFormatting>
  <conditionalFormatting sqref="CA89">
    <cfRule type="cellIs" dxfId="4323" priority="2201" operator="greaterThanOrEqual">
      <formula>0.03</formula>
    </cfRule>
    <cfRule type="cellIs" dxfId="4322" priority="2202" operator="lessThanOrEqual">
      <formula>-0.03</formula>
    </cfRule>
  </conditionalFormatting>
  <conditionalFormatting sqref="BQ89">
    <cfRule type="cellIs" dxfId="4321" priority="2197" operator="greaterThanOrEqual">
      <formula>0.03</formula>
    </cfRule>
    <cfRule type="cellIs" dxfId="4320" priority="2198" operator="lessThanOrEqual">
      <formula>-0.03</formula>
    </cfRule>
  </conditionalFormatting>
  <conditionalFormatting sqref="BV89">
    <cfRule type="cellIs" dxfId="4319" priority="2195" operator="greaterThanOrEqual">
      <formula>0.03</formula>
    </cfRule>
    <cfRule type="cellIs" dxfId="4318" priority="2196" operator="lessThanOrEqual">
      <formula>-0.03</formula>
    </cfRule>
  </conditionalFormatting>
  <conditionalFormatting sqref="CC89:CE89">
    <cfRule type="cellIs" dxfId="4317" priority="2199" operator="greaterThanOrEqual">
      <formula>0.03</formula>
    </cfRule>
    <cfRule type="cellIs" dxfId="4316" priority="2200" operator="lessThanOrEqual">
      <formula>-0.03</formula>
    </cfRule>
  </conditionalFormatting>
  <conditionalFormatting sqref="BL83">
    <cfRule type="cellIs" dxfId="4315" priority="2193" operator="greaterThanOrEqual">
      <formula>0.03</formula>
    </cfRule>
    <cfRule type="cellIs" dxfId="4314" priority="2194" operator="lessThanOrEqual">
      <formula>-0.03</formula>
    </cfRule>
  </conditionalFormatting>
  <conditionalFormatting sqref="BG83">
    <cfRule type="cellIs" dxfId="4313" priority="2191" operator="greaterThanOrEqual">
      <formula>0.03</formula>
    </cfRule>
    <cfRule type="cellIs" dxfId="4312" priority="2192" operator="lessThanOrEqual">
      <formula>-0.03</formula>
    </cfRule>
  </conditionalFormatting>
  <conditionalFormatting sqref="BS83:BU83">
    <cfRule type="cellIs" dxfId="4311" priority="2185" operator="greaterThanOrEqual">
      <formula>0.03</formula>
    </cfRule>
    <cfRule type="cellIs" dxfId="4310" priority="2186" operator="lessThanOrEqual">
      <formula>-0.03</formula>
    </cfRule>
  </conditionalFormatting>
  <conditionalFormatting sqref="BN83:BP83">
    <cfRule type="cellIs" dxfId="4309" priority="2187" operator="greaterThanOrEqual">
      <formula>0.03</formula>
    </cfRule>
    <cfRule type="cellIs" dxfId="4308" priority="2188" operator="lessThanOrEqual">
      <formula>-0.03</formula>
    </cfRule>
  </conditionalFormatting>
  <conditionalFormatting sqref="BX83:BZ83">
    <cfRule type="cellIs" dxfId="4307" priority="2181" operator="greaterThanOrEqual">
      <formula>0.03</formula>
    </cfRule>
    <cfRule type="cellIs" dxfId="4306" priority="2182" operator="lessThanOrEqual">
      <formula>-0.03</formula>
    </cfRule>
  </conditionalFormatting>
  <conditionalFormatting sqref="CA83">
    <cfRule type="cellIs" dxfId="4305" priority="2179" operator="greaterThanOrEqual">
      <formula>0.03</formula>
    </cfRule>
    <cfRule type="cellIs" dxfId="4304" priority="2180" operator="lessThanOrEqual">
      <formula>-0.03</formula>
    </cfRule>
  </conditionalFormatting>
  <conditionalFormatting sqref="BQ83">
    <cfRule type="cellIs" dxfId="4303" priority="2175" operator="greaterThanOrEqual">
      <formula>0.03</formula>
    </cfRule>
    <cfRule type="cellIs" dxfId="4302" priority="2176" operator="lessThanOrEqual">
      <formula>-0.03</formula>
    </cfRule>
  </conditionalFormatting>
  <conditionalFormatting sqref="BX107:BZ107">
    <cfRule type="cellIs" dxfId="4301" priority="2313" operator="greaterThanOrEqual">
      <formula>0.03</formula>
    </cfRule>
    <cfRule type="cellIs" dxfId="4300" priority="2314" operator="lessThanOrEqual">
      <formula>-0.03</formula>
    </cfRule>
  </conditionalFormatting>
  <conditionalFormatting sqref="CA107">
    <cfRule type="cellIs" dxfId="4299" priority="2311" operator="greaterThanOrEqual">
      <formula>0.03</formula>
    </cfRule>
    <cfRule type="cellIs" dxfId="4298" priority="2312" operator="lessThanOrEqual">
      <formula>-0.03</formula>
    </cfRule>
  </conditionalFormatting>
  <conditionalFormatting sqref="CC107:CE107">
    <cfRule type="cellIs" dxfId="4297" priority="2309" operator="greaterThanOrEqual">
      <formula>0.03</formula>
    </cfRule>
    <cfRule type="cellIs" dxfId="4296" priority="2310" operator="lessThanOrEqual">
      <formula>-0.03</formula>
    </cfRule>
  </conditionalFormatting>
  <conditionalFormatting sqref="BL132:BL136">
    <cfRule type="cellIs" dxfId="4295" priority="1929" operator="greaterThanOrEqual">
      <formula>0.03</formula>
    </cfRule>
    <cfRule type="cellIs" dxfId="4294" priority="1930" operator="lessThanOrEqual">
      <formula>-0.03</formula>
    </cfRule>
  </conditionalFormatting>
  <conditionalFormatting sqref="BV114:BV118">
    <cfRule type="cellIs" dxfId="4293" priority="1877" operator="greaterThanOrEqual">
      <formula>0.03</formula>
    </cfRule>
    <cfRule type="cellIs" dxfId="4292" priority="1878" operator="lessThanOrEqual">
      <formula>-0.03</formula>
    </cfRule>
  </conditionalFormatting>
  <conditionalFormatting sqref="BD113:BF113">
    <cfRule type="cellIs" dxfId="4291" priority="2031" operator="greaterThanOrEqual">
      <formula>0.03</formula>
    </cfRule>
    <cfRule type="cellIs" dxfId="4290" priority="2032" operator="lessThanOrEqual">
      <formula>-0.03</formula>
    </cfRule>
  </conditionalFormatting>
  <conditionalFormatting sqref="BG113">
    <cfRule type="cellIs" dxfId="4289" priority="1983" operator="greaterThanOrEqual">
      <formula>0.03</formula>
    </cfRule>
    <cfRule type="cellIs" dxfId="4288" priority="1984" operator="lessThanOrEqual">
      <formula>-0.03</formula>
    </cfRule>
  </conditionalFormatting>
  <conditionalFormatting sqref="BD120:BF124">
    <cfRule type="cellIs" dxfId="4287" priority="1981" operator="greaterThanOrEqual">
      <formula>0.03</formula>
    </cfRule>
    <cfRule type="cellIs" dxfId="4286" priority="1982" operator="lessThanOrEqual">
      <formula>-0.03</formula>
    </cfRule>
  </conditionalFormatting>
  <conditionalFormatting sqref="BL101">
    <cfRule type="cellIs" dxfId="4285" priority="2259" operator="greaterThanOrEqual">
      <formula>0.03</formula>
    </cfRule>
    <cfRule type="cellIs" dxfId="4284" priority="2260" operator="lessThanOrEqual">
      <formula>-0.03</formula>
    </cfRule>
  </conditionalFormatting>
  <conditionalFormatting sqref="BI101:BK101">
    <cfRule type="cellIs" dxfId="4283" priority="2255" operator="greaterThanOrEqual">
      <formula>0.03</formula>
    </cfRule>
    <cfRule type="cellIs" dxfId="4282" priority="2256" operator="lessThanOrEqual">
      <formula>-0.03</formula>
    </cfRule>
  </conditionalFormatting>
  <conditionalFormatting sqref="BS89:BU89">
    <cfRule type="cellIs" dxfId="4281" priority="2207" operator="greaterThanOrEqual">
      <formula>0.03</formula>
    </cfRule>
    <cfRule type="cellIs" dxfId="4280" priority="2208" operator="lessThanOrEqual">
      <formula>-0.03</formula>
    </cfRule>
  </conditionalFormatting>
  <conditionalFormatting sqref="BX89:BZ89">
    <cfRule type="cellIs" dxfId="4279" priority="2203" operator="greaterThanOrEqual">
      <formula>0.03</formula>
    </cfRule>
    <cfRule type="cellIs" dxfId="4278" priority="2204" operator="lessThanOrEqual">
      <formula>-0.03</formula>
    </cfRule>
  </conditionalFormatting>
  <conditionalFormatting sqref="BI132:BK136">
    <cfRule type="cellIs" dxfId="4277" priority="1933" operator="greaterThanOrEqual">
      <formula>0.03</formula>
    </cfRule>
    <cfRule type="cellIs" dxfId="4276" priority="1934" operator="lessThanOrEqual">
      <formula>-0.03</formula>
    </cfRule>
  </conditionalFormatting>
  <conditionalFormatting sqref="AH131:AH136">
    <cfRule type="cellIs" dxfId="4275" priority="1989" operator="greaterThanOrEqual">
      <formula>0.03</formula>
    </cfRule>
    <cfRule type="cellIs" dxfId="4274" priority="1990" operator="lessThanOrEqual">
      <formula>-0.03</formula>
    </cfRule>
  </conditionalFormatting>
  <conditionalFormatting sqref="BL126:BL130">
    <cfRule type="cellIs" dxfId="4273" priority="1937" operator="greaterThanOrEqual">
      <formula>0.03</formula>
    </cfRule>
    <cfRule type="cellIs" dxfId="4272" priority="1938" operator="lessThanOrEqual">
      <formula>-0.03</formula>
    </cfRule>
  </conditionalFormatting>
  <conditionalFormatting sqref="BL113">
    <cfRule type="cellIs" dxfId="4271" priority="1951" operator="greaterThanOrEqual">
      <formula>0.03</formula>
    </cfRule>
    <cfRule type="cellIs" dxfId="4270" priority="1952" operator="lessThanOrEqual">
      <formula>-0.03</formula>
    </cfRule>
  </conditionalFormatting>
  <conditionalFormatting sqref="CC120:CE124">
    <cfRule type="cellIs" dxfId="4269" priority="1819" operator="greaterThanOrEqual">
      <formula>0.03</formula>
    </cfRule>
    <cfRule type="cellIs" dxfId="4268" priority="1820" operator="lessThanOrEqual">
      <formula>-0.03</formula>
    </cfRule>
  </conditionalFormatting>
  <conditionalFormatting sqref="BG120:BG124">
    <cfRule type="cellIs" dxfId="4267" priority="1977" operator="greaterThanOrEqual">
      <formula>0.03</formula>
    </cfRule>
    <cfRule type="cellIs" dxfId="4266" priority="1978" operator="lessThanOrEqual">
      <formula>-0.03</formula>
    </cfRule>
  </conditionalFormatting>
  <conditionalFormatting sqref="BD132:BF136">
    <cfRule type="cellIs" dxfId="4265" priority="1965" operator="greaterThanOrEqual">
      <formula>0.03</formula>
    </cfRule>
    <cfRule type="cellIs" dxfId="4264" priority="1966" operator="lessThanOrEqual">
      <formula>-0.03</formula>
    </cfRule>
  </conditionalFormatting>
  <conditionalFormatting sqref="CA114:CA118">
    <cfRule type="cellIs" dxfId="4263" priority="1827" operator="greaterThanOrEqual">
      <formula>0.03</formula>
    </cfRule>
    <cfRule type="cellIs" dxfId="4262" priority="1828" operator="lessThanOrEqual">
      <formula>-0.03</formula>
    </cfRule>
  </conditionalFormatting>
  <conditionalFormatting sqref="AH113:AH130">
    <cfRule type="cellIs" dxfId="4261" priority="1991" operator="greaterThanOrEqual">
      <formula>0.03</formula>
    </cfRule>
    <cfRule type="cellIs" dxfId="4260" priority="1992" operator="lessThanOrEqual">
      <formula>-0.03</formula>
    </cfRule>
  </conditionalFormatting>
  <conditionalFormatting sqref="BI113:BK113">
    <cfRule type="cellIs" dxfId="4259" priority="2033" operator="greaterThanOrEqual">
      <formula>0.03</formula>
    </cfRule>
    <cfRule type="cellIs" dxfId="4258" priority="2034" operator="lessThanOrEqual">
      <formula>-0.03</formula>
    </cfRule>
  </conditionalFormatting>
  <conditionalFormatting sqref="BL114:BL118">
    <cfRule type="cellIs" dxfId="4257" priority="1953" operator="greaterThanOrEqual">
      <formula>0.03</formula>
    </cfRule>
    <cfRule type="cellIs" dxfId="4256" priority="1954" operator="lessThanOrEqual">
      <formula>-0.03</formula>
    </cfRule>
  </conditionalFormatting>
  <conditionalFormatting sqref="BI120:BK124">
    <cfRule type="cellIs" dxfId="4255" priority="1949" operator="greaterThanOrEqual">
      <formula>0.03</formula>
    </cfRule>
    <cfRule type="cellIs" dxfId="4254" priority="1950" operator="lessThanOrEqual">
      <formula>-0.03</formula>
    </cfRule>
  </conditionalFormatting>
  <conditionalFormatting sqref="BD126:BF130">
    <cfRule type="cellIs" dxfId="4253" priority="1973" operator="greaterThanOrEqual">
      <formula>0.03</formula>
    </cfRule>
    <cfRule type="cellIs" dxfId="4252" priority="1974" operator="lessThanOrEqual">
      <formula>-0.03</formula>
    </cfRule>
  </conditionalFormatting>
  <conditionalFormatting sqref="BG114:BG118">
    <cfRule type="cellIs" dxfId="4251" priority="1985" operator="greaterThanOrEqual">
      <formula>0.03</formula>
    </cfRule>
    <cfRule type="cellIs" dxfId="4250" priority="1986" operator="lessThanOrEqual">
      <formula>-0.03</formula>
    </cfRule>
  </conditionalFormatting>
  <conditionalFormatting sqref="BG126:BG130">
    <cfRule type="cellIs" dxfId="4249" priority="1969" operator="greaterThanOrEqual">
      <formula>0.03</formula>
    </cfRule>
    <cfRule type="cellIs" dxfId="4248" priority="1970" operator="lessThanOrEqual">
      <formula>-0.03</formula>
    </cfRule>
  </conditionalFormatting>
  <conditionalFormatting sqref="BG132:BG136">
    <cfRule type="cellIs" dxfId="4247" priority="1961" operator="greaterThanOrEqual">
      <formula>0.03</formula>
    </cfRule>
    <cfRule type="cellIs" dxfId="4246" priority="1962" operator="lessThanOrEqual">
      <formula>-0.03</formula>
    </cfRule>
  </conditionalFormatting>
  <conditionalFormatting sqref="BL120:BL124">
    <cfRule type="cellIs" dxfId="4245" priority="1945" operator="greaterThanOrEqual">
      <formula>0.03</formula>
    </cfRule>
    <cfRule type="cellIs" dxfId="4244" priority="1946" operator="lessThanOrEqual">
      <formula>-0.03</formula>
    </cfRule>
  </conditionalFormatting>
  <conditionalFormatting sqref="BI126:BK130">
    <cfRule type="cellIs" dxfId="4243" priority="1941" operator="greaterThanOrEqual">
      <formula>0.03</formula>
    </cfRule>
    <cfRule type="cellIs" dxfId="4242" priority="1942" operator="lessThanOrEqual">
      <formula>-0.03</formula>
    </cfRule>
  </conditionalFormatting>
  <conditionalFormatting sqref="BQ126:BQ130">
    <cfRule type="cellIs" dxfId="4241" priority="1901" operator="greaterThanOrEqual">
      <formula>0.03</formula>
    </cfRule>
    <cfRule type="cellIs" dxfId="4240" priority="1902" operator="lessThanOrEqual">
      <formula>-0.03</formula>
    </cfRule>
  </conditionalFormatting>
  <conditionalFormatting sqref="CA126:CA130">
    <cfRule type="cellIs" dxfId="4239" priority="1795" operator="greaterThanOrEqual">
      <formula>0.03</formula>
    </cfRule>
    <cfRule type="cellIs" dxfId="4238" priority="1796" operator="lessThanOrEqual">
      <formula>-0.03</formula>
    </cfRule>
  </conditionalFormatting>
  <conditionalFormatting sqref="BN120:BP124">
    <cfRule type="cellIs" dxfId="4237" priority="1913" operator="greaterThanOrEqual">
      <formula>0.03</formula>
    </cfRule>
    <cfRule type="cellIs" dxfId="4236" priority="1914" operator="lessThanOrEqual">
      <formula>-0.03</formula>
    </cfRule>
  </conditionalFormatting>
  <conditionalFormatting sqref="CF119">
    <cfRule type="cellIs" dxfId="4235" priority="1805" operator="greaterThanOrEqual">
      <formula>0.03</formula>
    </cfRule>
    <cfRule type="cellIs" dxfId="4234" priority="1806" operator="lessThanOrEqual">
      <formula>-0.03</formula>
    </cfRule>
  </conditionalFormatting>
  <conditionalFormatting sqref="BQ120:BQ124">
    <cfRule type="cellIs" dxfId="4233" priority="1909" operator="greaterThanOrEqual">
      <formula>0.03</formula>
    </cfRule>
    <cfRule type="cellIs" dxfId="4232" priority="1910" operator="lessThanOrEqual">
      <formula>-0.03</formula>
    </cfRule>
  </conditionalFormatting>
  <conditionalFormatting sqref="BN126:BP130">
    <cfRule type="cellIs" dxfId="4231" priority="1905" operator="greaterThanOrEqual">
      <formula>0.03</formula>
    </cfRule>
    <cfRule type="cellIs" dxfId="4230" priority="1906" operator="lessThanOrEqual">
      <formula>-0.03</formula>
    </cfRule>
  </conditionalFormatting>
  <conditionalFormatting sqref="BN132:BP136">
    <cfRule type="cellIs" dxfId="4229" priority="1897" operator="greaterThanOrEqual">
      <formula>0.03</formula>
    </cfRule>
    <cfRule type="cellIs" dxfId="4228" priority="1898" operator="lessThanOrEqual">
      <formula>-0.03</formula>
    </cfRule>
  </conditionalFormatting>
  <conditionalFormatting sqref="BQ132:BQ136">
    <cfRule type="cellIs" dxfId="4227" priority="1893" operator="greaterThanOrEqual">
      <formula>0.03</formula>
    </cfRule>
    <cfRule type="cellIs" dxfId="4226" priority="1894" operator="lessThanOrEqual">
      <formula>-0.03</formula>
    </cfRule>
  </conditionalFormatting>
  <conditionalFormatting sqref="BS114:BU118">
    <cfRule type="cellIs" dxfId="4225" priority="1889" operator="greaterThanOrEqual">
      <formula>0.03</formula>
    </cfRule>
    <cfRule type="cellIs" dxfId="4224" priority="1890" operator="lessThanOrEqual">
      <formula>-0.03</formula>
    </cfRule>
  </conditionalFormatting>
  <conditionalFormatting sqref="BN114:BP118">
    <cfRule type="cellIs" dxfId="4223" priority="1887" operator="greaterThanOrEqual">
      <formula>0.03</formula>
    </cfRule>
    <cfRule type="cellIs" dxfId="4222" priority="1888" operator="lessThanOrEqual">
      <formula>-0.03</formula>
    </cfRule>
  </conditionalFormatting>
  <conditionalFormatting sqref="BQ114:BQ118">
    <cfRule type="cellIs" dxfId="4221" priority="1881" operator="greaterThanOrEqual">
      <formula>0.03</formula>
    </cfRule>
    <cfRule type="cellIs" dxfId="4220" priority="1882" operator="lessThanOrEqual">
      <formula>-0.03</formula>
    </cfRule>
  </conditionalFormatting>
  <conditionalFormatting sqref="BV113">
    <cfRule type="cellIs" dxfId="4219" priority="1875" operator="greaterThanOrEqual">
      <formula>0.03</formula>
    </cfRule>
    <cfRule type="cellIs" dxfId="4218" priority="1876" operator="lessThanOrEqual">
      <formula>-0.03</formula>
    </cfRule>
  </conditionalFormatting>
  <conditionalFormatting sqref="BS120:BU124">
    <cfRule type="cellIs" dxfId="4217" priority="1867" operator="greaterThanOrEqual">
      <formula>0.03</formula>
    </cfRule>
    <cfRule type="cellIs" dxfId="4216" priority="1868" operator="lessThanOrEqual">
      <formula>-0.03</formula>
    </cfRule>
  </conditionalFormatting>
  <conditionalFormatting sqref="BV120:BV124">
    <cfRule type="cellIs" dxfId="4215" priority="1863" operator="greaterThanOrEqual">
      <formula>0.03</formula>
    </cfRule>
    <cfRule type="cellIs" dxfId="4214" priority="1864" operator="lessThanOrEqual">
      <formula>-0.03</formula>
    </cfRule>
  </conditionalFormatting>
  <conditionalFormatting sqref="BS126:BU130">
    <cfRule type="cellIs" dxfId="4213" priority="1859" operator="greaterThanOrEqual">
      <formula>0.03</formula>
    </cfRule>
    <cfRule type="cellIs" dxfId="4212" priority="1860" operator="lessThanOrEqual">
      <formula>-0.03</formula>
    </cfRule>
  </conditionalFormatting>
  <conditionalFormatting sqref="BV126:BV130">
    <cfRule type="cellIs" dxfId="4211" priority="1855" operator="greaterThanOrEqual">
      <formula>0.03</formula>
    </cfRule>
    <cfRule type="cellIs" dxfId="4210" priority="1856" operator="lessThanOrEqual">
      <formula>-0.03</formula>
    </cfRule>
  </conditionalFormatting>
  <conditionalFormatting sqref="BS132:BU136">
    <cfRule type="cellIs" dxfId="4209" priority="1851" operator="greaterThanOrEqual">
      <formula>0.03</formula>
    </cfRule>
    <cfRule type="cellIs" dxfId="4208" priority="1852" operator="lessThanOrEqual">
      <formula>-0.03</formula>
    </cfRule>
  </conditionalFormatting>
  <conditionalFormatting sqref="BV132:BV136">
    <cfRule type="cellIs" dxfId="4207" priority="1847" operator="greaterThanOrEqual">
      <formula>0.03</formula>
    </cfRule>
    <cfRule type="cellIs" dxfId="4206" priority="1848" operator="lessThanOrEqual">
      <formula>-0.03</formula>
    </cfRule>
  </conditionalFormatting>
  <conditionalFormatting sqref="CA113">
    <cfRule type="cellIs" dxfId="4205" priority="1757" operator="greaterThanOrEqual">
      <formula>0.03</formula>
    </cfRule>
    <cfRule type="cellIs" dxfId="4204" priority="1758" operator="lessThanOrEqual">
      <formula>-0.03</formula>
    </cfRule>
  </conditionalFormatting>
  <conditionalFormatting sqref="BX120:BZ124">
    <cfRule type="cellIs" dxfId="4203" priority="1817" operator="greaterThanOrEqual">
      <formula>0.03</formula>
    </cfRule>
    <cfRule type="cellIs" dxfId="4202" priority="1818" operator="lessThanOrEqual">
      <formula>-0.03</formula>
    </cfRule>
  </conditionalFormatting>
  <conditionalFormatting sqref="CC114:CE118">
    <cfRule type="cellIs" dxfId="4201" priority="1835" operator="greaterThanOrEqual">
      <formula>0.03</formula>
    </cfRule>
    <cfRule type="cellIs" dxfId="4200" priority="1836" operator="lessThanOrEqual">
      <formula>-0.03</formula>
    </cfRule>
  </conditionalFormatting>
  <conditionalFormatting sqref="BX114:BZ118">
    <cfRule type="cellIs" dxfId="4199" priority="1833" operator="greaterThanOrEqual">
      <formula>0.03</formula>
    </cfRule>
    <cfRule type="cellIs" dxfId="4198" priority="1834" operator="lessThanOrEqual">
      <formula>-0.03</formula>
    </cfRule>
  </conditionalFormatting>
  <conditionalFormatting sqref="CF114:CF118">
    <cfRule type="cellIs" dxfId="4197" priority="1823" operator="greaterThanOrEqual">
      <formula>0.03</formula>
    </cfRule>
    <cfRule type="cellIs" dxfId="4196" priority="1824" operator="lessThanOrEqual">
      <formula>-0.03</formula>
    </cfRule>
  </conditionalFormatting>
  <conditionalFormatting sqref="CF113">
    <cfRule type="cellIs" dxfId="4195" priority="1821" operator="greaterThanOrEqual">
      <formula>0.03</formula>
    </cfRule>
    <cfRule type="cellIs" dxfId="4194" priority="1822" operator="lessThanOrEqual">
      <formula>-0.03</formula>
    </cfRule>
  </conditionalFormatting>
  <conditionalFormatting sqref="CA120:CA124">
    <cfRule type="cellIs" dxfId="4193" priority="1811" operator="greaterThanOrEqual">
      <formula>0.03</formula>
    </cfRule>
    <cfRule type="cellIs" dxfId="4192" priority="1812" operator="lessThanOrEqual">
      <formula>-0.03</formula>
    </cfRule>
  </conditionalFormatting>
  <conditionalFormatting sqref="CF120:CF124">
    <cfRule type="cellIs" dxfId="4191" priority="1807" operator="greaterThanOrEqual">
      <formula>0.03</formula>
    </cfRule>
    <cfRule type="cellIs" dxfId="4190" priority="1808" operator="lessThanOrEqual">
      <formula>-0.03</formula>
    </cfRule>
  </conditionalFormatting>
  <conditionalFormatting sqref="CC126:CE130">
    <cfRule type="cellIs" dxfId="4189" priority="1803" operator="greaterThanOrEqual">
      <formula>0.03</formula>
    </cfRule>
    <cfRule type="cellIs" dxfId="4188" priority="1804" operator="lessThanOrEqual">
      <formula>-0.03</formula>
    </cfRule>
  </conditionalFormatting>
  <conditionalFormatting sqref="BX126:BZ130">
    <cfRule type="cellIs" dxfId="4187" priority="1801" operator="greaterThanOrEqual">
      <formula>0.03</formula>
    </cfRule>
    <cfRule type="cellIs" dxfId="4186" priority="1802" operator="lessThanOrEqual">
      <formula>-0.03</formula>
    </cfRule>
  </conditionalFormatting>
  <conditionalFormatting sqref="CF126:CF130">
    <cfRule type="cellIs" dxfId="4185" priority="1791" operator="greaterThanOrEqual">
      <formula>0.03</formula>
    </cfRule>
    <cfRule type="cellIs" dxfId="4184" priority="1792" operator="lessThanOrEqual">
      <formula>-0.03</formula>
    </cfRule>
  </conditionalFormatting>
  <conditionalFormatting sqref="CF125">
    <cfRule type="cellIs" dxfId="4183" priority="1789" operator="greaterThanOrEqual">
      <formula>0.03</formula>
    </cfRule>
    <cfRule type="cellIs" dxfId="4182" priority="1790" operator="lessThanOrEqual">
      <formula>-0.03</formula>
    </cfRule>
  </conditionalFormatting>
  <conditionalFormatting sqref="CC132:CE136">
    <cfRule type="cellIs" dxfId="4181" priority="1787" operator="greaterThanOrEqual">
      <formula>0.03</formula>
    </cfRule>
    <cfRule type="cellIs" dxfId="4180" priority="1788" operator="lessThanOrEqual">
      <formula>-0.03</formula>
    </cfRule>
  </conditionalFormatting>
  <conditionalFormatting sqref="BX132:BZ136">
    <cfRule type="cellIs" dxfId="4179" priority="1785" operator="greaterThanOrEqual">
      <formula>0.03</formula>
    </cfRule>
    <cfRule type="cellIs" dxfId="4178" priority="1786" operator="lessThanOrEqual">
      <formula>-0.03</formula>
    </cfRule>
  </conditionalFormatting>
  <conditionalFormatting sqref="CA132:CA136">
    <cfRule type="cellIs" dxfId="4177" priority="1779" operator="greaterThanOrEqual">
      <formula>0.03</formula>
    </cfRule>
    <cfRule type="cellIs" dxfId="4176" priority="1780" operator="lessThanOrEqual">
      <formula>-0.03</formula>
    </cfRule>
  </conditionalFormatting>
  <conditionalFormatting sqref="CF132:CF136">
    <cfRule type="cellIs" dxfId="4175" priority="1775" operator="greaterThanOrEqual">
      <formula>0.03</formula>
    </cfRule>
    <cfRule type="cellIs" dxfId="4174" priority="1776" operator="lessThanOrEqual">
      <formula>-0.03</formula>
    </cfRule>
  </conditionalFormatting>
  <conditionalFormatting sqref="CF131">
    <cfRule type="cellIs" dxfId="4173" priority="1773" operator="greaterThanOrEqual">
      <formula>0.03</formula>
    </cfRule>
    <cfRule type="cellIs" dxfId="4172" priority="1774" operator="lessThanOrEqual">
      <formula>-0.03</formula>
    </cfRule>
  </conditionalFormatting>
  <conditionalFormatting sqref="BX113:BZ113">
    <cfRule type="cellIs" dxfId="4171" priority="1759" operator="greaterThanOrEqual">
      <formula>0.03</formula>
    </cfRule>
    <cfRule type="cellIs" dxfId="4170" priority="1760" operator="lessThanOrEqual">
      <formula>-0.03</formula>
    </cfRule>
  </conditionalFormatting>
  <conditionalFormatting sqref="BN113:BP113">
    <cfRule type="cellIs" dxfId="4169" priority="1765" operator="greaterThanOrEqual">
      <formula>0.03</formula>
    </cfRule>
    <cfRule type="cellIs" dxfId="4168" priority="1766" operator="lessThanOrEqual">
      <formula>-0.03</formula>
    </cfRule>
  </conditionalFormatting>
  <conditionalFormatting sqref="BQ113">
    <cfRule type="cellIs" dxfId="4167" priority="1763" operator="greaterThanOrEqual">
      <formula>0.03</formula>
    </cfRule>
    <cfRule type="cellIs" dxfId="4166" priority="1764" operator="lessThanOrEqual">
      <formula>-0.03</formula>
    </cfRule>
  </conditionalFormatting>
  <conditionalFormatting sqref="BS113:BU113">
    <cfRule type="cellIs" dxfId="4165" priority="1767" operator="greaterThanOrEqual">
      <formula>0.03</formula>
    </cfRule>
    <cfRule type="cellIs" dxfId="4164" priority="1768" operator="lessThanOrEqual">
      <formula>-0.03</formula>
    </cfRule>
  </conditionalFormatting>
  <conditionalFormatting sqref="CC113:CE113">
    <cfRule type="cellIs" dxfId="4163" priority="1761" operator="greaterThanOrEqual">
      <formula>0.03</formula>
    </cfRule>
    <cfRule type="cellIs" dxfId="4162" priority="1762" operator="lessThanOrEqual">
      <formula>-0.03</formula>
    </cfRule>
  </conditionalFormatting>
  <conditionalFormatting sqref="BD119:BF119">
    <cfRule type="cellIs" dxfId="4161" priority="1687" operator="greaterThanOrEqual">
      <formula>0.03</formula>
    </cfRule>
    <cfRule type="cellIs" dxfId="4160" priority="1688" operator="lessThanOrEqual">
      <formula>-0.03</formula>
    </cfRule>
  </conditionalFormatting>
  <conditionalFormatting sqref="BG119">
    <cfRule type="cellIs" dxfId="4159" priority="1685" operator="greaterThanOrEqual">
      <formula>0.03</formula>
    </cfRule>
    <cfRule type="cellIs" dxfId="4158" priority="1686" operator="lessThanOrEqual">
      <formula>-0.03</formula>
    </cfRule>
  </conditionalFormatting>
  <conditionalFormatting sqref="BL119">
    <cfRule type="cellIs" dxfId="4157" priority="1683" operator="greaterThanOrEqual">
      <formula>0.03</formula>
    </cfRule>
    <cfRule type="cellIs" dxfId="4156" priority="1684" operator="lessThanOrEqual">
      <formula>-0.03</formula>
    </cfRule>
  </conditionalFormatting>
  <conditionalFormatting sqref="BI119:BK119">
    <cfRule type="cellIs" dxfId="4155" priority="1689" operator="greaterThanOrEqual">
      <formula>0.03</formula>
    </cfRule>
    <cfRule type="cellIs" dxfId="4154" priority="1690" operator="lessThanOrEqual">
      <formula>-0.03</formula>
    </cfRule>
  </conditionalFormatting>
  <conditionalFormatting sqref="BV119">
    <cfRule type="cellIs" dxfId="4153" priority="1681" operator="greaterThanOrEqual">
      <formula>0.03</formula>
    </cfRule>
    <cfRule type="cellIs" dxfId="4152" priority="1682" operator="lessThanOrEqual">
      <formula>-0.03</formula>
    </cfRule>
  </conditionalFormatting>
  <conditionalFormatting sqref="BN119:BP119">
    <cfRule type="cellIs" dxfId="4151" priority="1677" operator="greaterThanOrEqual">
      <formula>0.03</formula>
    </cfRule>
    <cfRule type="cellIs" dxfId="4150" priority="1678" operator="lessThanOrEqual">
      <formula>-0.03</formula>
    </cfRule>
  </conditionalFormatting>
  <conditionalFormatting sqref="BQ119">
    <cfRule type="cellIs" dxfId="4149" priority="1675" operator="greaterThanOrEqual">
      <formula>0.03</formula>
    </cfRule>
    <cfRule type="cellIs" dxfId="4148" priority="1676" operator="lessThanOrEqual">
      <formula>-0.03</formula>
    </cfRule>
  </conditionalFormatting>
  <conditionalFormatting sqref="BS119:BU119">
    <cfRule type="cellIs" dxfId="4147" priority="1679" operator="greaterThanOrEqual">
      <formula>0.03</formula>
    </cfRule>
    <cfRule type="cellIs" dxfId="4146" priority="1680" operator="lessThanOrEqual">
      <formula>-0.03</formula>
    </cfRule>
  </conditionalFormatting>
  <conditionalFormatting sqref="BX119:BZ119">
    <cfRule type="cellIs" dxfId="4145" priority="1671" operator="greaterThanOrEqual">
      <formula>0.03</formula>
    </cfRule>
    <cfRule type="cellIs" dxfId="4144" priority="1672" operator="lessThanOrEqual">
      <formula>-0.03</formula>
    </cfRule>
  </conditionalFormatting>
  <conditionalFormatting sqref="CA119">
    <cfRule type="cellIs" dxfId="4143" priority="1669" operator="greaterThanOrEqual">
      <formula>0.03</formula>
    </cfRule>
    <cfRule type="cellIs" dxfId="4142" priority="1670" operator="lessThanOrEqual">
      <formula>-0.03</formula>
    </cfRule>
  </conditionalFormatting>
  <conditionalFormatting sqref="CC119:CE119">
    <cfRule type="cellIs" dxfId="4141" priority="1673" operator="greaterThanOrEqual">
      <formula>0.03</formula>
    </cfRule>
    <cfRule type="cellIs" dxfId="4140" priority="1674" operator="lessThanOrEqual">
      <formula>-0.03</formula>
    </cfRule>
  </conditionalFormatting>
  <conditionalFormatting sqref="BD125:BF125">
    <cfRule type="cellIs" dxfId="4139" priority="1665" operator="greaterThanOrEqual">
      <formula>0.03</formula>
    </cfRule>
    <cfRule type="cellIs" dxfId="4138" priority="1666" operator="lessThanOrEqual">
      <formula>-0.03</formula>
    </cfRule>
  </conditionalFormatting>
  <conditionalFormatting sqref="BG125">
    <cfRule type="cellIs" dxfId="4137" priority="1663" operator="greaterThanOrEqual">
      <formula>0.03</formula>
    </cfRule>
    <cfRule type="cellIs" dxfId="4136" priority="1664" operator="lessThanOrEqual">
      <formula>-0.03</formula>
    </cfRule>
  </conditionalFormatting>
  <conditionalFormatting sqref="BL125">
    <cfRule type="cellIs" dxfId="4135" priority="1661" operator="greaterThanOrEqual">
      <formula>0.03</formula>
    </cfRule>
    <cfRule type="cellIs" dxfId="4134" priority="1662" operator="lessThanOrEqual">
      <formula>-0.03</formula>
    </cfRule>
  </conditionalFormatting>
  <conditionalFormatting sqref="BI125:BK125">
    <cfRule type="cellIs" dxfId="4133" priority="1667" operator="greaterThanOrEqual">
      <formula>0.03</formula>
    </cfRule>
    <cfRule type="cellIs" dxfId="4132" priority="1668" operator="lessThanOrEqual">
      <formula>-0.03</formula>
    </cfRule>
  </conditionalFormatting>
  <conditionalFormatting sqref="BV125">
    <cfRule type="cellIs" dxfId="4131" priority="1659" operator="greaterThanOrEqual">
      <formula>0.03</formula>
    </cfRule>
    <cfRule type="cellIs" dxfId="4130" priority="1660" operator="lessThanOrEqual">
      <formula>-0.03</formula>
    </cfRule>
  </conditionalFormatting>
  <conditionalFormatting sqref="BN125:BP125">
    <cfRule type="cellIs" dxfId="4129" priority="1655" operator="greaterThanOrEqual">
      <formula>0.03</formula>
    </cfRule>
    <cfRule type="cellIs" dxfId="4128" priority="1656" operator="lessThanOrEqual">
      <formula>-0.03</formula>
    </cfRule>
  </conditionalFormatting>
  <conditionalFormatting sqref="BQ125">
    <cfRule type="cellIs" dxfId="4127" priority="1653" operator="greaterThanOrEqual">
      <formula>0.03</formula>
    </cfRule>
    <cfRule type="cellIs" dxfId="4126" priority="1654" operator="lessThanOrEqual">
      <formula>-0.03</formula>
    </cfRule>
  </conditionalFormatting>
  <conditionalFormatting sqref="BS125:BU125">
    <cfRule type="cellIs" dxfId="4125" priority="1657" operator="greaterThanOrEqual">
      <formula>0.03</formula>
    </cfRule>
    <cfRule type="cellIs" dxfId="4124" priority="1658" operator="lessThanOrEqual">
      <formula>-0.03</formula>
    </cfRule>
  </conditionalFormatting>
  <conditionalFormatting sqref="BX125:BZ125">
    <cfRule type="cellIs" dxfId="4123" priority="1649" operator="greaterThanOrEqual">
      <formula>0.03</formula>
    </cfRule>
    <cfRule type="cellIs" dxfId="4122" priority="1650" operator="lessThanOrEqual">
      <formula>-0.03</formula>
    </cfRule>
  </conditionalFormatting>
  <conditionalFormatting sqref="CA125">
    <cfRule type="cellIs" dxfId="4121" priority="1647" operator="greaterThanOrEqual">
      <formula>0.03</formula>
    </cfRule>
    <cfRule type="cellIs" dxfId="4120" priority="1648" operator="lessThanOrEqual">
      <formula>-0.03</formula>
    </cfRule>
  </conditionalFormatting>
  <conditionalFormatting sqref="CC125:CE125">
    <cfRule type="cellIs" dxfId="4119" priority="1651" operator="greaterThanOrEqual">
      <formula>0.03</formula>
    </cfRule>
    <cfRule type="cellIs" dxfId="4118" priority="1652" operator="lessThanOrEqual">
      <formula>-0.03</formula>
    </cfRule>
  </conditionalFormatting>
  <conditionalFormatting sqref="BD131:BF131">
    <cfRule type="cellIs" dxfId="4117" priority="1643" operator="greaterThanOrEqual">
      <formula>0.03</formula>
    </cfRule>
    <cfRule type="cellIs" dxfId="4116" priority="1644" operator="lessThanOrEqual">
      <formula>-0.03</formula>
    </cfRule>
  </conditionalFormatting>
  <conditionalFormatting sqref="BG131">
    <cfRule type="cellIs" dxfId="4115" priority="1641" operator="greaterThanOrEqual">
      <formula>0.03</formula>
    </cfRule>
    <cfRule type="cellIs" dxfId="4114" priority="1642" operator="lessThanOrEqual">
      <formula>-0.03</formula>
    </cfRule>
  </conditionalFormatting>
  <conditionalFormatting sqref="BL131">
    <cfRule type="cellIs" dxfId="4113" priority="1639" operator="greaterThanOrEqual">
      <formula>0.03</formula>
    </cfRule>
    <cfRule type="cellIs" dxfId="4112" priority="1640" operator="lessThanOrEqual">
      <formula>-0.03</formula>
    </cfRule>
  </conditionalFormatting>
  <conditionalFormatting sqref="BI131:BK131">
    <cfRule type="cellIs" dxfId="4111" priority="1645" operator="greaterThanOrEqual">
      <formula>0.03</formula>
    </cfRule>
    <cfRule type="cellIs" dxfId="4110" priority="1646" operator="lessThanOrEqual">
      <formula>-0.03</formula>
    </cfRule>
  </conditionalFormatting>
  <conditionalFormatting sqref="BV131">
    <cfRule type="cellIs" dxfId="4109" priority="1637" operator="greaterThanOrEqual">
      <formula>0.03</formula>
    </cfRule>
    <cfRule type="cellIs" dxfId="4108" priority="1638" operator="lessThanOrEqual">
      <formula>-0.03</formula>
    </cfRule>
  </conditionalFormatting>
  <conditionalFormatting sqref="BN131:BP131">
    <cfRule type="cellIs" dxfId="4107" priority="1633" operator="greaterThanOrEqual">
      <formula>0.03</formula>
    </cfRule>
    <cfRule type="cellIs" dxfId="4106" priority="1634" operator="lessThanOrEqual">
      <formula>-0.03</formula>
    </cfRule>
  </conditionalFormatting>
  <conditionalFormatting sqref="BQ131">
    <cfRule type="cellIs" dxfId="4105" priority="1631" operator="greaterThanOrEqual">
      <formula>0.03</formula>
    </cfRule>
    <cfRule type="cellIs" dxfId="4104" priority="1632" operator="lessThanOrEqual">
      <formula>-0.03</formula>
    </cfRule>
  </conditionalFormatting>
  <conditionalFormatting sqref="BS131:BU131">
    <cfRule type="cellIs" dxfId="4103" priority="1635" operator="greaterThanOrEqual">
      <formula>0.03</formula>
    </cfRule>
    <cfRule type="cellIs" dxfId="4102" priority="1636" operator="lessThanOrEqual">
      <formula>-0.03</formula>
    </cfRule>
  </conditionalFormatting>
  <conditionalFormatting sqref="BX131:BZ131">
    <cfRule type="cellIs" dxfId="4101" priority="1627" operator="greaterThanOrEqual">
      <formula>0.03</formula>
    </cfRule>
    <cfRule type="cellIs" dxfId="4100" priority="1628" operator="lessThanOrEqual">
      <formula>-0.03</formula>
    </cfRule>
  </conditionalFormatting>
  <conditionalFormatting sqref="CA131">
    <cfRule type="cellIs" dxfId="4099" priority="1625" operator="greaterThanOrEqual">
      <formula>0.03</formula>
    </cfRule>
    <cfRule type="cellIs" dxfId="4098" priority="1626" operator="lessThanOrEqual">
      <formula>-0.03</formula>
    </cfRule>
  </conditionalFormatting>
  <conditionalFormatting sqref="CC131:CE131">
    <cfRule type="cellIs" dxfId="4097" priority="1629" operator="greaterThanOrEqual">
      <formula>0.03</formula>
    </cfRule>
    <cfRule type="cellIs" dxfId="4096" priority="1630" operator="lessThanOrEqual">
      <formula>-0.03</formula>
    </cfRule>
  </conditionalFormatting>
  <conditionalFormatting sqref="BD23:BF28 BD30:BF34 BD36:BF40">
    <cfRule type="cellIs" dxfId="4095" priority="1621" operator="greaterThanOrEqual">
      <formula>0.03</formula>
    </cfRule>
    <cfRule type="cellIs" dxfId="4094" priority="1622" operator="lessThanOrEqual">
      <formula>-0.03</formula>
    </cfRule>
  </conditionalFormatting>
  <conditionalFormatting sqref="BG24:BG28 BG30:BG34 BG36:BG40">
    <cfRule type="cellIs" dxfId="4093" priority="1619" operator="greaterThanOrEqual">
      <formula>0.03</formula>
    </cfRule>
    <cfRule type="cellIs" dxfId="4092" priority="1620" operator="lessThanOrEqual">
      <formula>-0.03</formula>
    </cfRule>
  </conditionalFormatting>
  <conditionalFormatting sqref="BL24:BL28 BL30:BL34 BL36:BL40">
    <cfRule type="cellIs" dxfId="4091" priority="1623" operator="greaterThanOrEqual">
      <formula>0.03</formula>
    </cfRule>
    <cfRule type="cellIs" dxfId="4090" priority="1624" operator="lessThanOrEqual">
      <formula>-0.03</formula>
    </cfRule>
  </conditionalFormatting>
  <conditionalFormatting sqref="BI24:BK28 BI30:BK34 BI36:BK40">
    <cfRule type="cellIs" dxfId="4089" priority="1615" operator="greaterThanOrEqual">
      <formula>0.03</formula>
    </cfRule>
    <cfRule type="cellIs" dxfId="4088" priority="1616" operator="lessThanOrEqual">
      <formula>-0.03</formula>
    </cfRule>
  </conditionalFormatting>
  <conditionalFormatting sqref="BI35:BK35">
    <cfRule type="cellIs" dxfId="4087" priority="1581" operator="greaterThanOrEqual">
      <formula>0.03</formula>
    </cfRule>
    <cfRule type="cellIs" dxfId="4086" priority="1582" operator="lessThanOrEqual">
      <formula>-0.03</formula>
    </cfRule>
  </conditionalFormatting>
  <conditionalFormatting sqref="AG23:AG40">
    <cfRule type="cellIs" dxfId="4085" priority="1609" operator="greaterThanOrEqual">
      <formula>0.03</formula>
    </cfRule>
    <cfRule type="cellIs" dxfId="4084" priority="1610" operator="lessThanOrEqual">
      <formula>-0.03</formula>
    </cfRule>
  </conditionalFormatting>
  <conditionalFormatting sqref="CF35">
    <cfRule type="cellIs" dxfId="4083" priority="1575" operator="greaterThanOrEqual">
      <formula>0.03</formula>
    </cfRule>
    <cfRule type="cellIs" dxfId="4082" priority="1576" operator="lessThanOrEqual">
      <formula>-0.03</formula>
    </cfRule>
  </conditionalFormatting>
  <conditionalFormatting sqref="BN24:BP28 BN30:BP34 BN36:BP40">
    <cfRule type="cellIs" dxfId="4081" priority="1603" operator="greaterThanOrEqual">
      <formula>0.03</formula>
    </cfRule>
    <cfRule type="cellIs" dxfId="4080" priority="1604" operator="lessThanOrEqual">
      <formula>-0.03</formula>
    </cfRule>
  </conditionalFormatting>
  <conditionalFormatting sqref="BQ24:BQ28 BQ30:BQ34 BQ36:BQ40">
    <cfRule type="cellIs" dxfId="4079" priority="1601" operator="greaterThanOrEqual">
      <formula>0.03</formula>
    </cfRule>
    <cfRule type="cellIs" dxfId="4078" priority="1602" operator="lessThanOrEqual">
      <formula>-0.03</formula>
    </cfRule>
  </conditionalFormatting>
  <conditionalFormatting sqref="BV24:BV28 BV30:BV34 BV36:BV40">
    <cfRule type="cellIs" dxfId="4077" priority="1605" operator="greaterThanOrEqual">
      <formula>0.03</formula>
    </cfRule>
    <cfRule type="cellIs" dxfId="4076" priority="1606" operator="lessThanOrEqual">
      <formula>-0.03</formula>
    </cfRule>
  </conditionalFormatting>
  <conditionalFormatting sqref="BS24:BU28 BS30:BU34 BS36:BU40">
    <cfRule type="cellIs" dxfId="4075" priority="1599" operator="greaterThanOrEqual">
      <formula>0.03</formula>
    </cfRule>
    <cfRule type="cellIs" dxfId="4074" priority="1600" operator="lessThanOrEqual">
      <formula>-0.03</formula>
    </cfRule>
  </conditionalFormatting>
  <conditionalFormatting sqref="BX24:BZ28 BX30:BZ34 BX36:BZ40">
    <cfRule type="cellIs" dxfId="4073" priority="1595" operator="greaterThanOrEqual">
      <formula>0.03</formula>
    </cfRule>
    <cfRule type="cellIs" dxfId="4072" priority="1596" operator="lessThanOrEqual">
      <formula>-0.03</formula>
    </cfRule>
  </conditionalFormatting>
  <conditionalFormatting sqref="CA24:CA28 CA30:CA34 CA36:CA40">
    <cfRule type="cellIs" dxfId="4071" priority="1593" operator="greaterThanOrEqual">
      <formula>0.03</formula>
    </cfRule>
    <cfRule type="cellIs" dxfId="4070" priority="1594" operator="lessThanOrEqual">
      <formula>-0.03</formula>
    </cfRule>
  </conditionalFormatting>
  <conditionalFormatting sqref="CF24:CF28 CF30:CF34 CF36:CF40">
    <cfRule type="cellIs" dxfId="4069" priority="1597" operator="greaterThanOrEqual">
      <formula>0.03</formula>
    </cfRule>
    <cfRule type="cellIs" dxfId="4068" priority="1598" operator="lessThanOrEqual">
      <formula>-0.03</formula>
    </cfRule>
  </conditionalFormatting>
  <conditionalFormatting sqref="CC24:CE28 CC30:CE34 CC36:CE40">
    <cfRule type="cellIs" dxfId="4067" priority="1591" operator="greaterThanOrEqual">
      <formula>0.03</formula>
    </cfRule>
    <cfRule type="cellIs" dxfId="4066" priority="1592" operator="lessThanOrEqual">
      <formula>-0.03</formula>
    </cfRule>
  </conditionalFormatting>
  <conditionalFormatting sqref="BD29:BF29">
    <cfRule type="cellIs" dxfId="4065" priority="1589" operator="greaterThanOrEqual">
      <formula>0.03</formula>
    </cfRule>
    <cfRule type="cellIs" dxfId="4064" priority="1590" operator="lessThanOrEqual">
      <formula>-0.03</formula>
    </cfRule>
  </conditionalFormatting>
  <conditionalFormatting sqref="BD35:BF35">
    <cfRule type="cellIs" dxfId="4063" priority="1587" operator="greaterThanOrEqual">
      <formula>0.03</formula>
    </cfRule>
    <cfRule type="cellIs" dxfId="4062" priority="1588" operator="lessThanOrEqual">
      <formula>-0.03</formula>
    </cfRule>
  </conditionalFormatting>
  <conditionalFormatting sqref="BL35">
    <cfRule type="cellIs" dxfId="4061" priority="1585" operator="greaterThanOrEqual">
      <formula>0.03</formula>
    </cfRule>
    <cfRule type="cellIs" dxfId="4060" priority="1586" operator="lessThanOrEqual">
      <formula>-0.03</formula>
    </cfRule>
  </conditionalFormatting>
  <conditionalFormatting sqref="BG35">
    <cfRule type="cellIs" dxfId="4059" priority="1583" operator="greaterThanOrEqual">
      <formula>0.03</formula>
    </cfRule>
    <cfRule type="cellIs" dxfId="4058" priority="1584" operator="lessThanOrEqual">
      <formula>-0.03</formula>
    </cfRule>
  </conditionalFormatting>
  <conditionalFormatting sqref="BV23">
    <cfRule type="cellIs" dxfId="4057" priority="1521" operator="greaterThanOrEqual">
      <formula>0.03</formula>
    </cfRule>
    <cfRule type="cellIs" dxfId="4056" priority="1522" operator="lessThanOrEqual">
      <formula>-0.03</formula>
    </cfRule>
  </conditionalFormatting>
  <conditionalFormatting sqref="CC23:CE23">
    <cfRule type="cellIs" dxfId="4055" priority="1525" operator="greaterThanOrEqual">
      <formula>0.03</formula>
    </cfRule>
    <cfRule type="cellIs" dxfId="4054" priority="1526" operator="lessThanOrEqual">
      <formula>-0.03</formula>
    </cfRule>
  </conditionalFormatting>
  <conditionalFormatting sqref="BS35:BU35">
    <cfRule type="cellIs" dxfId="4053" priority="1577" operator="greaterThanOrEqual">
      <formula>0.03</formula>
    </cfRule>
    <cfRule type="cellIs" dxfId="4052" priority="1578" operator="lessThanOrEqual">
      <formula>-0.03</formula>
    </cfRule>
  </conditionalFormatting>
  <conditionalFormatting sqref="BN35:BP35">
    <cfRule type="cellIs" dxfId="4051" priority="1579" operator="greaterThanOrEqual">
      <formula>0.03</formula>
    </cfRule>
    <cfRule type="cellIs" dxfId="4050" priority="1580" operator="lessThanOrEqual">
      <formula>-0.03</formula>
    </cfRule>
  </conditionalFormatting>
  <conditionalFormatting sqref="BX35:BZ35">
    <cfRule type="cellIs" dxfId="4049" priority="1573" operator="greaterThanOrEqual">
      <formula>0.03</formula>
    </cfRule>
    <cfRule type="cellIs" dxfId="4048" priority="1574" operator="lessThanOrEqual">
      <formula>-0.03</formula>
    </cfRule>
  </conditionalFormatting>
  <conditionalFormatting sqref="CC35:CE35">
    <cfRule type="cellIs" dxfId="4047" priority="1569" operator="greaterThanOrEqual">
      <formula>0.03</formula>
    </cfRule>
    <cfRule type="cellIs" dxfId="4046" priority="1570" operator="lessThanOrEqual">
      <formula>-0.03</formula>
    </cfRule>
  </conditionalFormatting>
  <conditionalFormatting sqref="BQ35">
    <cfRule type="cellIs" dxfId="4045" priority="1567" operator="greaterThanOrEqual">
      <formula>0.03</formula>
    </cfRule>
    <cfRule type="cellIs" dxfId="4044" priority="1568" operator="lessThanOrEqual">
      <formula>-0.03</formula>
    </cfRule>
  </conditionalFormatting>
  <conditionalFormatting sqref="CA35">
    <cfRule type="cellIs" dxfId="4043" priority="1571" operator="greaterThanOrEqual">
      <formula>0.03</formula>
    </cfRule>
    <cfRule type="cellIs" dxfId="4042" priority="1572" operator="lessThanOrEqual">
      <formula>-0.03</formula>
    </cfRule>
  </conditionalFormatting>
  <conditionalFormatting sqref="BV35">
    <cfRule type="cellIs" dxfId="4041" priority="1565" operator="greaterThanOrEqual">
      <formula>0.03</formula>
    </cfRule>
    <cfRule type="cellIs" dxfId="4040" priority="1566" operator="lessThanOrEqual">
      <formula>-0.03</formula>
    </cfRule>
  </conditionalFormatting>
  <conditionalFormatting sqref="BG29">
    <cfRule type="cellIs" dxfId="4039" priority="1561" operator="greaterThanOrEqual">
      <formula>0.03</formula>
    </cfRule>
    <cfRule type="cellIs" dxfId="4038" priority="1562" operator="lessThanOrEqual">
      <formula>-0.03</formula>
    </cfRule>
  </conditionalFormatting>
  <conditionalFormatting sqref="BI29:BK29">
    <cfRule type="cellIs" dxfId="4037" priority="1559" operator="greaterThanOrEqual">
      <formula>0.03</formula>
    </cfRule>
    <cfRule type="cellIs" dxfId="4036" priority="1560" operator="lessThanOrEqual">
      <formula>-0.03</formula>
    </cfRule>
  </conditionalFormatting>
  <conditionalFormatting sqref="BL29">
    <cfRule type="cellIs" dxfId="4035" priority="1563" operator="greaterThanOrEqual">
      <formula>0.03</formula>
    </cfRule>
    <cfRule type="cellIs" dxfId="4034" priority="1564" operator="lessThanOrEqual">
      <formula>-0.03</formula>
    </cfRule>
  </conditionalFormatting>
  <conditionalFormatting sqref="BN29:BP29">
    <cfRule type="cellIs" dxfId="4033" priority="1557" operator="greaterThanOrEqual">
      <formula>0.03</formula>
    </cfRule>
    <cfRule type="cellIs" dxfId="4032" priority="1558" operator="lessThanOrEqual">
      <formula>-0.03</formula>
    </cfRule>
  </conditionalFormatting>
  <conditionalFormatting sqref="CF29">
    <cfRule type="cellIs" dxfId="4031" priority="1553" operator="greaterThanOrEqual">
      <formula>0.03</formula>
    </cfRule>
    <cfRule type="cellIs" dxfId="4030" priority="1554" operator="lessThanOrEqual">
      <formula>-0.03</formula>
    </cfRule>
  </conditionalFormatting>
  <conditionalFormatting sqref="CF23">
    <cfRule type="cellIs" dxfId="4029" priority="1531" operator="greaterThanOrEqual">
      <formula>0.03</formula>
    </cfRule>
    <cfRule type="cellIs" dxfId="4028" priority="1532" operator="lessThanOrEqual">
      <formula>-0.03</formula>
    </cfRule>
  </conditionalFormatting>
  <conditionalFormatting sqref="BI23:BK23">
    <cfRule type="cellIs" dxfId="4027" priority="1537" operator="greaterThanOrEqual">
      <formula>0.03</formula>
    </cfRule>
    <cfRule type="cellIs" dxfId="4026" priority="1538" operator="lessThanOrEqual">
      <formula>-0.03</formula>
    </cfRule>
  </conditionalFormatting>
  <conditionalFormatting sqref="CA29">
    <cfRule type="cellIs" dxfId="4025" priority="1549" operator="greaterThanOrEqual">
      <formula>0.03</formula>
    </cfRule>
    <cfRule type="cellIs" dxfId="4024" priority="1550" operator="lessThanOrEqual">
      <formula>-0.03</formula>
    </cfRule>
  </conditionalFormatting>
  <conditionalFormatting sqref="BQ29">
    <cfRule type="cellIs" dxfId="4023" priority="1545" operator="greaterThanOrEqual">
      <formula>0.03</formula>
    </cfRule>
    <cfRule type="cellIs" dxfId="4022" priority="1546" operator="lessThanOrEqual">
      <formula>-0.03</formula>
    </cfRule>
  </conditionalFormatting>
  <conditionalFormatting sqref="BV29">
    <cfRule type="cellIs" dxfId="4021" priority="1543" operator="greaterThanOrEqual">
      <formula>0.03</formula>
    </cfRule>
    <cfRule type="cellIs" dxfId="4020" priority="1544" operator="lessThanOrEqual">
      <formula>-0.03</formula>
    </cfRule>
  </conditionalFormatting>
  <conditionalFormatting sqref="CC29:CE29">
    <cfRule type="cellIs" dxfId="4019" priority="1547" operator="greaterThanOrEqual">
      <formula>0.03</formula>
    </cfRule>
    <cfRule type="cellIs" dxfId="4018" priority="1548" operator="lessThanOrEqual">
      <formula>-0.03</formula>
    </cfRule>
  </conditionalFormatting>
  <conditionalFormatting sqref="BL23">
    <cfRule type="cellIs" dxfId="4017" priority="1541" operator="greaterThanOrEqual">
      <formula>0.03</formula>
    </cfRule>
    <cfRule type="cellIs" dxfId="4016" priority="1542" operator="lessThanOrEqual">
      <formula>-0.03</formula>
    </cfRule>
  </conditionalFormatting>
  <conditionalFormatting sqref="BG23">
    <cfRule type="cellIs" dxfId="4015" priority="1539" operator="greaterThanOrEqual">
      <formula>0.03</formula>
    </cfRule>
    <cfRule type="cellIs" dxfId="4014" priority="1540" operator="lessThanOrEqual">
      <formula>-0.03</formula>
    </cfRule>
  </conditionalFormatting>
  <conditionalFormatting sqref="BS23:BU23">
    <cfRule type="cellIs" dxfId="4013" priority="1533" operator="greaterThanOrEqual">
      <formula>0.03</formula>
    </cfRule>
    <cfRule type="cellIs" dxfId="4012" priority="1534" operator="lessThanOrEqual">
      <formula>-0.03</formula>
    </cfRule>
  </conditionalFormatting>
  <conditionalFormatting sqref="BN23:BP23">
    <cfRule type="cellIs" dxfId="4011" priority="1535" operator="greaterThanOrEqual">
      <formula>0.03</formula>
    </cfRule>
    <cfRule type="cellIs" dxfId="4010" priority="1536" operator="lessThanOrEqual">
      <formula>-0.03</formula>
    </cfRule>
  </conditionalFormatting>
  <conditionalFormatting sqref="BX23:BZ23">
    <cfRule type="cellIs" dxfId="4009" priority="1529" operator="greaterThanOrEqual">
      <formula>0.03</formula>
    </cfRule>
    <cfRule type="cellIs" dxfId="4008" priority="1530" operator="lessThanOrEqual">
      <formula>-0.03</formula>
    </cfRule>
  </conditionalFormatting>
  <conditionalFormatting sqref="CA23">
    <cfRule type="cellIs" dxfId="4007" priority="1527" operator="greaterThanOrEqual">
      <formula>0.03</formula>
    </cfRule>
    <cfRule type="cellIs" dxfId="4006" priority="1528" operator="lessThanOrEqual">
      <formula>-0.03</formula>
    </cfRule>
  </conditionalFormatting>
  <conditionalFormatting sqref="BQ23">
    <cfRule type="cellIs" dxfId="4005" priority="1523" operator="greaterThanOrEqual">
      <formula>0.03</formula>
    </cfRule>
    <cfRule type="cellIs" dxfId="4004" priority="1524" operator="lessThanOrEqual">
      <formula>-0.03</formula>
    </cfRule>
  </conditionalFormatting>
  <conditionalFormatting sqref="BS29:BU29">
    <cfRule type="cellIs" dxfId="4003" priority="1555" operator="greaterThanOrEqual">
      <formula>0.03</formula>
    </cfRule>
    <cfRule type="cellIs" dxfId="4002" priority="1556" operator="lessThanOrEqual">
      <formula>-0.03</formula>
    </cfRule>
  </conditionalFormatting>
  <conditionalFormatting sqref="BX29:BZ29">
    <cfRule type="cellIs" dxfId="4001" priority="1551" operator="greaterThanOrEqual">
      <formula>0.03</formula>
    </cfRule>
    <cfRule type="cellIs" dxfId="4000" priority="1552" operator="lessThanOrEqual">
      <formula>-0.03</formula>
    </cfRule>
  </conditionalFormatting>
  <conditionalFormatting sqref="BD5:BF10 BD12:BF16 BD18:BF22">
    <cfRule type="cellIs" dxfId="3999" priority="1517" operator="greaterThanOrEqual">
      <formula>0.03</formula>
    </cfRule>
    <cfRule type="cellIs" dxfId="3998" priority="1518" operator="lessThanOrEqual">
      <formula>-0.03</formula>
    </cfRule>
  </conditionalFormatting>
  <conditionalFormatting sqref="BG6:BG10 BG12:BG16 BG18:BG22">
    <cfRule type="cellIs" dxfId="3997" priority="1515" operator="greaterThanOrEqual">
      <formula>0.03</formula>
    </cfRule>
    <cfRule type="cellIs" dxfId="3996" priority="1516" operator="lessThanOrEqual">
      <formula>-0.03</formula>
    </cfRule>
  </conditionalFormatting>
  <conditionalFormatting sqref="BL6:BL10 BL12:BL16 BL18:BL22">
    <cfRule type="cellIs" dxfId="3995" priority="1519" operator="greaterThanOrEqual">
      <formula>0.03</formula>
    </cfRule>
    <cfRule type="cellIs" dxfId="3994" priority="1520" operator="lessThanOrEqual">
      <formula>-0.03</formula>
    </cfRule>
  </conditionalFormatting>
  <conditionalFormatting sqref="BI6:BK10 BI12:BK16 BI18:BK22">
    <cfRule type="cellIs" dxfId="3993" priority="1511" operator="greaterThanOrEqual">
      <formula>0.03</formula>
    </cfRule>
    <cfRule type="cellIs" dxfId="3992" priority="1512" operator="lessThanOrEqual">
      <formula>-0.03</formula>
    </cfRule>
  </conditionalFormatting>
  <conditionalFormatting sqref="BI17:BK17">
    <cfRule type="cellIs" dxfId="3991" priority="1477" operator="greaterThanOrEqual">
      <formula>0.03</formula>
    </cfRule>
    <cfRule type="cellIs" dxfId="3990" priority="1478" operator="lessThanOrEqual">
      <formula>-0.03</formula>
    </cfRule>
  </conditionalFormatting>
  <conditionalFormatting sqref="AG5:AG22">
    <cfRule type="cellIs" dxfId="3989" priority="1505" operator="greaterThanOrEqual">
      <formula>0.03</formula>
    </cfRule>
    <cfRule type="cellIs" dxfId="3988" priority="1506" operator="lessThanOrEqual">
      <formula>-0.03</formula>
    </cfRule>
  </conditionalFormatting>
  <conditionalFormatting sqref="CF17">
    <cfRule type="cellIs" dxfId="3987" priority="1471" operator="greaterThanOrEqual">
      <formula>0.03</formula>
    </cfRule>
    <cfRule type="cellIs" dxfId="3986" priority="1472" operator="lessThanOrEqual">
      <formula>-0.03</formula>
    </cfRule>
  </conditionalFormatting>
  <conditionalFormatting sqref="BN6:BP10 BN12:BP16 BN18:BP22">
    <cfRule type="cellIs" dxfId="3985" priority="1499" operator="greaterThanOrEqual">
      <formula>0.03</formula>
    </cfRule>
    <cfRule type="cellIs" dxfId="3984" priority="1500" operator="lessThanOrEqual">
      <formula>-0.03</formula>
    </cfRule>
  </conditionalFormatting>
  <conditionalFormatting sqref="BQ6:BQ10 BQ12:BQ16 BQ18:BQ22">
    <cfRule type="cellIs" dxfId="3983" priority="1497" operator="greaterThanOrEqual">
      <formula>0.03</formula>
    </cfRule>
    <cfRule type="cellIs" dxfId="3982" priority="1498" operator="lessThanOrEqual">
      <formula>-0.03</formula>
    </cfRule>
  </conditionalFormatting>
  <conditionalFormatting sqref="BV6:BV10 BV12:BV16 BV18:BV22">
    <cfRule type="cellIs" dxfId="3981" priority="1501" operator="greaterThanOrEqual">
      <formula>0.03</formula>
    </cfRule>
    <cfRule type="cellIs" dxfId="3980" priority="1502" operator="lessThanOrEqual">
      <formula>-0.03</formula>
    </cfRule>
  </conditionalFormatting>
  <conditionalFormatting sqref="BS6:BU10 BS12:BU16 BS18:BU22">
    <cfRule type="cellIs" dxfId="3979" priority="1495" operator="greaterThanOrEqual">
      <formula>0.03</formula>
    </cfRule>
    <cfRule type="cellIs" dxfId="3978" priority="1496" operator="lessThanOrEqual">
      <formula>-0.03</formula>
    </cfRule>
  </conditionalFormatting>
  <conditionalFormatting sqref="BX6:BZ10 BX12:BZ16 BX18:BZ22">
    <cfRule type="cellIs" dxfId="3977" priority="1491" operator="greaterThanOrEqual">
      <formula>0.03</formula>
    </cfRule>
    <cfRule type="cellIs" dxfId="3976" priority="1492" operator="lessThanOrEqual">
      <formula>-0.03</formula>
    </cfRule>
  </conditionalFormatting>
  <conditionalFormatting sqref="CA6:CA10 CA12:CA16 CA18:CA22">
    <cfRule type="cellIs" dxfId="3975" priority="1489" operator="greaterThanOrEqual">
      <formula>0.03</formula>
    </cfRule>
    <cfRule type="cellIs" dxfId="3974" priority="1490" operator="lessThanOrEqual">
      <formula>-0.03</formula>
    </cfRule>
  </conditionalFormatting>
  <conditionalFormatting sqref="CF6:CF10 CF12:CF16 CF18:CF22">
    <cfRule type="cellIs" dxfId="3973" priority="1493" operator="greaterThanOrEqual">
      <formula>0.03</formula>
    </cfRule>
    <cfRule type="cellIs" dxfId="3972" priority="1494" operator="lessThanOrEqual">
      <formula>-0.03</formula>
    </cfRule>
  </conditionalFormatting>
  <conditionalFormatting sqref="CC6:CE10 CC12:CE16 CC18:CE22">
    <cfRule type="cellIs" dxfId="3971" priority="1487" operator="greaterThanOrEqual">
      <formula>0.03</formula>
    </cfRule>
    <cfRule type="cellIs" dxfId="3970" priority="1488" operator="lessThanOrEqual">
      <formula>-0.03</formula>
    </cfRule>
  </conditionalFormatting>
  <conditionalFormatting sqref="BD11:BF11">
    <cfRule type="cellIs" dxfId="3969" priority="1485" operator="greaterThanOrEqual">
      <formula>0.03</formula>
    </cfRule>
    <cfRule type="cellIs" dxfId="3968" priority="1486" operator="lessThanOrEqual">
      <formula>-0.03</formula>
    </cfRule>
  </conditionalFormatting>
  <conditionalFormatting sqref="BD17:BF17">
    <cfRule type="cellIs" dxfId="3967" priority="1483" operator="greaterThanOrEqual">
      <formula>0.03</formula>
    </cfRule>
    <cfRule type="cellIs" dxfId="3966" priority="1484" operator="lessThanOrEqual">
      <formula>-0.03</formula>
    </cfRule>
  </conditionalFormatting>
  <conditionalFormatting sqref="BL17">
    <cfRule type="cellIs" dxfId="3965" priority="1481" operator="greaterThanOrEqual">
      <formula>0.03</formula>
    </cfRule>
    <cfRule type="cellIs" dxfId="3964" priority="1482" operator="lessThanOrEqual">
      <formula>-0.03</formula>
    </cfRule>
  </conditionalFormatting>
  <conditionalFormatting sqref="BG17">
    <cfRule type="cellIs" dxfId="3963" priority="1479" operator="greaterThanOrEqual">
      <formula>0.03</formula>
    </cfRule>
    <cfRule type="cellIs" dxfId="3962" priority="1480" operator="lessThanOrEqual">
      <formula>-0.03</formula>
    </cfRule>
  </conditionalFormatting>
  <conditionalFormatting sqref="BV5">
    <cfRule type="cellIs" dxfId="3961" priority="1417" operator="greaterThanOrEqual">
      <formula>0.03</formula>
    </cfRule>
    <cfRule type="cellIs" dxfId="3960" priority="1418" operator="lessThanOrEqual">
      <formula>-0.03</formula>
    </cfRule>
  </conditionalFormatting>
  <conditionalFormatting sqref="CC5:CE5">
    <cfRule type="cellIs" dxfId="3959" priority="1421" operator="greaterThanOrEqual">
      <formula>0.03</formula>
    </cfRule>
    <cfRule type="cellIs" dxfId="3958" priority="1422" operator="lessThanOrEqual">
      <formula>-0.03</formula>
    </cfRule>
  </conditionalFormatting>
  <conditionalFormatting sqref="BS17:BU17">
    <cfRule type="cellIs" dxfId="3957" priority="1473" operator="greaterThanOrEqual">
      <formula>0.03</formula>
    </cfRule>
    <cfRule type="cellIs" dxfId="3956" priority="1474" operator="lessThanOrEqual">
      <formula>-0.03</formula>
    </cfRule>
  </conditionalFormatting>
  <conditionalFormatting sqref="BN17:BP17">
    <cfRule type="cellIs" dxfId="3955" priority="1475" operator="greaterThanOrEqual">
      <formula>0.03</formula>
    </cfRule>
    <cfRule type="cellIs" dxfId="3954" priority="1476" operator="lessThanOrEqual">
      <formula>-0.03</formula>
    </cfRule>
  </conditionalFormatting>
  <conditionalFormatting sqref="BX17:BZ17">
    <cfRule type="cellIs" dxfId="3953" priority="1469" operator="greaterThanOrEqual">
      <formula>0.03</formula>
    </cfRule>
    <cfRule type="cellIs" dxfId="3952" priority="1470" operator="lessThanOrEqual">
      <formula>-0.03</formula>
    </cfRule>
  </conditionalFormatting>
  <conditionalFormatting sqref="CC17:CE17">
    <cfRule type="cellIs" dxfId="3951" priority="1465" operator="greaterThanOrEqual">
      <formula>0.03</formula>
    </cfRule>
    <cfRule type="cellIs" dxfId="3950" priority="1466" operator="lessThanOrEqual">
      <formula>-0.03</formula>
    </cfRule>
  </conditionalFormatting>
  <conditionalFormatting sqref="BQ17">
    <cfRule type="cellIs" dxfId="3949" priority="1463" operator="greaterThanOrEqual">
      <formula>0.03</formula>
    </cfRule>
    <cfRule type="cellIs" dxfId="3948" priority="1464" operator="lessThanOrEqual">
      <formula>-0.03</formula>
    </cfRule>
  </conditionalFormatting>
  <conditionalFormatting sqref="CA17">
    <cfRule type="cellIs" dxfId="3947" priority="1467" operator="greaterThanOrEqual">
      <formula>0.03</formula>
    </cfRule>
    <cfRule type="cellIs" dxfId="3946" priority="1468" operator="lessThanOrEqual">
      <formula>-0.03</formula>
    </cfRule>
  </conditionalFormatting>
  <conditionalFormatting sqref="BV17">
    <cfRule type="cellIs" dxfId="3945" priority="1461" operator="greaterThanOrEqual">
      <formula>0.03</formula>
    </cfRule>
    <cfRule type="cellIs" dxfId="3944" priority="1462" operator="lessThanOrEqual">
      <formula>-0.03</formula>
    </cfRule>
  </conditionalFormatting>
  <conditionalFormatting sqref="BG11">
    <cfRule type="cellIs" dxfId="3943" priority="1457" operator="greaterThanOrEqual">
      <formula>0.03</formula>
    </cfRule>
    <cfRule type="cellIs" dxfId="3942" priority="1458" operator="lessThanOrEqual">
      <formula>-0.03</formula>
    </cfRule>
  </conditionalFormatting>
  <conditionalFormatting sqref="BI11:BK11">
    <cfRule type="cellIs" dxfId="3941" priority="1455" operator="greaterThanOrEqual">
      <formula>0.03</formula>
    </cfRule>
    <cfRule type="cellIs" dxfId="3940" priority="1456" operator="lessThanOrEqual">
      <formula>-0.03</formula>
    </cfRule>
  </conditionalFormatting>
  <conditionalFormatting sqref="BL11">
    <cfRule type="cellIs" dxfId="3939" priority="1459" operator="greaterThanOrEqual">
      <formula>0.03</formula>
    </cfRule>
    <cfRule type="cellIs" dxfId="3938" priority="1460" operator="lessThanOrEqual">
      <formula>-0.03</formula>
    </cfRule>
  </conditionalFormatting>
  <conditionalFormatting sqref="BN11:BP11">
    <cfRule type="cellIs" dxfId="3937" priority="1453" operator="greaterThanOrEqual">
      <formula>0.03</formula>
    </cfRule>
    <cfRule type="cellIs" dxfId="3936" priority="1454" operator="lessThanOrEqual">
      <formula>-0.03</formula>
    </cfRule>
  </conditionalFormatting>
  <conditionalFormatting sqref="CF11">
    <cfRule type="cellIs" dxfId="3935" priority="1449" operator="greaterThanOrEqual">
      <formula>0.03</formula>
    </cfRule>
    <cfRule type="cellIs" dxfId="3934" priority="1450" operator="lessThanOrEqual">
      <formula>-0.03</formula>
    </cfRule>
  </conditionalFormatting>
  <conditionalFormatting sqref="CF5">
    <cfRule type="cellIs" dxfId="3933" priority="1427" operator="greaterThanOrEqual">
      <formula>0.03</formula>
    </cfRule>
    <cfRule type="cellIs" dxfId="3932" priority="1428" operator="lessThanOrEqual">
      <formula>-0.03</formula>
    </cfRule>
  </conditionalFormatting>
  <conditionalFormatting sqref="BI5:BK5">
    <cfRule type="cellIs" dxfId="3931" priority="1433" operator="greaterThanOrEqual">
      <formula>0.03</formula>
    </cfRule>
    <cfRule type="cellIs" dxfId="3930" priority="1434" operator="lessThanOrEqual">
      <formula>-0.03</formula>
    </cfRule>
  </conditionalFormatting>
  <conditionalFormatting sqref="CA11">
    <cfRule type="cellIs" dxfId="3929" priority="1445" operator="greaterThanOrEqual">
      <formula>0.03</formula>
    </cfRule>
    <cfRule type="cellIs" dxfId="3928" priority="1446" operator="lessThanOrEqual">
      <formula>-0.03</formula>
    </cfRule>
  </conditionalFormatting>
  <conditionalFormatting sqref="BQ11">
    <cfRule type="cellIs" dxfId="3927" priority="1441" operator="greaterThanOrEqual">
      <formula>0.03</formula>
    </cfRule>
    <cfRule type="cellIs" dxfId="3926" priority="1442" operator="lessThanOrEqual">
      <formula>-0.03</formula>
    </cfRule>
  </conditionalFormatting>
  <conditionalFormatting sqref="BV11">
    <cfRule type="cellIs" dxfId="3925" priority="1439" operator="greaterThanOrEqual">
      <formula>0.03</formula>
    </cfRule>
    <cfRule type="cellIs" dxfId="3924" priority="1440" operator="lessThanOrEqual">
      <formula>-0.03</formula>
    </cfRule>
  </conditionalFormatting>
  <conditionalFormatting sqref="CC11:CE11">
    <cfRule type="cellIs" dxfId="3923" priority="1443" operator="greaterThanOrEqual">
      <formula>0.03</formula>
    </cfRule>
    <cfRule type="cellIs" dxfId="3922" priority="1444" operator="lessThanOrEqual">
      <formula>-0.03</formula>
    </cfRule>
  </conditionalFormatting>
  <conditionalFormatting sqref="BL5">
    <cfRule type="cellIs" dxfId="3921" priority="1437" operator="greaterThanOrEqual">
      <formula>0.03</formula>
    </cfRule>
    <cfRule type="cellIs" dxfId="3920" priority="1438" operator="lessThanOrEqual">
      <formula>-0.03</formula>
    </cfRule>
  </conditionalFormatting>
  <conditionalFormatting sqref="BG5">
    <cfRule type="cellIs" dxfId="3919" priority="1435" operator="greaterThanOrEqual">
      <formula>0.03</formula>
    </cfRule>
    <cfRule type="cellIs" dxfId="3918" priority="1436" operator="lessThanOrEqual">
      <formula>-0.03</formula>
    </cfRule>
  </conditionalFormatting>
  <conditionalFormatting sqref="BS5:BU5">
    <cfRule type="cellIs" dxfId="3917" priority="1429" operator="greaterThanOrEqual">
      <formula>0.03</formula>
    </cfRule>
    <cfRule type="cellIs" dxfId="3916" priority="1430" operator="lessThanOrEqual">
      <formula>-0.03</formula>
    </cfRule>
  </conditionalFormatting>
  <conditionalFormatting sqref="BN5:BP5">
    <cfRule type="cellIs" dxfId="3915" priority="1431" operator="greaterThanOrEqual">
      <formula>0.03</formula>
    </cfRule>
    <cfRule type="cellIs" dxfId="3914" priority="1432" operator="lessThanOrEqual">
      <formula>-0.03</formula>
    </cfRule>
  </conditionalFormatting>
  <conditionalFormatting sqref="BX5:BZ5">
    <cfRule type="cellIs" dxfId="3913" priority="1425" operator="greaterThanOrEqual">
      <formula>0.03</formula>
    </cfRule>
    <cfRule type="cellIs" dxfId="3912" priority="1426" operator="lessThanOrEqual">
      <formula>-0.03</formula>
    </cfRule>
  </conditionalFormatting>
  <conditionalFormatting sqref="CA5">
    <cfRule type="cellIs" dxfId="3911" priority="1423" operator="greaterThanOrEqual">
      <formula>0.03</formula>
    </cfRule>
    <cfRule type="cellIs" dxfId="3910" priority="1424" operator="lessThanOrEqual">
      <formula>-0.03</formula>
    </cfRule>
  </conditionalFormatting>
  <conditionalFormatting sqref="BQ5">
    <cfRule type="cellIs" dxfId="3909" priority="1419" operator="greaterThanOrEqual">
      <formula>0.03</formula>
    </cfRule>
    <cfRule type="cellIs" dxfId="3908" priority="1420" operator="lessThanOrEqual">
      <formula>-0.03</formula>
    </cfRule>
  </conditionalFormatting>
  <conditionalFormatting sqref="BS11:BU11">
    <cfRule type="cellIs" dxfId="3907" priority="1451" operator="greaterThanOrEqual">
      <formula>0.03</formula>
    </cfRule>
    <cfRule type="cellIs" dxfId="3906" priority="1452" operator="lessThanOrEqual">
      <formula>-0.03</formula>
    </cfRule>
  </conditionalFormatting>
  <conditionalFormatting sqref="BX11:BZ11">
    <cfRule type="cellIs" dxfId="3905" priority="1447" operator="greaterThanOrEqual">
      <formula>0.03</formula>
    </cfRule>
    <cfRule type="cellIs" dxfId="3904" priority="1448" operator="lessThanOrEqual">
      <formula>-0.03</formula>
    </cfRule>
  </conditionalFormatting>
  <conditionalFormatting sqref="BL60:BL64">
    <cfRule type="cellIs" dxfId="3903" priority="1231" operator="greaterThanOrEqual">
      <formula>0.03</formula>
    </cfRule>
    <cfRule type="cellIs" dxfId="3902" priority="1232" operator="lessThanOrEqual">
      <formula>-0.03</formula>
    </cfRule>
  </conditionalFormatting>
  <conditionalFormatting sqref="BL48:BL52">
    <cfRule type="cellIs" dxfId="3901" priority="1239" operator="greaterThanOrEqual">
      <formula>0.03</formula>
    </cfRule>
    <cfRule type="cellIs" dxfId="3900" priority="1240" operator="lessThanOrEqual">
      <formula>-0.03</formula>
    </cfRule>
  </conditionalFormatting>
  <conditionalFormatting sqref="BI54:BK58">
    <cfRule type="cellIs" dxfId="3899" priority="1237" operator="greaterThanOrEqual">
      <formula>0.03</formula>
    </cfRule>
    <cfRule type="cellIs" dxfId="3898" priority="1238" operator="lessThanOrEqual">
      <formula>-0.03</formula>
    </cfRule>
  </conditionalFormatting>
  <conditionalFormatting sqref="BL54:BL58">
    <cfRule type="cellIs" dxfId="3897" priority="1235" operator="greaterThanOrEqual">
      <formula>0.03</formula>
    </cfRule>
    <cfRule type="cellIs" dxfId="3896" priority="1236" operator="lessThanOrEqual">
      <formula>-0.03</formula>
    </cfRule>
  </conditionalFormatting>
  <conditionalFormatting sqref="BI60:BK64">
    <cfRule type="cellIs" dxfId="3895" priority="1233" operator="greaterThanOrEqual">
      <formula>0.03</formula>
    </cfRule>
    <cfRule type="cellIs" dxfId="3894" priority="1234" operator="lessThanOrEqual">
      <formula>-0.03</formula>
    </cfRule>
  </conditionalFormatting>
  <conditionalFormatting sqref="BN48:BP52">
    <cfRule type="cellIs" dxfId="3893" priority="1229" operator="greaterThanOrEqual">
      <formula>0.03</formula>
    </cfRule>
    <cfRule type="cellIs" dxfId="3892" priority="1230" operator="lessThanOrEqual">
      <formula>-0.03</formula>
    </cfRule>
  </conditionalFormatting>
  <conditionalFormatting sqref="BQ48:BQ52">
    <cfRule type="cellIs" dxfId="3891" priority="1227" operator="greaterThanOrEqual">
      <formula>0.03</formula>
    </cfRule>
    <cfRule type="cellIs" dxfId="3890" priority="1228" operator="lessThanOrEqual">
      <formula>-0.03</formula>
    </cfRule>
  </conditionalFormatting>
  <conditionalFormatting sqref="BQ54:BQ58">
    <cfRule type="cellIs" dxfId="3889" priority="1223" operator="greaterThanOrEqual">
      <formula>0.03</formula>
    </cfRule>
    <cfRule type="cellIs" dxfId="3888" priority="1224" operator="lessThanOrEqual">
      <formula>-0.03</formula>
    </cfRule>
  </conditionalFormatting>
  <conditionalFormatting sqref="BN54:BP58">
    <cfRule type="cellIs" dxfId="3887" priority="1225" operator="greaterThanOrEqual">
      <formula>0.03</formula>
    </cfRule>
    <cfRule type="cellIs" dxfId="3886" priority="1226" operator="lessThanOrEqual">
      <formula>-0.03</formula>
    </cfRule>
  </conditionalFormatting>
  <conditionalFormatting sqref="BN60:BP64">
    <cfRule type="cellIs" dxfId="3885" priority="1221" operator="greaterThanOrEqual">
      <formula>0.03</formula>
    </cfRule>
    <cfRule type="cellIs" dxfId="3884" priority="1222" operator="lessThanOrEqual">
      <formula>-0.03</formula>
    </cfRule>
  </conditionalFormatting>
  <conditionalFormatting sqref="BQ60:BQ64">
    <cfRule type="cellIs" dxfId="3883" priority="1219" operator="greaterThanOrEqual">
      <formula>0.03</formula>
    </cfRule>
    <cfRule type="cellIs" dxfId="3882" priority="1220" operator="lessThanOrEqual">
      <formula>-0.03</formula>
    </cfRule>
  </conditionalFormatting>
  <conditionalFormatting sqref="BS42:BU46">
    <cfRule type="cellIs" dxfId="3881" priority="1217" operator="greaterThanOrEqual">
      <formula>0.03</formula>
    </cfRule>
    <cfRule type="cellIs" dxfId="3880" priority="1218" operator="lessThanOrEqual">
      <formula>-0.03</formula>
    </cfRule>
  </conditionalFormatting>
  <conditionalFormatting sqref="BN42:BP46">
    <cfRule type="cellIs" dxfId="3879" priority="1215" operator="greaterThanOrEqual">
      <formula>0.03</formula>
    </cfRule>
    <cfRule type="cellIs" dxfId="3878" priority="1216" operator="lessThanOrEqual">
      <formula>-0.03</formula>
    </cfRule>
  </conditionalFormatting>
  <conditionalFormatting sqref="BQ42:BQ46">
    <cfRule type="cellIs" dxfId="3877" priority="1213" operator="greaterThanOrEqual">
      <formula>0.03</formula>
    </cfRule>
    <cfRule type="cellIs" dxfId="3876" priority="1214" operator="lessThanOrEqual">
      <formula>-0.03</formula>
    </cfRule>
  </conditionalFormatting>
  <conditionalFormatting sqref="BV42:BV46">
    <cfRule type="cellIs" dxfId="3875" priority="1211" operator="greaterThanOrEqual">
      <formula>0.03</formula>
    </cfRule>
    <cfRule type="cellIs" dxfId="3874" priority="1212" operator="lessThanOrEqual">
      <formula>-0.03</formula>
    </cfRule>
  </conditionalFormatting>
  <conditionalFormatting sqref="BV41">
    <cfRule type="cellIs" dxfId="3873" priority="1209" operator="greaterThanOrEqual">
      <formula>0.03</formula>
    </cfRule>
    <cfRule type="cellIs" dxfId="3872" priority="1210" operator="lessThanOrEqual">
      <formula>-0.03</formula>
    </cfRule>
  </conditionalFormatting>
  <conditionalFormatting sqref="BI42:BK46">
    <cfRule type="cellIs" dxfId="3871" priority="1273" operator="greaterThanOrEqual">
      <formula>0.03</formula>
    </cfRule>
    <cfRule type="cellIs" dxfId="3870" priority="1274" operator="lessThanOrEqual">
      <formula>-0.03</formula>
    </cfRule>
  </conditionalFormatting>
  <conditionalFormatting sqref="BD42:BF46">
    <cfRule type="cellIs" dxfId="3869" priority="1271" operator="greaterThanOrEqual">
      <formula>0.03</formula>
    </cfRule>
    <cfRule type="cellIs" dxfId="3868" priority="1272" operator="lessThanOrEqual">
      <formula>-0.03</formula>
    </cfRule>
  </conditionalFormatting>
  <conditionalFormatting sqref="BD41:BF41">
    <cfRule type="cellIs" dxfId="3867" priority="1267" operator="greaterThanOrEqual">
      <formula>0.03</formula>
    </cfRule>
    <cfRule type="cellIs" dxfId="3866" priority="1268" operator="lessThanOrEqual">
      <formula>-0.03</formula>
    </cfRule>
  </conditionalFormatting>
  <conditionalFormatting sqref="BG41">
    <cfRule type="cellIs" dxfId="3865" priority="1259" operator="greaterThanOrEqual">
      <formula>0.03</formula>
    </cfRule>
    <cfRule type="cellIs" dxfId="3864" priority="1260" operator="lessThanOrEqual">
      <formula>-0.03</formula>
    </cfRule>
  </conditionalFormatting>
  <conditionalFormatting sqref="BD48:BF52">
    <cfRule type="cellIs" dxfId="3863" priority="1257" operator="greaterThanOrEqual">
      <formula>0.03</formula>
    </cfRule>
    <cfRule type="cellIs" dxfId="3862" priority="1258" operator="lessThanOrEqual">
      <formula>-0.03</formula>
    </cfRule>
  </conditionalFormatting>
  <conditionalFormatting sqref="AH59:AH64">
    <cfRule type="cellIs" dxfId="3861" priority="1263" operator="greaterThanOrEqual">
      <formula>0.03</formula>
    </cfRule>
    <cfRule type="cellIs" dxfId="3860" priority="1264" operator="lessThanOrEqual">
      <formula>-0.03</formula>
    </cfRule>
  </conditionalFormatting>
  <conditionalFormatting sqref="BL41">
    <cfRule type="cellIs" dxfId="3859" priority="1243" operator="greaterThanOrEqual">
      <formula>0.03</formula>
    </cfRule>
    <cfRule type="cellIs" dxfId="3858" priority="1244" operator="lessThanOrEqual">
      <formula>-0.03</formula>
    </cfRule>
  </conditionalFormatting>
  <conditionalFormatting sqref="CC48:CE52">
    <cfRule type="cellIs" dxfId="3857" priority="1185" operator="greaterThanOrEqual">
      <formula>0.03</formula>
    </cfRule>
    <cfRule type="cellIs" dxfId="3856" priority="1186" operator="lessThanOrEqual">
      <formula>-0.03</formula>
    </cfRule>
  </conditionalFormatting>
  <conditionalFormatting sqref="BG48:BG52">
    <cfRule type="cellIs" dxfId="3855" priority="1255" operator="greaterThanOrEqual">
      <formula>0.03</formula>
    </cfRule>
    <cfRule type="cellIs" dxfId="3854" priority="1256" operator="lessThanOrEqual">
      <formula>-0.03</formula>
    </cfRule>
  </conditionalFormatting>
  <conditionalFormatting sqref="BD60:BF64">
    <cfRule type="cellIs" dxfId="3853" priority="1249" operator="greaterThanOrEqual">
      <formula>0.03</formula>
    </cfRule>
    <cfRule type="cellIs" dxfId="3852" priority="1250" operator="lessThanOrEqual">
      <formula>-0.03</formula>
    </cfRule>
  </conditionalFormatting>
  <conditionalFormatting sqref="CA42:CA46">
    <cfRule type="cellIs" dxfId="3851" priority="1191" operator="greaterThanOrEqual">
      <formula>0.03</formula>
    </cfRule>
    <cfRule type="cellIs" dxfId="3850" priority="1192" operator="lessThanOrEqual">
      <formula>-0.03</formula>
    </cfRule>
  </conditionalFormatting>
  <conditionalFormatting sqref="AH41:AH58">
    <cfRule type="cellIs" dxfId="3849" priority="1265" operator="greaterThanOrEqual">
      <formula>0.03</formula>
    </cfRule>
    <cfRule type="cellIs" dxfId="3848" priority="1266" operator="lessThanOrEqual">
      <formula>-0.03</formula>
    </cfRule>
  </conditionalFormatting>
  <conditionalFormatting sqref="BI41:BK41">
    <cfRule type="cellIs" dxfId="3847" priority="1269" operator="greaterThanOrEqual">
      <formula>0.03</formula>
    </cfRule>
    <cfRule type="cellIs" dxfId="3846" priority="1270" operator="lessThanOrEqual">
      <formula>-0.03</formula>
    </cfRule>
  </conditionalFormatting>
  <conditionalFormatting sqref="BL42:BL46">
    <cfRule type="cellIs" dxfId="3845" priority="1245" operator="greaterThanOrEqual">
      <formula>0.03</formula>
    </cfRule>
    <cfRule type="cellIs" dxfId="3844" priority="1246" operator="lessThanOrEqual">
      <formula>-0.03</formula>
    </cfRule>
  </conditionalFormatting>
  <conditionalFormatting sqref="BI48:BK52">
    <cfRule type="cellIs" dxfId="3843" priority="1241" operator="greaterThanOrEqual">
      <formula>0.03</formula>
    </cfRule>
    <cfRule type="cellIs" dxfId="3842" priority="1242" operator="lessThanOrEqual">
      <formula>-0.03</formula>
    </cfRule>
  </conditionalFormatting>
  <conditionalFormatting sqref="BD54:BF58">
    <cfRule type="cellIs" dxfId="3841" priority="1253" operator="greaterThanOrEqual">
      <formula>0.03</formula>
    </cfRule>
    <cfRule type="cellIs" dxfId="3840" priority="1254" operator="lessThanOrEqual">
      <formula>-0.03</formula>
    </cfRule>
  </conditionalFormatting>
  <conditionalFormatting sqref="BG42:BG46">
    <cfRule type="cellIs" dxfId="3839" priority="1261" operator="greaterThanOrEqual">
      <formula>0.03</formula>
    </cfRule>
    <cfRule type="cellIs" dxfId="3838" priority="1262" operator="lessThanOrEqual">
      <formula>-0.03</formula>
    </cfRule>
  </conditionalFormatting>
  <conditionalFormatting sqref="BG54:BG58">
    <cfRule type="cellIs" dxfId="3837" priority="1251" operator="greaterThanOrEqual">
      <formula>0.03</formula>
    </cfRule>
    <cfRule type="cellIs" dxfId="3836" priority="1252" operator="lessThanOrEqual">
      <formula>-0.03</formula>
    </cfRule>
  </conditionalFormatting>
  <conditionalFormatting sqref="BG60:BG64">
    <cfRule type="cellIs" dxfId="3835" priority="1247" operator="greaterThanOrEqual">
      <formula>0.03</formula>
    </cfRule>
    <cfRule type="cellIs" dxfId="3834" priority="1248" operator="lessThanOrEqual">
      <formula>-0.03</formula>
    </cfRule>
  </conditionalFormatting>
  <conditionalFormatting sqref="CA54:CA58">
    <cfRule type="cellIs" dxfId="3833" priority="1171" operator="greaterThanOrEqual">
      <formula>0.03</formula>
    </cfRule>
    <cfRule type="cellIs" dxfId="3832" priority="1172" operator="lessThanOrEqual">
      <formula>-0.03</formula>
    </cfRule>
  </conditionalFormatting>
  <conditionalFormatting sqref="CF47">
    <cfRule type="cellIs" dxfId="3831" priority="1177" operator="greaterThanOrEqual">
      <formula>0.03</formula>
    </cfRule>
    <cfRule type="cellIs" dxfId="3830" priority="1178" operator="lessThanOrEqual">
      <formula>-0.03</formula>
    </cfRule>
  </conditionalFormatting>
  <conditionalFormatting sqref="BS48:BU52">
    <cfRule type="cellIs" dxfId="3829" priority="1207" operator="greaterThanOrEqual">
      <formula>0.03</formula>
    </cfRule>
    <cfRule type="cellIs" dxfId="3828" priority="1208" operator="lessThanOrEqual">
      <formula>-0.03</formula>
    </cfRule>
  </conditionalFormatting>
  <conditionalFormatting sqref="BV48:BV52">
    <cfRule type="cellIs" dxfId="3827" priority="1205" operator="greaterThanOrEqual">
      <formula>0.03</formula>
    </cfRule>
    <cfRule type="cellIs" dxfId="3826" priority="1206" operator="lessThanOrEqual">
      <formula>-0.03</formula>
    </cfRule>
  </conditionalFormatting>
  <conditionalFormatting sqref="BS54:BU58">
    <cfRule type="cellIs" dxfId="3825" priority="1203" operator="greaterThanOrEqual">
      <formula>0.03</formula>
    </cfRule>
    <cfRule type="cellIs" dxfId="3824" priority="1204" operator="lessThanOrEqual">
      <formula>-0.03</formula>
    </cfRule>
  </conditionalFormatting>
  <conditionalFormatting sqref="BV54:BV58">
    <cfRule type="cellIs" dxfId="3823" priority="1201" operator="greaterThanOrEqual">
      <formula>0.03</formula>
    </cfRule>
    <cfRule type="cellIs" dxfId="3822" priority="1202" operator="lessThanOrEqual">
      <formula>-0.03</formula>
    </cfRule>
  </conditionalFormatting>
  <conditionalFormatting sqref="BS60:BU64">
    <cfRule type="cellIs" dxfId="3821" priority="1199" operator="greaterThanOrEqual">
      <formula>0.03</formula>
    </cfRule>
    <cfRule type="cellIs" dxfId="3820" priority="1200" operator="lessThanOrEqual">
      <formula>-0.03</formula>
    </cfRule>
  </conditionalFormatting>
  <conditionalFormatting sqref="BV60:BV64">
    <cfRule type="cellIs" dxfId="3819" priority="1197" operator="greaterThanOrEqual">
      <formula>0.03</formula>
    </cfRule>
    <cfRule type="cellIs" dxfId="3818" priority="1198" operator="lessThanOrEqual">
      <formula>-0.03</formula>
    </cfRule>
  </conditionalFormatting>
  <conditionalFormatting sqref="CA41">
    <cfRule type="cellIs" dxfId="3817" priority="1145" operator="greaterThanOrEqual">
      <formula>0.03</formula>
    </cfRule>
    <cfRule type="cellIs" dxfId="3816" priority="1146" operator="lessThanOrEqual">
      <formula>-0.03</formula>
    </cfRule>
  </conditionalFormatting>
  <conditionalFormatting sqref="BX48:BZ52">
    <cfRule type="cellIs" dxfId="3815" priority="1183" operator="greaterThanOrEqual">
      <formula>0.03</formula>
    </cfRule>
    <cfRule type="cellIs" dxfId="3814" priority="1184" operator="lessThanOrEqual">
      <formula>-0.03</formula>
    </cfRule>
  </conditionalFormatting>
  <conditionalFormatting sqref="CC42:CE46">
    <cfRule type="cellIs" dxfId="3813" priority="1195" operator="greaterThanOrEqual">
      <formula>0.03</formula>
    </cfRule>
    <cfRule type="cellIs" dxfId="3812" priority="1196" operator="lessThanOrEqual">
      <formula>-0.03</formula>
    </cfRule>
  </conditionalFormatting>
  <conditionalFormatting sqref="BX42:BZ46">
    <cfRule type="cellIs" dxfId="3811" priority="1193" operator="greaterThanOrEqual">
      <formula>0.03</formula>
    </cfRule>
    <cfRule type="cellIs" dxfId="3810" priority="1194" operator="lessThanOrEqual">
      <formula>-0.03</formula>
    </cfRule>
  </conditionalFormatting>
  <conditionalFormatting sqref="CF42:CF46">
    <cfRule type="cellIs" dxfId="3809" priority="1189" operator="greaterThanOrEqual">
      <formula>0.03</formula>
    </cfRule>
    <cfRule type="cellIs" dxfId="3808" priority="1190" operator="lessThanOrEqual">
      <formula>-0.03</formula>
    </cfRule>
  </conditionalFormatting>
  <conditionalFormatting sqref="CF41">
    <cfRule type="cellIs" dxfId="3807" priority="1187" operator="greaterThanOrEqual">
      <formula>0.03</formula>
    </cfRule>
    <cfRule type="cellIs" dxfId="3806" priority="1188" operator="lessThanOrEqual">
      <formula>-0.03</formula>
    </cfRule>
  </conditionalFormatting>
  <conditionalFormatting sqref="CA48:CA52">
    <cfRule type="cellIs" dxfId="3805" priority="1181" operator="greaterThanOrEqual">
      <formula>0.03</formula>
    </cfRule>
    <cfRule type="cellIs" dxfId="3804" priority="1182" operator="lessThanOrEqual">
      <formula>-0.03</formula>
    </cfRule>
  </conditionalFormatting>
  <conditionalFormatting sqref="CF48:CF52">
    <cfRule type="cellIs" dxfId="3803" priority="1179" operator="greaterThanOrEqual">
      <formula>0.03</formula>
    </cfRule>
    <cfRule type="cellIs" dxfId="3802" priority="1180" operator="lessThanOrEqual">
      <formula>-0.03</formula>
    </cfRule>
  </conditionalFormatting>
  <conditionalFormatting sqref="CC54:CE58">
    <cfRule type="cellIs" dxfId="3801" priority="1175" operator="greaterThanOrEqual">
      <formula>0.03</formula>
    </cfRule>
    <cfRule type="cellIs" dxfId="3800" priority="1176" operator="lessThanOrEqual">
      <formula>-0.03</formula>
    </cfRule>
  </conditionalFormatting>
  <conditionalFormatting sqref="BX54:BZ58">
    <cfRule type="cellIs" dxfId="3799" priority="1173" operator="greaterThanOrEqual">
      <formula>0.03</formula>
    </cfRule>
    <cfRule type="cellIs" dxfId="3798" priority="1174" operator="lessThanOrEqual">
      <formula>-0.03</formula>
    </cfRule>
  </conditionalFormatting>
  <conditionalFormatting sqref="CF54:CF58">
    <cfRule type="cellIs" dxfId="3797" priority="1169" operator="greaterThanOrEqual">
      <formula>0.03</formula>
    </cfRule>
    <cfRule type="cellIs" dxfId="3796" priority="1170" operator="lessThanOrEqual">
      <formula>-0.03</formula>
    </cfRule>
  </conditionalFormatting>
  <conditionalFormatting sqref="CF53">
    <cfRule type="cellIs" dxfId="3795" priority="1167" operator="greaterThanOrEqual">
      <formula>0.03</formula>
    </cfRule>
    <cfRule type="cellIs" dxfId="3794" priority="1168" operator="lessThanOrEqual">
      <formula>-0.03</formula>
    </cfRule>
  </conditionalFormatting>
  <conditionalFormatting sqref="CC60:CE64">
    <cfRule type="cellIs" dxfId="3793" priority="1165" operator="greaterThanOrEqual">
      <formula>0.03</formula>
    </cfRule>
    <cfRule type="cellIs" dxfId="3792" priority="1166" operator="lessThanOrEqual">
      <formula>-0.03</formula>
    </cfRule>
  </conditionalFormatting>
  <conditionalFormatting sqref="BX60:BZ64">
    <cfRule type="cellIs" dxfId="3791" priority="1163" operator="greaterThanOrEqual">
      <formula>0.03</formula>
    </cfRule>
    <cfRule type="cellIs" dxfId="3790" priority="1164" operator="lessThanOrEqual">
      <formula>-0.03</formula>
    </cfRule>
  </conditionalFormatting>
  <conditionalFormatting sqref="CA60:CA64">
    <cfRule type="cellIs" dxfId="3789" priority="1161" operator="greaterThanOrEqual">
      <formula>0.03</formula>
    </cfRule>
    <cfRule type="cellIs" dxfId="3788" priority="1162" operator="lessThanOrEqual">
      <formula>-0.03</formula>
    </cfRule>
  </conditionalFormatting>
  <conditionalFormatting sqref="CF60:CF64">
    <cfRule type="cellIs" dxfId="3787" priority="1159" operator="greaterThanOrEqual">
      <formula>0.03</formula>
    </cfRule>
    <cfRule type="cellIs" dxfId="3786" priority="1160" operator="lessThanOrEqual">
      <formula>-0.03</formula>
    </cfRule>
  </conditionalFormatting>
  <conditionalFormatting sqref="CF59">
    <cfRule type="cellIs" dxfId="3785" priority="1157" operator="greaterThanOrEqual">
      <formula>0.03</formula>
    </cfRule>
    <cfRule type="cellIs" dxfId="3784" priority="1158" operator="lessThanOrEqual">
      <formula>-0.03</formula>
    </cfRule>
  </conditionalFormatting>
  <conditionalFormatting sqref="BX41:BZ41">
    <cfRule type="cellIs" dxfId="3783" priority="1147" operator="greaterThanOrEqual">
      <formula>0.03</formula>
    </cfRule>
    <cfRule type="cellIs" dxfId="3782" priority="1148" operator="lessThanOrEqual">
      <formula>-0.03</formula>
    </cfRule>
  </conditionalFormatting>
  <conditionalFormatting sqref="BN41:BP41">
    <cfRule type="cellIs" dxfId="3781" priority="1153" operator="greaterThanOrEqual">
      <formula>0.03</formula>
    </cfRule>
    <cfRule type="cellIs" dxfId="3780" priority="1154" operator="lessThanOrEqual">
      <formula>-0.03</formula>
    </cfRule>
  </conditionalFormatting>
  <conditionalFormatting sqref="BQ41">
    <cfRule type="cellIs" dxfId="3779" priority="1151" operator="greaterThanOrEqual">
      <formula>0.03</formula>
    </cfRule>
    <cfRule type="cellIs" dxfId="3778" priority="1152" operator="lessThanOrEqual">
      <formula>-0.03</formula>
    </cfRule>
  </conditionalFormatting>
  <conditionalFormatting sqref="BS41:BU41">
    <cfRule type="cellIs" dxfId="3777" priority="1155" operator="greaterThanOrEqual">
      <formula>0.03</formula>
    </cfRule>
    <cfRule type="cellIs" dxfId="3776" priority="1156" operator="lessThanOrEqual">
      <formula>-0.03</formula>
    </cfRule>
  </conditionalFormatting>
  <conditionalFormatting sqref="CC41:CE41">
    <cfRule type="cellIs" dxfId="3775" priority="1149" operator="greaterThanOrEqual">
      <formula>0.03</formula>
    </cfRule>
    <cfRule type="cellIs" dxfId="3774" priority="1150" operator="lessThanOrEqual">
      <formula>-0.03</formula>
    </cfRule>
  </conditionalFormatting>
  <conditionalFormatting sqref="BD47:BF47">
    <cfRule type="cellIs" dxfId="3773" priority="1141" operator="greaterThanOrEqual">
      <formula>0.03</formula>
    </cfRule>
    <cfRule type="cellIs" dxfId="3772" priority="1142" operator="lessThanOrEqual">
      <formula>-0.03</formula>
    </cfRule>
  </conditionalFormatting>
  <conditionalFormatting sqref="BG47">
    <cfRule type="cellIs" dxfId="3771" priority="1139" operator="greaterThanOrEqual">
      <formula>0.03</formula>
    </cfRule>
    <cfRule type="cellIs" dxfId="3770" priority="1140" operator="lessThanOrEqual">
      <formula>-0.03</formula>
    </cfRule>
  </conditionalFormatting>
  <conditionalFormatting sqref="BL47">
    <cfRule type="cellIs" dxfId="3769" priority="1137" operator="greaterThanOrEqual">
      <formula>0.03</formula>
    </cfRule>
    <cfRule type="cellIs" dxfId="3768" priority="1138" operator="lessThanOrEqual">
      <formula>-0.03</formula>
    </cfRule>
  </conditionalFormatting>
  <conditionalFormatting sqref="BI47:BK47">
    <cfRule type="cellIs" dxfId="3767" priority="1143" operator="greaterThanOrEqual">
      <formula>0.03</formula>
    </cfRule>
    <cfRule type="cellIs" dxfId="3766" priority="1144" operator="lessThanOrEqual">
      <formula>-0.03</formula>
    </cfRule>
  </conditionalFormatting>
  <conditionalFormatting sqref="BV47">
    <cfRule type="cellIs" dxfId="3765" priority="1135" operator="greaterThanOrEqual">
      <formula>0.03</formula>
    </cfRule>
    <cfRule type="cellIs" dxfId="3764" priority="1136" operator="lessThanOrEqual">
      <formula>-0.03</formula>
    </cfRule>
  </conditionalFormatting>
  <conditionalFormatting sqref="BN47:BP47">
    <cfRule type="cellIs" dxfId="3763" priority="1131" operator="greaterThanOrEqual">
      <formula>0.03</formula>
    </cfRule>
    <cfRule type="cellIs" dxfId="3762" priority="1132" operator="lessThanOrEqual">
      <formula>-0.03</formula>
    </cfRule>
  </conditionalFormatting>
  <conditionalFormatting sqref="BQ47">
    <cfRule type="cellIs" dxfId="3761" priority="1129" operator="greaterThanOrEqual">
      <formula>0.03</formula>
    </cfRule>
    <cfRule type="cellIs" dxfId="3760" priority="1130" operator="lessThanOrEqual">
      <formula>-0.03</formula>
    </cfRule>
  </conditionalFormatting>
  <conditionalFormatting sqref="BS47:BU47">
    <cfRule type="cellIs" dxfId="3759" priority="1133" operator="greaterThanOrEqual">
      <formula>0.03</formula>
    </cfRule>
    <cfRule type="cellIs" dxfId="3758" priority="1134" operator="lessThanOrEqual">
      <formula>-0.03</formula>
    </cfRule>
  </conditionalFormatting>
  <conditionalFormatting sqref="BX47:BZ47">
    <cfRule type="cellIs" dxfId="3757" priority="1125" operator="greaterThanOrEqual">
      <formula>0.03</formula>
    </cfRule>
    <cfRule type="cellIs" dxfId="3756" priority="1126" operator="lessThanOrEqual">
      <formula>-0.03</formula>
    </cfRule>
  </conditionalFormatting>
  <conditionalFormatting sqref="CA47">
    <cfRule type="cellIs" dxfId="3755" priority="1123" operator="greaterThanOrEqual">
      <formula>0.03</formula>
    </cfRule>
    <cfRule type="cellIs" dxfId="3754" priority="1124" operator="lessThanOrEqual">
      <formula>-0.03</formula>
    </cfRule>
  </conditionalFormatting>
  <conditionalFormatting sqref="CC47:CE47">
    <cfRule type="cellIs" dxfId="3753" priority="1127" operator="greaterThanOrEqual">
      <formula>0.03</formula>
    </cfRule>
    <cfRule type="cellIs" dxfId="3752" priority="1128" operator="lessThanOrEqual">
      <formula>-0.03</formula>
    </cfRule>
  </conditionalFormatting>
  <conditionalFormatting sqref="BD53:BF53">
    <cfRule type="cellIs" dxfId="3751" priority="1119" operator="greaterThanOrEqual">
      <formula>0.03</formula>
    </cfRule>
    <cfRule type="cellIs" dxfId="3750" priority="1120" operator="lessThanOrEqual">
      <formula>-0.03</formula>
    </cfRule>
  </conditionalFormatting>
  <conditionalFormatting sqref="BG53">
    <cfRule type="cellIs" dxfId="3749" priority="1117" operator="greaterThanOrEqual">
      <formula>0.03</formula>
    </cfRule>
    <cfRule type="cellIs" dxfId="3748" priority="1118" operator="lessThanOrEqual">
      <formula>-0.03</formula>
    </cfRule>
  </conditionalFormatting>
  <conditionalFormatting sqref="BL53">
    <cfRule type="cellIs" dxfId="3747" priority="1115" operator="greaterThanOrEqual">
      <formula>0.03</formula>
    </cfRule>
    <cfRule type="cellIs" dxfId="3746" priority="1116" operator="lessThanOrEqual">
      <formula>-0.03</formula>
    </cfRule>
  </conditionalFormatting>
  <conditionalFormatting sqref="BI53:BK53">
    <cfRule type="cellIs" dxfId="3745" priority="1121" operator="greaterThanOrEqual">
      <formula>0.03</formula>
    </cfRule>
    <cfRule type="cellIs" dxfId="3744" priority="1122" operator="lessThanOrEqual">
      <formula>-0.03</formula>
    </cfRule>
  </conditionalFormatting>
  <conditionalFormatting sqref="BV53">
    <cfRule type="cellIs" dxfId="3743" priority="1113" operator="greaterThanOrEqual">
      <formula>0.03</formula>
    </cfRule>
    <cfRule type="cellIs" dxfId="3742" priority="1114" operator="lessThanOrEqual">
      <formula>-0.03</formula>
    </cfRule>
  </conditionalFormatting>
  <conditionalFormatting sqref="BN53:BP53">
    <cfRule type="cellIs" dxfId="3741" priority="1109" operator="greaterThanOrEqual">
      <formula>0.03</formula>
    </cfRule>
    <cfRule type="cellIs" dxfId="3740" priority="1110" operator="lessThanOrEqual">
      <formula>-0.03</formula>
    </cfRule>
  </conditionalFormatting>
  <conditionalFormatting sqref="BQ53">
    <cfRule type="cellIs" dxfId="3739" priority="1107" operator="greaterThanOrEqual">
      <formula>0.03</formula>
    </cfRule>
    <cfRule type="cellIs" dxfId="3738" priority="1108" operator="lessThanOrEqual">
      <formula>-0.03</formula>
    </cfRule>
  </conditionalFormatting>
  <conditionalFormatting sqref="BS53:BU53">
    <cfRule type="cellIs" dxfId="3737" priority="1111" operator="greaterThanOrEqual">
      <formula>0.03</formula>
    </cfRule>
    <cfRule type="cellIs" dxfId="3736" priority="1112" operator="lessThanOrEqual">
      <formula>-0.03</formula>
    </cfRule>
  </conditionalFormatting>
  <conditionalFormatting sqref="BX53:BZ53">
    <cfRule type="cellIs" dxfId="3735" priority="1103" operator="greaterThanOrEqual">
      <formula>0.03</formula>
    </cfRule>
    <cfRule type="cellIs" dxfId="3734" priority="1104" operator="lessThanOrEqual">
      <formula>-0.03</formula>
    </cfRule>
  </conditionalFormatting>
  <conditionalFormatting sqref="CA53">
    <cfRule type="cellIs" dxfId="3733" priority="1101" operator="greaterThanOrEqual">
      <formula>0.03</formula>
    </cfRule>
    <cfRule type="cellIs" dxfId="3732" priority="1102" operator="lessThanOrEqual">
      <formula>-0.03</formula>
    </cfRule>
  </conditionalFormatting>
  <conditionalFormatting sqref="CC53:CE53">
    <cfRule type="cellIs" dxfId="3731" priority="1105" operator="greaterThanOrEqual">
      <formula>0.03</formula>
    </cfRule>
    <cfRule type="cellIs" dxfId="3730" priority="1106" operator="lessThanOrEqual">
      <formula>-0.03</formula>
    </cfRule>
  </conditionalFormatting>
  <conditionalFormatting sqref="BD59:BF59">
    <cfRule type="cellIs" dxfId="3729" priority="1097" operator="greaterThanOrEqual">
      <formula>0.03</formula>
    </cfRule>
    <cfRule type="cellIs" dxfId="3728" priority="1098" operator="lessThanOrEqual">
      <formula>-0.03</formula>
    </cfRule>
  </conditionalFormatting>
  <conditionalFormatting sqref="BG59">
    <cfRule type="cellIs" dxfId="3727" priority="1095" operator="greaterThanOrEqual">
      <formula>0.03</formula>
    </cfRule>
    <cfRule type="cellIs" dxfId="3726" priority="1096" operator="lessThanOrEqual">
      <formula>-0.03</formula>
    </cfRule>
  </conditionalFormatting>
  <conditionalFormatting sqref="BL59">
    <cfRule type="cellIs" dxfId="3725" priority="1093" operator="greaterThanOrEqual">
      <formula>0.03</formula>
    </cfRule>
    <cfRule type="cellIs" dxfId="3724" priority="1094" operator="lessThanOrEqual">
      <formula>-0.03</formula>
    </cfRule>
  </conditionalFormatting>
  <conditionalFormatting sqref="BI59:BK59">
    <cfRule type="cellIs" dxfId="3723" priority="1099" operator="greaterThanOrEqual">
      <formula>0.03</formula>
    </cfRule>
    <cfRule type="cellIs" dxfId="3722" priority="1100" operator="lessThanOrEqual">
      <formula>-0.03</formula>
    </cfRule>
  </conditionalFormatting>
  <conditionalFormatting sqref="BV59">
    <cfRule type="cellIs" dxfId="3721" priority="1091" operator="greaterThanOrEqual">
      <formula>0.03</formula>
    </cfRule>
    <cfRule type="cellIs" dxfId="3720" priority="1092" operator="lessThanOrEqual">
      <formula>-0.03</formula>
    </cfRule>
  </conditionalFormatting>
  <conditionalFormatting sqref="BN59:BP59">
    <cfRule type="cellIs" dxfId="3719" priority="1087" operator="greaterThanOrEqual">
      <formula>0.03</formula>
    </cfRule>
    <cfRule type="cellIs" dxfId="3718" priority="1088" operator="lessThanOrEqual">
      <formula>-0.03</formula>
    </cfRule>
  </conditionalFormatting>
  <conditionalFormatting sqref="BQ59">
    <cfRule type="cellIs" dxfId="3717" priority="1085" operator="greaterThanOrEqual">
      <formula>0.03</formula>
    </cfRule>
    <cfRule type="cellIs" dxfId="3716" priority="1086" operator="lessThanOrEqual">
      <formula>-0.03</formula>
    </cfRule>
  </conditionalFormatting>
  <conditionalFormatting sqref="BS59:BU59">
    <cfRule type="cellIs" dxfId="3715" priority="1089" operator="greaterThanOrEqual">
      <formula>0.03</formula>
    </cfRule>
    <cfRule type="cellIs" dxfId="3714" priority="1090" operator="lessThanOrEqual">
      <formula>-0.03</formula>
    </cfRule>
  </conditionalFormatting>
  <conditionalFormatting sqref="BX59:BZ59">
    <cfRule type="cellIs" dxfId="3713" priority="1081" operator="greaterThanOrEqual">
      <formula>0.03</formula>
    </cfRule>
    <cfRule type="cellIs" dxfId="3712" priority="1082" operator="lessThanOrEqual">
      <formula>-0.03</formula>
    </cfRule>
  </conditionalFormatting>
  <conditionalFormatting sqref="CA59">
    <cfRule type="cellIs" dxfId="3711" priority="1079" operator="greaterThanOrEqual">
      <formula>0.03</formula>
    </cfRule>
    <cfRule type="cellIs" dxfId="3710" priority="1080" operator="lessThanOrEqual">
      <formula>-0.03</formula>
    </cfRule>
  </conditionalFormatting>
  <conditionalFormatting sqref="CC59:CE59">
    <cfRule type="cellIs" dxfId="3709" priority="1083" operator="greaterThanOrEqual">
      <formula>0.03</formula>
    </cfRule>
    <cfRule type="cellIs" dxfId="3708" priority="1084" operator="lessThanOrEqual">
      <formula>-0.03</formula>
    </cfRule>
  </conditionalFormatting>
  <conditionalFormatting sqref="BL78:BL82">
    <cfRule type="cellIs" dxfId="3707" priority="1019" operator="greaterThanOrEqual">
      <formula>0.03</formula>
    </cfRule>
    <cfRule type="cellIs" dxfId="3706" priority="1020" operator="lessThanOrEqual">
      <formula>-0.03</formula>
    </cfRule>
  </conditionalFormatting>
  <conditionalFormatting sqref="BD66:BF70">
    <cfRule type="cellIs" dxfId="3705" priority="1045" operator="greaterThanOrEqual">
      <formula>0.03</formula>
    </cfRule>
    <cfRule type="cellIs" dxfId="3704" priority="1046" operator="lessThanOrEqual">
      <formula>-0.03</formula>
    </cfRule>
  </conditionalFormatting>
  <conditionalFormatting sqref="BI78:BK82">
    <cfRule type="cellIs" dxfId="3703" priority="1021" operator="greaterThanOrEqual">
      <formula>0.03</formula>
    </cfRule>
    <cfRule type="cellIs" dxfId="3702" priority="1022" operator="lessThanOrEqual">
      <formula>-0.03</formula>
    </cfRule>
  </conditionalFormatting>
  <conditionalFormatting sqref="AH77:AH82">
    <cfRule type="cellIs" dxfId="3701" priority="1051" operator="greaterThanOrEqual">
      <formula>0.03</formula>
    </cfRule>
    <cfRule type="cellIs" dxfId="3700" priority="1052" operator="lessThanOrEqual">
      <formula>-0.03</formula>
    </cfRule>
  </conditionalFormatting>
  <conditionalFormatting sqref="BL72:BL76">
    <cfRule type="cellIs" dxfId="3699" priority="1023" operator="greaterThanOrEqual">
      <formula>0.03</formula>
    </cfRule>
    <cfRule type="cellIs" dxfId="3698" priority="1024" operator="lessThanOrEqual">
      <formula>-0.03</formula>
    </cfRule>
  </conditionalFormatting>
  <conditionalFormatting sqref="CC66:CE70">
    <cfRule type="cellIs" dxfId="3697" priority="973" operator="greaterThanOrEqual">
      <formula>0.03</formula>
    </cfRule>
    <cfRule type="cellIs" dxfId="3696" priority="974" operator="lessThanOrEqual">
      <formula>-0.03</formula>
    </cfRule>
  </conditionalFormatting>
  <conditionalFormatting sqref="BG66:BG70">
    <cfRule type="cellIs" dxfId="3695" priority="1043" operator="greaterThanOrEqual">
      <formula>0.03</formula>
    </cfRule>
    <cfRule type="cellIs" dxfId="3694" priority="1044" operator="lessThanOrEqual">
      <formula>-0.03</formula>
    </cfRule>
  </conditionalFormatting>
  <conditionalFormatting sqref="BD78:BF82">
    <cfRule type="cellIs" dxfId="3693" priority="1037" operator="greaterThanOrEqual">
      <formula>0.03</formula>
    </cfRule>
    <cfRule type="cellIs" dxfId="3692" priority="1038" operator="lessThanOrEqual">
      <formula>-0.03</formula>
    </cfRule>
  </conditionalFormatting>
  <conditionalFormatting sqref="BI66:BK70">
    <cfRule type="cellIs" dxfId="3691" priority="1029" operator="greaterThanOrEqual">
      <formula>0.03</formula>
    </cfRule>
    <cfRule type="cellIs" dxfId="3690" priority="1030" operator="lessThanOrEqual">
      <formula>-0.03</formula>
    </cfRule>
  </conditionalFormatting>
  <conditionalFormatting sqref="BD72:BF76">
    <cfRule type="cellIs" dxfId="3689" priority="1041" operator="greaterThanOrEqual">
      <formula>0.03</formula>
    </cfRule>
    <cfRule type="cellIs" dxfId="3688" priority="1042" operator="lessThanOrEqual">
      <formula>-0.03</formula>
    </cfRule>
  </conditionalFormatting>
  <conditionalFormatting sqref="BG72:BG76">
    <cfRule type="cellIs" dxfId="3687" priority="1039" operator="greaterThanOrEqual">
      <formula>0.03</formula>
    </cfRule>
    <cfRule type="cellIs" dxfId="3686" priority="1040" operator="lessThanOrEqual">
      <formula>-0.03</formula>
    </cfRule>
  </conditionalFormatting>
  <conditionalFormatting sqref="BG78:BG82">
    <cfRule type="cellIs" dxfId="3685" priority="1035" operator="greaterThanOrEqual">
      <formula>0.03</formula>
    </cfRule>
    <cfRule type="cellIs" dxfId="3684" priority="1036" operator="lessThanOrEqual">
      <formula>-0.03</formula>
    </cfRule>
  </conditionalFormatting>
  <conditionalFormatting sqref="BL66:BL70">
    <cfRule type="cellIs" dxfId="3683" priority="1027" operator="greaterThanOrEqual">
      <formula>0.03</formula>
    </cfRule>
    <cfRule type="cellIs" dxfId="3682" priority="1028" operator="lessThanOrEqual">
      <formula>-0.03</formula>
    </cfRule>
  </conditionalFormatting>
  <conditionalFormatting sqref="BI72:BK76">
    <cfRule type="cellIs" dxfId="3681" priority="1025" operator="greaterThanOrEqual">
      <formula>0.03</formula>
    </cfRule>
    <cfRule type="cellIs" dxfId="3680" priority="1026" operator="lessThanOrEqual">
      <formula>-0.03</formula>
    </cfRule>
  </conditionalFormatting>
  <conditionalFormatting sqref="BQ72:BQ76">
    <cfRule type="cellIs" dxfId="3679" priority="1011" operator="greaterThanOrEqual">
      <formula>0.03</formula>
    </cfRule>
    <cfRule type="cellIs" dxfId="3678" priority="1012" operator="lessThanOrEqual">
      <formula>-0.03</formula>
    </cfRule>
  </conditionalFormatting>
  <conditionalFormatting sqref="CA72:CA76">
    <cfRule type="cellIs" dxfId="3677" priority="959" operator="greaterThanOrEqual">
      <formula>0.03</formula>
    </cfRule>
    <cfRule type="cellIs" dxfId="3676" priority="960" operator="lessThanOrEqual">
      <formula>-0.03</formula>
    </cfRule>
  </conditionalFormatting>
  <conditionalFormatting sqref="BN66:BP70">
    <cfRule type="cellIs" dxfId="3675" priority="1017" operator="greaterThanOrEqual">
      <formula>0.03</formula>
    </cfRule>
    <cfRule type="cellIs" dxfId="3674" priority="1018" operator="lessThanOrEqual">
      <formula>-0.03</formula>
    </cfRule>
  </conditionalFormatting>
  <conditionalFormatting sqref="CF65">
    <cfRule type="cellIs" dxfId="3673" priority="965" operator="greaterThanOrEqual">
      <formula>0.03</formula>
    </cfRule>
    <cfRule type="cellIs" dxfId="3672" priority="966" operator="lessThanOrEqual">
      <formula>-0.03</formula>
    </cfRule>
  </conditionalFormatting>
  <conditionalFormatting sqref="BQ66:BQ70">
    <cfRule type="cellIs" dxfId="3671" priority="1015" operator="greaterThanOrEqual">
      <formula>0.03</formula>
    </cfRule>
    <cfRule type="cellIs" dxfId="3670" priority="1016" operator="lessThanOrEqual">
      <formula>-0.03</formula>
    </cfRule>
  </conditionalFormatting>
  <conditionalFormatting sqref="BN72:BP76">
    <cfRule type="cellIs" dxfId="3669" priority="1013" operator="greaterThanOrEqual">
      <formula>0.03</formula>
    </cfRule>
    <cfRule type="cellIs" dxfId="3668" priority="1014" operator="lessThanOrEqual">
      <formula>-0.03</formula>
    </cfRule>
  </conditionalFormatting>
  <conditionalFormatting sqref="BN78:BP82">
    <cfRule type="cellIs" dxfId="3667" priority="1009" operator="greaterThanOrEqual">
      <formula>0.03</formula>
    </cfRule>
    <cfRule type="cellIs" dxfId="3666" priority="1010" operator="lessThanOrEqual">
      <formula>-0.03</formula>
    </cfRule>
  </conditionalFormatting>
  <conditionalFormatting sqref="BQ78:BQ82">
    <cfRule type="cellIs" dxfId="3665" priority="1007" operator="greaterThanOrEqual">
      <formula>0.03</formula>
    </cfRule>
    <cfRule type="cellIs" dxfId="3664" priority="1008" operator="lessThanOrEqual">
      <formula>-0.03</formula>
    </cfRule>
  </conditionalFormatting>
  <conditionalFormatting sqref="BS66:BU70">
    <cfRule type="cellIs" dxfId="3663" priority="995" operator="greaterThanOrEqual">
      <formula>0.03</formula>
    </cfRule>
    <cfRule type="cellIs" dxfId="3662" priority="996" operator="lessThanOrEqual">
      <formula>-0.03</formula>
    </cfRule>
  </conditionalFormatting>
  <conditionalFormatting sqref="BV66:BV70">
    <cfRule type="cellIs" dxfId="3661" priority="993" operator="greaterThanOrEqual">
      <formula>0.03</formula>
    </cfRule>
    <cfRule type="cellIs" dxfId="3660" priority="994" operator="lessThanOrEqual">
      <formula>-0.03</formula>
    </cfRule>
  </conditionalFormatting>
  <conditionalFormatting sqref="BS72:BU76">
    <cfRule type="cellIs" dxfId="3659" priority="991" operator="greaterThanOrEqual">
      <formula>0.03</formula>
    </cfRule>
    <cfRule type="cellIs" dxfId="3658" priority="992" operator="lessThanOrEqual">
      <formula>-0.03</formula>
    </cfRule>
  </conditionalFormatting>
  <conditionalFormatting sqref="BV72:BV76">
    <cfRule type="cellIs" dxfId="3657" priority="989" operator="greaterThanOrEqual">
      <formula>0.03</formula>
    </cfRule>
    <cfRule type="cellIs" dxfId="3656" priority="990" operator="lessThanOrEqual">
      <formula>-0.03</formula>
    </cfRule>
  </conditionalFormatting>
  <conditionalFormatting sqref="BS78:BU82">
    <cfRule type="cellIs" dxfId="3655" priority="987" operator="greaterThanOrEqual">
      <formula>0.03</formula>
    </cfRule>
    <cfRule type="cellIs" dxfId="3654" priority="988" operator="lessThanOrEqual">
      <formula>-0.03</formula>
    </cfRule>
  </conditionalFormatting>
  <conditionalFormatting sqref="BV78:BV82">
    <cfRule type="cellIs" dxfId="3653" priority="985" operator="greaterThanOrEqual">
      <formula>0.03</formula>
    </cfRule>
    <cfRule type="cellIs" dxfId="3652" priority="986" operator="lessThanOrEqual">
      <formula>-0.03</formula>
    </cfRule>
  </conditionalFormatting>
  <conditionalFormatting sqref="BX66:BZ70">
    <cfRule type="cellIs" dxfId="3651" priority="971" operator="greaterThanOrEqual">
      <formula>0.03</formula>
    </cfRule>
    <cfRule type="cellIs" dxfId="3650" priority="972" operator="lessThanOrEqual">
      <formula>-0.03</formula>
    </cfRule>
  </conditionalFormatting>
  <conditionalFormatting sqref="CA66:CA70">
    <cfRule type="cellIs" dxfId="3649" priority="969" operator="greaterThanOrEqual">
      <formula>0.03</formula>
    </cfRule>
    <cfRule type="cellIs" dxfId="3648" priority="970" operator="lessThanOrEqual">
      <formula>-0.03</formula>
    </cfRule>
  </conditionalFormatting>
  <conditionalFormatting sqref="CF66:CF70">
    <cfRule type="cellIs" dxfId="3647" priority="967" operator="greaterThanOrEqual">
      <formula>0.03</formula>
    </cfRule>
    <cfRule type="cellIs" dxfId="3646" priority="968" operator="lessThanOrEqual">
      <formula>-0.03</formula>
    </cfRule>
  </conditionalFormatting>
  <conditionalFormatting sqref="CC72:CE76">
    <cfRule type="cellIs" dxfId="3645" priority="963" operator="greaterThanOrEqual">
      <formula>0.03</formula>
    </cfRule>
    <cfRule type="cellIs" dxfId="3644" priority="964" operator="lessThanOrEqual">
      <formula>-0.03</formula>
    </cfRule>
  </conditionalFormatting>
  <conditionalFormatting sqref="BX72:BZ76">
    <cfRule type="cellIs" dxfId="3643" priority="961" operator="greaterThanOrEqual">
      <formula>0.03</formula>
    </cfRule>
    <cfRule type="cellIs" dxfId="3642" priority="962" operator="lessThanOrEqual">
      <formula>-0.03</formula>
    </cfRule>
  </conditionalFormatting>
  <conditionalFormatting sqref="CF72:CF76">
    <cfRule type="cellIs" dxfId="3641" priority="957" operator="greaterThanOrEqual">
      <formula>0.03</formula>
    </cfRule>
    <cfRule type="cellIs" dxfId="3640" priority="958" operator="lessThanOrEqual">
      <formula>-0.03</formula>
    </cfRule>
  </conditionalFormatting>
  <conditionalFormatting sqref="CF71">
    <cfRule type="cellIs" dxfId="3639" priority="955" operator="greaterThanOrEqual">
      <formula>0.03</formula>
    </cfRule>
    <cfRule type="cellIs" dxfId="3638" priority="956" operator="lessThanOrEqual">
      <formula>-0.03</formula>
    </cfRule>
  </conditionalFormatting>
  <conditionalFormatting sqref="CC78:CE82">
    <cfRule type="cellIs" dxfId="3637" priority="953" operator="greaterThanOrEqual">
      <formula>0.03</formula>
    </cfRule>
    <cfRule type="cellIs" dxfId="3636" priority="954" operator="lessThanOrEqual">
      <formula>-0.03</formula>
    </cfRule>
  </conditionalFormatting>
  <conditionalFormatting sqref="BX78:BZ82">
    <cfRule type="cellIs" dxfId="3635" priority="951" operator="greaterThanOrEqual">
      <formula>0.03</formula>
    </cfRule>
    <cfRule type="cellIs" dxfId="3634" priority="952" operator="lessThanOrEqual">
      <formula>-0.03</formula>
    </cfRule>
  </conditionalFormatting>
  <conditionalFormatting sqref="CA78:CA82">
    <cfRule type="cellIs" dxfId="3633" priority="949" operator="greaterThanOrEqual">
      <formula>0.03</formula>
    </cfRule>
    <cfRule type="cellIs" dxfId="3632" priority="950" operator="lessThanOrEqual">
      <formula>-0.03</formula>
    </cfRule>
  </conditionalFormatting>
  <conditionalFormatting sqref="CF78:CF82">
    <cfRule type="cellIs" dxfId="3631" priority="947" operator="greaterThanOrEqual">
      <formula>0.03</formula>
    </cfRule>
    <cfRule type="cellIs" dxfId="3630" priority="948" operator="lessThanOrEqual">
      <formula>-0.03</formula>
    </cfRule>
  </conditionalFormatting>
  <conditionalFormatting sqref="CF77">
    <cfRule type="cellIs" dxfId="3629" priority="945" operator="greaterThanOrEqual">
      <formula>0.03</formula>
    </cfRule>
    <cfRule type="cellIs" dxfId="3628" priority="946" operator="lessThanOrEqual">
      <formula>-0.03</formula>
    </cfRule>
  </conditionalFormatting>
  <conditionalFormatting sqref="BD65:BF65">
    <cfRule type="cellIs" dxfId="3627" priority="929" operator="greaterThanOrEqual">
      <formula>0.03</formula>
    </cfRule>
    <cfRule type="cellIs" dxfId="3626" priority="930" operator="lessThanOrEqual">
      <formula>-0.03</formula>
    </cfRule>
  </conditionalFormatting>
  <conditionalFormatting sqref="BG65">
    <cfRule type="cellIs" dxfId="3625" priority="927" operator="greaterThanOrEqual">
      <formula>0.03</formula>
    </cfRule>
    <cfRule type="cellIs" dxfId="3624" priority="928" operator="lessThanOrEqual">
      <formula>-0.03</formula>
    </cfRule>
  </conditionalFormatting>
  <conditionalFormatting sqref="BL65">
    <cfRule type="cellIs" dxfId="3623" priority="925" operator="greaterThanOrEqual">
      <formula>0.03</formula>
    </cfRule>
    <cfRule type="cellIs" dxfId="3622" priority="926" operator="lessThanOrEqual">
      <formula>-0.03</formula>
    </cfRule>
  </conditionalFormatting>
  <conditionalFormatting sqref="BI65:BK65">
    <cfRule type="cellIs" dxfId="3621" priority="931" operator="greaterThanOrEqual">
      <formula>0.03</formula>
    </cfRule>
    <cfRule type="cellIs" dxfId="3620" priority="932" operator="lessThanOrEqual">
      <formula>-0.03</formula>
    </cfRule>
  </conditionalFormatting>
  <conditionalFormatting sqref="BV65">
    <cfRule type="cellIs" dxfId="3619" priority="923" operator="greaterThanOrEqual">
      <formula>0.03</formula>
    </cfRule>
    <cfRule type="cellIs" dxfId="3618" priority="924" operator="lessThanOrEqual">
      <formula>-0.03</formula>
    </cfRule>
  </conditionalFormatting>
  <conditionalFormatting sqref="BN65:BP65">
    <cfRule type="cellIs" dxfId="3617" priority="919" operator="greaterThanOrEqual">
      <formula>0.03</formula>
    </cfRule>
    <cfRule type="cellIs" dxfId="3616" priority="920" operator="lessThanOrEqual">
      <formula>-0.03</formula>
    </cfRule>
  </conditionalFormatting>
  <conditionalFormatting sqref="BQ65">
    <cfRule type="cellIs" dxfId="3615" priority="917" operator="greaterThanOrEqual">
      <formula>0.03</formula>
    </cfRule>
    <cfRule type="cellIs" dxfId="3614" priority="918" operator="lessThanOrEqual">
      <formula>-0.03</formula>
    </cfRule>
  </conditionalFormatting>
  <conditionalFormatting sqref="BS65:BU65">
    <cfRule type="cellIs" dxfId="3613" priority="921" operator="greaterThanOrEqual">
      <formula>0.03</formula>
    </cfRule>
    <cfRule type="cellIs" dxfId="3612" priority="922" operator="lessThanOrEqual">
      <formula>-0.03</formula>
    </cfRule>
  </conditionalFormatting>
  <conditionalFormatting sqref="BX65:BZ65">
    <cfRule type="cellIs" dxfId="3611" priority="913" operator="greaterThanOrEqual">
      <formula>0.03</formula>
    </cfRule>
    <cfRule type="cellIs" dxfId="3610" priority="914" operator="lessThanOrEqual">
      <formula>-0.03</formula>
    </cfRule>
  </conditionalFormatting>
  <conditionalFormatting sqref="CA65">
    <cfRule type="cellIs" dxfId="3609" priority="911" operator="greaterThanOrEqual">
      <formula>0.03</formula>
    </cfRule>
    <cfRule type="cellIs" dxfId="3608" priority="912" operator="lessThanOrEqual">
      <formula>-0.03</formula>
    </cfRule>
  </conditionalFormatting>
  <conditionalFormatting sqref="CC65:CE65">
    <cfRule type="cellIs" dxfId="3607" priority="915" operator="greaterThanOrEqual">
      <formula>0.03</formula>
    </cfRule>
    <cfRule type="cellIs" dxfId="3606" priority="916" operator="lessThanOrEqual">
      <formula>-0.03</formula>
    </cfRule>
  </conditionalFormatting>
  <conditionalFormatting sqref="BD71:BF71">
    <cfRule type="cellIs" dxfId="3605" priority="907" operator="greaterThanOrEqual">
      <formula>0.03</formula>
    </cfRule>
    <cfRule type="cellIs" dxfId="3604" priority="908" operator="lessThanOrEqual">
      <formula>-0.03</formula>
    </cfRule>
  </conditionalFormatting>
  <conditionalFormatting sqref="BG71">
    <cfRule type="cellIs" dxfId="3603" priority="905" operator="greaterThanOrEqual">
      <formula>0.03</formula>
    </cfRule>
    <cfRule type="cellIs" dxfId="3602" priority="906" operator="lessThanOrEqual">
      <formula>-0.03</formula>
    </cfRule>
  </conditionalFormatting>
  <conditionalFormatting sqref="BL71">
    <cfRule type="cellIs" dxfId="3601" priority="903" operator="greaterThanOrEqual">
      <formula>0.03</formula>
    </cfRule>
    <cfRule type="cellIs" dxfId="3600" priority="904" operator="lessThanOrEqual">
      <formula>-0.03</formula>
    </cfRule>
  </conditionalFormatting>
  <conditionalFormatting sqref="BI71:BK71">
    <cfRule type="cellIs" dxfId="3599" priority="909" operator="greaterThanOrEqual">
      <formula>0.03</formula>
    </cfRule>
    <cfRule type="cellIs" dxfId="3598" priority="910" operator="lessThanOrEqual">
      <formula>-0.03</formula>
    </cfRule>
  </conditionalFormatting>
  <conditionalFormatting sqref="BV71">
    <cfRule type="cellIs" dxfId="3597" priority="901" operator="greaterThanOrEqual">
      <formula>0.03</formula>
    </cfRule>
    <cfRule type="cellIs" dxfId="3596" priority="902" operator="lessThanOrEqual">
      <formula>-0.03</formula>
    </cfRule>
  </conditionalFormatting>
  <conditionalFormatting sqref="BN71:BP71">
    <cfRule type="cellIs" dxfId="3595" priority="897" operator="greaterThanOrEqual">
      <formula>0.03</formula>
    </cfRule>
    <cfRule type="cellIs" dxfId="3594" priority="898" operator="lessThanOrEqual">
      <formula>-0.03</formula>
    </cfRule>
  </conditionalFormatting>
  <conditionalFormatting sqref="BQ71">
    <cfRule type="cellIs" dxfId="3593" priority="895" operator="greaterThanOrEqual">
      <formula>0.03</formula>
    </cfRule>
    <cfRule type="cellIs" dxfId="3592" priority="896" operator="lessThanOrEqual">
      <formula>-0.03</formula>
    </cfRule>
  </conditionalFormatting>
  <conditionalFormatting sqref="BS71:BU71">
    <cfRule type="cellIs" dxfId="3591" priority="899" operator="greaterThanOrEqual">
      <formula>0.03</formula>
    </cfRule>
    <cfRule type="cellIs" dxfId="3590" priority="900" operator="lessThanOrEqual">
      <formula>-0.03</formula>
    </cfRule>
  </conditionalFormatting>
  <conditionalFormatting sqref="BX71:BZ71">
    <cfRule type="cellIs" dxfId="3589" priority="891" operator="greaterThanOrEqual">
      <formula>0.03</formula>
    </cfRule>
    <cfRule type="cellIs" dxfId="3588" priority="892" operator="lessThanOrEqual">
      <formula>-0.03</formula>
    </cfRule>
  </conditionalFormatting>
  <conditionalFormatting sqref="CA71">
    <cfRule type="cellIs" dxfId="3587" priority="889" operator="greaterThanOrEqual">
      <formula>0.03</formula>
    </cfRule>
    <cfRule type="cellIs" dxfId="3586" priority="890" operator="lessThanOrEqual">
      <formula>-0.03</formula>
    </cfRule>
  </conditionalFormatting>
  <conditionalFormatting sqref="CC71:CE71">
    <cfRule type="cellIs" dxfId="3585" priority="893" operator="greaterThanOrEqual">
      <formula>0.03</formula>
    </cfRule>
    <cfRule type="cellIs" dxfId="3584" priority="894" operator="lessThanOrEqual">
      <formula>-0.03</formula>
    </cfRule>
  </conditionalFormatting>
  <conditionalFormatting sqref="BD77:BF77">
    <cfRule type="cellIs" dxfId="3583" priority="885" operator="greaterThanOrEqual">
      <formula>0.03</formula>
    </cfRule>
    <cfRule type="cellIs" dxfId="3582" priority="886" operator="lessThanOrEqual">
      <formula>-0.03</formula>
    </cfRule>
  </conditionalFormatting>
  <conditionalFormatting sqref="BG77">
    <cfRule type="cellIs" dxfId="3581" priority="883" operator="greaterThanOrEqual">
      <formula>0.03</formula>
    </cfRule>
    <cfRule type="cellIs" dxfId="3580" priority="884" operator="lessThanOrEqual">
      <formula>-0.03</formula>
    </cfRule>
  </conditionalFormatting>
  <conditionalFormatting sqref="BL77">
    <cfRule type="cellIs" dxfId="3579" priority="881" operator="greaterThanOrEqual">
      <formula>0.03</formula>
    </cfRule>
    <cfRule type="cellIs" dxfId="3578" priority="882" operator="lessThanOrEqual">
      <formula>-0.03</formula>
    </cfRule>
  </conditionalFormatting>
  <conditionalFormatting sqref="BI77:BK77">
    <cfRule type="cellIs" dxfId="3577" priority="887" operator="greaterThanOrEqual">
      <formula>0.03</formula>
    </cfRule>
    <cfRule type="cellIs" dxfId="3576" priority="888" operator="lessThanOrEqual">
      <formula>-0.03</formula>
    </cfRule>
  </conditionalFormatting>
  <conditionalFormatting sqref="BV77">
    <cfRule type="cellIs" dxfId="3575" priority="879" operator="greaterThanOrEqual">
      <formula>0.03</formula>
    </cfRule>
    <cfRule type="cellIs" dxfId="3574" priority="880" operator="lessThanOrEqual">
      <formula>-0.03</formula>
    </cfRule>
  </conditionalFormatting>
  <conditionalFormatting sqref="BN77:BP77">
    <cfRule type="cellIs" dxfId="3573" priority="875" operator="greaterThanOrEqual">
      <formula>0.03</formula>
    </cfRule>
    <cfRule type="cellIs" dxfId="3572" priority="876" operator="lessThanOrEqual">
      <formula>-0.03</formula>
    </cfRule>
  </conditionalFormatting>
  <conditionalFormatting sqref="BQ77">
    <cfRule type="cellIs" dxfId="3571" priority="873" operator="greaterThanOrEqual">
      <formula>0.03</formula>
    </cfRule>
    <cfRule type="cellIs" dxfId="3570" priority="874" operator="lessThanOrEqual">
      <formula>-0.03</formula>
    </cfRule>
  </conditionalFormatting>
  <conditionalFormatting sqref="BS77:BU77">
    <cfRule type="cellIs" dxfId="3569" priority="877" operator="greaterThanOrEqual">
      <formula>0.03</formula>
    </cfRule>
    <cfRule type="cellIs" dxfId="3568" priority="878" operator="lessThanOrEqual">
      <formula>-0.03</formula>
    </cfRule>
  </conditionalFormatting>
  <conditionalFormatting sqref="BX77:BZ77">
    <cfRule type="cellIs" dxfId="3567" priority="869" operator="greaterThanOrEqual">
      <formula>0.03</formula>
    </cfRule>
    <cfRule type="cellIs" dxfId="3566" priority="870" operator="lessThanOrEqual">
      <formula>-0.03</formula>
    </cfRule>
  </conditionalFormatting>
  <conditionalFormatting sqref="CA77">
    <cfRule type="cellIs" dxfId="3565" priority="867" operator="greaterThanOrEqual">
      <formula>0.03</formula>
    </cfRule>
    <cfRule type="cellIs" dxfId="3564" priority="868" operator="lessThanOrEqual">
      <formula>-0.03</formula>
    </cfRule>
  </conditionalFormatting>
  <conditionalFormatting sqref="CC77:CE77">
    <cfRule type="cellIs" dxfId="3563" priority="871" operator="greaterThanOrEqual">
      <formula>0.03</formula>
    </cfRule>
    <cfRule type="cellIs" dxfId="3562" priority="872" operator="lessThanOrEqual">
      <formula>-0.03</formula>
    </cfRule>
  </conditionalFormatting>
  <conditionalFormatting sqref="M65:M76">
    <cfRule type="cellIs" dxfId="3561" priority="729" operator="greaterThanOrEqual">
      <formula>0.03</formula>
    </cfRule>
    <cfRule type="cellIs" dxfId="3560" priority="730" operator="lessThanOrEqual">
      <formula>-0.03</formula>
    </cfRule>
  </conditionalFormatting>
  <conditionalFormatting sqref="L83:L100">
    <cfRule type="cellIs" dxfId="3559" priority="727" operator="greaterThanOrEqual">
      <formula>0.03</formula>
    </cfRule>
    <cfRule type="cellIs" dxfId="3558" priority="728" operator="lessThanOrEqual">
      <formula>-0.03</formula>
    </cfRule>
  </conditionalFormatting>
  <conditionalFormatting sqref="L101:L106">
    <cfRule type="cellIs" dxfId="3557" priority="725" operator="greaterThanOrEqual">
      <formula>0.03</formula>
    </cfRule>
    <cfRule type="cellIs" dxfId="3556" priority="726" operator="lessThanOrEqual">
      <formula>-0.03</formula>
    </cfRule>
  </conditionalFormatting>
  <conditionalFormatting sqref="L107:L112">
    <cfRule type="cellIs" dxfId="3555" priority="723" operator="greaterThanOrEqual">
      <formula>0.03</formula>
    </cfRule>
    <cfRule type="cellIs" dxfId="3554" priority="724" operator="lessThanOrEqual">
      <formula>-0.03</formula>
    </cfRule>
  </conditionalFormatting>
  <conditionalFormatting sqref="M131:M136">
    <cfRule type="cellIs" dxfId="3553" priority="719" operator="greaterThanOrEqual">
      <formula>0.03</formula>
    </cfRule>
    <cfRule type="cellIs" dxfId="3552" priority="720" operator="lessThanOrEqual">
      <formula>-0.03</formula>
    </cfRule>
  </conditionalFormatting>
  <conditionalFormatting sqref="M113:M130">
    <cfRule type="cellIs" dxfId="3551" priority="721" operator="greaterThanOrEqual">
      <formula>0.03</formula>
    </cfRule>
    <cfRule type="cellIs" dxfId="3550" priority="722" operator="lessThanOrEqual">
      <formula>-0.03</formula>
    </cfRule>
  </conditionalFormatting>
  <conditionalFormatting sqref="L23:L40">
    <cfRule type="cellIs" dxfId="3549" priority="717" operator="greaterThanOrEqual">
      <formula>0.03</formula>
    </cfRule>
    <cfRule type="cellIs" dxfId="3548" priority="718" operator="lessThanOrEqual">
      <formula>-0.03</formula>
    </cfRule>
  </conditionalFormatting>
  <conditionalFormatting sqref="L5:L22">
    <cfRule type="cellIs" dxfId="3547" priority="715" operator="greaterThanOrEqual">
      <formula>0.03</formula>
    </cfRule>
    <cfRule type="cellIs" dxfId="3546" priority="716" operator="lessThanOrEqual">
      <formula>-0.03</formula>
    </cfRule>
  </conditionalFormatting>
  <conditionalFormatting sqref="M59:M64">
    <cfRule type="cellIs" dxfId="3545" priority="711" operator="greaterThanOrEqual">
      <formula>0.03</formula>
    </cfRule>
    <cfRule type="cellIs" dxfId="3544" priority="712" operator="lessThanOrEqual">
      <formula>-0.03</formula>
    </cfRule>
  </conditionalFormatting>
  <conditionalFormatting sqref="M41:M58">
    <cfRule type="cellIs" dxfId="3543" priority="713" operator="greaterThanOrEqual">
      <formula>0.03</formula>
    </cfRule>
    <cfRule type="cellIs" dxfId="3542" priority="714" operator="lessThanOrEqual">
      <formula>-0.03</formula>
    </cfRule>
  </conditionalFormatting>
  <conditionalFormatting sqref="M77:M82">
    <cfRule type="cellIs" dxfId="3541" priority="709" operator="greaterThanOrEqual">
      <formula>0.03</formula>
    </cfRule>
    <cfRule type="cellIs" dxfId="3540" priority="710" operator="lessThanOrEqual">
      <formula>-0.03</formula>
    </cfRule>
  </conditionalFormatting>
  <conditionalFormatting sqref="BA137:CF142">
    <cfRule type="cellIs" dxfId="3539" priority="487" operator="greaterThanOrEqual">
      <formula>0.03</formula>
    </cfRule>
    <cfRule type="cellIs" dxfId="3538" priority="488" operator="lessThanOrEqual">
      <formula>-0.03</formula>
    </cfRule>
  </conditionalFormatting>
  <conditionalFormatting sqref="AY137:AZ142">
    <cfRule type="cellIs" dxfId="3537" priority="485" operator="greaterThanOrEqual">
      <formula>1.03</formula>
    </cfRule>
    <cfRule type="cellIs" dxfId="3536" priority="486" operator="lessThanOrEqual">
      <formula>0.97</formula>
    </cfRule>
  </conditionalFormatting>
  <conditionalFormatting sqref="T5:V22">
    <cfRule type="cellIs" dxfId="3535" priority="63" operator="greaterThanOrEqual">
      <formula>0.03</formula>
    </cfRule>
    <cfRule type="cellIs" dxfId="3534" priority="64" operator="lessThanOrEqual">
      <formula>-0.03</formula>
    </cfRule>
  </conditionalFormatting>
  <conditionalFormatting sqref="W113:W130">
    <cfRule type="cellIs" dxfId="3533" priority="71" operator="greaterThanOrEqual">
      <formula>0.03</formula>
    </cfRule>
    <cfRule type="cellIs" dxfId="3532" priority="72" operator="lessThanOrEqual">
      <formula>-0.03</formula>
    </cfRule>
  </conditionalFormatting>
  <conditionalFormatting sqref="T107:V112">
    <cfRule type="cellIs" dxfId="3531" priority="79" operator="greaterThanOrEqual">
      <formula>0.03</formula>
    </cfRule>
    <cfRule type="cellIs" dxfId="3530" priority="80" operator="lessThanOrEqual">
      <formula>-0.03</formula>
    </cfRule>
  </conditionalFormatting>
  <conditionalFormatting sqref="T83:V100">
    <cfRule type="cellIs" dxfId="3529" priority="87" operator="greaterThanOrEqual">
      <formula>0.03</formula>
    </cfRule>
    <cfRule type="cellIs" dxfId="3528" priority="88" operator="lessThanOrEqual">
      <formula>-0.03</formula>
    </cfRule>
  </conditionalFormatting>
  <conditionalFormatting sqref="R83:R100">
    <cfRule type="cellIs" dxfId="3527" priority="85" operator="greaterThanOrEqual">
      <formula>0.03</formula>
    </cfRule>
    <cfRule type="cellIs" dxfId="3526" priority="86" operator="lessThanOrEqual">
      <formula>-0.03</formula>
    </cfRule>
  </conditionalFormatting>
  <conditionalFormatting sqref="T101:V106">
    <cfRule type="cellIs" dxfId="3525" priority="83" operator="greaterThanOrEqual">
      <formula>0.03</formula>
    </cfRule>
    <cfRule type="cellIs" dxfId="3524" priority="84" operator="lessThanOrEqual">
      <formula>-0.03</formula>
    </cfRule>
  </conditionalFormatting>
  <conditionalFormatting sqref="R101:R106">
    <cfRule type="cellIs" dxfId="3523" priority="81" operator="greaterThanOrEqual">
      <formula>0.03</formula>
    </cfRule>
    <cfRule type="cellIs" dxfId="3522" priority="82" operator="lessThanOrEqual">
      <formula>-0.03</formula>
    </cfRule>
  </conditionalFormatting>
  <conditionalFormatting sqref="R107:R112">
    <cfRule type="cellIs" dxfId="3521" priority="77" operator="greaterThanOrEqual">
      <formula>0.03</formula>
    </cfRule>
    <cfRule type="cellIs" dxfId="3520" priority="78" operator="lessThanOrEqual">
      <formula>-0.03</formula>
    </cfRule>
  </conditionalFormatting>
  <conditionalFormatting sqref="S113:S130">
    <cfRule type="cellIs" dxfId="3519" priority="75" operator="greaterThanOrEqual">
      <formula>0.03</formula>
    </cfRule>
    <cfRule type="cellIs" dxfId="3518" priority="76" operator="lessThanOrEqual">
      <formula>-0.03</formula>
    </cfRule>
  </conditionalFormatting>
  <conditionalFormatting sqref="S131:S136">
    <cfRule type="cellIs" dxfId="3517" priority="73" operator="greaterThanOrEqual">
      <formula>0.03</formula>
    </cfRule>
    <cfRule type="cellIs" dxfId="3516" priority="74" operator="lessThanOrEqual">
      <formula>-0.03</formula>
    </cfRule>
  </conditionalFormatting>
  <conditionalFormatting sqref="W131:W136">
    <cfRule type="cellIs" dxfId="3515" priority="69" operator="greaterThanOrEqual">
      <formula>0.03</formula>
    </cfRule>
    <cfRule type="cellIs" dxfId="3514" priority="70" operator="lessThanOrEqual">
      <formula>-0.03</formula>
    </cfRule>
  </conditionalFormatting>
  <conditionalFormatting sqref="T29:V40">
    <cfRule type="cellIs" dxfId="3513" priority="67" operator="greaterThanOrEqual">
      <formula>0.03</formula>
    </cfRule>
    <cfRule type="cellIs" dxfId="3512" priority="68" operator="lessThanOrEqual">
      <formula>-0.03</formula>
    </cfRule>
  </conditionalFormatting>
  <conditionalFormatting sqref="R29:R40">
    <cfRule type="cellIs" dxfId="3511" priority="65" operator="greaterThanOrEqual">
      <formula>0.03</formula>
    </cfRule>
    <cfRule type="cellIs" dxfId="3510" priority="66" operator="lessThanOrEqual">
      <formula>-0.03</formula>
    </cfRule>
  </conditionalFormatting>
  <conditionalFormatting sqref="R5:R22">
    <cfRule type="cellIs" dxfId="3509" priority="61" operator="greaterThanOrEqual">
      <formula>0.03</formula>
    </cfRule>
    <cfRule type="cellIs" dxfId="3508" priority="62" operator="lessThanOrEqual">
      <formula>-0.03</formula>
    </cfRule>
  </conditionalFormatting>
  <conditionalFormatting sqref="T23:V28">
    <cfRule type="cellIs" dxfId="3507" priority="59" operator="greaterThanOrEqual">
      <formula>0.03</formula>
    </cfRule>
    <cfRule type="cellIs" dxfId="3506" priority="60" operator="lessThanOrEqual">
      <formula>-0.03</formula>
    </cfRule>
  </conditionalFormatting>
  <conditionalFormatting sqref="R23:R28">
    <cfRule type="cellIs" dxfId="3505" priority="57" operator="greaterThanOrEqual">
      <formula>0.03</formula>
    </cfRule>
    <cfRule type="cellIs" dxfId="3504" priority="58" operator="lessThanOrEqual">
      <formula>-0.03</formula>
    </cfRule>
  </conditionalFormatting>
  <conditionalFormatting sqref="S41:S46">
    <cfRule type="cellIs" dxfId="3503" priority="55" operator="greaterThanOrEqual">
      <formula>0.03</formula>
    </cfRule>
    <cfRule type="cellIs" dxfId="3502" priority="56" operator="lessThanOrEqual">
      <formula>-0.03</formula>
    </cfRule>
  </conditionalFormatting>
  <conditionalFormatting sqref="W41:W46">
    <cfRule type="cellIs" dxfId="3501" priority="53" operator="greaterThanOrEqual">
      <formula>0.03</formula>
    </cfRule>
    <cfRule type="cellIs" dxfId="3500" priority="54" operator="lessThanOrEqual">
      <formula>-0.03</formula>
    </cfRule>
  </conditionalFormatting>
  <conditionalFormatting sqref="W47:W76">
    <cfRule type="cellIs" dxfId="3499" priority="49" operator="greaterThanOrEqual">
      <formula>0.03</formula>
    </cfRule>
    <cfRule type="cellIs" dxfId="3498" priority="50" operator="lessThanOrEqual">
      <formula>-0.03</formula>
    </cfRule>
  </conditionalFormatting>
  <conditionalFormatting sqref="S47:S76">
    <cfRule type="cellIs" dxfId="3497" priority="51" operator="greaterThanOrEqual">
      <formula>0.03</formula>
    </cfRule>
    <cfRule type="cellIs" dxfId="3496" priority="52" operator="lessThanOrEqual">
      <formula>-0.03</formula>
    </cfRule>
  </conditionalFormatting>
  <conditionalFormatting sqref="S77:S82">
    <cfRule type="cellIs" dxfId="3495" priority="47" operator="greaterThanOrEqual">
      <formula>0.03</formula>
    </cfRule>
    <cfRule type="cellIs" dxfId="3494" priority="48" operator="lessThanOrEqual">
      <formula>-0.03</formula>
    </cfRule>
  </conditionalFormatting>
  <conditionalFormatting sqref="W77:W82">
    <cfRule type="cellIs" dxfId="3493" priority="45" operator="greaterThanOrEqual">
      <formula>0.03</formula>
    </cfRule>
    <cfRule type="cellIs" dxfId="3492" priority="46" operator="lessThanOrEqual">
      <formula>-0.03</formula>
    </cfRule>
  </conditionalFormatting>
  <conditionalFormatting sqref="AO5:AQ22">
    <cfRule type="cellIs" dxfId="3491" priority="19" operator="greaterThanOrEqual">
      <formula>0.03</formula>
    </cfRule>
    <cfRule type="cellIs" dxfId="3490" priority="20" operator="lessThanOrEqual">
      <formula>-0.03</formula>
    </cfRule>
  </conditionalFormatting>
  <conditionalFormatting sqref="AR113:AR130">
    <cfRule type="cellIs" dxfId="3489" priority="27" operator="greaterThanOrEqual">
      <formula>0.03</formula>
    </cfRule>
    <cfRule type="cellIs" dxfId="3488" priority="28" operator="lessThanOrEqual">
      <formula>-0.03</formula>
    </cfRule>
  </conditionalFormatting>
  <conditionalFormatting sqref="AO107:AQ112">
    <cfRule type="cellIs" dxfId="3487" priority="35" operator="greaterThanOrEqual">
      <formula>0.03</formula>
    </cfRule>
    <cfRule type="cellIs" dxfId="3486" priority="36" operator="lessThanOrEqual">
      <formula>-0.03</formula>
    </cfRule>
  </conditionalFormatting>
  <conditionalFormatting sqref="AO83:AQ100">
    <cfRule type="cellIs" dxfId="3485" priority="43" operator="greaterThanOrEqual">
      <formula>0.03</formula>
    </cfRule>
    <cfRule type="cellIs" dxfId="3484" priority="44" operator="lessThanOrEqual">
      <formula>-0.03</formula>
    </cfRule>
  </conditionalFormatting>
  <conditionalFormatting sqref="AM83:AM100">
    <cfRule type="cellIs" dxfId="3483" priority="41" operator="greaterThanOrEqual">
      <formula>0.03</formula>
    </cfRule>
    <cfRule type="cellIs" dxfId="3482" priority="42" operator="lessThanOrEqual">
      <formula>-0.03</formula>
    </cfRule>
  </conditionalFormatting>
  <conditionalFormatting sqref="AO101:AQ106">
    <cfRule type="cellIs" dxfId="3481" priority="39" operator="greaterThanOrEqual">
      <formula>0.03</formula>
    </cfRule>
    <cfRule type="cellIs" dxfId="3480" priority="40" operator="lessThanOrEqual">
      <formula>-0.03</formula>
    </cfRule>
  </conditionalFormatting>
  <conditionalFormatting sqref="AM101:AM106">
    <cfRule type="cellIs" dxfId="3479" priority="37" operator="greaterThanOrEqual">
      <formula>0.03</formula>
    </cfRule>
    <cfRule type="cellIs" dxfId="3478" priority="38" operator="lessThanOrEqual">
      <formula>-0.03</formula>
    </cfRule>
  </conditionalFormatting>
  <conditionalFormatting sqref="AM107:AM112">
    <cfRule type="cellIs" dxfId="3477" priority="33" operator="greaterThanOrEqual">
      <formula>0.03</formula>
    </cfRule>
    <cfRule type="cellIs" dxfId="3476" priority="34" operator="lessThanOrEqual">
      <formula>-0.03</formula>
    </cfRule>
  </conditionalFormatting>
  <conditionalFormatting sqref="AN113:AN130">
    <cfRule type="cellIs" dxfId="3475" priority="31" operator="greaterThanOrEqual">
      <formula>0.03</formula>
    </cfRule>
    <cfRule type="cellIs" dxfId="3474" priority="32" operator="lessThanOrEqual">
      <formula>-0.03</formula>
    </cfRule>
  </conditionalFormatting>
  <conditionalFormatting sqref="AN131:AN136">
    <cfRule type="cellIs" dxfId="3473" priority="29" operator="greaterThanOrEqual">
      <formula>0.03</formula>
    </cfRule>
    <cfRule type="cellIs" dxfId="3472" priority="30" operator="lessThanOrEqual">
      <formula>-0.03</formula>
    </cfRule>
  </conditionalFormatting>
  <conditionalFormatting sqref="AR131:AR136">
    <cfRule type="cellIs" dxfId="3471" priority="25" operator="greaterThanOrEqual">
      <formula>0.03</formula>
    </cfRule>
    <cfRule type="cellIs" dxfId="3470" priority="26" operator="lessThanOrEqual">
      <formula>-0.03</formula>
    </cfRule>
  </conditionalFormatting>
  <conditionalFormatting sqref="AO29:AQ40">
    <cfRule type="cellIs" dxfId="3469" priority="23" operator="greaterThanOrEqual">
      <formula>0.03</formula>
    </cfRule>
    <cfRule type="cellIs" dxfId="3468" priority="24" operator="lessThanOrEqual">
      <formula>-0.03</formula>
    </cfRule>
  </conditionalFormatting>
  <conditionalFormatting sqref="AM29:AM40">
    <cfRule type="cellIs" dxfId="3467" priority="21" operator="greaterThanOrEqual">
      <formula>0.03</formula>
    </cfRule>
    <cfRule type="cellIs" dxfId="3466" priority="22" operator="lessThanOrEqual">
      <formula>-0.03</formula>
    </cfRule>
  </conditionalFormatting>
  <conditionalFormatting sqref="AM5:AM22">
    <cfRule type="cellIs" dxfId="3465" priority="17" operator="greaterThanOrEqual">
      <formula>0.03</formula>
    </cfRule>
    <cfRule type="cellIs" dxfId="3464" priority="18" operator="lessThanOrEqual">
      <formula>-0.03</formula>
    </cfRule>
  </conditionalFormatting>
  <conditionalFormatting sqref="AO23:AQ28">
    <cfRule type="cellIs" dxfId="3463" priority="15" operator="greaterThanOrEqual">
      <formula>0.03</formula>
    </cfRule>
    <cfRule type="cellIs" dxfId="3462" priority="16" operator="lessThanOrEqual">
      <formula>-0.03</formula>
    </cfRule>
  </conditionalFormatting>
  <conditionalFormatting sqref="AM23:AM28">
    <cfRule type="cellIs" dxfId="3461" priority="13" operator="greaterThanOrEqual">
      <formula>0.03</formula>
    </cfRule>
    <cfRule type="cellIs" dxfId="3460" priority="14" operator="lessThanOrEqual">
      <formula>-0.03</formula>
    </cfRule>
  </conditionalFormatting>
  <conditionalFormatting sqref="AN41:AN46">
    <cfRule type="cellIs" dxfId="3459" priority="11" operator="greaterThanOrEqual">
      <formula>0.03</formula>
    </cfRule>
    <cfRule type="cellIs" dxfId="3458" priority="12" operator="lessThanOrEqual">
      <formula>-0.03</formula>
    </cfRule>
  </conditionalFormatting>
  <conditionalFormatting sqref="AR41:AR46">
    <cfRule type="cellIs" dxfId="3457" priority="9" operator="greaterThanOrEqual">
      <formula>0.03</formula>
    </cfRule>
    <cfRule type="cellIs" dxfId="3456" priority="10" operator="lessThanOrEqual">
      <formula>-0.03</formula>
    </cfRule>
  </conditionalFormatting>
  <conditionalFormatting sqref="AR47:AR76">
    <cfRule type="cellIs" dxfId="3455" priority="5" operator="greaterThanOrEqual">
      <formula>0.03</formula>
    </cfRule>
    <cfRule type="cellIs" dxfId="3454" priority="6" operator="lessThanOrEqual">
      <formula>-0.03</formula>
    </cfRule>
  </conditionalFormatting>
  <conditionalFormatting sqref="AN47:AN76">
    <cfRule type="cellIs" dxfId="3453" priority="7" operator="greaterThanOrEqual">
      <formula>0.03</formula>
    </cfRule>
    <cfRule type="cellIs" dxfId="3452" priority="8" operator="lessThanOrEqual">
      <formula>-0.03</formula>
    </cfRule>
  </conditionalFormatting>
  <conditionalFormatting sqref="AN77:AN82">
    <cfRule type="cellIs" dxfId="3451" priority="3" operator="greaterThanOrEqual">
      <formula>0.03</formula>
    </cfRule>
    <cfRule type="cellIs" dxfId="3450" priority="4" operator="lessThanOrEqual">
      <formula>-0.03</formula>
    </cfRule>
  </conditionalFormatting>
  <conditionalFormatting sqref="AR77:AR82">
    <cfRule type="cellIs" dxfId="3449" priority="1" operator="greaterThanOrEqual">
      <formula>0.03</formula>
    </cfRule>
    <cfRule type="cellIs" dxfId="3448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outlinePr summaryBelow="0"/>
  </sheetPr>
  <dimension ref="A1:CD126"/>
  <sheetViews>
    <sheetView workbookViewId="0">
      <pane xSplit="2" ySplit="4" topLeftCell="BA5" activePane="bottomRight" state="frozen"/>
      <selection pane="topRight" activeCell="C1" sqref="C1"/>
      <selection pane="bottomLeft" activeCell="A5" sqref="A5"/>
      <selection pane="bottomRight" activeCell="AN5" sqref="AN5:BB114"/>
    </sheetView>
  </sheetViews>
  <sheetFormatPr defaultColWidth="9" defaultRowHeight="13.5" outlineLevelRow="2"/>
  <cols>
    <col min="1" max="1" width="9" style="1"/>
    <col min="2" max="2" width="24.875" style="1" customWidth="1"/>
    <col min="3" max="3" width="9" style="1"/>
    <col min="4" max="5" width="10.875" style="1" customWidth="1"/>
    <col min="6" max="7" width="9" style="1"/>
    <col min="8" max="8" width="1.875" style="251" customWidth="1"/>
    <col min="9" max="9" width="9" style="1"/>
    <col min="10" max="12" width="10.875" style="1" customWidth="1"/>
    <col min="13" max="13" width="11.875" style="1" customWidth="1"/>
    <col min="14" max="14" width="12.875" style="1" customWidth="1"/>
    <col min="15" max="15" width="10.875" style="1" customWidth="1"/>
    <col min="16" max="19" width="12.875" style="1" customWidth="1"/>
    <col min="20" max="27" width="11.875" style="1" customWidth="1"/>
    <col min="28" max="32" width="9" style="1"/>
    <col min="33" max="33" width="1.875" style="1" customWidth="1"/>
    <col min="34" max="34" width="9" style="1"/>
    <col min="35" max="37" width="10.875" style="1" customWidth="1"/>
    <col min="38" max="38" width="11.875" style="1" customWidth="1"/>
    <col min="39" max="39" width="12.875" style="1" customWidth="1"/>
    <col min="40" max="40" width="10.875" style="1" customWidth="1"/>
    <col min="41" max="44" width="12.875" style="1" customWidth="1"/>
    <col min="45" max="52" width="11.875" style="1" customWidth="1"/>
    <col min="53" max="57" width="9" style="1"/>
    <col min="58" max="58" width="1.875" style="1" customWidth="1"/>
    <col min="59" max="62" width="9" style="1"/>
    <col min="63" max="63" width="1.875" style="1" customWidth="1"/>
    <col min="64" max="67" width="11.875" style="1" customWidth="1"/>
    <col min="68" max="68" width="1.875" style="1" customWidth="1"/>
    <col min="69" max="72" width="11.875" style="1" customWidth="1"/>
    <col min="73" max="73" width="1.875" style="1" customWidth="1"/>
    <col min="74" max="77" width="11.875" style="1" customWidth="1"/>
    <col min="78" max="78" width="1.875" style="1" customWidth="1"/>
    <col min="79" max="82" width="11.875" style="1" customWidth="1"/>
    <col min="83" max="83" width="1.875" style="1" customWidth="1"/>
    <col min="84" max="16384" width="9" style="1"/>
  </cols>
  <sheetData>
    <row r="1" spans="1:82" ht="14.25" thickBot="1">
      <c r="A1" s="702" t="s">
        <v>991</v>
      </c>
      <c r="B1" s="703"/>
      <c r="C1" s="703"/>
      <c r="D1" s="703"/>
      <c r="E1" s="703"/>
      <c r="F1" s="703"/>
      <c r="G1" s="704"/>
      <c r="I1" s="757" t="s">
        <v>1000</v>
      </c>
      <c r="J1" s="758"/>
      <c r="K1" s="758"/>
      <c r="L1" s="758"/>
      <c r="M1" s="758"/>
      <c r="N1" s="758"/>
      <c r="O1" s="758"/>
      <c r="P1" s="758"/>
      <c r="Q1" s="758"/>
      <c r="R1" s="758"/>
      <c r="S1" s="758"/>
      <c r="T1" s="758"/>
      <c r="U1" s="758"/>
      <c r="V1" s="758"/>
      <c r="W1" s="758"/>
      <c r="X1" s="758"/>
      <c r="Y1" s="758"/>
      <c r="Z1" s="758"/>
      <c r="AA1" s="758"/>
      <c r="AB1" s="758"/>
      <c r="AC1" s="758"/>
      <c r="AD1" s="758"/>
      <c r="AE1" s="758"/>
      <c r="AF1" s="759"/>
      <c r="AH1" s="708" t="s">
        <v>1001</v>
      </c>
      <c r="AI1" s="623"/>
      <c r="AJ1" s="623"/>
      <c r="AK1" s="623"/>
      <c r="AL1" s="623"/>
      <c r="AM1" s="623"/>
      <c r="AN1" s="623"/>
      <c r="AO1" s="623"/>
      <c r="AP1" s="623"/>
      <c r="AQ1" s="623"/>
      <c r="AR1" s="623"/>
      <c r="AS1" s="623"/>
      <c r="AT1" s="623"/>
      <c r="AU1" s="623"/>
      <c r="AV1" s="623"/>
      <c r="AW1" s="623"/>
      <c r="AX1" s="623"/>
      <c r="AY1" s="623"/>
      <c r="AZ1" s="623"/>
      <c r="BA1" s="623"/>
      <c r="BB1" s="623"/>
      <c r="BC1" s="623"/>
      <c r="BD1" s="623"/>
      <c r="BE1" s="624"/>
      <c r="BL1" s="755" t="s">
        <v>808</v>
      </c>
      <c r="BM1" s="756"/>
      <c r="BN1" s="756"/>
      <c r="BO1" s="756"/>
      <c r="BQ1" s="755" t="s">
        <v>808</v>
      </c>
      <c r="BR1" s="756"/>
      <c r="BS1" s="756"/>
      <c r="BT1" s="756"/>
      <c r="BV1" s="755" t="s">
        <v>808</v>
      </c>
      <c r="BW1" s="756"/>
      <c r="BX1" s="756"/>
      <c r="BY1" s="756"/>
      <c r="CA1" s="755" t="s">
        <v>808</v>
      </c>
      <c r="CB1" s="756"/>
      <c r="CC1" s="756"/>
      <c r="CD1" s="756"/>
    </row>
    <row r="2" spans="1:82" ht="30" customHeight="1" thickBot="1">
      <c r="A2" s="727" t="s">
        <v>48</v>
      </c>
      <c r="B2" s="721" t="s">
        <v>50</v>
      </c>
      <c r="C2" s="721" t="s">
        <v>52</v>
      </c>
      <c r="D2" s="721" t="s">
        <v>54</v>
      </c>
      <c r="E2" s="721" t="s">
        <v>990</v>
      </c>
      <c r="F2" s="721" t="s">
        <v>58</v>
      </c>
      <c r="G2" s="723" t="s">
        <v>60</v>
      </c>
      <c r="I2" s="764" t="s">
        <v>62</v>
      </c>
      <c r="J2" s="760" t="s">
        <v>64</v>
      </c>
      <c r="K2" s="760"/>
      <c r="L2" s="760"/>
      <c r="M2" s="760"/>
      <c r="N2" s="760" t="s">
        <v>496</v>
      </c>
      <c r="O2" s="760" t="s">
        <v>14</v>
      </c>
      <c r="P2" s="760" t="s">
        <v>75</v>
      </c>
      <c r="Q2" s="760"/>
      <c r="R2" s="760"/>
      <c r="S2" s="760"/>
      <c r="T2" s="760" t="s">
        <v>503</v>
      </c>
      <c r="U2" s="760"/>
      <c r="V2" s="760"/>
      <c r="W2" s="760"/>
      <c r="X2" s="760" t="s">
        <v>495</v>
      </c>
      <c r="Y2" s="760"/>
      <c r="Z2" s="760"/>
      <c r="AA2" s="760"/>
      <c r="AB2" s="760" t="s">
        <v>904</v>
      </c>
      <c r="AC2" s="760" t="s">
        <v>905</v>
      </c>
      <c r="AD2" s="760" t="s">
        <v>92</v>
      </c>
      <c r="AE2" s="760" t="s">
        <v>94</v>
      </c>
      <c r="AF2" s="761" t="s">
        <v>11</v>
      </c>
      <c r="AH2" s="719" t="s">
        <v>62</v>
      </c>
      <c r="AI2" s="713" t="s">
        <v>64</v>
      </c>
      <c r="AJ2" s="713"/>
      <c r="AK2" s="713"/>
      <c r="AL2" s="713"/>
      <c r="AM2" s="713" t="s">
        <v>496</v>
      </c>
      <c r="AN2" s="713" t="s">
        <v>14</v>
      </c>
      <c r="AO2" s="713" t="s">
        <v>75</v>
      </c>
      <c r="AP2" s="713"/>
      <c r="AQ2" s="713"/>
      <c r="AR2" s="713"/>
      <c r="AS2" s="713" t="s">
        <v>503</v>
      </c>
      <c r="AT2" s="713"/>
      <c r="AU2" s="713"/>
      <c r="AV2" s="713"/>
      <c r="AW2" s="713" t="s">
        <v>495</v>
      </c>
      <c r="AX2" s="713"/>
      <c r="AY2" s="713"/>
      <c r="AZ2" s="713"/>
      <c r="BA2" s="713" t="s">
        <v>904</v>
      </c>
      <c r="BB2" s="713" t="s">
        <v>905</v>
      </c>
      <c r="BC2" s="713" t="s">
        <v>92</v>
      </c>
      <c r="BD2" s="713" t="s">
        <v>94</v>
      </c>
      <c r="BE2" s="709" t="s">
        <v>11</v>
      </c>
      <c r="BG2" s="747" t="s">
        <v>117</v>
      </c>
      <c r="BH2" s="737" t="s">
        <v>119</v>
      </c>
      <c r="BI2" s="737" t="s">
        <v>493</v>
      </c>
      <c r="BJ2" s="739" t="s">
        <v>494</v>
      </c>
      <c r="BL2" s="741" t="s">
        <v>502</v>
      </c>
      <c r="BM2" s="742"/>
      <c r="BN2" s="742"/>
      <c r="BO2" s="743"/>
      <c r="BQ2" s="741" t="s">
        <v>992</v>
      </c>
      <c r="BR2" s="742"/>
      <c r="BS2" s="742"/>
      <c r="BT2" s="743"/>
      <c r="BV2" s="741" t="s">
        <v>126</v>
      </c>
      <c r="BW2" s="742"/>
      <c r="BX2" s="742"/>
      <c r="BY2" s="743"/>
      <c r="CA2" s="741" t="s">
        <v>497</v>
      </c>
      <c r="CB2" s="742"/>
      <c r="CC2" s="742"/>
      <c r="CD2" s="743"/>
    </row>
    <row r="3" spans="1:82" ht="27.75" thickBot="1">
      <c r="A3" s="766"/>
      <c r="B3" s="762"/>
      <c r="C3" s="762"/>
      <c r="D3" s="762"/>
      <c r="E3" s="762"/>
      <c r="F3" s="762"/>
      <c r="G3" s="763"/>
      <c r="I3" s="765"/>
      <c r="J3" s="317" t="s">
        <v>65</v>
      </c>
      <c r="K3" s="317" t="s">
        <v>67</v>
      </c>
      <c r="L3" s="317" t="s">
        <v>69</v>
      </c>
      <c r="M3" s="317" t="s">
        <v>71</v>
      </c>
      <c r="N3" s="625"/>
      <c r="O3" s="625"/>
      <c r="P3" s="317" t="s">
        <v>65</v>
      </c>
      <c r="Q3" s="317" t="s">
        <v>67</v>
      </c>
      <c r="R3" s="317" t="s">
        <v>78</v>
      </c>
      <c r="S3" s="317" t="s">
        <v>71</v>
      </c>
      <c r="T3" s="317" t="s">
        <v>81</v>
      </c>
      <c r="U3" s="317" t="s">
        <v>83</v>
      </c>
      <c r="V3" s="317" t="s">
        <v>85</v>
      </c>
      <c r="W3" s="317" t="s">
        <v>71</v>
      </c>
      <c r="X3" s="317" t="s">
        <v>81</v>
      </c>
      <c r="Y3" s="317" t="s">
        <v>83</v>
      </c>
      <c r="Z3" s="317" t="s">
        <v>85</v>
      </c>
      <c r="AA3" s="317" t="s">
        <v>71</v>
      </c>
      <c r="AB3" s="625"/>
      <c r="AC3" s="625"/>
      <c r="AD3" s="625"/>
      <c r="AE3" s="625"/>
      <c r="AF3" s="626"/>
      <c r="AH3" s="720"/>
      <c r="AI3" s="321" t="s">
        <v>65</v>
      </c>
      <c r="AJ3" s="321" t="s">
        <v>67</v>
      </c>
      <c r="AK3" s="321" t="s">
        <v>69</v>
      </c>
      <c r="AL3" s="321" t="s">
        <v>71</v>
      </c>
      <c r="AM3" s="714"/>
      <c r="AN3" s="714"/>
      <c r="AO3" s="321" t="s">
        <v>65</v>
      </c>
      <c r="AP3" s="321" t="s">
        <v>67</v>
      </c>
      <c r="AQ3" s="321" t="s">
        <v>78</v>
      </c>
      <c r="AR3" s="321" t="s">
        <v>71</v>
      </c>
      <c r="AS3" s="321" t="s">
        <v>81</v>
      </c>
      <c r="AT3" s="321" t="s">
        <v>83</v>
      </c>
      <c r="AU3" s="321" t="s">
        <v>85</v>
      </c>
      <c r="AV3" s="321" t="s">
        <v>71</v>
      </c>
      <c r="AW3" s="321" t="s">
        <v>81</v>
      </c>
      <c r="AX3" s="321" t="s">
        <v>83</v>
      </c>
      <c r="AY3" s="321" t="s">
        <v>85</v>
      </c>
      <c r="AZ3" s="321" t="s">
        <v>71</v>
      </c>
      <c r="BA3" s="714"/>
      <c r="BB3" s="714"/>
      <c r="BC3" s="714"/>
      <c r="BD3" s="714"/>
      <c r="BE3" s="710"/>
      <c r="BG3" s="748"/>
      <c r="BH3" s="738"/>
      <c r="BI3" s="738"/>
      <c r="BJ3" s="740"/>
      <c r="BL3" s="320" t="s">
        <v>81</v>
      </c>
      <c r="BM3" s="318" t="s">
        <v>83</v>
      </c>
      <c r="BN3" s="318" t="s">
        <v>85</v>
      </c>
      <c r="BO3" s="319" t="s">
        <v>71</v>
      </c>
      <c r="BQ3" s="320" t="s">
        <v>81</v>
      </c>
      <c r="BR3" s="318" t="s">
        <v>83</v>
      </c>
      <c r="BS3" s="318" t="s">
        <v>85</v>
      </c>
      <c r="BT3" s="319" t="s">
        <v>71</v>
      </c>
      <c r="BV3" s="320" t="s">
        <v>81</v>
      </c>
      <c r="BW3" s="318" t="s">
        <v>83</v>
      </c>
      <c r="BX3" s="318" t="s">
        <v>85</v>
      </c>
      <c r="BY3" s="319" t="s">
        <v>71</v>
      </c>
      <c r="CA3" s="320" t="s">
        <v>81</v>
      </c>
      <c r="CB3" s="318" t="s">
        <v>83</v>
      </c>
      <c r="CC3" s="318" t="s">
        <v>85</v>
      </c>
      <c r="CD3" s="319" t="s">
        <v>71</v>
      </c>
    </row>
    <row r="4" spans="1:82" ht="12.6" hidden="1" customHeight="1" thickBot="1">
      <c r="A4" s="93" t="s">
        <v>49</v>
      </c>
      <c r="B4" s="94" t="s">
        <v>51</v>
      </c>
      <c r="C4" s="94" t="s">
        <v>53</v>
      </c>
      <c r="D4" s="94" t="s">
        <v>55</v>
      </c>
      <c r="E4" s="94" t="s">
        <v>57</v>
      </c>
      <c r="F4" s="94" t="s">
        <v>59</v>
      </c>
      <c r="G4" s="95" t="s">
        <v>61</v>
      </c>
      <c r="I4" s="116" t="s">
        <v>63</v>
      </c>
      <c r="J4" s="117" t="s">
        <v>66</v>
      </c>
      <c r="K4" s="117" t="s">
        <v>68</v>
      </c>
      <c r="L4" s="117" t="s">
        <v>70</v>
      </c>
      <c r="M4" s="117" t="s">
        <v>72</v>
      </c>
      <c r="N4" s="117" t="s">
        <v>73</v>
      </c>
      <c r="O4" s="117" t="s">
        <v>74</v>
      </c>
      <c r="P4" s="117" t="s">
        <v>76</v>
      </c>
      <c r="Q4" s="117" t="s">
        <v>77</v>
      </c>
      <c r="R4" s="117" t="s">
        <v>79</v>
      </c>
      <c r="S4" s="117" t="s">
        <v>80</v>
      </c>
      <c r="T4" s="117" t="s">
        <v>82</v>
      </c>
      <c r="U4" s="117" t="s">
        <v>84</v>
      </c>
      <c r="V4" s="117" t="s">
        <v>86</v>
      </c>
      <c r="W4" s="117" t="s">
        <v>87</v>
      </c>
      <c r="X4" s="117" t="s">
        <v>152</v>
      </c>
      <c r="Y4" s="117" t="s">
        <v>153</v>
      </c>
      <c r="Z4" s="117" t="s">
        <v>154</v>
      </c>
      <c r="AA4" s="117" t="s">
        <v>155</v>
      </c>
      <c r="AB4" s="117" t="s">
        <v>89</v>
      </c>
      <c r="AC4" s="117" t="s">
        <v>91</v>
      </c>
      <c r="AD4" s="117" t="s">
        <v>93</v>
      </c>
      <c r="AE4" s="117" t="s">
        <v>95</v>
      </c>
      <c r="AF4" s="118" t="s">
        <v>96</v>
      </c>
      <c r="AH4" s="97" t="s">
        <v>97</v>
      </c>
      <c r="AI4" s="98" t="s">
        <v>98</v>
      </c>
      <c r="AJ4" s="98" t="s">
        <v>99</v>
      </c>
      <c r="AK4" s="98" t="s">
        <v>100</v>
      </c>
      <c r="AL4" s="98" t="s">
        <v>101</v>
      </c>
      <c r="AM4" s="98" t="s">
        <v>102</v>
      </c>
      <c r="AN4" s="98" t="s">
        <v>103</v>
      </c>
      <c r="AO4" s="98" t="s">
        <v>104</v>
      </c>
      <c r="AP4" s="98" t="s">
        <v>105</v>
      </c>
      <c r="AQ4" s="98" t="s">
        <v>106</v>
      </c>
      <c r="AR4" s="98" t="s">
        <v>107</v>
      </c>
      <c r="AS4" s="98" t="s">
        <v>108</v>
      </c>
      <c r="AT4" s="98" t="s">
        <v>109</v>
      </c>
      <c r="AU4" s="98" t="s">
        <v>110</v>
      </c>
      <c r="AV4" s="98" t="s">
        <v>111</v>
      </c>
      <c r="AW4" s="98" t="s">
        <v>156</v>
      </c>
      <c r="AX4" s="98" t="s">
        <v>157</v>
      </c>
      <c r="AY4" s="98" t="s">
        <v>158</v>
      </c>
      <c r="AZ4" s="98" t="s">
        <v>159</v>
      </c>
      <c r="BA4" s="98" t="s">
        <v>112</v>
      </c>
      <c r="BB4" s="98" t="s">
        <v>113</v>
      </c>
      <c r="BC4" s="98" t="s">
        <v>114</v>
      </c>
      <c r="BD4" s="98" t="s">
        <v>115</v>
      </c>
      <c r="BE4" s="99" t="s">
        <v>116</v>
      </c>
      <c r="BG4" s="93" t="s">
        <v>118</v>
      </c>
      <c r="BH4" s="94" t="s">
        <v>120</v>
      </c>
      <c r="BI4" s="94" t="s">
        <v>505</v>
      </c>
      <c r="BJ4" s="95" t="s">
        <v>506</v>
      </c>
      <c r="BL4" s="97" t="s">
        <v>122</v>
      </c>
      <c r="BM4" s="98" t="s">
        <v>123</v>
      </c>
      <c r="BN4" s="98" t="s">
        <v>124</v>
      </c>
      <c r="BO4" s="99" t="s">
        <v>125</v>
      </c>
      <c r="BQ4" s="97" t="s">
        <v>161</v>
      </c>
      <c r="BR4" s="98" t="s">
        <v>162</v>
      </c>
      <c r="BS4" s="98" t="s">
        <v>163</v>
      </c>
      <c r="BT4" s="99" t="s">
        <v>164</v>
      </c>
      <c r="BV4" s="97" t="s">
        <v>127</v>
      </c>
      <c r="BW4" s="98" t="s">
        <v>128</v>
      </c>
      <c r="BX4" s="98" t="s">
        <v>129</v>
      </c>
      <c r="BY4" s="99" t="s">
        <v>130</v>
      </c>
      <c r="CA4" s="97" t="s">
        <v>165</v>
      </c>
      <c r="CB4" s="98" t="s">
        <v>166</v>
      </c>
      <c r="CC4" s="98" t="s">
        <v>167</v>
      </c>
      <c r="CD4" s="99" t="s">
        <v>168</v>
      </c>
    </row>
    <row r="5" spans="1:82">
      <c r="A5" s="96" t="s">
        <v>1142</v>
      </c>
      <c r="B5" s="290" t="s">
        <v>993</v>
      </c>
      <c r="C5" s="28" t="s">
        <v>131</v>
      </c>
      <c r="D5" s="300">
        <v>9378695</v>
      </c>
      <c r="E5" s="299">
        <v>17</v>
      </c>
      <c r="F5" s="299">
        <v>1</v>
      </c>
      <c r="G5" s="309"/>
      <c r="I5" s="46" t="str">
        <f t="shared" ref="I5:I103" si="0">IF(OR(ISBLANK(P5),ISBLANK(G5)),"·",P5*G5/F5/1000000)</f>
        <v>·</v>
      </c>
      <c r="J5" s="47">
        <f t="shared" ref="J5:J103" si="1">IF(ISBLANK(P5),"·",P5/D5)</f>
        <v>19.557640375340068</v>
      </c>
      <c r="K5" s="47">
        <f t="shared" ref="K5:K103" si="2">IF(Q5="","·",Q5/D5)</f>
        <v>15.231585204551379</v>
      </c>
      <c r="L5" s="103"/>
      <c r="M5" s="47">
        <f t="shared" ref="M5:M94" si="3">IF(ISBLANK(Q5),"·",S5/D5)</f>
        <v>4.3259809600376169</v>
      </c>
      <c r="N5" s="47">
        <f t="shared" ref="N5:N103" si="4">IF(ISBLANK(P5),"·",P5/O5)</f>
        <v>19.557640375340068</v>
      </c>
      <c r="O5" s="520">
        <v>9378695</v>
      </c>
      <c r="P5" s="502">
        <v>183425144</v>
      </c>
      <c r="Q5" s="372">
        <v>142852392</v>
      </c>
      <c r="R5" s="104"/>
      <c r="S5" s="353">
        <v>40572056</v>
      </c>
      <c r="T5" s="103"/>
      <c r="U5" s="104"/>
      <c r="V5" s="104"/>
      <c r="W5" s="354">
        <v>77.007507000000004</v>
      </c>
      <c r="X5" s="103"/>
      <c r="Y5" s="104"/>
      <c r="Z5" s="104"/>
      <c r="AA5" s="514">
        <v>72.247062999999997</v>
      </c>
      <c r="AB5" s="506"/>
      <c r="AC5" s="355"/>
      <c r="AD5" s="572">
        <v>0</v>
      </c>
      <c r="AE5" s="572">
        <v>0</v>
      </c>
      <c r="AF5" s="49"/>
      <c r="AH5" s="46" t="str">
        <f t="shared" ref="AH5:AH103" si="5">IF(OR(ISBLANK(AO5),ISBLANK(G5)),"·",AO5*G5/F5/1000000)</f>
        <v>·</v>
      </c>
      <c r="AI5" s="47">
        <f t="shared" ref="AI5" si="6">IF(ISBLANK(AO5),"·",AO5/D5)</f>
        <v>19.557640375340068</v>
      </c>
      <c r="AJ5" s="47">
        <f>IF(AP5="","·",AP5/D5)</f>
        <v>15.231585204551379</v>
      </c>
      <c r="AK5" s="103" t="str">
        <f>IF(ISBLANK(AQ5),"·",AQ5/D5)</f>
        <v>·</v>
      </c>
      <c r="AL5" s="47">
        <f>IF(ISBLANK(AR5),"·",AR5/D5)</f>
        <v>4.3259809600376169</v>
      </c>
      <c r="AM5" s="47">
        <f>IF(ISBLANK(AO5),"·",AO5/AN5)</f>
        <v>19.557640375340068</v>
      </c>
      <c r="AN5" s="520">
        <v>9378695</v>
      </c>
      <c r="AO5" s="502">
        <v>183425144</v>
      </c>
      <c r="AP5" s="372">
        <v>142852392</v>
      </c>
      <c r="AQ5" s="104"/>
      <c r="AR5" s="353">
        <v>40572056</v>
      </c>
      <c r="AS5" s="103"/>
      <c r="AT5" s="104"/>
      <c r="AU5" s="104"/>
      <c r="AV5" s="354">
        <v>77.007507000000004</v>
      </c>
      <c r="AW5" s="103"/>
      <c r="AX5" s="104"/>
      <c r="AY5" s="104"/>
      <c r="AZ5" s="514">
        <v>72.247062999999997</v>
      </c>
      <c r="BA5" s="506">
        <v>32.497</v>
      </c>
      <c r="BB5" s="355">
        <v>23.001000000000001</v>
      </c>
      <c r="BC5" s="572">
        <v>0</v>
      </c>
      <c r="BD5" s="572">
        <v>0</v>
      </c>
      <c r="BE5" s="49"/>
      <c r="BG5" s="119" t="e">
        <f t="shared" ref="BG5:BH20" si="7">BC5/AD5</f>
        <v>#DIV/0!</v>
      </c>
      <c r="BH5" s="120" t="e">
        <f t="shared" si="7"/>
        <v>#DIV/0!</v>
      </c>
      <c r="BI5" s="120">
        <f t="shared" ref="BI5:BI103" si="8">(AP5/AO5) - (Q5/P5)</f>
        <v>0</v>
      </c>
      <c r="BJ5" s="121">
        <f t="array" ref="BJ5">AVERAGE(AP5:AP9/AO5:AO9) - AVERAGE(Q5:Q9/P5:P9)</f>
        <v>0</v>
      </c>
      <c r="BL5" s="103"/>
      <c r="BM5" s="104"/>
      <c r="BN5" s="104"/>
      <c r="BO5" s="139">
        <f>IF( OR(ISBLANK($S5:$S9),ISBLANK($AR5:$AR9), ISBLANK($W5:$W9),ISBLANK($AV5:$AV9)), "·", bdRateHermite($S5:$S9,$W5:$W9, $AR5:$AR9,$AV5:$AV9))</f>
        <v>0</v>
      </c>
      <c r="BQ5" s="137"/>
      <c r="BR5" s="138"/>
      <c r="BS5" s="138"/>
      <c r="BT5" s="139">
        <f>IF( OR(ISBLANK($S5:$S9),ISBLANK($AR5:$AR9), ISBLANK($AA5:$AA9),ISBLANK($AZ5:$AZ9)), "·", bdRateHermite($S5:$S9,$AA5:$AA9, $AR5:$AR9,$AZ5:$AZ9))</f>
        <v>0</v>
      </c>
      <c r="BV5" s="137"/>
      <c r="BW5" s="138"/>
      <c r="BX5" s="138"/>
      <c r="BY5" s="139">
        <f>IF(OR(ISBLANK($P5:$P9),ISBLANK($AO5:$AO9),ISBLANK($W5:$W9),ISBLANK($AV5:$AV9)),"·",bdRateHermite($P5:$P9,$W5:$W9,$AO5:$AO9,$AV5:$AV9))</f>
        <v>0</v>
      </c>
      <c r="CA5" s="137"/>
      <c r="CB5" s="138"/>
      <c r="CC5" s="138"/>
      <c r="CD5" s="139">
        <f>IF( OR(ISBLANK($P5:$P9),ISBLANK($AO5:$AO9), ISBLANK($AA5:$AA9),ISBLANK($AZ5:$AZ9)), "·", bdRateHermite( $P5:$P9,$AA5:$AA9, $AO5:$AO9,$AZ5:$AZ9))</f>
        <v>0</v>
      </c>
    </row>
    <row r="6" spans="1:82" outlineLevel="1">
      <c r="A6" s="13"/>
      <c r="B6" s="291" t="s">
        <v>993</v>
      </c>
      <c r="C6" s="15" t="s">
        <v>132</v>
      </c>
      <c r="D6" s="300">
        <v>9378695</v>
      </c>
      <c r="E6" s="299">
        <v>17</v>
      </c>
      <c r="F6" s="299">
        <v>1</v>
      </c>
      <c r="G6" s="310"/>
      <c r="I6" s="30" t="str">
        <f t="shared" si="0"/>
        <v>·</v>
      </c>
      <c r="J6" s="31">
        <f t="shared" si="1"/>
        <v>20.950519875099893</v>
      </c>
      <c r="K6" s="31">
        <f t="shared" si="2"/>
        <v>15.231585204551379</v>
      </c>
      <c r="L6" s="105"/>
      <c r="M6" s="31">
        <f t="shared" si="3"/>
        <v>5.7188604597974448</v>
      </c>
      <c r="N6" s="31">
        <f t="shared" si="4"/>
        <v>20.950519875099893</v>
      </c>
      <c r="O6" s="521">
        <v>9378695</v>
      </c>
      <c r="P6" s="503">
        <v>196488536</v>
      </c>
      <c r="Q6" s="373">
        <v>142852392</v>
      </c>
      <c r="R6" s="106"/>
      <c r="S6" s="357">
        <v>53635448</v>
      </c>
      <c r="T6" s="105"/>
      <c r="U6" s="106"/>
      <c r="V6" s="106"/>
      <c r="W6" s="358">
        <v>83.005607999999995</v>
      </c>
      <c r="X6" s="105"/>
      <c r="Y6" s="106"/>
      <c r="Z6" s="106"/>
      <c r="AA6" s="515">
        <v>78.267669999999995</v>
      </c>
      <c r="AB6" s="507"/>
      <c r="AC6" s="359"/>
      <c r="AD6" s="573">
        <v>0</v>
      </c>
      <c r="AE6" s="573">
        <v>0</v>
      </c>
      <c r="AF6" s="33"/>
      <c r="AH6" s="30" t="str">
        <f t="shared" si="5"/>
        <v>·</v>
      </c>
      <c r="AI6" s="31">
        <f t="shared" ref="AI6:AI69" si="9">IF(ISBLANK(AO6),"·",AO6/D6)</f>
        <v>20.950519875099893</v>
      </c>
      <c r="AJ6" s="31">
        <f t="shared" ref="AJ6:AJ69" si="10">IF(AP6="","·",AP6/D6)</f>
        <v>15.231585204551379</v>
      </c>
      <c r="AK6" s="105" t="str">
        <f t="shared" ref="AK6:AK69" si="11">IF(ISBLANK(AQ6),"·",AQ6/D6)</f>
        <v>·</v>
      </c>
      <c r="AL6" s="31">
        <f t="shared" ref="AL6:AL69" si="12">IF(ISBLANK(AR6),"·",AR6/D6)</f>
        <v>5.7188604597974448</v>
      </c>
      <c r="AM6" s="31">
        <f t="shared" ref="AM6:AM103" si="13">IF(ISBLANK(AO6),"·",AO6/AN6)</f>
        <v>20.950519875099893</v>
      </c>
      <c r="AN6" s="521">
        <v>9378695</v>
      </c>
      <c r="AO6" s="503">
        <v>196488536</v>
      </c>
      <c r="AP6" s="373">
        <v>142852392</v>
      </c>
      <c r="AQ6" s="106"/>
      <c r="AR6" s="357">
        <v>53635448</v>
      </c>
      <c r="AS6" s="105"/>
      <c r="AT6" s="106"/>
      <c r="AU6" s="106"/>
      <c r="AV6" s="358">
        <v>83.005607999999995</v>
      </c>
      <c r="AW6" s="105"/>
      <c r="AX6" s="106"/>
      <c r="AY6" s="106"/>
      <c r="AZ6" s="515">
        <v>78.267669999999995</v>
      </c>
      <c r="BA6" s="507">
        <v>35.572000000000003</v>
      </c>
      <c r="BB6" s="359">
        <v>23.768000000000001</v>
      </c>
      <c r="BC6" s="573">
        <v>0</v>
      </c>
      <c r="BD6" s="573">
        <v>0</v>
      </c>
      <c r="BE6" s="33"/>
      <c r="BG6" s="122" t="e">
        <f t="shared" si="7"/>
        <v>#DIV/0!</v>
      </c>
      <c r="BH6" s="123" t="e">
        <f t="shared" si="7"/>
        <v>#DIV/0!</v>
      </c>
      <c r="BI6" s="123">
        <f t="shared" si="8"/>
        <v>0</v>
      </c>
      <c r="BJ6" s="124"/>
      <c r="BL6" s="105"/>
      <c r="BM6" s="106"/>
      <c r="BN6" s="106"/>
      <c r="BO6" s="107"/>
      <c r="BQ6" s="105"/>
      <c r="BR6" s="106"/>
      <c r="BS6" s="106"/>
      <c r="BT6" s="107"/>
      <c r="BV6" s="105"/>
      <c r="BW6" s="106"/>
      <c r="BX6" s="106"/>
      <c r="BY6" s="107"/>
      <c r="CA6" s="105"/>
      <c r="CB6" s="106"/>
      <c r="CC6" s="106"/>
      <c r="CD6" s="107"/>
    </row>
    <row r="7" spans="1:82" outlineLevel="1">
      <c r="A7" s="13"/>
      <c r="B7" s="291" t="s">
        <v>993</v>
      </c>
      <c r="C7" s="15" t="s">
        <v>133</v>
      </c>
      <c r="D7" s="300">
        <v>9378695</v>
      </c>
      <c r="E7" s="299">
        <v>17</v>
      </c>
      <c r="F7" s="299">
        <v>1</v>
      </c>
      <c r="G7" s="310"/>
      <c r="I7" s="30" t="str">
        <f t="shared" si="0"/>
        <v>·</v>
      </c>
      <c r="J7" s="31">
        <f t="shared" si="1"/>
        <v>22.585188237809206</v>
      </c>
      <c r="K7" s="31">
        <f t="shared" si="2"/>
        <v>15.231585204551379</v>
      </c>
      <c r="L7" s="105"/>
      <c r="M7" s="31">
        <f t="shared" si="3"/>
        <v>7.3535296755038946</v>
      </c>
      <c r="N7" s="31">
        <f t="shared" si="4"/>
        <v>22.585188237809206</v>
      </c>
      <c r="O7" s="521">
        <v>9378695</v>
      </c>
      <c r="P7" s="503">
        <v>211819592</v>
      </c>
      <c r="Q7" s="373">
        <v>142852392</v>
      </c>
      <c r="R7" s="106"/>
      <c r="S7" s="357">
        <v>68966512</v>
      </c>
      <c r="T7" s="105"/>
      <c r="U7" s="106"/>
      <c r="V7" s="106"/>
      <c r="W7" s="358">
        <v>88.925278000000006</v>
      </c>
      <c r="X7" s="105"/>
      <c r="Y7" s="106"/>
      <c r="Z7" s="106"/>
      <c r="AA7" s="515">
        <v>84.288269</v>
      </c>
      <c r="AB7" s="507"/>
      <c r="AC7" s="359"/>
      <c r="AD7" s="573">
        <v>0</v>
      </c>
      <c r="AE7" s="573">
        <v>0</v>
      </c>
      <c r="AF7" s="33"/>
      <c r="AH7" s="30" t="str">
        <f t="shared" si="5"/>
        <v>·</v>
      </c>
      <c r="AI7" s="31">
        <f t="shared" si="9"/>
        <v>22.585188237809206</v>
      </c>
      <c r="AJ7" s="31">
        <f t="shared" si="10"/>
        <v>15.231585204551379</v>
      </c>
      <c r="AK7" s="105" t="str">
        <f t="shared" si="11"/>
        <v>·</v>
      </c>
      <c r="AL7" s="31">
        <f t="shared" si="12"/>
        <v>7.3535296755038946</v>
      </c>
      <c r="AM7" s="31">
        <f t="shared" si="13"/>
        <v>22.585188237809206</v>
      </c>
      <c r="AN7" s="521">
        <v>9378695</v>
      </c>
      <c r="AO7" s="503">
        <v>211819592</v>
      </c>
      <c r="AP7" s="373">
        <v>142852392</v>
      </c>
      <c r="AQ7" s="106"/>
      <c r="AR7" s="357">
        <v>68966512</v>
      </c>
      <c r="AS7" s="105"/>
      <c r="AT7" s="106"/>
      <c r="AU7" s="106"/>
      <c r="AV7" s="358">
        <v>88.925278000000006</v>
      </c>
      <c r="AW7" s="105"/>
      <c r="AX7" s="106"/>
      <c r="AY7" s="106"/>
      <c r="AZ7" s="515">
        <v>84.288269</v>
      </c>
      <c r="BA7" s="507">
        <v>34.344000000000001</v>
      </c>
      <c r="BB7" s="359">
        <v>23.847999999999999</v>
      </c>
      <c r="BC7" s="573">
        <v>0</v>
      </c>
      <c r="BD7" s="573">
        <v>0</v>
      </c>
      <c r="BE7" s="33"/>
      <c r="BG7" s="122" t="e">
        <f t="shared" si="7"/>
        <v>#DIV/0!</v>
      </c>
      <c r="BH7" s="123" t="e">
        <f t="shared" si="7"/>
        <v>#DIV/0!</v>
      </c>
      <c r="BI7" s="123">
        <f t="shared" si="8"/>
        <v>0</v>
      </c>
      <c r="BJ7" s="124"/>
      <c r="BL7" s="105"/>
      <c r="BM7" s="106"/>
      <c r="BN7" s="106"/>
      <c r="BO7" s="107"/>
      <c r="BQ7" s="105"/>
      <c r="BR7" s="106"/>
      <c r="BS7" s="106"/>
      <c r="BT7" s="107"/>
      <c r="BV7" s="105"/>
      <c r="BW7" s="106"/>
      <c r="BX7" s="106"/>
      <c r="BY7" s="107"/>
      <c r="CA7" s="105"/>
      <c r="CB7" s="106"/>
      <c r="CC7" s="106"/>
      <c r="CD7" s="107"/>
    </row>
    <row r="8" spans="1:82" outlineLevel="1">
      <c r="A8" s="13"/>
      <c r="B8" s="291" t="s">
        <v>993</v>
      </c>
      <c r="C8" s="15" t="s">
        <v>134</v>
      </c>
      <c r="D8" s="300">
        <v>9378695</v>
      </c>
      <c r="E8" s="299">
        <v>17</v>
      </c>
      <c r="F8" s="299">
        <v>1</v>
      </c>
      <c r="G8" s="310"/>
      <c r="I8" s="30" t="str">
        <f t="shared" si="0"/>
        <v>·</v>
      </c>
      <c r="J8" s="31">
        <f t="shared" si="1"/>
        <v>23.706683285894254</v>
      </c>
      <c r="K8" s="31">
        <f t="shared" si="2"/>
        <v>15.231585204551379</v>
      </c>
      <c r="L8" s="105"/>
      <c r="M8" s="31">
        <f t="shared" si="3"/>
        <v>8.4750247235889429</v>
      </c>
      <c r="N8" s="31">
        <f t="shared" si="4"/>
        <v>23.706683285894254</v>
      </c>
      <c r="O8" s="521">
        <v>9378695</v>
      </c>
      <c r="P8" s="503">
        <v>222337752</v>
      </c>
      <c r="Q8" s="373">
        <v>142852392</v>
      </c>
      <c r="R8" s="106"/>
      <c r="S8" s="357">
        <v>79484672</v>
      </c>
      <c r="T8" s="105"/>
      <c r="U8" s="106"/>
      <c r="V8" s="106"/>
      <c r="W8" s="358">
        <v>94.569305</v>
      </c>
      <c r="X8" s="105"/>
      <c r="Y8" s="106"/>
      <c r="Z8" s="106"/>
      <c r="AA8" s="515">
        <v>90.308868000000004</v>
      </c>
      <c r="AB8" s="507"/>
      <c r="AC8" s="359"/>
      <c r="AD8" s="573">
        <v>0</v>
      </c>
      <c r="AE8" s="573">
        <v>0</v>
      </c>
      <c r="AF8" s="33"/>
      <c r="AH8" s="30" t="str">
        <f t="shared" si="5"/>
        <v>·</v>
      </c>
      <c r="AI8" s="31">
        <f t="shared" si="9"/>
        <v>23.706683285894254</v>
      </c>
      <c r="AJ8" s="31">
        <f t="shared" si="10"/>
        <v>15.231585204551379</v>
      </c>
      <c r="AK8" s="105" t="str">
        <f t="shared" si="11"/>
        <v>·</v>
      </c>
      <c r="AL8" s="31">
        <f t="shared" si="12"/>
        <v>8.4750247235889429</v>
      </c>
      <c r="AM8" s="31">
        <f t="shared" si="13"/>
        <v>23.706683285894254</v>
      </c>
      <c r="AN8" s="521">
        <v>9378695</v>
      </c>
      <c r="AO8" s="503">
        <v>222337752</v>
      </c>
      <c r="AP8" s="373">
        <v>142852392</v>
      </c>
      <c r="AQ8" s="106"/>
      <c r="AR8" s="357">
        <v>79484672</v>
      </c>
      <c r="AS8" s="105"/>
      <c r="AT8" s="106"/>
      <c r="AU8" s="106"/>
      <c r="AV8" s="358">
        <v>94.569305</v>
      </c>
      <c r="AW8" s="105"/>
      <c r="AX8" s="106"/>
      <c r="AY8" s="106"/>
      <c r="AZ8" s="515">
        <v>90.308868000000004</v>
      </c>
      <c r="BA8" s="507">
        <v>36.246000000000002</v>
      </c>
      <c r="BB8" s="359">
        <v>25.577999999999999</v>
      </c>
      <c r="BC8" s="573">
        <v>0</v>
      </c>
      <c r="BD8" s="573">
        <v>0</v>
      </c>
      <c r="BE8" s="33"/>
      <c r="BG8" s="122" t="e">
        <f t="shared" si="7"/>
        <v>#DIV/0!</v>
      </c>
      <c r="BH8" s="123" t="e">
        <f t="shared" si="7"/>
        <v>#DIV/0!</v>
      </c>
      <c r="BI8" s="123">
        <f t="shared" si="8"/>
        <v>0</v>
      </c>
      <c r="BJ8" s="124"/>
      <c r="BL8" s="105"/>
      <c r="BM8" s="106"/>
      <c r="BN8" s="106"/>
      <c r="BO8" s="107"/>
      <c r="BQ8" s="105"/>
      <c r="BR8" s="106"/>
      <c r="BS8" s="106"/>
      <c r="BT8" s="107"/>
      <c r="BV8" s="105"/>
      <c r="BW8" s="106"/>
      <c r="BX8" s="106"/>
      <c r="BY8" s="107"/>
      <c r="CA8" s="105"/>
      <c r="CB8" s="106"/>
      <c r="CC8" s="106"/>
      <c r="CD8" s="107"/>
    </row>
    <row r="9" spans="1:82" ht="14.25" outlineLevel="1" thickBot="1">
      <c r="A9" s="13"/>
      <c r="B9" s="292" t="s">
        <v>993</v>
      </c>
      <c r="C9" s="22" t="s">
        <v>135</v>
      </c>
      <c r="D9" s="301">
        <v>9378695</v>
      </c>
      <c r="E9" s="302">
        <v>17</v>
      </c>
      <c r="F9" s="302">
        <v>1</v>
      </c>
      <c r="G9" s="311"/>
      <c r="I9" s="34" t="str">
        <f t="shared" si="0"/>
        <v>·</v>
      </c>
      <c r="J9" s="35">
        <f t="shared" si="1"/>
        <v>24.92800117713605</v>
      </c>
      <c r="K9" s="35">
        <f t="shared" si="2"/>
        <v>15.231585204551379</v>
      </c>
      <c r="L9" s="134"/>
      <c r="M9" s="35">
        <f t="shared" si="3"/>
        <v>9.6963426148307406</v>
      </c>
      <c r="N9" s="35">
        <f t="shared" si="4"/>
        <v>24.92800117713605</v>
      </c>
      <c r="O9" s="522">
        <v>9378695</v>
      </c>
      <c r="P9" s="504">
        <v>233792120</v>
      </c>
      <c r="Q9" s="374">
        <v>142852392</v>
      </c>
      <c r="R9" s="135"/>
      <c r="S9" s="369">
        <v>90939040</v>
      </c>
      <c r="T9" s="134"/>
      <c r="U9" s="135"/>
      <c r="V9" s="135"/>
      <c r="W9" s="370">
        <v>99.340401</v>
      </c>
      <c r="X9" s="134"/>
      <c r="Y9" s="135"/>
      <c r="Z9" s="135"/>
      <c r="AA9" s="516">
        <v>96.329468000000006</v>
      </c>
      <c r="AB9" s="508"/>
      <c r="AC9" s="371"/>
      <c r="AD9" s="574">
        <v>0</v>
      </c>
      <c r="AE9" s="574">
        <v>0</v>
      </c>
      <c r="AF9" s="37"/>
      <c r="AH9" s="38" t="str">
        <f t="shared" si="5"/>
        <v>·</v>
      </c>
      <c r="AI9" s="39">
        <f t="shared" si="9"/>
        <v>24.92800117713605</v>
      </c>
      <c r="AJ9" s="39">
        <f t="shared" si="10"/>
        <v>15.231585204551379</v>
      </c>
      <c r="AK9" s="134" t="str">
        <f t="shared" si="11"/>
        <v>·</v>
      </c>
      <c r="AL9" s="39">
        <f t="shared" si="12"/>
        <v>9.6963426148307406</v>
      </c>
      <c r="AM9" s="39">
        <f t="shared" si="13"/>
        <v>24.92800117713605</v>
      </c>
      <c r="AN9" s="522">
        <v>9378695</v>
      </c>
      <c r="AO9" s="504">
        <v>233792120</v>
      </c>
      <c r="AP9" s="374">
        <v>142852392</v>
      </c>
      <c r="AQ9" s="135"/>
      <c r="AR9" s="369">
        <v>90939040</v>
      </c>
      <c r="AS9" s="134"/>
      <c r="AT9" s="135"/>
      <c r="AU9" s="135"/>
      <c r="AV9" s="370">
        <v>99.340401</v>
      </c>
      <c r="AW9" s="134"/>
      <c r="AX9" s="135"/>
      <c r="AY9" s="135"/>
      <c r="AZ9" s="516">
        <v>96.329468000000006</v>
      </c>
      <c r="BA9" s="508">
        <v>37.893999999999998</v>
      </c>
      <c r="BB9" s="371">
        <v>25.577999999999999</v>
      </c>
      <c r="BC9" s="574">
        <v>0</v>
      </c>
      <c r="BD9" s="574">
        <v>0</v>
      </c>
      <c r="BE9" s="41"/>
      <c r="BG9" s="128" t="e">
        <f t="shared" si="7"/>
        <v>#DIV/0!</v>
      </c>
      <c r="BH9" s="129" t="e">
        <f t="shared" si="7"/>
        <v>#DIV/0!</v>
      </c>
      <c r="BI9" s="129">
        <f t="shared" si="8"/>
        <v>0</v>
      </c>
      <c r="BJ9" s="130"/>
      <c r="BL9" s="134"/>
      <c r="BM9" s="135"/>
      <c r="BN9" s="135"/>
      <c r="BO9" s="136"/>
      <c r="BQ9" s="134"/>
      <c r="BR9" s="135"/>
      <c r="BS9" s="135"/>
      <c r="BT9" s="136"/>
      <c r="BV9" s="134"/>
      <c r="BW9" s="135"/>
      <c r="BX9" s="135"/>
      <c r="BY9" s="136"/>
      <c r="CA9" s="134"/>
      <c r="CB9" s="135"/>
      <c r="CC9" s="135"/>
      <c r="CD9" s="136"/>
    </row>
    <row r="10" spans="1:82">
      <c r="A10" s="13"/>
      <c r="B10" s="294" t="s">
        <v>984</v>
      </c>
      <c r="C10" s="28" t="s">
        <v>131</v>
      </c>
      <c r="D10" s="303">
        <v>9477876</v>
      </c>
      <c r="E10" s="304">
        <v>19</v>
      </c>
      <c r="F10" s="304">
        <v>1</v>
      </c>
      <c r="G10" s="309"/>
      <c r="I10" s="42" t="str">
        <f t="shared" si="0"/>
        <v>·</v>
      </c>
      <c r="J10" s="43">
        <f t="shared" si="1"/>
        <v>21.240647588130503</v>
      </c>
      <c r="K10" s="43">
        <f t="shared" si="2"/>
        <v>16.495123590981777</v>
      </c>
      <c r="L10" s="103"/>
      <c r="M10" s="43">
        <f t="shared" si="3"/>
        <v>4.7454454985484089</v>
      </c>
      <c r="N10" s="43">
        <f t="shared" si="4"/>
        <v>21.240647588130503</v>
      </c>
      <c r="O10" s="520">
        <v>9477876</v>
      </c>
      <c r="P10" s="502">
        <v>201316224</v>
      </c>
      <c r="Q10" s="372">
        <v>156338736</v>
      </c>
      <c r="R10" s="104"/>
      <c r="S10" s="353">
        <v>44976744</v>
      </c>
      <c r="T10" s="103"/>
      <c r="U10" s="104"/>
      <c r="V10" s="104"/>
      <c r="W10" s="354">
        <v>77.010093999999995</v>
      </c>
      <c r="X10" s="103"/>
      <c r="Y10" s="104"/>
      <c r="Z10" s="104"/>
      <c r="AA10" s="514">
        <v>72.247062999999997</v>
      </c>
      <c r="AB10" s="506"/>
      <c r="AC10" s="355"/>
      <c r="AD10" s="572">
        <v>0</v>
      </c>
      <c r="AE10" s="572">
        <v>0</v>
      </c>
      <c r="AF10" s="45"/>
      <c r="AH10" s="46" t="str">
        <f t="shared" si="5"/>
        <v>·</v>
      </c>
      <c r="AI10" s="47">
        <f t="shared" si="9"/>
        <v>21.240647588130503</v>
      </c>
      <c r="AJ10" s="47">
        <f t="shared" si="10"/>
        <v>16.495123590981777</v>
      </c>
      <c r="AK10" s="103" t="str">
        <f t="shared" si="11"/>
        <v>·</v>
      </c>
      <c r="AL10" s="47">
        <f t="shared" si="12"/>
        <v>4.7454454985484089</v>
      </c>
      <c r="AM10" s="47">
        <f t="shared" si="13"/>
        <v>21.240647588130503</v>
      </c>
      <c r="AN10" s="520">
        <v>9477876</v>
      </c>
      <c r="AO10" s="502">
        <v>201316224</v>
      </c>
      <c r="AP10" s="372">
        <v>156338736</v>
      </c>
      <c r="AQ10" s="104"/>
      <c r="AR10" s="353">
        <v>44976744</v>
      </c>
      <c r="AS10" s="103"/>
      <c r="AT10" s="104"/>
      <c r="AU10" s="104"/>
      <c r="AV10" s="354">
        <v>77.010093999999995</v>
      </c>
      <c r="AW10" s="103"/>
      <c r="AX10" s="104"/>
      <c r="AY10" s="104"/>
      <c r="AZ10" s="514">
        <v>72.247062999999997</v>
      </c>
      <c r="BA10" s="506">
        <v>33.99</v>
      </c>
      <c r="BB10" s="355">
        <v>22.728999999999999</v>
      </c>
      <c r="BC10" s="572">
        <v>0</v>
      </c>
      <c r="BD10" s="572">
        <v>0</v>
      </c>
      <c r="BE10" s="49"/>
      <c r="BG10" s="119" t="e">
        <f t="shared" si="7"/>
        <v>#DIV/0!</v>
      </c>
      <c r="BH10" s="120" t="e">
        <f t="shared" si="7"/>
        <v>#DIV/0!</v>
      </c>
      <c r="BI10" s="120">
        <f t="shared" si="8"/>
        <v>0</v>
      </c>
      <c r="BJ10" s="121">
        <f t="array" ref="BJ10">AVERAGE(AP10:AP14/AO10:AO14) - AVERAGE(Q10:Q14/P10:P14)</f>
        <v>0</v>
      </c>
      <c r="BL10" s="103"/>
      <c r="BM10" s="104"/>
      <c r="BN10" s="104"/>
      <c r="BO10" s="139">
        <f>IF( OR(ISBLANK($S10:$S14),ISBLANK($AR10:$AR14), ISBLANK($W10:$W14),ISBLANK($AV10:$AV14)), "·", bdRateHermite($S10:$S14,$W10:$W14, $AR10:$AR14,$AV10:$AV14))</f>
        <v>0</v>
      </c>
      <c r="BQ10" s="137"/>
      <c r="BR10" s="138"/>
      <c r="BS10" s="138"/>
      <c r="BT10" s="139">
        <f>IF( OR(ISBLANK($S10:$S14),ISBLANK($AR10:$AR14), ISBLANK($AA10:$AA14),ISBLANK($AZ10:$AZ14)), "·", bdRateHermite($S10:$S14,$AA10:$AA14, $AR10:$AR14,$AZ10:$AZ14))</f>
        <v>0</v>
      </c>
      <c r="BV10" s="137"/>
      <c r="BW10" s="138"/>
      <c r="BX10" s="138"/>
      <c r="BY10" s="139">
        <f>IF(OR(ISBLANK($P10:$P14),ISBLANK($AO10:$AO14),ISBLANK($W10:$W14),ISBLANK($AV10:$AV14)),"·",bdRateHermite($P10:$P14,$W10:$W14,$AO10:$AO14,$AV10:$AV14))</f>
        <v>0</v>
      </c>
      <c r="CA10" s="137"/>
      <c r="CB10" s="138"/>
      <c r="CC10" s="138"/>
      <c r="CD10" s="139">
        <f>IF( OR(ISBLANK($P10:$P14),ISBLANK($AO10:$AO14), ISBLANK($AA10:$AA14),ISBLANK($AZ10:$AZ14)), "·", bdRateHermite( $P10:$P14,$AA10:$AA14, $AO10:$AO14,$AZ10:$AZ14))</f>
        <v>0</v>
      </c>
    </row>
    <row r="11" spans="1:82" outlineLevel="1">
      <c r="A11" s="13"/>
      <c r="B11" s="295" t="s">
        <v>984</v>
      </c>
      <c r="C11" s="15" t="s">
        <v>132</v>
      </c>
      <c r="D11" s="300">
        <v>9477876</v>
      </c>
      <c r="E11" s="299">
        <v>19</v>
      </c>
      <c r="F11" s="299">
        <v>1</v>
      </c>
      <c r="G11" s="310"/>
      <c r="I11" s="30" t="str">
        <f t="shared" si="0"/>
        <v>·</v>
      </c>
      <c r="J11" s="31">
        <f t="shared" si="1"/>
        <v>22.703985576515244</v>
      </c>
      <c r="K11" s="31">
        <f t="shared" si="2"/>
        <v>16.495123590981777</v>
      </c>
      <c r="L11" s="105"/>
      <c r="M11" s="31">
        <f t="shared" si="3"/>
        <v>6.2087834869331484</v>
      </c>
      <c r="N11" s="31">
        <f t="shared" si="4"/>
        <v>22.703985576515244</v>
      </c>
      <c r="O11" s="521">
        <v>9477876</v>
      </c>
      <c r="P11" s="503">
        <v>215185560</v>
      </c>
      <c r="Q11" s="373">
        <v>156338736</v>
      </c>
      <c r="R11" s="106"/>
      <c r="S11" s="357">
        <v>58846080</v>
      </c>
      <c r="T11" s="105"/>
      <c r="U11" s="106"/>
      <c r="V11" s="106"/>
      <c r="W11" s="358">
        <v>83.004929000000004</v>
      </c>
      <c r="X11" s="105"/>
      <c r="Y11" s="106"/>
      <c r="Z11" s="106"/>
      <c r="AA11" s="515">
        <v>78.267669999999995</v>
      </c>
      <c r="AB11" s="507"/>
      <c r="AC11" s="359"/>
      <c r="AD11" s="573">
        <v>0</v>
      </c>
      <c r="AE11" s="573">
        <v>0</v>
      </c>
      <c r="AF11" s="33"/>
      <c r="AH11" s="30" t="str">
        <f t="shared" si="5"/>
        <v>·</v>
      </c>
      <c r="AI11" s="31">
        <f t="shared" si="9"/>
        <v>22.703985576515244</v>
      </c>
      <c r="AJ11" s="31">
        <f t="shared" si="10"/>
        <v>16.495123590981777</v>
      </c>
      <c r="AK11" s="105" t="str">
        <f t="shared" si="11"/>
        <v>·</v>
      </c>
      <c r="AL11" s="31">
        <f t="shared" si="12"/>
        <v>6.2087834869331484</v>
      </c>
      <c r="AM11" s="31">
        <f t="shared" si="13"/>
        <v>22.703985576515244</v>
      </c>
      <c r="AN11" s="521">
        <v>9477876</v>
      </c>
      <c r="AO11" s="503">
        <v>215185560</v>
      </c>
      <c r="AP11" s="373">
        <v>156338736</v>
      </c>
      <c r="AQ11" s="106"/>
      <c r="AR11" s="357">
        <v>58846080</v>
      </c>
      <c r="AS11" s="105"/>
      <c r="AT11" s="106"/>
      <c r="AU11" s="106"/>
      <c r="AV11" s="358">
        <v>83.004929000000004</v>
      </c>
      <c r="AW11" s="105"/>
      <c r="AX11" s="106"/>
      <c r="AY11" s="106"/>
      <c r="AZ11" s="515">
        <v>78.267669999999995</v>
      </c>
      <c r="BA11" s="507">
        <v>36.481999999999999</v>
      </c>
      <c r="BB11" s="359">
        <v>22.629000000000001</v>
      </c>
      <c r="BC11" s="573">
        <v>0</v>
      </c>
      <c r="BD11" s="573">
        <v>0</v>
      </c>
      <c r="BE11" s="33"/>
      <c r="BG11" s="122" t="e">
        <f t="shared" si="7"/>
        <v>#DIV/0!</v>
      </c>
      <c r="BH11" s="123" t="e">
        <f t="shared" si="7"/>
        <v>#DIV/0!</v>
      </c>
      <c r="BI11" s="123">
        <f t="shared" si="8"/>
        <v>0</v>
      </c>
      <c r="BJ11" s="124"/>
      <c r="BL11" s="105"/>
      <c r="BM11" s="106"/>
      <c r="BN11" s="106"/>
      <c r="BO11" s="107"/>
      <c r="BQ11" s="105"/>
      <c r="BR11" s="106"/>
      <c r="BS11" s="106"/>
      <c r="BT11" s="107"/>
      <c r="BV11" s="105"/>
      <c r="BW11" s="106"/>
      <c r="BX11" s="106"/>
      <c r="BY11" s="107"/>
      <c r="CA11" s="105"/>
      <c r="CB11" s="106"/>
      <c r="CC11" s="106"/>
      <c r="CD11" s="107"/>
    </row>
    <row r="12" spans="1:82" outlineLevel="1">
      <c r="A12" s="13"/>
      <c r="B12" s="295" t="s">
        <v>984</v>
      </c>
      <c r="C12" s="15" t="s">
        <v>133</v>
      </c>
      <c r="D12" s="300">
        <v>9477876</v>
      </c>
      <c r="E12" s="299">
        <v>19</v>
      </c>
      <c r="F12" s="299">
        <v>1</v>
      </c>
      <c r="G12" s="310"/>
      <c r="I12" s="30" t="str">
        <f t="shared" si="0"/>
        <v>·</v>
      </c>
      <c r="J12" s="31">
        <f t="shared" si="1"/>
        <v>24.173980752649644</v>
      </c>
      <c r="K12" s="31">
        <f t="shared" si="2"/>
        <v>16.495123590981777</v>
      </c>
      <c r="L12" s="105"/>
      <c r="M12" s="31">
        <f t="shared" si="3"/>
        <v>7.6787786630675479</v>
      </c>
      <c r="N12" s="31">
        <f t="shared" si="4"/>
        <v>24.173980752649644</v>
      </c>
      <c r="O12" s="521">
        <v>9477876</v>
      </c>
      <c r="P12" s="503">
        <v>229117992</v>
      </c>
      <c r="Q12" s="373">
        <v>156338736</v>
      </c>
      <c r="R12" s="106"/>
      <c r="S12" s="357">
        <v>72778512</v>
      </c>
      <c r="T12" s="105"/>
      <c r="U12" s="106"/>
      <c r="V12" s="106"/>
      <c r="W12" s="358">
        <v>88.927277000000004</v>
      </c>
      <c r="X12" s="105"/>
      <c r="Y12" s="106"/>
      <c r="Z12" s="106"/>
      <c r="AA12" s="515">
        <v>84.288269</v>
      </c>
      <c r="AB12" s="507"/>
      <c r="AC12" s="359"/>
      <c r="AD12" s="573">
        <v>0</v>
      </c>
      <c r="AE12" s="573">
        <v>0</v>
      </c>
      <c r="AF12" s="33"/>
      <c r="AH12" s="30" t="str">
        <f t="shared" si="5"/>
        <v>·</v>
      </c>
      <c r="AI12" s="31">
        <f t="shared" si="9"/>
        <v>24.173980752649644</v>
      </c>
      <c r="AJ12" s="31">
        <f t="shared" si="10"/>
        <v>16.495123590981777</v>
      </c>
      <c r="AK12" s="105" t="str">
        <f t="shared" si="11"/>
        <v>·</v>
      </c>
      <c r="AL12" s="31">
        <f t="shared" si="12"/>
        <v>7.6787786630675479</v>
      </c>
      <c r="AM12" s="31">
        <f t="shared" si="13"/>
        <v>24.173980752649644</v>
      </c>
      <c r="AN12" s="521">
        <v>9477876</v>
      </c>
      <c r="AO12" s="503">
        <v>229117992</v>
      </c>
      <c r="AP12" s="373">
        <v>156338736</v>
      </c>
      <c r="AQ12" s="106"/>
      <c r="AR12" s="357">
        <v>72778512</v>
      </c>
      <c r="AS12" s="105"/>
      <c r="AT12" s="106"/>
      <c r="AU12" s="106"/>
      <c r="AV12" s="358">
        <v>88.927277000000004</v>
      </c>
      <c r="AW12" s="105"/>
      <c r="AX12" s="106"/>
      <c r="AY12" s="106"/>
      <c r="AZ12" s="515">
        <v>84.288269</v>
      </c>
      <c r="BA12" s="507">
        <v>39.881</v>
      </c>
      <c r="BB12" s="359">
        <v>24.312999999999999</v>
      </c>
      <c r="BC12" s="573">
        <v>0</v>
      </c>
      <c r="BD12" s="573">
        <v>0</v>
      </c>
      <c r="BE12" s="33"/>
      <c r="BG12" s="122" t="e">
        <f t="shared" si="7"/>
        <v>#DIV/0!</v>
      </c>
      <c r="BH12" s="123" t="e">
        <f t="shared" si="7"/>
        <v>#DIV/0!</v>
      </c>
      <c r="BI12" s="123">
        <f t="shared" si="8"/>
        <v>0</v>
      </c>
      <c r="BJ12" s="124"/>
      <c r="BL12" s="105"/>
      <c r="BM12" s="106"/>
      <c r="BN12" s="106"/>
      <c r="BO12" s="107"/>
      <c r="BQ12" s="105"/>
      <c r="BR12" s="106"/>
      <c r="BS12" s="106"/>
      <c r="BT12" s="107"/>
      <c r="BV12" s="105"/>
      <c r="BW12" s="106"/>
      <c r="BX12" s="106"/>
      <c r="BY12" s="107"/>
      <c r="CA12" s="105"/>
      <c r="CB12" s="106"/>
      <c r="CC12" s="106"/>
      <c r="CD12" s="107"/>
    </row>
    <row r="13" spans="1:82" outlineLevel="1">
      <c r="A13" s="13"/>
      <c r="B13" s="295" t="s">
        <v>984</v>
      </c>
      <c r="C13" s="15" t="s">
        <v>134</v>
      </c>
      <c r="D13" s="300">
        <v>9477876</v>
      </c>
      <c r="E13" s="299">
        <v>19</v>
      </c>
      <c r="F13" s="299">
        <v>1</v>
      </c>
      <c r="G13" s="310"/>
      <c r="I13" s="30" t="str">
        <f t="shared" si="0"/>
        <v>·</v>
      </c>
      <c r="J13" s="31">
        <f t="shared" si="1"/>
        <v>25.364449165614744</v>
      </c>
      <c r="K13" s="31">
        <f t="shared" si="2"/>
        <v>16.495123590981777</v>
      </c>
      <c r="L13" s="105"/>
      <c r="M13" s="31">
        <f t="shared" si="3"/>
        <v>8.8692470760326465</v>
      </c>
      <c r="N13" s="31">
        <f t="shared" si="4"/>
        <v>25.364449165614744</v>
      </c>
      <c r="O13" s="521">
        <v>9477876</v>
      </c>
      <c r="P13" s="503">
        <v>240401104</v>
      </c>
      <c r="Q13" s="373">
        <v>156338736</v>
      </c>
      <c r="R13" s="106"/>
      <c r="S13" s="357">
        <v>84061624</v>
      </c>
      <c r="T13" s="105"/>
      <c r="U13" s="106"/>
      <c r="V13" s="106"/>
      <c r="W13" s="358">
        <v>94.567565999999999</v>
      </c>
      <c r="X13" s="105"/>
      <c r="Y13" s="106"/>
      <c r="Z13" s="106"/>
      <c r="AA13" s="515">
        <v>90.308868000000004</v>
      </c>
      <c r="AB13" s="507"/>
      <c r="AC13" s="359"/>
      <c r="AD13" s="573">
        <v>0</v>
      </c>
      <c r="AE13" s="573">
        <v>0</v>
      </c>
      <c r="AF13" s="33"/>
      <c r="AH13" s="30" t="str">
        <f t="shared" si="5"/>
        <v>·</v>
      </c>
      <c r="AI13" s="31">
        <f t="shared" si="9"/>
        <v>25.364449165614744</v>
      </c>
      <c r="AJ13" s="31">
        <f t="shared" si="10"/>
        <v>16.495123590981777</v>
      </c>
      <c r="AK13" s="105" t="str">
        <f t="shared" si="11"/>
        <v>·</v>
      </c>
      <c r="AL13" s="31">
        <f t="shared" si="12"/>
        <v>8.8692470760326465</v>
      </c>
      <c r="AM13" s="31">
        <f t="shared" si="13"/>
        <v>25.364449165614744</v>
      </c>
      <c r="AN13" s="521">
        <v>9477876</v>
      </c>
      <c r="AO13" s="503">
        <v>240401104</v>
      </c>
      <c r="AP13" s="373">
        <v>156338736</v>
      </c>
      <c r="AQ13" s="106"/>
      <c r="AR13" s="357">
        <v>84061624</v>
      </c>
      <c r="AS13" s="105"/>
      <c r="AT13" s="106"/>
      <c r="AU13" s="106"/>
      <c r="AV13" s="358">
        <v>94.567565999999999</v>
      </c>
      <c r="AW13" s="105"/>
      <c r="AX13" s="106"/>
      <c r="AY13" s="106"/>
      <c r="AZ13" s="515">
        <v>90.308868000000004</v>
      </c>
      <c r="BA13" s="507">
        <v>36.567999999999998</v>
      </c>
      <c r="BB13" s="359">
        <v>26.756</v>
      </c>
      <c r="BC13" s="573">
        <v>0</v>
      </c>
      <c r="BD13" s="573">
        <v>0</v>
      </c>
      <c r="BE13" s="33"/>
      <c r="BG13" s="122" t="e">
        <f t="shared" si="7"/>
        <v>#DIV/0!</v>
      </c>
      <c r="BH13" s="123" t="e">
        <f t="shared" si="7"/>
        <v>#DIV/0!</v>
      </c>
      <c r="BI13" s="123">
        <f t="shared" si="8"/>
        <v>0</v>
      </c>
      <c r="BJ13" s="124"/>
      <c r="BL13" s="105"/>
      <c r="BM13" s="106"/>
      <c r="BN13" s="106"/>
      <c r="BO13" s="107"/>
      <c r="BQ13" s="105"/>
      <c r="BR13" s="106"/>
      <c r="BS13" s="106"/>
      <c r="BT13" s="107"/>
      <c r="BV13" s="105"/>
      <c r="BW13" s="106"/>
      <c r="BX13" s="106"/>
      <c r="BY13" s="107"/>
      <c r="CA13" s="105"/>
      <c r="CB13" s="106"/>
      <c r="CC13" s="106"/>
      <c r="CD13" s="107"/>
    </row>
    <row r="14" spans="1:82" ht="14.25" outlineLevel="1" thickBot="1">
      <c r="A14" s="13"/>
      <c r="B14" s="296" t="s">
        <v>984</v>
      </c>
      <c r="C14" s="19" t="s">
        <v>135</v>
      </c>
      <c r="D14" s="305">
        <v>9477876</v>
      </c>
      <c r="E14" s="306">
        <v>19</v>
      </c>
      <c r="F14" s="306">
        <v>1</v>
      </c>
      <c r="G14" s="312"/>
      <c r="I14" s="38" t="str">
        <f t="shared" si="0"/>
        <v>·</v>
      </c>
      <c r="J14" s="39">
        <f t="shared" si="1"/>
        <v>26.622548765145272</v>
      </c>
      <c r="K14" s="39">
        <f t="shared" si="2"/>
        <v>16.495123590981777</v>
      </c>
      <c r="L14" s="108"/>
      <c r="M14" s="39">
        <f t="shared" si="3"/>
        <v>10.127347519634146</v>
      </c>
      <c r="N14" s="39">
        <f t="shared" si="4"/>
        <v>26.622548765145272</v>
      </c>
      <c r="O14" s="521">
        <v>9477876</v>
      </c>
      <c r="P14" s="505">
        <v>252325216</v>
      </c>
      <c r="Q14" s="375">
        <v>156338736</v>
      </c>
      <c r="R14" s="109"/>
      <c r="S14" s="361">
        <v>95985744</v>
      </c>
      <c r="T14" s="108"/>
      <c r="U14" s="109"/>
      <c r="V14" s="109"/>
      <c r="W14" s="362">
        <v>99.339759999999998</v>
      </c>
      <c r="X14" s="108"/>
      <c r="Y14" s="109"/>
      <c r="Z14" s="109"/>
      <c r="AA14" s="517">
        <v>96.329468000000006</v>
      </c>
      <c r="AB14" s="509"/>
      <c r="AC14" s="363"/>
      <c r="AD14" s="575">
        <v>0</v>
      </c>
      <c r="AE14" s="575">
        <v>0</v>
      </c>
      <c r="AF14" s="41"/>
      <c r="AH14" s="34" t="str">
        <f t="shared" si="5"/>
        <v>·</v>
      </c>
      <c r="AI14" s="35">
        <f t="shared" si="9"/>
        <v>26.622548765145272</v>
      </c>
      <c r="AJ14" s="35">
        <f t="shared" si="10"/>
        <v>16.495123590981777</v>
      </c>
      <c r="AK14" s="108" t="str">
        <f t="shared" si="11"/>
        <v>·</v>
      </c>
      <c r="AL14" s="35">
        <f t="shared" si="12"/>
        <v>10.127347519634146</v>
      </c>
      <c r="AM14" s="35">
        <f t="shared" si="13"/>
        <v>26.622548765145272</v>
      </c>
      <c r="AN14" s="521">
        <v>9477876</v>
      </c>
      <c r="AO14" s="505">
        <v>252325216</v>
      </c>
      <c r="AP14" s="375">
        <v>156338736</v>
      </c>
      <c r="AQ14" s="109"/>
      <c r="AR14" s="361">
        <v>95985744</v>
      </c>
      <c r="AS14" s="108"/>
      <c r="AT14" s="109"/>
      <c r="AU14" s="109"/>
      <c r="AV14" s="362">
        <v>99.339759999999998</v>
      </c>
      <c r="AW14" s="108"/>
      <c r="AX14" s="109"/>
      <c r="AY14" s="109"/>
      <c r="AZ14" s="517">
        <v>96.329468000000006</v>
      </c>
      <c r="BA14" s="509">
        <v>38.314999999999998</v>
      </c>
      <c r="BB14" s="363">
        <v>26.071000000000002</v>
      </c>
      <c r="BC14" s="575">
        <v>0</v>
      </c>
      <c r="BD14" s="575">
        <v>0</v>
      </c>
      <c r="BE14" s="37"/>
      <c r="BG14" s="125" t="e">
        <f t="shared" si="7"/>
        <v>#DIV/0!</v>
      </c>
      <c r="BH14" s="126" t="e">
        <f t="shared" si="7"/>
        <v>#DIV/0!</v>
      </c>
      <c r="BI14" s="126">
        <f t="shared" si="8"/>
        <v>0</v>
      </c>
      <c r="BJ14" s="127"/>
      <c r="BL14" s="108"/>
      <c r="BM14" s="109"/>
      <c r="BN14" s="109"/>
      <c r="BO14" s="110"/>
      <c r="BQ14" s="108"/>
      <c r="BR14" s="109"/>
      <c r="BS14" s="109"/>
      <c r="BT14" s="110"/>
      <c r="BV14" s="108"/>
      <c r="BW14" s="109"/>
      <c r="BX14" s="109"/>
      <c r="BY14" s="110"/>
      <c r="CA14" s="108"/>
      <c r="CB14" s="109"/>
      <c r="CC14" s="109"/>
      <c r="CD14" s="110"/>
    </row>
    <row r="15" spans="1:82">
      <c r="A15" s="13"/>
      <c r="B15" s="293" t="s">
        <v>985</v>
      </c>
      <c r="C15" s="25" t="s">
        <v>131</v>
      </c>
      <c r="D15" s="300">
        <v>9740660</v>
      </c>
      <c r="E15" s="299">
        <v>20</v>
      </c>
      <c r="F15" s="299">
        <v>1</v>
      </c>
      <c r="G15" s="26"/>
      <c r="I15" s="46" t="str">
        <f t="shared" si="0"/>
        <v>·</v>
      </c>
      <c r="J15" s="47">
        <f t="shared" si="1"/>
        <v>19.397301620218752</v>
      </c>
      <c r="K15" s="47">
        <f t="shared" si="2"/>
        <v>15.062052879373677</v>
      </c>
      <c r="L15" s="137"/>
      <c r="M15" s="47">
        <f t="shared" si="3"/>
        <v>4.3351723599838206</v>
      </c>
      <c r="N15" s="47">
        <f t="shared" si="4"/>
        <v>19.397301620218752</v>
      </c>
      <c r="O15" s="520">
        <v>9740660</v>
      </c>
      <c r="P15" s="519">
        <v>188942520</v>
      </c>
      <c r="Q15" s="376">
        <v>146714336</v>
      </c>
      <c r="R15" s="138"/>
      <c r="S15" s="365">
        <v>42227440</v>
      </c>
      <c r="T15" s="137"/>
      <c r="U15" s="138"/>
      <c r="V15" s="138"/>
      <c r="W15" s="366">
        <v>77.013099999999994</v>
      </c>
      <c r="X15" s="137"/>
      <c r="Y15" s="138"/>
      <c r="Z15" s="138"/>
      <c r="AA15" s="518">
        <v>72.247062999999997</v>
      </c>
      <c r="AB15" s="510"/>
      <c r="AC15" s="367"/>
      <c r="AD15" s="576">
        <v>0</v>
      </c>
      <c r="AE15" s="576">
        <v>0</v>
      </c>
      <c r="AF15" s="49"/>
      <c r="AH15" s="42" t="str">
        <f t="shared" si="5"/>
        <v>·</v>
      </c>
      <c r="AI15" s="43">
        <f t="shared" si="9"/>
        <v>19.397301620218752</v>
      </c>
      <c r="AJ15" s="43">
        <f t="shared" si="10"/>
        <v>15.062052879373677</v>
      </c>
      <c r="AK15" s="137" t="str">
        <f t="shared" si="11"/>
        <v>·</v>
      </c>
      <c r="AL15" s="43">
        <f t="shared" si="12"/>
        <v>4.3351723599838206</v>
      </c>
      <c r="AM15" s="43">
        <f t="shared" si="13"/>
        <v>19.397301620218752</v>
      </c>
      <c r="AN15" s="520">
        <v>9740660</v>
      </c>
      <c r="AO15" s="519">
        <v>188942520</v>
      </c>
      <c r="AP15" s="376">
        <v>146714336</v>
      </c>
      <c r="AQ15" s="138"/>
      <c r="AR15" s="365">
        <v>42227440</v>
      </c>
      <c r="AS15" s="137"/>
      <c r="AT15" s="138"/>
      <c r="AU15" s="138"/>
      <c r="AV15" s="366">
        <v>77.013099999999994</v>
      </c>
      <c r="AW15" s="137"/>
      <c r="AX15" s="138"/>
      <c r="AY15" s="138"/>
      <c r="AZ15" s="518">
        <v>72.247062999999997</v>
      </c>
      <c r="BA15" s="510">
        <v>34.840000000000003</v>
      </c>
      <c r="BB15" s="367">
        <v>23.843</v>
      </c>
      <c r="BC15" s="576">
        <v>0</v>
      </c>
      <c r="BD15" s="576">
        <v>0</v>
      </c>
      <c r="BE15" s="45"/>
      <c r="BG15" s="131" t="e">
        <f t="shared" si="7"/>
        <v>#DIV/0!</v>
      </c>
      <c r="BH15" s="132" t="e">
        <f t="shared" si="7"/>
        <v>#DIV/0!</v>
      </c>
      <c r="BI15" s="132">
        <f t="shared" si="8"/>
        <v>0</v>
      </c>
      <c r="BJ15" s="133">
        <f t="array" ref="BJ15">AVERAGE(AP15:AP19/AO15:AO19) - AVERAGE(Q15:Q19/P15:P19)</f>
        <v>0</v>
      </c>
      <c r="BL15" s="137"/>
      <c r="BM15" s="138"/>
      <c r="BN15" s="138"/>
      <c r="BO15" s="139">
        <f>IF( OR(ISBLANK($S15:$S19),ISBLANK($AR15:$AR19), ISBLANK($W15:$W19),ISBLANK($AV15:$AV19)), "·", bdRateHermite($S15:$S19,$W15:$W19, $AR15:$AR19,$AV15:$AV19))</f>
        <v>0</v>
      </c>
      <c r="BQ15" s="137"/>
      <c r="BR15" s="138"/>
      <c r="BS15" s="138"/>
      <c r="BT15" s="139">
        <f>IF( OR(ISBLANK($S15:$S19),ISBLANK($AR15:$AR19), ISBLANK($AA15:$AA19),ISBLANK($AZ15:$AZ19)), "·", bdRateHermite($S15:$S19,$AA15:$AA19, $AR15:$AR19,$AZ15:$AZ19))</f>
        <v>0</v>
      </c>
      <c r="BV15" s="137"/>
      <c r="BW15" s="138"/>
      <c r="BX15" s="138"/>
      <c r="BY15" s="139">
        <f>IF(OR(ISBLANK($P15:$P19),ISBLANK($AO15:$AO19),ISBLANK($W15:$W19),ISBLANK($AV15:$AV19)),"·",bdRateHermite($P15:$P19,$W15:$W19,$AO15:$AO19,$AV15:$AV19))</f>
        <v>0</v>
      </c>
      <c r="CA15" s="137"/>
      <c r="CB15" s="138"/>
      <c r="CC15" s="138"/>
      <c r="CD15" s="139">
        <f>IF( OR(ISBLANK($P15:$P19),ISBLANK($AO15:$AO19), ISBLANK($AA15:$AA19),ISBLANK($AZ15:$AZ19)), "·", bdRateHermite( $P15:$P19,$AA15:$AA19, $AO15:$AO19,$AZ15:$AZ19))</f>
        <v>0</v>
      </c>
    </row>
    <row r="16" spans="1:82" outlineLevel="1">
      <c r="A16" s="13"/>
      <c r="B16" s="291" t="s">
        <v>985</v>
      </c>
      <c r="C16" s="15" t="s">
        <v>132</v>
      </c>
      <c r="D16" s="300">
        <v>9740660</v>
      </c>
      <c r="E16" s="299">
        <v>20</v>
      </c>
      <c r="F16" s="299">
        <v>1</v>
      </c>
      <c r="G16" s="16"/>
      <c r="I16" s="30" t="str">
        <f t="shared" si="0"/>
        <v>·</v>
      </c>
      <c r="J16" s="31">
        <f t="shared" si="1"/>
        <v>20.785150903532205</v>
      </c>
      <c r="K16" s="31">
        <f t="shared" si="2"/>
        <v>15.062052879373677</v>
      </c>
      <c r="L16" s="105"/>
      <c r="M16" s="31">
        <f t="shared" si="3"/>
        <v>5.7230216432972716</v>
      </c>
      <c r="N16" s="31">
        <f t="shared" si="4"/>
        <v>20.785150903532205</v>
      </c>
      <c r="O16" s="523">
        <v>9740660</v>
      </c>
      <c r="P16" s="503">
        <v>202461088</v>
      </c>
      <c r="Q16" s="373">
        <v>146714336</v>
      </c>
      <c r="R16" s="106"/>
      <c r="S16" s="357">
        <v>55746008</v>
      </c>
      <c r="T16" s="105"/>
      <c r="U16" s="106"/>
      <c r="V16" s="106"/>
      <c r="W16" s="358">
        <v>83.004752999999994</v>
      </c>
      <c r="X16" s="105"/>
      <c r="Y16" s="106"/>
      <c r="Z16" s="106"/>
      <c r="AA16" s="515">
        <v>78.267669999999995</v>
      </c>
      <c r="AB16" s="507"/>
      <c r="AC16" s="359"/>
      <c r="AD16" s="573">
        <v>0</v>
      </c>
      <c r="AE16" s="573">
        <v>0</v>
      </c>
      <c r="AF16" s="33"/>
      <c r="AH16" s="30" t="str">
        <f t="shared" si="5"/>
        <v>·</v>
      </c>
      <c r="AI16" s="31">
        <f t="shared" si="9"/>
        <v>20.785150903532205</v>
      </c>
      <c r="AJ16" s="31">
        <f t="shared" si="10"/>
        <v>15.062052879373677</v>
      </c>
      <c r="AK16" s="105" t="str">
        <f t="shared" si="11"/>
        <v>·</v>
      </c>
      <c r="AL16" s="31">
        <f t="shared" si="12"/>
        <v>5.7230216432972716</v>
      </c>
      <c r="AM16" s="31">
        <f t="shared" si="13"/>
        <v>20.785150903532205</v>
      </c>
      <c r="AN16" s="523">
        <v>9740660</v>
      </c>
      <c r="AO16" s="503">
        <v>202461088</v>
      </c>
      <c r="AP16" s="373">
        <v>146714336</v>
      </c>
      <c r="AQ16" s="106"/>
      <c r="AR16" s="357">
        <v>55746008</v>
      </c>
      <c r="AS16" s="105"/>
      <c r="AT16" s="106"/>
      <c r="AU16" s="106"/>
      <c r="AV16" s="358">
        <v>83.004752999999994</v>
      </c>
      <c r="AW16" s="105"/>
      <c r="AX16" s="106"/>
      <c r="AY16" s="106"/>
      <c r="AZ16" s="515">
        <v>78.267669999999995</v>
      </c>
      <c r="BA16" s="507">
        <v>36.139000000000003</v>
      </c>
      <c r="BB16" s="359">
        <v>24.532</v>
      </c>
      <c r="BC16" s="573">
        <v>0</v>
      </c>
      <c r="BD16" s="573">
        <v>0</v>
      </c>
      <c r="BE16" s="33"/>
      <c r="BG16" s="122" t="e">
        <f t="shared" si="7"/>
        <v>#DIV/0!</v>
      </c>
      <c r="BH16" s="123" t="e">
        <f t="shared" si="7"/>
        <v>#DIV/0!</v>
      </c>
      <c r="BI16" s="123">
        <f t="shared" si="8"/>
        <v>0</v>
      </c>
      <c r="BJ16" s="124"/>
      <c r="BL16" s="105"/>
      <c r="BM16" s="106"/>
      <c r="BN16" s="106"/>
      <c r="BO16" s="107"/>
      <c r="BQ16" s="105"/>
      <c r="BR16" s="106"/>
      <c r="BS16" s="106"/>
      <c r="BT16" s="107"/>
      <c r="BV16" s="105"/>
      <c r="BW16" s="106"/>
      <c r="BX16" s="106"/>
      <c r="BY16" s="107"/>
      <c r="CA16" s="105"/>
      <c r="CB16" s="106"/>
      <c r="CC16" s="106"/>
      <c r="CD16" s="107"/>
    </row>
    <row r="17" spans="1:82" outlineLevel="1">
      <c r="A17" s="13"/>
      <c r="B17" s="291" t="s">
        <v>985</v>
      </c>
      <c r="C17" s="15" t="s">
        <v>133</v>
      </c>
      <c r="D17" s="300">
        <v>9740660</v>
      </c>
      <c r="E17" s="299">
        <v>20</v>
      </c>
      <c r="F17" s="299">
        <v>1</v>
      </c>
      <c r="G17" s="16"/>
      <c r="I17" s="30" t="str">
        <f t="shared" si="0"/>
        <v>·</v>
      </c>
      <c r="J17" s="31">
        <f t="shared" si="1"/>
        <v>22.328898452466259</v>
      </c>
      <c r="K17" s="31">
        <f t="shared" si="2"/>
        <v>15.062052879373677</v>
      </c>
      <c r="L17" s="105"/>
      <c r="M17" s="31">
        <f t="shared" si="3"/>
        <v>7.2667691922313269</v>
      </c>
      <c r="N17" s="31">
        <f t="shared" si="4"/>
        <v>22.328898452466259</v>
      </c>
      <c r="O17" s="523">
        <v>9740660</v>
      </c>
      <c r="P17" s="503">
        <v>217498208</v>
      </c>
      <c r="Q17" s="373">
        <v>146714336</v>
      </c>
      <c r="R17" s="106"/>
      <c r="S17" s="357">
        <v>70783128</v>
      </c>
      <c r="T17" s="105"/>
      <c r="U17" s="106"/>
      <c r="V17" s="106"/>
      <c r="W17" s="358">
        <v>88.926154999999994</v>
      </c>
      <c r="X17" s="105"/>
      <c r="Y17" s="106"/>
      <c r="Z17" s="106"/>
      <c r="AA17" s="515">
        <v>84.288269</v>
      </c>
      <c r="AB17" s="507"/>
      <c r="AC17" s="359"/>
      <c r="AD17" s="573">
        <v>0</v>
      </c>
      <c r="AE17" s="573">
        <v>0</v>
      </c>
      <c r="AF17" s="33"/>
      <c r="AH17" s="30" t="str">
        <f t="shared" si="5"/>
        <v>·</v>
      </c>
      <c r="AI17" s="31">
        <f t="shared" si="9"/>
        <v>22.328898452466259</v>
      </c>
      <c r="AJ17" s="31">
        <f t="shared" si="10"/>
        <v>15.062052879373677</v>
      </c>
      <c r="AK17" s="105" t="str">
        <f t="shared" si="11"/>
        <v>·</v>
      </c>
      <c r="AL17" s="31">
        <f t="shared" si="12"/>
        <v>7.2667691922313269</v>
      </c>
      <c r="AM17" s="31">
        <f t="shared" si="13"/>
        <v>22.328898452466259</v>
      </c>
      <c r="AN17" s="523">
        <v>9740660</v>
      </c>
      <c r="AO17" s="503">
        <v>217498208</v>
      </c>
      <c r="AP17" s="373">
        <v>146714336</v>
      </c>
      <c r="AQ17" s="106"/>
      <c r="AR17" s="357">
        <v>70783128</v>
      </c>
      <c r="AS17" s="105"/>
      <c r="AT17" s="106"/>
      <c r="AU17" s="106"/>
      <c r="AV17" s="358">
        <v>88.926154999999994</v>
      </c>
      <c r="AW17" s="105"/>
      <c r="AX17" s="106"/>
      <c r="AY17" s="106"/>
      <c r="AZ17" s="515">
        <v>84.288269</v>
      </c>
      <c r="BA17" s="507">
        <v>37.851999999999997</v>
      </c>
      <c r="BB17" s="359">
        <v>24.427</v>
      </c>
      <c r="BC17" s="573">
        <v>0</v>
      </c>
      <c r="BD17" s="573">
        <v>0</v>
      </c>
      <c r="BE17" s="33"/>
      <c r="BG17" s="122" t="e">
        <f t="shared" si="7"/>
        <v>#DIV/0!</v>
      </c>
      <c r="BH17" s="123" t="e">
        <f t="shared" si="7"/>
        <v>#DIV/0!</v>
      </c>
      <c r="BI17" s="123">
        <f t="shared" si="8"/>
        <v>0</v>
      </c>
      <c r="BJ17" s="124"/>
      <c r="BL17" s="105"/>
      <c r="BM17" s="106"/>
      <c r="BN17" s="106"/>
      <c r="BO17" s="107"/>
      <c r="BQ17" s="105"/>
      <c r="BR17" s="106"/>
      <c r="BS17" s="106"/>
      <c r="BT17" s="107"/>
      <c r="BV17" s="105"/>
      <c r="BW17" s="106"/>
      <c r="BX17" s="106"/>
      <c r="BY17" s="107"/>
      <c r="CA17" s="105"/>
      <c r="CB17" s="106"/>
      <c r="CC17" s="106"/>
      <c r="CD17" s="107"/>
    </row>
    <row r="18" spans="1:82" outlineLevel="1">
      <c r="A18" s="13"/>
      <c r="B18" s="291" t="s">
        <v>985</v>
      </c>
      <c r="C18" s="15" t="s">
        <v>134</v>
      </c>
      <c r="D18" s="300">
        <v>9740660</v>
      </c>
      <c r="E18" s="299">
        <v>20</v>
      </c>
      <c r="F18" s="299">
        <v>1</v>
      </c>
      <c r="G18" s="16"/>
      <c r="I18" s="30" t="str">
        <f t="shared" si="0"/>
        <v>·</v>
      </c>
      <c r="J18" s="31">
        <f t="shared" si="1"/>
        <v>23.47235444004821</v>
      </c>
      <c r="K18" s="31">
        <f t="shared" si="2"/>
        <v>15.062052879373677</v>
      </c>
      <c r="L18" s="105"/>
      <c r="M18" s="31">
        <f t="shared" si="3"/>
        <v>8.4102251798132777</v>
      </c>
      <c r="N18" s="31">
        <f t="shared" si="4"/>
        <v>23.47235444004821</v>
      </c>
      <c r="O18" s="523">
        <v>9740660</v>
      </c>
      <c r="P18" s="503">
        <v>228636224</v>
      </c>
      <c r="Q18" s="373">
        <v>146714336</v>
      </c>
      <c r="R18" s="106"/>
      <c r="S18" s="357">
        <v>81921144</v>
      </c>
      <c r="T18" s="105"/>
      <c r="U18" s="106"/>
      <c r="V18" s="106"/>
      <c r="W18" s="358">
        <v>94.569327999999999</v>
      </c>
      <c r="X18" s="105"/>
      <c r="Y18" s="106"/>
      <c r="Z18" s="106"/>
      <c r="AA18" s="515">
        <v>90.308868000000004</v>
      </c>
      <c r="AB18" s="507"/>
      <c r="AC18" s="359"/>
      <c r="AD18" s="573">
        <v>0</v>
      </c>
      <c r="AE18" s="573">
        <v>0</v>
      </c>
      <c r="AF18" s="33"/>
      <c r="AH18" s="30" t="str">
        <f t="shared" si="5"/>
        <v>·</v>
      </c>
      <c r="AI18" s="31">
        <f t="shared" si="9"/>
        <v>23.47235444004821</v>
      </c>
      <c r="AJ18" s="31">
        <f t="shared" si="10"/>
        <v>15.062052879373677</v>
      </c>
      <c r="AK18" s="105" t="str">
        <f t="shared" si="11"/>
        <v>·</v>
      </c>
      <c r="AL18" s="31">
        <f t="shared" si="12"/>
        <v>8.4102251798132777</v>
      </c>
      <c r="AM18" s="31">
        <f t="shared" si="13"/>
        <v>23.47235444004821</v>
      </c>
      <c r="AN18" s="523">
        <v>9740660</v>
      </c>
      <c r="AO18" s="503">
        <v>228636224</v>
      </c>
      <c r="AP18" s="373">
        <v>146714336</v>
      </c>
      <c r="AQ18" s="106"/>
      <c r="AR18" s="357">
        <v>81921144</v>
      </c>
      <c r="AS18" s="105"/>
      <c r="AT18" s="106"/>
      <c r="AU18" s="106"/>
      <c r="AV18" s="358">
        <v>94.569327999999999</v>
      </c>
      <c r="AW18" s="105"/>
      <c r="AX18" s="106"/>
      <c r="AY18" s="106"/>
      <c r="AZ18" s="515">
        <v>90.308868000000004</v>
      </c>
      <c r="BA18" s="507">
        <v>37.353000000000002</v>
      </c>
      <c r="BB18" s="359">
        <v>25.09</v>
      </c>
      <c r="BC18" s="573">
        <v>0</v>
      </c>
      <c r="BD18" s="573">
        <v>0</v>
      </c>
      <c r="BE18" s="33"/>
      <c r="BG18" s="122" t="e">
        <f t="shared" si="7"/>
        <v>#DIV/0!</v>
      </c>
      <c r="BH18" s="123" t="e">
        <f t="shared" si="7"/>
        <v>#DIV/0!</v>
      </c>
      <c r="BI18" s="123">
        <f t="shared" si="8"/>
        <v>0</v>
      </c>
      <c r="BJ18" s="124"/>
      <c r="BL18" s="105"/>
      <c r="BM18" s="106"/>
      <c r="BN18" s="106"/>
      <c r="BO18" s="107"/>
      <c r="BQ18" s="105"/>
      <c r="BR18" s="106"/>
      <c r="BS18" s="106"/>
      <c r="BT18" s="107"/>
      <c r="BV18" s="105"/>
      <c r="BW18" s="106"/>
      <c r="BX18" s="106"/>
      <c r="BY18" s="107"/>
      <c r="CA18" s="105"/>
      <c r="CB18" s="106"/>
      <c r="CC18" s="106"/>
      <c r="CD18" s="107"/>
    </row>
    <row r="19" spans="1:82" ht="14.25" outlineLevel="1" thickBot="1">
      <c r="A19" s="13"/>
      <c r="B19" s="292" t="s">
        <v>985</v>
      </c>
      <c r="C19" s="19" t="s">
        <v>135</v>
      </c>
      <c r="D19" s="301">
        <v>9740660</v>
      </c>
      <c r="E19" s="302">
        <v>20</v>
      </c>
      <c r="F19" s="302">
        <v>1</v>
      </c>
      <c r="G19" s="20"/>
      <c r="I19" s="34" t="str">
        <f t="shared" si="0"/>
        <v>·</v>
      </c>
      <c r="J19" s="35">
        <f t="shared" si="1"/>
        <v>24.686453689996366</v>
      </c>
      <c r="K19" s="35">
        <f t="shared" si="2"/>
        <v>15.062052879373677</v>
      </c>
      <c r="L19" s="108"/>
      <c r="M19" s="35">
        <f t="shared" si="3"/>
        <v>9.6243244297614332</v>
      </c>
      <c r="N19" s="35">
        <f t="shared" si="4"/>
        <v>24.686453689996366</v>
      </c>
      <c r="O19" s="524">
        <v>9740660</v>
      </c>
      <c r="P19" s="505">
        <v>240462352</v>
      </c>
      <c r="Q19" s="375">
        <v>146714336</v>
      </c>
      <c r="R19" s="109"/>
      <c r="S19" s="361">
        <v>93747272</v>
      </c>
      <c r="T19" s="108"/>
      <c r="U19" s="109"/>
      <c r="V19" s="109"/>
      <c r="W19" s="362">
        <v>99.341812000000004</v>
      </c>
      <c r="X19" s="108"/>
      <c r="Y19" s="109"/>
      <c r="Z19" s="109"/>
      <c r="AA19" s="517">
        <v>96.329468000000006</v>
      </c>
      <c r="AB19" s="509"/>
      <c r="AC19" s="363"/>
      <c r="AD19" s="575">
        <v>0</v>
      </c>
      <c r="AE19" s="575">
        <v>0</v>
      </c>
      <c r="AF19" s="37"/>
      <c r="AH19" s="34" t="str">
        <f t="shared" si="5"/>
        <v>·</v>
      </c>
      <c r="AI19" s="35">
        <f t="shared" si="9"/>
        <v>24.686453689996366</v>
      </c>
      <c r="AJ19" s="35">
        <f t="shared" si="10"/>
        <v>15.062052879373677</v>
      </c>
      <c r="AK19" s="108" t="str">
        <f t="shared" si="11"/>
        <v>·</v>
      </c>
      <c r="AL19" s="35">
        <f t="shared" si="12"/>
        <v>9.6243244297614332</v>
      </c>
      <c r="AM19" s="35">
        <f t="shared" si="13"/>
        <v>24.686453689996366</v>
      </c>
      <c r="AN19" s="524">
        <v>9740660</v>
      </c>
      <c r="AO19" s="505">
        <v>240462352</v>
      </c>
      <c r="AP19" s="375">
        <v>146714336</v>
      </c>
      <c r="AQ19" s="109"/>
      <c r="AR19" s="361">
        <v>93747272</v>
      </c>
      <c r="AS19" s="108"/>
      <c r="AT19" s="109"/>
      <c r="AU19" s="109"/>
      <c r="AV19" s="362">
        <v>99.341812000000004</v>
      </c>
      <c r="AW19" s="108"/>
      <c r="AX19" s="109"/>
      <c r="AY19" s="109"/>
      <c r="AZ19" s="517">
        <v>96.329468000000006</v>
      </c>
      <c r="BA19" s="509">
        <v>46.963000000000001</v>
      </c>
      <c r="BB19" s="363">
        <v>29.523</v>
      </c>
      <c r="BC19" s="575">
        <v>0</v>
      </c>
      <c r="BD19" s="575">
        <v>0</v>
      </c>
      <c r="BE19" s="37"/>
      <c r="BG19" s="125" t="e">
        <f t="shared" si="7"/>
        <v>#DIV/0!</v>
      </c>
      <c r="BH19" s="126" t="e">
        <f t="shared" si="7"/>
        <v>#DIV/0!</v>
      </c>
      <c r="BI19" s="126">
        <f t="shared" si="8"/>
        <v>0</v>
      </c>
      <c r="BJ19" s="127"/>
      <c r="BL19" s="108"/>
      <c r="BM19" s="109"/>
      <c r="BN19" s="109"/>
      <c r="BO19" s="110"/>
      <c r="BQ19" s="108"/>
      <c r="BR19" s="109"/>
      <c r="BS19" s="109"/>
      <c r="BT19" s="110"/>
      <c r="BV19" s="108"/>
      <c r="BW19" s="109"/>
      <c r="BX19" s="109"/>
      <c r="BY19" s="110"/>
      <c r="CA19" s="108"/>
      <c r="CB19" s="109"/>
      <c r="CC19" s="109"/>
      <c r="CD19" s="110"/>
    </row>
    <row r="20" spans="1:82">
      <c r="A20" s="13"/>
      <c r="B20" s="294" t="s">
        <v>986</v>
      </c>
      <c r="C20" s="28" t="s">
        <v>131</v>
      </c>
      <c r="D20" s="303">
        <v>5865647</v>
      </c>
      <c r="E20" s="304">
        <v>19</v>
      </c>
      <c r="F20" s="304">
        <v>1</v>
      </c>
      <c r="G20" s="29"/>
      <c r="I20" s="46" t="str">
        <f t="shared" si="0"/>
        <v>·</v>
      </c>
      <c r="J20" s="47">
        <f t="shared" si="1"/>
        <v>19.673144326619042</v>
      </c>
      <c r="K20" s="47">
        <f t="shared" si="2"/>
        <v>15.243402134495989</v>
      </c>
      <c r="L20" s="103"/>
      <c r="M20" s="47">
        <f t="shared" si="3"/>
        <v>4.429623535136022</v>
      </c>
      <c r="N20" s="47">
        <f t="shared" si="4"/>
        <v>19.673144326619042</v>
      </c>
      <c r="O20" s="521">
        <v>5865647</v>
      </c>
      <c r="P20" s="502">
        <v>115395720</v>
      </c>
      <c r="Q20" s="372">
        <v>89412416</v>
      </c>
      <c r="R20" s="104"/>
      <c r="S20" s="353">
        <v>25982608</v>
      </c>
      <c r="T20" s="103"/>
      <c r="U20" s="104"/>
      <c r="V20" s="104"/>
      <c r="W20" s="354">
        <v>77.010231000000005</v>
      </c>
      <c r="X20" s="103"/>
      <c r="Y20" s="104"/>
      <c r="Z20" s="104"/>
      <c r="AA20" s="514">
        <v>72.247062999999997</v>
      </c>
      <c r="AB20" s="506"/>
      <c r="AC20" s="355"/>
      <c r="AD20" s="572">
        <v>0</v>
      </c>
      <c r="AE20" s="572">
        <v>0</v>
      </c>
      <c r="AF20" s="49"/>
      <c r="AH20" s="46" t="str">
        <f t="shared" si="5"/>
        <v>·</v>
      </c>
      <c r="AI20" s="47">
        <f t="shared" si="9"/>
        <v>19.673144326619042</v>
      </c>
      <c r="AJ20" s="47">
        <f t="shared" si="10"/>
        <v>15.243402134495989</v>
      </c>
      <c r="AK20" s="103" t="str">
        <f t="shared" si="11"/>
        <v>·</v>
      </c>
      <c r="AL20" s="47">
        <f t="shared" si="12"/>
        <v>4.429623535136022</v>
      </c>
      <c r="AM20" s="47">
        <f t="shared" si="13"/>
        <v>19.673144326619042</v>
      </c>
      <c r="AN20" s="521">
        <v>5865647</v>
      </c>
      <c r="AO20" s="502">
        <v>115395720</v>
      </c>
      <c r="AP20" s="372">
        <v>89412416</v>
      </c>
      <c r="AQ20" s="104"/>
      <c r="AR20" s="353">
        <v>25982608</v>
      </c>
      <c r="AS20" s="103"/>
      <c r="AT20" s="104"/>
      <c r="AU20" s="104"/>
      <c r="AV20" s="354">
        <v>77.010231000000005</v>
      </c>
      <c r="AW20" s="103"/>
      <c r="AX20" s="104"/>
      <c r="AY20" s="104"/>
      <c r="AZ20" s="514">
        <v>72.247062999999997</v>
      </c>
      <c r="BA20" s="506">
        <v>19.044</v>
      </c>
      <c r="BB20" s="355">
        <v>13.444000000000001</v>
      </c>
      <c r="BC20" s="572">
        <v>0</v>
      </c>
      <c r="BD20" s="572">
        <v>0</v>
      </c>
      <c r="BE20" s="49"/>
      <c r="BG20" s="119" t="e">
        <f t="shared" si="7"/>
        <v>#DIV/0!</v>
      </c>
      <c r="BH20" s="120" t="e">
        <f t="shared" si="7"/>
        <v>#DIV/0!</v>
      </c>
      <c r="BI20" s="120">
        <f t="shared" si="8"/>
        <v>0</v>
      </c>
      <c r="BJ20" s="121">
        <f t="array" ref="BJ20">AVERAGE(AP20:AP24/AO20:AO24) - AVERAGE(Q20:Q24/P20:P24)</f>
        <v>0</v>
      </c>
      <c r="BL20" s="103"/>
      <c r="BM20" s="104"/>
      <c r="BN20" s="104"/>
      <c r="BO20" s="139">
        <f>IF( OR(ISBLANK($S20:$S24),ISBLANK($AR20:$AR24), ISBLANK($W20:$W24),ISBLANK($AV20:$AV24)), "·", bdRateHermite($S20:$S24,$W20:$W24, $AR20:$AR24,$AV20:$AV24))</f>
        <v>0</v>
      </c>
      <c r="BQ20" s="137"/>
      <c r="BR20" s="138"/>
      <c r="BS20" s="138"/>
      <c r="BT20" s="139">
        <f>IF( OR(ISBLANK($S20:$S24),ISBLANK($AR20:$AR24), ISBLANK($AA20:$AA24),ISBLANK($AZ20:$AZ24)), "·", bdRateHermite($S20:$S24,$AA20:$AA24, $AR20:$AR24,$AZ20:$AZ24))</f>
        <v>0</v>
      </c>
      <c r="BV20" s="137"/>
      <c r="BW20" s="138"/>
      <c r="BX20" s="138"/>
      <c r="BY20" s="139">
        <f>IF(OR(ISBLANK($P20:$P24),ISBLANK($AO20:$AO24),ISBLANK($W20:$W24),ISBLANK($AV20:$AV24)),"·",bdRateHermite($P20:$P24,$W20:$W24,$AO20:$AO24,$AV20:$AV24))</f>
        <v>0</v>
      </c>
      <c r="CA20" s="137"/>
      <c r="CB20" s="138"/>
      <c r="CC20" s="138"/>
      <c r="CD20" s="139">
        <f>IF( OR(ISBLANK($P20:$P24),ISBLANK($AO20:$AO24), ISBLANK($AA20:$AA24),ISBLANK($AZ20:$AZ24)), "·", bdRateHermite( $P20:$P24,$AA20:$AA24, $AO20:$AO24,$AZ20:$AZ24))</f>
        <v>0</v>
      </c>
    </row>
    <row r="21" spans="1:82" outlineLevel="1">
      <c r="A21" s="13"/>
      <c r="B21" s="295" t="s">
        <v>986</v>
      </c>
      <c r="C21" s="15" t="s">
        <v>132</v>
      </c>
      <c r="D21" s="300">
        <v>5865647</v>
      </c>
      <c r="E21" s="299">
        <v>19</v>
      </c>
      <c r="F21" s="299">
        <v>1</v>
      </c>
      <c r="G21" s="16"/>
      <c r="I21" s="30" t="str">
        <f t="shared" si="0"/>
        <v>·</v>
      </c>
      <c r="J21" s="31">
        <f t="shared" si="1"/>
        <v>21.079490122743493</v>
      </c>
      <c r="K21" s="31">
        <f t="shared" si="2"/>
        <v>15.243402134495989</v>
      </c>
      <c r="L21" s="105"/>
      <c r="M21" s="31">
        <f t="shared" si="3"/>
        <v>5.8359693312604728</v>
      </c>
      <c r="N21" s="31">
        <f t="shared" si="4"/>
        <v>21.079490122743493</v>
      </c>
      <c r="O21" s="521">
        <v>5865647</v>
      </c>
      <c r="P21" s="503">
        <v>123644848</v>
      </c>
      <c r="Q21" s="373">
        <v>89412416</v>
      </c>
      <c r="R21" s="106"/>
      <c r="S21" s="357">
        <v>34231736</v>
      </c>
      <c r="T21" s="105"/>
      <c r="U21" s="106"/>
      <c r="V21" s="106"/>
      <c r="W21" s="358">
        <v>83.005736999999996</v>
      </c>
      <c r="X21" s="105"/>
      <c r="Y21" s="106"/>
      <c r="Z21" s="106"/>
      <c r="AA21" s="515">
        <v>78.267669999999995</v>
      </c>
      <c r="AB21" s="507"/>
      <c r="AC21" s="359"/>
      <c r="AD21" s="573">
        <v>0</v>
      </c>
      <c r="AE21" s="573">
        <v>0</v>
      </c>
      <c r="AF21" s="33"/>
      <c r="AH21" s="30" t="str">
        <f t="shared" si="5"/>
        <v>·</v>
      </c>
      <c r="AI21" s="31">
        <f t="shared" si="9"/>
        <v>21.079490122743493</v>
      </c>
      <c r="AJ21" s="31">
        <f t="shared" si="10"/>
        <v>15.243402134495989</v>
      </c>
      <c r="AK21" s="105" t="str">
        <f t="shared" si="11"/>
        <v>·</v>
      </c>
      <c r="AL21" s="31">
        <f t="shared" si="12"/>
        <v>5.8359693312604728</v>
      </c>
      <c r="AM21" s="31">
        <f t="shared" si="13"/>
        <v>21.079490122743493</v>
      </c>
      <c r="AN21" s="521">
        <v>5865647</v>
      </c>
      <c r="AO21" s="503">
        <v>123644848</v>
      </c>
      <c r="AP21" s="373">
        <v>89412416</v>
      </c>
      <c r="AQ21" s="106"/>
      <c r="AR21" s="357">
        <v>34231736</v>
      </c>
      <c r="AS21" s="105"/>
      <c r="AT21" s="106"/>
      <c r="AU21" s="106"/>
      <c r="AV21" s="358">
        <v>83.005736999999996</v>
      </c>
      <c r="AW21" s="105"/>
      <c r="AX21" s="106"/>
      <c r="AY21" s="106"/>
      <c r="AZ21" s="515">
        <v>78.267669999999995</v>
      </c>
      <c r="BA21" s="507">
        <v>19.626999999999999</v>
      </c>
      <c r="BB21" s="359">
        <v>14.561999999999999</v>
      </c>
      <c r="BC21" s="573">
        <v>0</v>
      </c>
      <c r="BD21" s="573">
        <v>0</v>
      </c>
      <c r="BE21" s="33"/>
      <c r="BG21" s="122" t="e">
        <f t="shared" ref="BG21:BH71" si="14">BC21/AD21</f>
        <v>#DIV/0!</v>
      </c>
      <c r="BH21" s="123" t="e">
        <f t="shared" si="14"/>
        <v>#DIV/0!</v>
      </c>
      <c r="BI21" s="123">
        <f t="shared" si="8"/>
        <v>0</v>
      </c>
      <c r="BJ21" s="124"/>
      <c r="BL21" s="105"/>
      <c r="BM21" s="106"/>
      <c r="BN21" s="106"/>
      <c r="BO21" s="107"/>
      <c r="BQ21" s="105"/>
      <c r="BR21" s="106"/>
      <c r="BS21" s="106"/>
      <c r="BT21" s="107"/>
      <c r="BV21" s="105"/>
      <c r="BW21" s="106"/>
      <c r="BX21" s="106"/>
      <c r="BY21" s="107"/>
      <c r="CA21" s="105"/>
      <c r="CB21" s="106"/>
      <c r="CC21" s="106"/>
      <c r="CD21" s="107"/>
    </row>
    <row r="22" spans="1:82" outlineLevel="1">
      <c r="A22" s="13"/>
      <c r="B22" s="295" t="s">
        <v>986</v>
      </c>
      <c r="C22" s="15" t="s">
        <v>133</v>
      </c>
      <c r="D22" s="300">
        <v>5865647</v>
      </c>
      <c r="E22" s="299">
        <v>19</v>
      </c>
      <c r="F22" s="299">
        <v>1</v>
      </c>
      <c r="G22" s="16"/>
      <c r="I22" s="30" t="str">
        <f t="shared" si="0"/>
        <v>·</v>
      </c>
      <c r="J22" s="31">
        <f t="shared" si="1"/>
        <v>22.750843342601421</v>
      </c>
      <c r="K22" s="31">
        <f t="shared" si="2"/>
        <v>15.243402134495989</v>
      </c>
      <c r="L22" s="105"/>
      <c r="M22" s="31">
        <f t="shared" si="3"/>
        <v>7.5073239149918161</v>
      </c>
      <c r="N22" s="31">
        <f t="shared" si="4"/>
        <v>22.750843342601421</v>
      </c>
      <c r="O22" s="521">
        <v>5865647</v>
      </c>
      <c r="P22" s="503">
        <v>133448416</v>
      </c>
      <c r="Q22" s="373">
        <v>89412416</v>
      </c>
      <c r="R22" s="106"/>
      <c r="S22" s="357">
        <v>44035312</v>
      </c>
      <c r="T22" s="105"/>
      <c r="U22" s="106"/>
      <c r="V22" s="106"/>
      <c r="W22" s="358">
        <v>88.927398999999994</v>
      </c>
      <c r="X22" s="105"/>
      <c r="Y22" s="106"/>
      <c r="Z22" s="106"/>
      <c r="AA22" s="515">
        <v>84.288269</v>
      </c>
      <c r="AB22" s="507"/>
      <c r="AC22" s="359"/>
      <c r="AD22" s="573">
        <v>0</v>
      </c>
      <c r="AE22" s="573">
        <v>0</v>
      </c>
      <c r="AF22" s="33"/>
      <c r="AH22" s="30" t="str">
        <f t="shared" si="5"/>
        <v>·</v>
      </c>
      <c r="AI22" s="31">
        <f t="shared" si="9"/>
        <v>22.750843342601421</v>
      </c>
      <c r="AJ22" s="31">
        <f t="shared" si="10"/>
        <v>15.243402134495989</v>
      </c>
      <c r="AK22" s="105" t="str">
        <f t="shared" si="11"/>
        <v>·</v>
      </c>
      <c r="AL22" s="31">
        <f t="shared" si="12"/>
        <v>7.5073239149918161</v>
      </c>
      <c r="AM22" s="31">
        <f t="shared" si="13"/>
        <v>22.750843342601421</v>
      </c>
      <c r="AN22" s="521">
        <v>5865647</v>
      </c>
      <c r="AO22" s="503">
        <v>133448416</v>
      </c>
      <c r="AP22" s="373">
        <v>89412416</v>
      </c>
      <c r="AQ22" s="106"/>
      <c r="AR22" s="357">
        <v>44035312</v>
      </c>
      <c r="AS22" s="105"/>
      <c r="AT22" s="106"/>
      <c r="AU22" s="106"/>
      <c r="AV22" s="358">
        <v>88.927398999999994</v>
      </c>
      <c r="AW22" s="105"/>
      <c r="AX22" s="106"/>
      <c r="AY22" s="106"/>
      <c r="AZ22" s="515">
        <v>84.288269</v>
      </c>
      <c r="BA22" s="507">
        <v>22.370999999999999</v>
      </c>
      <c r="BB22" s="359">
        <v>16.167000000000002</v>
      </c>
      <c r="BC22" s="573">
        <v>0</v>
      </c>
      <c r="BD22" s="573">
        <v>0</v>
      </c>
      <c r="BE22" s="33"/>
      <c r="BG22" s="122" t="e">
        <f t="shared" si="14"/>
        <v>#DIV/0!</v>
      </c>
      <c r="BH22" s="123" t="e">
        <f t="shared" si="14"/>
        <v>#DIV/0!</v>
      </c>
      <c r="BI22" s="123">
        <f t="shared" si="8"/>
        <v>0</v>
      </c>
      <c r="BJ22" s="124"/>
      <c r="BL22" s="105"/>
      <c r="BM22" s="106"/>
      <c r="BN22" s="106"/>
      <c r="BO22" s="107"/>
      <c r="BQ22" s="105"/>
      <c r="BR22" s="106"/>
      <c r="BS22" s="106"/>
      <c r="BT22" s="107"/>
      <c r="BV22" s="105"/>
      <c r="BW22" s="106"/>
      <c r="BX22" s="106"/>
      <c r="BY22" s="107"/>
      <c r="CA22" s="105"/>
      <c r="CB22" s="106"/>
      <c r="CC22" s="106"/>
      <c r="CD22" s="107"/>
    </row>
    <row r="23" spans="1:82" outlineLevel="1">
      <c r="A23" s="13"/>
      <c r="B23" s="295" t="s">
        <v>986</v>
      </c>
      <c r="C23" s="15" t="s">
        <v>134</v>
      </c>
      <c r="D23" s="300">
        <v>5865647</v>
      </c>
      <c r="E23" s="299">
        <v>19</v>
      </c>
      <c r="F23" s="299">
        <v>1</v>
      </c>
      <c r="G23" s="16"/>
      <c r="I23" s="30" t="str">
        <f t="shared" si="0"/>
        <v>·</v>
      </c>
      <c r="J23" s="31">
        <f t="shared" si="1"/>
        <v>23.931409442129741</v>
      </c>
      <c r="K23" s="31">
        <f t="shared" si="2"/>
        <v>15.243402134495989</v>
      </c>
      <c r="L23" s="105"/>
      <c r="M23" s="31">
        <f t="shared" si="3"/>
        <v>8.6878900145201374</v>
      </c>
      <c r="N23" s="31">
        <f t="shared" si="4"/>
        <v>23.931409442129741</v>
      </c>
      <c r="O23" s="521">
        <v>5865647</v>
      </c>
      <c r="P23" s="503">
        <v>140373200</v>
      </c>
      <c r="Q23" s="373">
        <v>89412416</v>
      </c>
      <c r="R23" s="106"/>
      <c r="S23" s="357">
        <v>50960096</v>
      </c>
      <c r="T23" s="105"/>
      <c r="U23" s="106"/>
      <c r="V23" s="106"/>
      <c r="W23" s="358">
        <v>94.568511999999998</v>
      </c>
      <c r="X23" s="105"/>
      <c r="Y23" s="106"/>
      <c r="Z23" s="106"/>
      <c r="AA23" s="515">
        <v>90.308868000000004</v>
      </c>
      <c r="AB23" s="507"/>
      <c r="AC23" s="359"/>
      <c r="AD23" s="573">
        <v>0</v>
      </c>
      <c r="AE23" s="573">
        <v>0</v>
      </c>
      <c r="AF23" s="33"/>
      <c r="AH23" s="30" t="str">
        <f t="shared" si="5"/>
        <v>·</v>
      </c>
      <c r="AI23" s="31">
        <f t="shared" si="9"/>
        <v>23.931409442129741</v>
      </c>
      <c r="AJ23" s="31">
        <f t="shared" si="10"/>
        <v>15.243402134495989</v>
      </c>
      <c r="AK23" s="105" t="str">
        <f t="shared" si="11"/>
        <v>·</v>
      </c>
      <c r="AL23" s="31">
        <f t="shared" si="12"/>
        <v>8.6878900145201374</v>
      </c>
      <c r="AM23" s="31">
        <f t="shared" si="13"/>
        <v>23.931409442129741</v>
      </c>
      <c r="AN23" s="521">
        <v>5865647</v>
      </c>
      <c r="AO23" s="503">
        <v>140373200</v>
      </c>
      <c r="AP23" s="373">
        <v>89412416</v>
      </c>
      <c r="AQ23" s="106"/>
      <c r="AR23" s="357">
        <v>50960096</v>
      </c>
      <c r="AS23" s="105"/>
      <c r="AT23" s="106"/>
      <c r="AU23" s="106"/>
      <c r="AV23" s="358">
        <v>94.568511999999998</v>
      </c>
      <c r="AW23" s="105"/>
      <c r="AX23" s="106"/>
      <c r="AY23" s="106"/>
      <c r="AZ23" s="515">
        <v>90.308868000000004</v>
      </c>
      <c r="BA23" s="507">
        <v>22.872</v>
      </c>
      <c r="BB23" s="359">
        <v>16.212</v>
      </c>
      <c r="BC23" s="573">
        <v>0</v>
      </c>
      <c r="BD23" s="573">
        <v>0</v>
      </c>
      <c r="BE23" s="33"/>
      <c r="BG23" s="122" t="e">
        <f t="shared" si="14"/>
        <v>#DIV/0!</v>
      </c>
      <c r="BH23" s="123" t="e">
        <f t="shared" si="14"/>
        <v>#DIV/0!</v>
      </c>
      <c r="BI23" s="123">
        <f t="shared" si="8"/>
        <v>0</v>
      </c>
      <c r="BJ23" s="124"/>
      <c r="BL23" s="105"/>
      <c r="BM23" s="106"/>
      <c r="BN23" s="106"/>
      <c r="BO23" s="107"/>
      <c r="BQ23" s="105"/>
      <c r="BR23" s="106"/>
      <c r="BS23" s="106"/>
      <c r="BT23" s="107"/>
      <c r="BV23" s="105"/>
      <c r="BW23" s="106"/>
      <c r="BX23" s="106"/>
      <c r="BY23" s="107"/>
      <c r="CA23" s="105"/>
      <c r="CB23" s="106"/>
      <c r="CC23" s="106"/>
      <c r="CD23" s="107"/>
    </row>
    <row r="24" spans="1:82" ht="14.25" outlineLevel="1" thickBot="1">
      <c r="A24" s="13"/>
      <c r="B24" s="296" t="s">
        <v>986</v>
      </c>
      <c r="C24" s="22" t="s">
        <v>135</v>
      </c>
      <c r="D24" s="305">
        <v>5865647</v>
      </c>
      <c r="E24" s="306">
        <v>19</v>
      </c>
      <c r="F24" s="306">
        <v>1</v>
      </c>
      <c r="G24" s="23"/>
      <c r="I24" s="34" t="str">
        <f t="shared" si="0"/>
        <v>·</v>
      </c>
      <c r="J24" s="35">
        <f t="shared" si="1"/>
        <v>25.164125969394341</v>
      </c>
      <c r="K24" s="35">
        <f t="shared" si="2"/>
        <v>15.243402134495989</v>
      </c>
      <c r="L24" s="134"/>
      <c r="M24" s="35">
        <f t="shared" si="3"/>
        <v>9.9206065417847338</v>
      </c>
      <c r="N24" s="35">
        <f t="shared" si="4"/>
        <v>25.164125969394341</v>
      </c>
      <c r="O24" s="522">
        <v>5865647</v>
      </c>
      <c r="P24" s="504">
        <v>147603880</v>
      </c>
      <c r="Q24" s="374">
        <v>89412416</v>
      </c>
      <c r="R24" s="135"/>
      <c r="S24" s="369">
        <v>58190776</v>
      </c>
      <c r="T24" s="134"/>
      <c r="U24" s="135"/>
      <c r="V24" s="135"/>
      <c r="W24" s="370">
        <v>99.340819999999994</v>
      </c>
      <c r="X24" s="134"/>
      <c r="Y24" s="135"/>
      <c r="Z24" s="135"/>
      <c r="AA24" s="516">
        <v>96.329468000000006</v>
      </c>
      <c r="AB24" s="508"/>
      <c r="AC24" s="371"/>
      <c r="AD24" s="574">
        <v>0</v>
      </c>
      <c r="AE24" s="574">
        <v>0</v>
      </c>
      <c r="AF24" s="37"/>
      <c r="AH24" s="38" t="str">
        <f t="shared" si="5"/>
        <v>·</v>
      </c>
      <c r="AI24" s="39">
        <f t="shared" si="9"/>
        <v>25.164125969394341</v>
      </c>
      <c r="AJ24" s="39">
        <f t="shared" si="10"/>
        <v>15.243402134495989</v>
      </c>
      <c r="AK24" s="134" t="str">
        <f t="shared" si="11"/>
        <v>·</v>
      </c>
      <c r="AL24" s="39">
        <f t="shared" si="12"/>
        <v>9.9206065417847338</v>
      </c>
      <c r="AM24" s="39">
        <f t="shared" si="13"/>
        <v>25.164125969394341</v>
      </c>
      <c r="AN24" s="522">
        <v>5865647</v>
      </c>
      <c r="AO24" s="504">
        <v>147603880</v>
      </c>
      <c r="AP24" s="374">
        <v>89412416</v>
      </c>
      <c r="AQ24" s="135"/>
      <c r="AR24" s="369">
        <v>58190776</v>
      </c>
      <c r="AS24" s="134"/>
      <c r="AT24" s="135"/>
      <c r="AU24" s="135"/>
      <c r="AV24" s="370">
        <v>99.340819999999994</v>
      </c>
      <c r="AW24" s="134"/>
      <c r="AX24" s="135"/>
      <c r="AY24" s="135"/>
      <c r="AZ24" s="516">
        <v>96.329468000000006</v>
      </c>
      <c r="BA24" s="508">
        <v>26.641999999999999</v>
      </c>
      <c r="BB24" s="371">
        <v>18.39</v>
      </c>
      <c r="BC24" s="574">
        <v>0</v>
      </c>
      <c r="BD24" s="574">
        <v>0</v>
      </c>
      <c r="BE24" s="41"/>
      <c r="BG24" s="128" t="e">
        <f t="shared" si="14"/>
        <v>#DIV/0!</v>
      </c>
      <c r="BH24" s="129" t="e">
        <f t="shared" si="14"/>
        <v>#DIV/0!</v>
      </c>
      <c r="BI24" s="129">
        <f t="shared" si="8"/>
        <v>0</v>
      </c>
      <c r="BJ24" s="130"/>
      <c r="BL24" s="134"/>
      <c r="BM24" s="135"/>
      <c r="BN24" s="135"/>
      <c r="BO24" s="136"/>
      <c r="BQ24" s="134"/>
      <c r="BR24" s="135"/>
      <c r="BS24" s="135"/>
      <c r="BT24" s="136"/>
      <c r="BV24" s="134"/>
      <c r="BW24" s="135"/>
      <c r="BX24" s="135"/>
      <c r="BY24" s="136"/>
      <c r="CA24" s="134"/>
      <c r="CB24" s="135"/>
      <c r="CC24" s="135"/>
      <c r="CD24" s="136"/>
    </row>
    <row r="25" spans="1:82">
      <c r="A25" s="13"/>
      <c r="B25" s="293" t="s">
        <v>987</v>
      </c>
      <c r="C25" s="28" t="s">
        <v>131</v>
      </c>
      <c r="D25" s="307">
        <v>5538380</v>
      </c>
      <c r="E25" s="308">
        <v>19</v>
      </c>
      <c r="F25" s="308">
        <v>1</v>
      </c>
      <c r="G25" s="29"/>
      <c r="I25" s="42" t="str">
        <f t="shared" si="0"/>
        <v>·</v>
      </c>
      <c r="J25" s="43">
        <f t="shared" si="1"/>
        <v>21.610495487850237</v>
      </c>
      <c r="K25" s="43">
        <f t="shared" si="2"/>
        <v>16.990158132883622</v>
      </c>
      <c r="L25" s="103"/>
      <c r="M25" s="43">
        <f t="shared" si="3"/>
        <v>4.6202044641212776</v>
      </c>
      <c r="N25" s="43">
        <f t="shared" si="4"/>
        <v>21.610495487850237</v>
      </c>
      <c r="O25" s="520">
        <v>5538380</v>
      </c>
      <c r="P25" s="502">
        <v>119687136</v>
      </c>
      <c r="Q25" s="372">
        <v>94097952</v>
      </c>
      <c r="R25" s="104"/>
      <c r="S25" s="353">
        <v>25588448</v>
      </c>
      <c r="T25" s="103"/>
      <c r="U25" s="104"/>
      <c r="V25" s="104"/>
      <c r="W25" s="354">
        <v>77.010695999999996</v>
      </c>
      <c r="X25" s="103"/>
      <c r="Y25" s="104"/>
      <c r="Z25" s="104"/>
      <c r="AA25" s="514">
        <v>72.247062999999997</v>
      </c>
      <c r="AB25" s="506"/>
      <c r="AC25" s="355"/>
      <c r="AD25" s="572">
        <v>0</v>
      </c>
      <c r="AE25" s="572">
        <v>0</v>
      </c>
      <c r="AF25" s="45"/>
      <c r="AH25" s="46" t="str">
        <f t="shared" si="5"/>
        <v>·</v>
      </c>
      <c r="AI25" s="47">
        <f t="shared" si="9"/>
        <v>21.610495487850237</v>
      </c>
      <c r="AJ25" s="47">
        <f t="shared" si="10"/>
        <v>16.990158132883622</v>
      </c>
      <c r="AK25" s="103" t="str">
        <f t="shared" si="11"/>
        <v>·</v>
      </c>
      <c r="AL25" s="47">
        <f t="shared" si="12"/>
        <v>4.6202044641212776</v>
      </c>
      <c r="AM25" s="47">
        <f t="shared" si="13"/>
        <v>21.610495487850237</v>
      </c>
      <c r="AN25" s="520">
        <v>5538380</v>
      </c>
      <c r="AO25" s="502">
        <v>119687136</v>
      </c>
      <c r="AP25" s="372">
        <v>94097952</v>
      </c>
      <c r="AQ25" s="104"/>
      <c r="AR25" s="353">
        <v>25588448</v>
      </c>
      <c r="AS25" s="103"/>
      <c r="AT25" s="104"/>
      <c r="AU25" s="104"/>
      <c r="AV25" s="354">
        <v>77.010695999999996</v>
      </c>
      <c r="AW25" s="103"/>
      <c r="AX25" s="104"/>
      <c r="AY25" s="104"/>
      <c r="AZ25" s="514">
        <v>72.247062999999997</v>
      </c>
      <c r="BA25" s="506">
        <v>20.88</v>
      </c>
      <c r="BB25" s="355">
        <v>14.387</v>
      </c>
      <c r="BC25" s="572">
        <v>0</v>
      </c>
      <c r="BD25" s="572">
        <v>0</v>
      </c>
      <c r="BE25" s="49"/>
      <c r="BG25" s="119" t="e">
        <f t="shared" si="14"/>
        <v>#DIV/0!</v>
      </c>
      <c r="BH25" s="120" t="e">
        <f t="shared" si="14"/>
        <v>#DIV/0!</v>
      </c>
      <c r="BI25" s="120">
        <f t="shared" si="8"/>
        <v>0</v>
      </c>
      <c r="BJ25" s="121">
        <f t="array" ref="BJ25">AVERAGE(AP25:AP29/AO25:AO29) - AVERAGE(Q25:Q29/P25:P29)</f>
        <v>0</v>
      </c>
      <c r="BL25" s="103"/>
      <c r="BM25" s="104"/>
      <c r="BN25" s="104"/>
      <c r="BO25" s="139">
        <f>IF( OR(ISBLANK($S25:$S29),ISBLANK($AR25:$AR29), ISBLANK($W25:$W29),ISBLANK($AV25:$AV29)), "·", bdRateHermite($S25:$S29,$W25:$W29, $AR25:$AR29,$AV25:$AV29))</f>
        <v>0</v>
      </c>
      <c r="BQ25" s="137"/>
      <c r="BR25" s="138"/>
      <c r="BS25" s="138"/>
      <c r="BT25" s="139">
        <f>IF( OR(ISBLANK($S25:$S29),ISBLANK($AR25:$AR29), ISBLANK($AA25:$AA29),ISBLANK($AZ25:$AZ29)), "·", bdRateHermite($S25:$S29,$AA25:$AA29, $AR25:$AR29,$AZ25:$AZ29))</f>
        <v>0</v>
      </c>
      <c r="BV25" s="137"/>
      <c r="BW25" s="138"/>
      <c r="BX25" s="138"/>
      <c r="BY25" s="139">
        <f>IF(OR(ISBLANK($P25:$P29),ISBLANK($AO25:$AO29),ISBLANK($W25:$W29),ISBLANK($AV25:$AV29)),"·",bdRateHermite($P25:$P29,$W25:$W29,$AO25:$AO29,$AV25:$AV29))</f>
        <v>0</v>
      </c>
      <c r="CA25" s="137"/>
      <c r="CB25" s="138"/>
      <c r="CC25" s="138"/>
      <c r="CD25" s="139">
        <f>IF( OR(ISBLANK($P25:$P29),ISBLANK($AO25:$AO29), ISBLANK($AA25:$AA29),ISBLANK($AZ25:$AZ29)), "·", bdRateHermite( $P25:$P29,$AA25:$AA29, $AO25:$AO29,$AZ25:$AZ29))</f>
        <v>0</v>
      </c>
    </row>
    <row r="26" spans="1:82" outlineLevel="1">
      <c r="A26" s="13"/>
      <c r="B26" s="291" t="s">
        <v>987</v>
      </c>
      <c r="C26" s="15" t="s">
        <v>132</v>
      </c>
      <c r="D26" s="300">
        <v>5538380</v>
      </c>
      <c r="E26" s="299">
        <v>19</v>
      </c>
      <c r="F26" s="299">
        <v>1</v>
      </c>
      <c r="G26" s="16"/>
      <c r="I26" s="30" t="str">
        <f t="shared" si="0"/>
        <v>·</v>
      </c>
      <c r="J26" s="31">
        <f t="shared" si="1"/>
        <v>23.026693004091449</v>
      </c>
      <c r="K26" s="31">
        <f t="shared" si="2"/>
        <v>16.990158132883622</v>
      </c>
      <c r="L26" s="105"/>
      <c r="M26" s="31">
        <f t="shared" si="3"/>
        <v>6.0364019803624887</v>
      </c>
      <c r="N26" s="31">
        <f t="shared" si="4"/>
        <v>23.026693004091449</v>
      </c>
      <c r="O26" s="521">
        <v>5538380</v>
      </c>
      <c r="P26" s="503">
        <v>127530576</v>
      </c>
      <c r="Q26" s="373">
        <v>94097952</v>
      </c>
      <c r="R26" s="106"/>
      <c r="S26" s="357">
        <v>33431888</v>
      </c>
      <c r="T26" s="105"/>
      <c r="U26" s="106"/>
      <c r="V26" s="106"/>
      <c r="W26" s="358">
        <v>83.002930000000006</v>
      </c>
      <c r="X26" s="105"/>
      <c r="Y26" s="106"/>
      <c r="Z26" s="106"/>
      <c r="AA26" s="515">
        <v>78.267669999999995</v>
      </c>
      <c r="AB26" s="507"/>
      <c r="AC26" s="359"/>
      <c r="AD26" s="573">
        <v>0</v>
      </c>
      <c r="AE26" s="573">
        <v>0</v>
      </c>
      <c r="AF26" s="33"/>
      <c r="AH26" s="30" t="str">
        <f t="shared" si="5"/>
        <v>·</v>
      </c>
      <c r="AI26" s="31">
        <f t="shared" si="9"/>
        <v>23.026693004091449</v>
      </c>
      <c r="AJ26" s="31">
        <f t="shared" si="10"/>
        <v>16.990158132883622</v>
      </c>
      <c r="AK26" s="105" t="str">
        <f t="shared" si="11"/>
        <v>·</v>
      </c>
      <c r="AL26" s="31">
        <f t="shared" si="12"/>
        <v>6.0364019803624887</v>
      </c>
      <c r="AM26" s="31">
        <f t="shared" si="13"/>
        <v>23.026693004091449</v>
      </c>
      <c r="AN26" s="521">
        <v>5538380</v>
      </c>
      <c r="AO26" s="503">
        <v>127530576</v>
      </c>
      <c r="AP26" s="373">
        <v>94097952</v>
      </c>
      <c r="AQ26" s="106"/>
      <c r="AR26" s="357">
        <v>33431888</v>
      </c>
      <c r="AS26" s="105"/>
      <c r="AT26" s="106"/>
      <c r="AU26" s="106"/>
      <c r="AV26" s="358">
        <v>83.002930000000006</v>
      </c>
      <c r="AW26" s="105"/>
      <c r="AX26" s="106"/>
      <c r="AY26" s="106"/>
      <c r="AZ26" s="515">
        <v>78.267669999999995</v>
      </c>
      <c r="BA26" s="507">
        <v>19.47</v>
      </c>
      <c r="BB26" s="359">
        <v>13.89</v>
      </c>
      <c r="BC26" s="573">
        <v>0</v>
      </c>
      <c r="BD26" s="573">
        <v>0</v>
      </c>
      <c r="BE26" s="33"/>
      <c r="BG26" s="122" t="e">
        <f t="shared" si="14"/>
        <v>#DIV/0!</v>
      </c>
      <c r="BH26" s="123" t="e">
        <f t="shared" si="14"/>
        <v>#DIV/0!</v>
      </c>
      <c r="BI26" s="123">
        <f t="shared" si="8"/>
        <v>0</v>
      </c>
      <c r="BJ26" s="124"/>
      <c r="BL26" s="105"/>
      <c r="BM26" s="106"/>
      <c r="BN26" s="106"/>
      <c r="BO26" s="107"/>
      <c r="BQ26" s="105"/>
      <c r="BR26" s="106"/>
      <c r="BS26" s="106"/>
      <c r="BT26" s="107"/>
      <c r="BV26" s="105"/>
      <c r="BW26" s="106"/>
      <c r="BX26" s="106"/>
      <c r="BY26" s="107"/>
      <c r="CA26" s="105"/>
      <c r="CB26" s="106"/>
      <c r="CC26" s="106"/>
      <c r="CD26" s="107"/>
    </row>
    <row r="27" spans="1:82" outlineLevel="1">
      <c r="A27" s="13"/>
      <c r="B27" s="291" t="s">
        <v>987</v>
      </c>
      <c r="C27" s="15" t="s">
        <v>133</v>
      </c>
      <c r="D27" s="300">
        <v>5538380</v>
      </c>
      <c r="E27" s="299">
        <v>19</v>
      </c>
      <c r="F27" s="299">
        <v>1</v>
      </c>
      <c r="G27" s="16"/>
      <c r="I27" s="30" t="str">
        <f t="shared" si="0"/>
        <v>·</v>
      </c>
      <c r="J27" s="31">
        <f t="shared" si="1"/>
        <v>24.56331273765975</v>
      </c>
      <c r="K27" s="31">
        <f t="shared" si="2"/>
        <v>16.990158132883622</v>
      </c>
      <c r="L27" s="105"/>
      <c r="M27" s="31">
        <f t="shared" si="3"/>
        <v>7.573021713930788</v>
      </c>
      <c r="N27" s="31">
        <f t="shared" si="4"/>
        <v>24.56331273765975</v>
      </c>
      <c r="O27" s="521">
        <v>5538380</v>
      </c>
      <c r="P27" s="503">
        <v>136040960</v>
      </c>
      <c r="Q27" s="373">
        <v>94097952</v>
      </c>
      <c r="R27" s="106"/>
      <c r="S27" s="357">
        <v>41942272</v>
      </c>
      <c r="T27" s="105"/>
      <c r="U27" s="106"/>
      <c r="V27" s="106"/>
      <c r="W27" s="358">
        <v>88.928229999999999</v>
      </c>
      <c r="X27" s="105"/>
      <c r="Y27" s="106"/>
      <c r="Z27" s="106"/>
      <c r="AA27" s="515">
        <v>84.288269</v>
      </c>
      <c r="AB27" s="507"/>
      <c r="AC27" s="359"/>
      <c r="AD27" s="573">
        <v>0</v>
      </c>
      <c r="AE27" s="573">
        <v>0</v>
      </c>
      <c r="AF27" s="33"/>
      <c r="AH27" s="30" t="str">
        <f t="shared" si="5"/>
        <v>·</v>
      </c>
      <c r="AI27" s="31">
        <f t="shared" si="9"/>
        <v>24.56331273765975</v>
      </c>
      <c r="AJ27" s="31">
        <f t="shared" si="10"/>
        <v>16.990158132883622</v>
      </c>
      <c r="AK27" s="105" t="str">
        <f t="shared" si="11"/>
        <v>·</v>
      </c>
      <c r="AL27" s="31">
        <f t="shared" si="12"/>
        <v>7.573021713930788</v>
      </c>
      <c r="AM27" s="31">
        <f t="shared" si="13"/>
        <v>24.56331273765975</v>
      </c>
      <c r="AN27" s="521">
        <v>5538380</v>
      </c>
      <c r="AO27" s="503">
        <v>136040960</v>
      </c>
      <c r="AP27" s="373">
        <v>94097952</v>
      </c>
      <c r="AQ27" s="106"/>
      <c r="AR27" s="357">
        <v>41942272</v>
      </c>
      <c r="AS27" s="105"/>
      <c r="AT27" s="106"/>
      <c r="AU27" s="106"/>
      <c r="AV27" s="358">
        <v>88.928229999999999</v>
      </c>
      <c r="AW27" s="105"/>
      <c r="AX27" s="106"/>
      <c r="AY27" s="106"/>
      <c r="AZ27" s="515">
        <v>84.288269</v>
      </c>
      <c r="BA27" s="507">
        <v>21.65</v>
      </c>
      <c r="BB27" s="359">
        <v>13.891999999999999</v>
      </c>
      <c r="BC27" s="573">
        <v>0</v>
      </c>
      <c r="BD27" s="573">
        <v>0</v>
      </c>
      <c r="BE27" s="33"/>
      <c r="BG27" s="122" t="e">
        <f t="shared" si="14"/>
        <v>#DIV/0!</v>
      </c>
      <c r="BH27" s="123" t="e">
        <f t="shared" si="14"/>
        <v>#DIV/0!</v>
      </c>
      <c r="BI27" s="123">
        <f t="shared" si="8"/>
        <v>0</v>
      </c>
      <c r="BJ27" s="124"/>
      <c r="BL27" s="105"/>
      <c r="BM27" s="106"/>
      <c r="BN27" s="106"/>
      <c r="BO27" s="107"/>
      <c r="BQ27" s="105"/>
      <c r="BR27" s="106"/>
      <c r="BS27" s="106"/>
      <c r="BT27" s="107"/>
      <c r="BV27" s="105"/>
      <c r="BW27" s="106"/>
      <c r="BX27" s="106"/>
      <c r="BY27" s="107"/>
      <c r="CA27" s="105"/>
      <c r="CB27" s="106"/>
      <c r="CC27" s="106"/>
      <c r="CD27" s="107"/>
    </row>
    <row r="28" spans="1:82" outlineLevel="1">
      <c r="A28" s="13"/>
      <c r="B28" s="291" t="s">
        <v>987</v>
      </c>
      <c r="C28" s="15" t="s">
        <v>134</v>
      </c>
      <c r="D28" s="300">
        <v>5538380</v>
      </c>
      <c r="E28" s="299">
        <v>19</v>
      </c>
      <c r="F28" s="299">
        <v>1</v>
      </c>
      <c r="G28" s="16"/>
      <c r="I28" s="30" t="str">
        <f t="shared" si="0"/>
        <v>·</v>
      </c>
      <c r="J28" s="31">
        <f t="shared" si="1"/>
        <v>25.730085692928256</v>
      </c>
      <c r="K28" s="31">
        <f t="shared" si="2"/>
        <v>16.990158132883622</v>
      </c>
      <c r="L28" s="105"/>
      <c r="M28" s="31">
        <f t="shared" si="3"/>
        <v>8.7397946691992967</v>
      </c>
      <c r="N28" s="31">
        <f t="shared" si="4"/>
        <v>25.730085692928256</v>
      </c>
      <c r="O28" s="521">
        <v>5538380</v>
      </c>
      <c r="P28" s="503">
        <v>142502992</v>
      </c>
      <c r="Q28" s="373">
        <v>94097952</v>
      </c>
      <c r="R28" s="106"/>
      <c r="S28" s="357">
        <v>48404304</v>
      </c>
      <c r="T28" s="105"/>
      <c r="U28" s="106"/>
      <c r="V28" s="106"/>
      <c r="W28" s="358">
        <v>94.569457999999997</v>
      </c>
      <c r="X28" s="105"/>
      <c r="Y28" s="106"/>
      <c r="Z28" s="106"/>
      <c r="AA28" s="515">
        <v>90.308868000000004</v>
      </c>
      <c r="AB28" s="507"/>
      <c r="AC28" s="359"/>
      <c r="AD28" s="573">
        <v>0</v>
      </c>
      <c r="AE28" s="573">
        <v>0</v>
      </c>
      <c r="AF28" s="33"/>
      <c r="AH28" s="30" t="str">
        <f t="shared" si="5"/>
        <v>·</v>
      </c>
      <c r="AI28" s="31">
        <f t="shared" si="9"/>
        <v>25.730085692928256</v>
      </c>
      <c r="AJ28" s="31">
        <f t="shared" si="10"/>
        <v>16.990158132883622</v>
      </c>
      <c r="AK28" s="105" t="str">
        <f t="shared" si="11"/>
        <v>·</v>
      </c>
      <c r="AL28" s="31">
        <f t="shared" si="12"/>
        <v>8.7397946691992967</v>
      </c>
      <c r="AM28" s="31">
        <f t="shared" si="13"/>
        <v>25.730085692928256</v>
      </c>
      <c r="AN28" s="521">
        <v>5538380</v>
      </c>
      <c r="AO28" s="503">
        <v>142502992</v>
      </c>
      <c r="AP28" s="373">
        <v>94097952</v>
      </c>
      <c r="AQ28" s="106"/>
      <c r="AR28" s="357">
        <v>48404304</v>
      </c>
      <c r="AS28" s="105"/>
      <c r="AT28" s="106"/>
      <c r="AU28" s="106"/>
      <c r="AV28" s="358">
        <v>94.569457999999997</v>
      </c>
      <c r="AW28" s="105"/>
      <c r="AX28" s="106"/>
      <c r="AY28" s="106"/>
      <c r="AZ28" s="515">
        <v>90.308868000000004</v>
      </c>
      <c r="BA28" s="507">
        <v>21.306999999999999</v>
      </c>
      <c r="BB28" s="359">
        <v>14.417999999999999</v>
      </c>
      <c r="BC28" s="573">
        <v>0</v>
      </c>
      <c r="BD28" s="573">
        <v>0</v>
      </c>
      <c r="BE28" s="33"/>
      <c r="BG28" s="122" t="e">
        <f t="shared" si="14"/>
        <v>#DIV/0!</v>
      </c>
      <c r="BH28" s="123" t="e">
        <f t="shared" si="14"/>
        <v>#DIV/0!</v>
      </c>
      <c r="BI28" s="123">
        <f t="shared" si="8"/>
        <v>0</v>
      </c>
      <c r="BJ28" s="124"/>
      <c r="BL28" s="105"/>
      <c r="BM28" s="106"/>
      <c r="BN28" s="106"/>
      <c r="BO28" s="107"/>
      <c r="BQ28" s="105"/>
      <c r="BR28" s="106"/>
      <c r="BS28" s="106"/>
      <c r="BT28" s="107"/>
      <c r="BV28" s="105"/>
      <c r="BW28" s="106"/>
      <c r="BX28" s="106"/>
      <c r="BY28" s="107"/>
      <c r="CA28" s="105"/>
      <c r="CB28" s="106"/>
      <c r="CC28" s="106"/>
      <c r="CD28" s="107"/>
    </row>
    <row r="29" spans="1:82" ht="14.25" outlineLevel="1" thickBot="1">
      <c r="A29" s="13"/>
      <c r="B29" s="292" t="s">
        <v>987</v>
      </c>
      <c r="C29" s="19" t="s">
        <v>135</v>
      </c>
      <c r="D29" s="301">
        <v>5538380</v>
      </c>
      <c r="E29" s="302">
        <v>19</v>
      </c>
      <c r="F29" s="302">
        <v>1</v>
      </c>
      <c r="G29" s="20"/>
      <c r="I29" s="38" t="str">
        <f t="shared" si="0"/>
        <v>·</v>
      </c>
      <c r="J29" s="39">
        <f t="shared" si="1"/>
        <v>26.980260653837405</v>
      </c>
      <c r="K29" s="39">
        <f t="shared" si="2"/>
        <v>16.990158132883622</v>
      </c>
      <c r="L29" s="108"/>
      <c r="M29" s="39">
        <f t="shared" si="3"/>
        <v>9.9899710745741537</v>
      </c>
      <c r="N29" s="39">
        <f t="shared" si="4"/>
        <v>26.980260653837405</v>
      </c>
      <c r="O29" s="521">
        <v>5538380</v>
      </c>
      <c r="P29" s="505">
        <v>149426936</v>
      </c>
      <c r="Q29" s="375">
        <v>94097952</v>
      </c>
      <c r="R29" s="109"/>
      <c r="S29" s="361">
        <v>55328256</v>
      </c>
      <c r="T29" s="108"/>
      <c r="U29" s="109"/>
      <c r="V29" s="109"/>
      <c r="W29" s="362">
        <v>99.339989000000003</v>
      </c>
      <c r="X29" s="108"/>
      <c r="Y29" s="109"/>
      <c r="Z29" s="109"/>
      <c r="AA29" s="517">
        <v>96.329468000000006</v>
      </c>
      <c r="AB29" s="509"/>
      <c r="AC29" s="363"/>
      <c r="AD29" s="575">
        <v>0</v>
      </c>
      <c r="AE29" s="575">
        <v>0</v>
      </c>
      <c r="AF29" s="41"/>
      <c r="AH29" s="34" t="str">
        <f t="shared" si="5"/>
        <v>·</v>
      </c>
      <c r="AI29" s="35">
        <f t="shared" si="9"/>
        <v>26.980260653837405</v>
      </c>
      <c r="AJ29" s="35">
        <f t="shared" si="10"/>
        <v>16.990158132883622</v>
      </c>
      <c r="AK29" s="108" t="str">
        <f t="shared" si="11"/>
        <v>·</v>
      </c>
      <c r="AL29" s="35">
        <f t="shared" si="12"/>
        <v>9.9899710745741537</v>
      </c>
      <c r="AM29" s="35">
        <f t="shared" si="13"/>
        <v>26.980260653837405</v>
      </c>
      <c r="AN29" s="521">
        <v>5538380</v>
      </c>
      <c r="AO29" s="505">
        <v>149426936</v>
      </c>
      <c r="AP29" s="375">
        <v>94097952</v>
      </c>
      <c r="AQ29" s="109"/>
      <c r="AR29" s="361">
        <v>55328256</v>
      </c>
      <c r="AS29" s="108"/>
      <c r="AT29" s="109"/>
      <c r="AU29" s="109"/>
      <c r="AV29" s="362">
        <v>99.339989000000003</v>
      </c>
      <c r="AW29" s="108"/>
      <c r="AX29" s="109"/>
      <c r="AY29" s="109"/>
      <c r="AZ29" s="517">
        <v>96.329468000000006</v>
      </c>
      <c r="BA29" s="509">
        <v>22.981000000000002</v>
      </c>
      <c r="BB29" s="363">
        <v>15.37</v>
      </c>
      <c r="BC29" s="575">
        <v>0</v>
      </c>
      <c r="BD29" s="575">
        <v>0</v>
      </c>
      <c r="BE29" s="37"/>
      <c r="BG29" s="125" t="e">
        <f t="shared" si="14"/>
        <v>#DIV/0!</v>
      </c>
      <c r="BH29" s="126" t="e">
        <f t="shared" si="14"/>
        <v>#DIV/0!</v>
      </c>
      <c r="BI29" s="126">
        <f t="shared" si="8"/>
        <v>0</v>
      </c>
      <c r="BJ29" s="127"/>
      <c r="BL29" s="108"/>
      <c r="BM29" s="109"/>
      <c r="BN29" s="109"/>
      <c r="BO29" s="110"/>
      <c r="BQ29" s="108"/>
      <c r="BR29" s="109"/>
      <c r="BS29" s="109"/>
      <c r="BT29" s="110"/>
      <c r="BV29" s="108"/>
      <c r="BW29" s="109"/>
      <c r="BX29" s="109"/>
      <c r="BY29" s="110"/>
      <c r="CA29" s="108"/>
      <c r="CB29" s="109"/>
      <c r="CC29" s="109"/>
      <c r="CD29" s="110"/>
    </row>
    <row r="30" spans="1:82">
      <c r="A30" s="13"/>
      <c r="B30" s="294" t="s">
        <v>988</v>
      </c>
      <c r="C30" s="25" t="s">
        <v>131</v>
      </c>
      <c r="D30" s="303">
        <v>7740280</v>
      </c>
      <c r="E30" s="304">
        <v>19</v>
      </c>
      <c r="F30" s="304">
        <v>1</v>
      </c>
      <c r="G30" s="26"/>
      <c r="I30" s="46" t="str">
        <f t="shared" si="0"/>
        <v>·</v>
      </c>
      <c r="J30" s="47">
        <f t="shared" si="1"/>
        <v>20.003616406641619</v>
      </c>
      <c r="K30" s="47">
        <f t="shared" si="2"/>
        <v>15.461782777884004</v>
      </c>
      <c r="L30" s="137"/>
      <c r="M30" s="47">
        <f t="shared" si="3"/>
        <v>4.5417395753125209</v>
      </c>
      <c r="N30" s="47">
        <f t="shared" si="4"/>
        <v>20.003616406641619</v>
      </c>
      <c r="O30" s="520">
        <v>7740280</v>
      </c>
      <c r="P30" s="519">
        <v>154833592</v>
      </c>
      <c r="Q30" s="376">
        <v>119678528</v>
      </c>
      <c r="R30" s="138"/>
      <c r="S30" s="365">
        <v>35154336</v>
      </c>
      <c r="T30" s="137"/>
      <c r="U30" s="138"/>
      <c r="V30" s="138"/>
      <c r="W30" s="366">
        <v>77.010315000000006</v>
      </c>
      <c r="X30" s="137"/>
      <c r="Y30" s="138"/>
      <c r="Z30" s="138"/>
      <c r="AA30" s="518">
        <v>72.247062999999997</v>
      </c>
      <c r="AB30" s="510"/>
      <c r="AC30" s="367"/>
      <c r="AD30" s="576">
        <v>0</v>
      </c>
      <c r="AE30" s="576">
        <v>0</v>
      </c>
      <c r="AF30" s="49"/>
      <c r="AH30" s="42" t="str">
        <f t="shared" si="5"/>
        <v>·</v>
      </c>
      <c r="AI30" s="43">
        <f t="shared" si="9"/>
        <v>20.003616406641619</v>
      </c>
      <c r="AJ30" s="43">
        <f t="shared" si="10"/>
        <v>15.461782777884004</v>
      </c>
      <c r="AK30" s="137" t="str">
        <f t="shared" si="11"/>
        <v>·</v>
      </c>
      <c r="AL30" s="43">
        <f t="shared" si="12"/>
        <v>4.5417395753125209</v>
      </c>
      <c r="AM30" s="43">
        <f t="shared" si="13"/>
        <v>20.003616406641619</v>
      </c>
      <c r="AN30" s="520">
        <v>7740280</v>
      </c>
      <c r="AO30" s="519">
        <v>154833592</v>
      </c>
      <c r="AP30" s="376">
        <v>119678528</v>
      </c>
      <c r="AQ30" s="138"/>
      <c r="AR30" s="365">
        <v>35154336</v>
      </c>
      <c r="AS30" s="137"/>
      <c r="AT30" s="138"/>
      <c r="AU30" s="138"/>
      <c r="AV30" s="366">
        <v>77.010315000000006</v>
      </c>
      <c r="AW30" s="137"/>
      <c r="AX30" s="138"/>
      <c r="AY30" s="138"/>
      <c r="AZ30" s="518">
        <v>72.247062999999997</v>
      </c>
      <c r="BA30" s="510">
        <v>26.986000000000001</v>
      </c>
      <c r="BB30" s="367">
        <v>20.084</v>
      </c>
      <c r="BC30" s="576">
        <v>0</v>
      </c>
      <c r="BD30" s="576">
        <v>0</v>
      </c>
      <c r="BE30" s="45"/>
      <c r="BG30" s="131" t="e">
        <f t="shared" si="14"/>
        <v>#DIV/0!</v>
      </c>
      <c r="BH30" s="132" t="e">
        <f t="shared" si="14"/>
        <v>#DIV/0!</v>
      </c>
      <c r="BI30" s="132">
        <f t="shared" si="8"/>
        <v>0</v>
      </c>
      <c r="BJ30" s="133">
        <f t="array" ref="BJ30">AVERAGE(AP30:AP34/AO30:AO34) - AVERAGE(Q30:Q34/P30:P34)</f>
        <v>0</v>
      </c>
      <c r="BL30" s="137"/>
      <c r="BM30" s="138"/>
      <c r="BN30" s="138"/>
      <c r="BO30" s="139">
        <f>IF( OR(ISBLANK($S30:$S34),ISBLANK($AR30:$AR34), ISBLANK($W30:$W34),ISBLANK($AV30:$AV34)), "·", bdRateHermite($S30:$S34,$W30:$W34, $AR30:$AR34,$AV30:$AV34))</f>
        <v>0</v>
      </c>
      <c r="BQ30" s="137"/>
      <c r="BR30" s="138"/>
      <c r="BS30" s="138"/>
      <c r="BT30" s="139">
        <f>IF( OR(ISBLANK($S30:$S34),ISBLANK($AR30:$AR34), ISBLANK($AA30:$AA34),ISBLANK($AZ30:$AZ34)), "·", bdRateHermite($S30:$S34,$AA30:$AA34, $AR30:$AR34,$AZ30:$AZ34))</f>
        <v>0</v>
      </c>
      <c r="BV30" s="137"/>
      <c r="BW30" s="138"/>
      <c r="BX30" s="138"/>
      <c r="BY30" s="139">
        <f>IF(OR(ISBLANK($P30:$P34),ISBLANK($AO30:$AO34),ISBLANK($W30:$W34),ISBLANK($AV30:$AV34)),"·",bdRateHermite($P30:$P34,$W30:$W34,$AO30:$AO34,$AV30:$AV34))</f>
        <v>0</v>
      </c>
      <c r="CA30" s="137"/>
      <c r="CB30" s="138"/>
      <c r="CC30" s="138"/>
      <c r="CD30" s="139">
        <f>IF( OR(ISBLANK($P30:$P34),ISBLANK($AO30:$AO34), ISBLANK($AA30:$AA34),ISBLANK($AZ30:$AZ34)), "·", bdRateHermite( $P30:$P34,$AA30:$AA34, $AO30:$AO34,$AZ30:$AZ34))</f>
        <v>0</v>
      </c>
    </row>
    <row r="31" spans="1:82" outlineLevel="1">
      <c r="A31" s="13"/>
      <c r="B31" s="291" t="s">
        <v>988</v>
      </c>
      <c r="C31" s="15" t="s">
        <v>132</v>
      </c>
      <c r="D31" s="300">
        <v>7740280</v>
      </c>
      <c r="E31" s="299">
        <v>19</v>
      </c>
      <c r="F31" s="299">
        <v>1</v>
      </c>
      <c r="G31" s="16"/>
      <c r="I31" s="30" t="str">
        <f t="shared" si="0"/>
        <v>·</v>
      </c>
      <c r="J31" s="31">
        <f t="shared" si="1"/>
        <v>21.431001462479394</v>
      </c>
      <c r="K31" s="31">
        <f t="shared" si="2"/>
        <v>15.461782777884004</v>
      </c>
      <c r="L31" s="105"/>
      <c r="M31" s="31">
        <f t="shared" si="3"/>
        <v>5.9691246311502946</v>
      </c>
      <c r="N31" s="31">
        <f t="shared" si="4"/>
        <v>21.431001462479394</v>
      </c>
      <c r="O31" s="523">
        <v>7740280</v>
      </c>
      <c r="P31" s="503">
        <v>165881952</v>
      </c>
      <c r="Q31" s="373">
        <v>119678528</v>
      </c>
      <c r="R31" s="106"/>
      <c r="S31" s="357">
        <v>46202696</v>
      </c>
      <c r="T31" s="105"/>
      <c r="U31" s="106"/>
      <c r="V31" s="106"/>
      <c r="W31" s="358">
        <v>83.003403000000006</v>
      </c>
      <c r="X31" s="105"/>
      <c r="Y31" s="106"/>
      <c r="Z31" s="106"/>
      <c r="AA31" s="515">
        <v>78.267669999999995</v>
      </c>
      <c r="AB31" s="507"/>
      <c r="AC31" s="359"/>
      <c r="AD31" s="573">
        <v>0</v>
      </c>
      <c r="AE31" s="573">
        <v>0</v>
      </c>
      <c r="AF31" s="33"/>
      <c r="AH31" s="30" t="str">
        <f t="shared" si="5"/>
        <v>·</v>
      </c>
      <c r="AI31" s="31">
        <f t="shared" si="9"/>
        <v>21.431001462479394</v>
      </c>
      <c r="AJ31" s="31">
        <f t="shared" si="10"/>
        <v>15.461782777884004</v>
      </c>
      <c r="AK31" s="105" t="str">
        <f t="shared" si="11"/>
        <v>·</v>
      </c>
      <c r="AL31" s="31">
        <f t="shared" si="12"/>
        <v>5.9691246311502946</v>
      </c>
      <c r="AM31" s="31">
        <f t="shared" si="13"/>
        <v>21.431001462479394</v>
      </c>
      <c r="AN31" s="523">
        <v>7740280</v>
      </c>
      <c r="AO31" s="503">
        <v>165881952</v>
      </c>
      <c r="AP31" s="373">
        <v>119678528</v>
      </c>
      <c r="AQ31" s="106"/>
      <c r="AR31" s="357">
        <v>46202696</v>
      </c>
      <c r="AS31" s="105"/>
      <c r="AT31" s="106"/>
      <c r="AU31" s="106"/>
      <c r="AV31" s="358">
        <v>83.003403000000006</v>
      </c>
      <c r="AW31" s="105"/>
      <c r="AX31" s="106"/>
      <c r="AY31" s="106"/>
      <c r="AZ31" s="515">
        <v>78.267669999999995</v>
      </c>
      <c r="BA31" s="507">
        <v>26.515000000000001</v>
      </c>
      <c r="BB31" s="359">
        <v>18.699000000000002</v>
      </c>
      <c r="BC31" s="573">
        <v>0</v>
      </c>
      <c r="BD31" s="573">
        <v>0</v>
      </c>
      <c r="BE31" s="33"/>
      <c r="BG31" s="122" t="e">
        <f t="shared" si="14"/>
        <v>#DIV/0!</v>
      </c>
      <c r="BH31" s="123" t="e">
        <f t="shared" si="14"/>
        <v>#DIV/0!</v>
      </c>
      <c r="BI31" s="123">
        <f t="shared" si="8"/>
        <v>0</v>
      </c>
      <c r="BJ31" s="124"/>
      <c r="BL31" s="105"/>
      <c r="BM31" s="106"/>
      <c r="BN31" s="106"/>
      <c r="BO31" s="107"/>
      <c r="BQ31" s="105"/>
      <c r="BR31" s="106"/>
      <c r="BS31" s="106"/>
      <c r="BT31" s="107"/>
      <c r="BV31" s="105"/>
      <c r="BW31" s="106"/>
      <c r="BX31" s="106"/>
      <c r="BY31" s="107"/>
      <c r="CA31" s="105"/>
      <c r="CB31" s="106"/>
      <c r="CC31" s="106"/>
      <c r="CD31" s="107"/>
    </row>
    <row r="32" spans="1:82" outlineLevel="1">
      <c r="A32" s="13"/>
      <c r="B32" s="291" t="s">
        <v>988</v>
      </c>
      <c r="C32" s="15" t="s">
        <v>133</v>
      </c>
      <c r="D32" s="300">
        <v>7740280</v>
      </c>
      <c r="E32" s="299">
        <v>19</v>
      </c>
      <c r="F32" s="299">
        <v>1</v>
      </c>
      <c r="G32" s="16"/>
      <c r="I32" s="30" t="str">
        <f t="shared" si="0"/>
        <v>·</v>
      </c>
      <c r="J32" s="31">
        <f t="shared" si="1"/>
        <v>22.858840248673175</v>
      </c>
      <c r="K32" s="31">
        <f t="shared" si="2"/>
        <v>15.461782777884004</v>
      </c>
      <c r="L32" s="105"/>
      <c r="M32" s="31">
        <f t="shared" si="3"/>
        <v>7.3969644508984169</v>
      </c>
      <c r="N32" s="31">
        <f t="shared" si="4"/>
        <v>22.858840248673175</v>
      </c>
      <c r="O32" s="523">
        <v>7740280</v>
      </c>
      <c r="P32" s="503">
        <v>176933824</v>
      </c>
      <c r="Q32" s="373">
        <v>119678528</v>
      </c>
      <c r="R32" s="106"/>
      <c r="S32" s="357">
        <v>57254576</v>
      </c>
      <c r="T32" s="105"/>
      <c r="U32" s="106"/>
      <c r="V32" s="106"/>
      <c r="W32" s="358">
        <v>88.926743000000002</v>
      </c>
      <c r="X32" s="105"/>
      <c r="Y32" s="106"/>
      <c r="Z32" s="106"/>
      <c r="AA32" s="515">
        <v>84.288269</v>
      </c>
      <c r="AB32" s="507"/>
      <c r="AC32" s="359"/>
      <c r="AD32" s="573">
        <v>0</v>
      </c>
      <c r="AE32" s="573">
        <v>0</v>
      </c>
      <c r="AF32" s="33"/>
      <c r="AH32" s="30" t="str">
        <f t="shared" si="5"/>
        <v>·</v>
      </c>
      <c r="AI32" s="31">
        <f t="shared" si="9"/>
        <v>22.858840248673175</v>
      </c>
      <c r="AJ32" s="31">
        <f t="shared" si="10"/>
        <v>15.461782777884004</v>
      </c>
      <c r="AK32" s="105" t="str">
        <f t="shared" si="11"/>
        <v>·</v>
      </c>
      <c r="AL32" s="31">
        <f t="shared" si="12"/>
        <v>7.3969644508984169</v>
      </c>
      <c r="AM32" s="31">
        <f t="shared" si="13"/>
        <v>22.858840248673175</v>
      </c>
      <c r="AN32" s="523">
        <v>7740280</v>
      </c>
      <c r="AO32" s="503">
        <v>176933824</v>
      </c>
      <c r="AP32" s="373">
        <v>119678528</v>
      </c>
      <c r="AQ32" s="106"/>
      <c r="AR32" s="357">
        <v>57254576</v>
      </c>
      <c r="AS32" s="105"/>
      <c r="AT32" s="106"/>
      <c r="AU32" s="106"/>
      <c r="AV32" s="358">
        <v>88.926743000000002</v>
      </c>
      <c r="AW32" s="105"/>
      <c r="AX32" s="106"/>
      <c r="AY32" s="106"/>
      <c r="AZ32" s="515">
        <v>84.288269</v>
      </c>
      <c r="BA32" s="507">
        <v>29.939</v>
      </c>
      <c r="BB32" s="359">
        <v>19.39</v>
      </c>
      <c r="BC32" s="573">
        <v>0</v>
      </c>
      <c r="BD32" s="573">
        <v>0</v>
      </c>
      <c r="BE32" s="33"/>
      <c r="BG32" s="122" t="e">
        <f t="shared" si="14"/>
        <v>#DIV/0!</v>
      </c>
      <c r="BH32" s="123" t="e">
        <f t="shared" si="14"/>
        <v>#DIV/0!</v>
      </c>
      <c r="BI32" s="123">
        <f t="shared" si="8"/>
        <v>0</v>
      </c>
      <c r="BJ32" s="124"/>
      <c r="BL32" s="105"/>
      <c r="BM32" s="106"/>
      <c r="BN32" s="106"/>
      <c r="BO32" s="107"/>
      <c r="BQ32" s="105"/>
      <c r="BR32" s="106"/>
      <c r="BS32" s="106"/>
      <c r="BT32" s="107"/>
      <c r="BV32" s="105"/>
      <c r="BW32" s="106"/>
      <c r="BX32" s="106"/>
      <c r="BY32" s="107"/>
      <c r="CA32" s="105"/>
      <c r="CB32" s="106"/>
      <c r="CC32" s="106"/>
      <c r="CD32" s="107"/>
    </row>
    <row r="33" spans="1:82" outlineLevel="1">
      <c r="A33" s="13"/>
      <c r="B33" s="291" t="s">
        <v>988</v>
      </c>
      <c r="C33" s="15" t="s">
        <v>134</v>
      </c>
      <c r="D33" s="300">
        <v>7740280</v>
      </c>
      <c r="E33" s="299">
        <v>19</v>
      </c>
      <c r="F33" s="299">
        <v>1</v>
      </c>
      <c r="G33" s="16"/>
      <c r="I33" s="30" t="str">
        <f t="shared" si="0"/>
        <v>·</v>
      </c>
      <c r="J33" s="31">
        <f t="shared" si="1"/>
        <v>24.018128543153477</v>
      </c>
      <c r="K33" s="31">
        <f t="shared" si="2"/>
        <v>15.461782777884004</v>
      </c>
      <c r="L33" s="105"/>
      <c r="M33" s="31">
        <f t="shared" si="3"/>
        <v>8.5562527453787194</v>
      </c>
      <c r="N33" s="31">
        <f t="shared" si="4"/>
        <v>24.018128543153477</v>
      </c>
      <c r="O33" s="523">
        <v>7740280</v>
      </c>
      <c r="P33" s="503">
        <v>185907040</v>
      </c>
      <c r="Q33" s="373">
        <v>119678528</v>
      </c>
      <c r="R33" s="106"/>
      <c r="S33" s="357">
        <v>66227792</v>
      </c>
      <c r="T33" s="105"/>
      <c r="U33" s="106"/>
      <c r="V33" s="106"/>
      <c r="W33" s="358">
        <v>94.570785999999998</v>
      </c>
      <c r="X33" s="105"/>
      <c r="Y33" s="106"/>
      <c r="Z33" s="106"/>
      <c r="AA33" s="515">
        <v>90.308868000000004</v>
      </c>
      <c r="AB33" s="507"/>
      <c r="AC33" s="359"/>
      <c r="AD33" s="573">
        <v>0</v>
      </c>
      <c r="AE33" s="573">
        <v>0</v>
      </c>
      <c r="AF33" s="33"/>
      <c r="AH33" s="30" t="str">
        <f t="shared" si="5"/>
        <v>·</v>
      </c>
      <c r="AI33" s="31">
        <f t="shared" si="9"/>
        <v>24.018128543153477</v>
      </c>
      <c r="AJ33" s="31">
        <f t="shared" si="10"/>
        <v>15.461782777884004</v>
      </c>
      <c r="AK33" s="105" t="str">
        <f t="shared" si="11"/>
        <v>·</v>
      </c>
      <c r="AL33" s="31">
        <f t="shared" si="12"/>
        <v>8.5562527453787194</v>
      </c>
      <c r="AM33" s="31">
        <f t="shared" si="13"/>
        <v>24.018128543153477</v>
      </c>
      <c r="AN33" s="523">
        <v>7740280</v>
      </c>
      <c r="AO33" s="503">
        <v>185907040</v>
      </c>
      <c r="AP33" s="373">
        <v>119678528</v>
      </c>
      <c r="AQ33" s="106"/>
      <c r="AR33" s="357">
        <v>66227792</v>
      </c>
      <c r="AS33" s="105"/>
      <c r="AT33" s="106"/>
      <c r="AU33" s="106"/>
      <c r="AV33" s="358">
        <v>94.570785999999998</v>
      </c>
      <c r="AW33" s="105"/>
      <c r="AX33" s="106"/>
      <c r="AY33" s="106"/>
      <c r="AZ33" s="515">
        <v>90.308868000000004</v>
      </c>
      <c r="BA33" s="507">
        <v>30.068000000000001</v>
      </c>
      <c r="BB33" s="359">
        <v>20.347000000000001</v>
      </c>
      <c r="BC33" s="573">
        <v>0</v>
      </c>
      <c r="BD33" s="573">
        <v>0</v>
      </c>
      <c r="BE33" s="33"/>
      <c r="BG33" s="122" t="e">
        <f t="shared" si="14"/>
        <v>#DIV/0!</v>
      </c>
      <c r="BH33" s="123" t="e">
        <f t="shared" si="14"/>
        <v>#DIV/0!</v>
      </c>
      <c r="BI33" s="123">
        <f t="shared" si="8"/>
        <v>0</v>
      </c>
      <c r="BJ33" s="124"/>
      <c r="BL33" s="105"/>
      <c r="BM33" s="106"/>
      <c r="BN33" s="106"/>
      <c r="BO33" s="107"/>
      <c r="BQ33" s="105"/>
      <c r="BR33" s="106"/>
      <c r="BS33" s="106"/>
      <c r="BT33" s="107"/>
      <c r="BV33" s="105"/>
      <c r="BW33" s="106"/>
      <c r="BX33" s="106"/>
      <c r="BY33" s="107"/>
      <c r="CA33" s="105"/>
      <c r="CB33" s="106"/>
      <c r="CC33" s="106"/>
      <c r="CD33" s="107"/>
    </row>
    <row r="34" spans="1:82" ht="14.25" outlineLevel="1" thickBot="1">
      <c r="A34" s="215"/>
      <c r="B34" s="292" t="s">
        <v>988</v>
      </c>
      <c r="C34" s="22" t="s">
        <v>135</v>
      </c>
      <c r="D34" s="301">
        <v>7740280</v>
      </c>
      <c r="E34" s="302">
        <v>19</v>
      </c>
      <c r="F34" s="302">
        <v>1</v>
      </c>
      <c r="G34" s="23"/>
      <c r="I34" s="38" t="str">
        <f t="shared" si="0"/>
        <v>·</v>
      </c>
      <c r="J34" s="39">
        <f t="shared" si="1"/>
        <v>25.248634933103194</v>
      </c>
      <c r="K34" s="39">
        <f t="shared" si="2"/>
        <v>15.461782777884004</v>
      </c>
      <c r="L34" s="134"/>
      <c r="M34" s="35">
        <f t="shared" si="3"/>
        <v>9.7867591353284382</v>
      </c>
      <c r="N34" s="35">
        <f t="shared" si="4"/>
        <v>25.248634933103194</v>
      </c>
      <c r="O34" s="524">
        <v>7740280</v>
      </c>
      <c r="P34" s="505">
        <v>195431504</v>
      </c>
      <c r="Q34" s="375">
        <v>119678528</v>
      </c>
      <c r="R34" s="109"/>
      <c r="S34" s="361">
        <v>75752256</v>
      </c>
      <c r="T34" s="108"/>
      <c r="U34" s="109"/>
      <c r="V34" s="109"/>
      <c r="W34" s="362">
        <v>99.342346000000006</v>
      </c>
      <c r="X34" s="108"/>
      <c r="Y34" s="109"/>
      <c r="Z34" s="109"/>
      <c r="AA34" s="517">
        <v>96.329468000000006</v>
      </c>
      <c r="AB34" s="509"/>
      <c r="AC34" s="363"/>
      <c r="AD34" s="575">
        <v>0</v>
      </c>
      <c r="AE34" s="575">
        <v>0</v>
      </c>
      <c r="AF34" s="37"/>
      <c r="AH34" s="34" t="str">
        <f t="shared" si="5"/>
        <v>·</v>
      </c>
      <c r="AI34" s="35">
        <f t="shared" si="9"/>
        <v>25.248634933103194</v>
      </c>
      <c r="AJ34" s="35">
        <f t="shared" si="10"/>
        <v>15.461782777884004</v>
      </c>
      <c r="AK34" s="108" t="str">
        <f t="shared" si="11"/>
        <v>·</v>
      </c>
      <c r="AL34" s="35">
        <f t="shared" si="12"/>
        <v>9.7867591353284382</v>
      </c>
      <c r="AM34" s="35">
        <f t="shared" si="13"/>
        <v>25.248634933103194</v>
      </c>
      <c r="AN34" s="524">
        <v>7740280</v>
      </c>
      <c r="AO34" s="505">
        <v>195431504</v>
      </c>
      <c r="AP34" s="375">
        <v>119678528</v>
      </c>
      <c r="AQ34" s="109"/>
      <c r="AR34" s="361">
        <v>75752256</v>
      </c>
      <c r="AS34" s="108"/>
      <c r="AT34" s="109"/>
      <c r="AU34" s="109"/>
      <c r="AV34" s="362">
        <v>99.342346000000006</v>
      </c>
      <c r="AW34" s="108"/>
      <c r="AX34" s="109"/>
      <c r="AY34" s="109"/>
      <c r="AZ34" s="517">
        <v>96.329468000000006</v>
      </c>
      <c r="BA34" s="509">
        <v>35.182000000000002</v>
      </c>
      <c r="BB34" s="363">
        <v>22.536999999999999</v>
      </c>
      <c r="BC34" s="575">
        <v>0</v>
      </c>
      <c r="BD34" s="575">
        <v>0</v>
      </c>
      <c r="BE34" s="37"/>
      <c r="BG34" s="125" t="e">
        <f t="shared" si="14"/>
        <v>#DIV/0!</v>
      </c>
      <c r="BH34" s="126" t="e">
        <f t="shared" si="14"/>
        <v>#DIV/0!</v>
      </c>
      <c r="BI34" s="126">
        <f t="shared" si="8"/>
        <v>0</v>
      </c>
      <c r="BJ34" s="127"/>
      <c r="BL34" s="108"/>
      <c r="BM34" s="109"/>
      <c r="BN34" s="109"/>
      <c r="BO34" s="110"/>
      <c r="BQ34" s="108"/>
      <c r="BR34" s="109"/>
      <c r="BS34" s="109"/>
      <c r="BT34" s="110"/>
      <c r="BV34" s="108"/>
      <c r="BW34" s="109"/>
      <c r="BX34" s="109"/>
      <c r="BY34" s="110"/>
      <c r="CA34" s="108"/>
      <c r="CB34" s="109"/>
      <c r="CC34" s="109"/>
      <c r="CD34" s="110"/>
    </row>
    <row r="35" spans="1:82">
      <c r="A35" s="96" t="s">
        <v>1141</v>
      </c>
      <c r="B35" s="27" t="s">
        <v>1116</v>
      </c>
      <c r="C35" s="28" t="s">
        <v>131</v>
      </c>
      <c r="D35" s="478">
        <v>47062018</v>
      </c>
      <c r="E35" s="28">
        <v>20</v>
      </c>
      <c r="F35" s="28">
        <v>1</v>
      </c>
      <c r="G35" s="29"/>
      <c r="H35" s="492"/>
      <c r="I35" s="46" t="str">
        <f>IF(OR(ISBLANK(P35),ISBLANK(G35)),"·",P35/F35/1000000)</f>
        <v>·</v>
      </c>
      <c r="J35" s="47">
        <f t="shared" si="1"/>
        <v>26.82490444842378</v>
      </c>
      <c r="K35" s="47">
        <f t="shared" si="2"/>
        <v>24.375181191762749</v>
      </c>
      <c r="L35" s="47">
        <f>IF(ISBLANK(R35),"·",R35/D35)</f>
        <v>2.4497113574687766</v>
      </c>
      <c r="M35" s="104"/>
      <c r="N35" s="47">
        <f t="shared" si="4"/>
        <v>26.82490444842378</v>
      </c>
      <c r="O35" s="523">
        <v>47062018</v>
      </c>
      <c r="P35" s="502">
        <v>1262434136</v>
      </c>
      <c r="Q35" s="353">
        <v>1147145216</v>
      </c>
      <c r="R35" s="372">
        <v>115288360</v>
      </c>
      <c r="S35" s="257"/>
      <c r="T35" s="502">
        <v>30.671241999999999</v>
      </c>
      <c r="U35" s="353">
        <v>32.485298</v>
      </c>
      <c r="V35" s="372">
        <v>33.604484999999997</v>
      </c>
      <c r="W35" s="257"/>
      <c r="X35" s="353">
        <v>24.048404999999999</v>
      </c>
      <c r="Y35" s="353">
        <v>24.048404999999999</v>
      </c>
      <c r="Z35" s="372">
        <v>24.048404999999999</v>
      </c>
      <c r="AA35" s="257"/>
      <c r="AB35" s="506">
        <v>177.786</v>
      </c>
      <c r="AC35" s="355">
        <v>118.429</v>
      </c>
      <c r="AD35" s="572">
        <v>0</v>
      </c>
      <c r="AE35" s="572">
        <v>0</v>
      </c>
      <c r="AF35" s="49"/>
      <c r="AH35" s="46" t="str">
        <f t="shared" si="5"/>
        <v>·</v>
      </c>
      <c r="AI35" s="47">
        <f t="shared" si="9"/>
        <v>25.737838781158938</v>
      </c>
      <c r="AJ35" s="269">
        <f t="shared" si="10"/>
        <v>24.375181191762749</v>
      </c>
      <c r="AK35" s="274">
        <f t="shared" si="11"/>
        <v>1.3626456902039348</v>
      </c>
      <c r="AL35" s="266" t="str">
        <f t="shared" si="12"/>
        <v>·</v>
      </c>
      <c r="AM35" s="47">
        <f t="shared" si="13"/>
        <v>25.737838781158938</v>
      </c>
      <c r="AN35" s="523">
        <v>47062018</v>
      </c>
      <c r="AO35" s="502">
        <v>1211274632</v>
      </c>
      <c r="AP35" s="353">
        <v>1147145216</v>
      </c>
      <c r="AQ35" s="372">
        <v>64128856</v>
      </c>
      <c r="AR35" s="257"/>
      <c r="AS35" s="502">
        <v>32.325969999999998</v>
      </c>
      <c r="AT35" s="353">
        <v>35.780777</v>
      </c>
      <c r="AU35" s="372">
        <v>35.720562000000001</v>
      </c>
      <c r="AV35" s="257"/>
      <c r="AW35" s="353">
        <v>24.048404999999999</v>
      </c>
      <c r="AX35" s="353">
        <v>24.048404999999999</v>
      </c>
      <c r="AY35" s="372">
        <v>24.048404999999999</v>
      </c>
      <c r="AZ35" s="257"/>
      <c r="BA35" s="506">
        <v>264.60899999999998</v>
      </c>
      <c r="BB35" s="355">
        <v>210.767</v>
      </c>
      <c r="BC35" s="572">
        <v>0</v>
      </c>
      <c r="BD35" s="572">
        <v>0</v>
      </c>
      <c r="BE35" s="49"/>
      <c r="BG35" s="119" t="e">
        <f t="shared" si="14"/>
        <v>#DIV/0!</v>
      </c>
      <c r="BH35" s="120" t="e">
        <f t="shared" si="14"/>
        <v>#DIV/0!</v>
      </c>
      <c r="BI35" s="120">
        <f t="shared" si="8"/>
        <v>3.837897507063659E-2</v>
      </c>
      <c r="BJ35" s="121">
        <f t="array" ref="BJ35">AVERAGE(AP35:AP39/AO35:AO39) - AVERAGE(Q35:Q39/P35:P39)</f>
        <v>3.3250156511153928E-2</v>
      </c>
      <c r="BL35" s="279">
        <f>IF( OR(ISBLANK($R35:$R39),ISBLANK($AQ35:$AQ39), ISBLANK(T35:T39),ISBLANK(AS35:AS39)), "·", bdRateHermite($R35:$R39,T35:T39, $AQ35:$AQ39,AS35:AS39))</f>
        <v>-0.33021112336994785</v>
      </c>
      <c r="BM35" s="279">
        <f>IF( OR(ISBLANK($R35:$R39),ISBLANK($AQ35:$AQ39), ISBLANK(U35:U39),ISBLANK(AT35:AT39)), "·", bdRateHermite($R35:$R39,U35:U39, $AQ35:$AQ39,AT35:AT39))</f>
        <v>-0.35639178720062603</v>
      </c>
      <c r="BN35" s="279">
        <f>IF( OR(ISBLANK($R35:$R39),ISBLANK($AQ35:$AQ39), ISBLANK(V35:V39),ISBLANK(AU35:AU39)), "·", bdRateHermite($R35:$R39,V35:V39, $AQ35:$AQ39,AU35:AU39))</f>
        <v>-0.34624991475437916</v>
      </c>
      <c r="BO35" s="104"/>
      <c r="BQ35" s="173">
        <f>IF( OR(ISBLANK($R35:$R39),ISBLANK($AQ35:$AQ39), ISBLANK(X35:X39),ISBLANK(AW35:AW39)), "·", bdRateHermite($R35:$R39,X35:X39, $AQ35:$AQ39,AW35:AW39))</f>
        <v>-0.26703554788264539</v>
      </c>
      <c r="BR35" s="173">
        <f>IF( OR(ISBLANK($R35:$R39),ISBLANK($AQ35:$AQ39), ISBLANK(Y35:Y39),ISBLANK(AX35:AX39)), "·", bdRateHermite($R35:$R39,Y35:Y39, $AQ35:$AQ39,AX35:AX39))</f>
        <v>-0.26703554788264539</v>
      </c>
      <c r="BS35" s="173">
        <f>IF( OR(ISBLANK($R35:$R39),ISBLANK($AQ35:$AQ39), ISBLANK(Z35:Z39),ISBLANK(AY35:AY39)), "·", bdRateHermite($R35:$R39,Z35:Z39, $AQ35:$AQ39,AY35:AY39))</f>
        <v>-0.26703554788264539</v>
      </c>
      <c r="BT35" s="138"/>
      <c r="BV35" s="173">
        <f>IF(OR(ISBLANK($P35:$P39),ISBLANK($AO35:$AO39),ISBLANK(T35:T39),ISBLANK(AS35:AS39)),"·",bdRateHermite($P35:$P39,T35:T39,$AO35:$AO39,AS35:AS39))</f>
        <v>-5.0522569514587001E-2</v>
      </c>
      <c r="BW35" s="173">
        <f>IF(OR(ISBLANK($P35:$P39),ISBLANK($AO35:$AO39),ISBLANK(U35:U39),ISBLANK(AT35:AT39)),"·",bdRateHermite($P35:$P39,U35:U39,$AO35:$AO39,AT35:AT39))</f>
        <v>-5.6085379326410778E-2</v>
      </c>
      <c r="BX35" s="173">
        <f>IF(OR(ISBLANK($P35:$P39),ISBLANK($AO35:$AO39),ISBLANK(V35:V39),ISBLANK(AU35:AU39)),"·",bdRateHermite($P35:$P39,V35:V39,$AO35:$AO39,AU35:AU39))</f>
        <v>-5.4093322900973129E-2</v>
      </c>
      <c r="BY35" s="138"/>
      <c r="CA35" s="173">
        <f>IF( OR(ISBLANK($P35:$P39),ISBLANK($AO35:$AO39), ISBLANK(X35:X39),ISBLANK(AW35:AW39)), "·", bdRateHermite( $P35:$P39,X35:X39, $AO35:$AO39,AW35:AW39))</f>
        <v>-4.0237446585061343E-2</v>
      </c>
      <c r="CB35" s="173">
        <f>IF( OR(ISBLANK($P35:$P39),ISBLANK($AO35:$AO39), ISBLANK(Y35:Y39),ISBLANK(AX35:AX39)), "·", bdRateHermite( $P35:$P39,Y35:Y39, $AO35:$AO39,AX35:AX39))</f>
        <v>-4.0237446585061343E-2</v>
      </c>
      <c r="CC35" s="173">
        <f>IF( OR(ISBLANK($P35:$P39),ISBLANK($AO35:$AO39), ISBLANK(Z35:Z39),ISBLANK(AY35:AY39)), "·", bdRateHermite( $P35:$P39,Z35:Z39, $AO35:$AO39,AY35:AY39))</f>
        <v>-4.0237446585061343E-2</v>
      </c>
      <c r="CD35" s="138"/>
    </row>
    <row r="36" spans="1:82" outlineLevel="1">
      <c r="A36" s="13"/>
      <c r="B36" s="14" t="s">
        <v>1116</v>
      </c>
      <c r="C36" s="15" t="s">
        <v>132</v>
      </c>
      <c r="D36" s="479">
        <v>47062018</v>
      </c>
      <c r="E36" s="15">
        <v>20</v>
      </c>
      <c r="F36" s="15">
        <v>1</v>
      </c>
      <c r="G36" s="16"/>
      <c r="H36" s="492"/>
      <c r="I36" s="30" t="str">
        <f t="shared" ref="I36:I69" si="15">IF(OR(ISBLANK(P36),ISBLANK(G36)),"·",P36*G36/F36/1000000)</f>
        <v>·</v>
      </c>
      <c r="J36" s="31">
        <f>IF(ISBLANK(P36),"·",P36/D36)</f>
        <v>28.056450278014001</v>
      </c>
      <c r="K36" s="31">
        <f t="shared" si="2"/>
        <v>24.375181191762749</v>
      </c>
      <c r="L36" s="31">
        <f>IF(ISBLANK(R36),"·",R36/D36)</f>
        <v>3.6812571870589994</v>
      </c>
      <c r="M36" s="106"/>
      <c r="N36" s="31">
        <f t="shared" si="4"/>
        <v>28.056450278014001</v>
      </c>
      <c r="O36" s="521">
        <v>47062018</v>
      </c>
      <c r="P36" s="503">
        <v>1320393168</v>
      </c>
      <c r="Q36" s="357">
        <v>1147145216</v>
      </c>
      <c r="R36" s="373">
        <v>173247392</v>
      </c>
      <c r="S36" s="258"/>
      <c r="T36" s="503">
        <v>36.99371</v>
      </c>
      <c r="U36" s="357">
        <v>38.379944000000002</v>
      </c>
      <c r="V36" s="373">
        <v>38.42107</v>
      </c>
      <c r="W36" s="258"/>
      <c r="X36" s="357">
        <v>30.069004</v>
      </c>
      <c r="Y36" s="357">
        <v>30.069004</v>
      </c>
      <c r="Z36" s="373">
        <v>30.069004</v>
      </c>
      <c r="AA36" s="258"/>
      <c r="AB36" s="507">
        <v>170.30799999999999</v>
      </c>
      <c r="AC36" s="359">
        <v>117.57</v>
      </c>
      <c r="AD36" s="573">
        <v>0</v>
      </c>
      <c r="AE36" s="573">
        <v>0</v>
      </c>
      <c r="AF36" s="33"/>
      <c r="AH36" s="30" t="str">
        <f t="shared" si="5"/>
        <v>·</v>
      </c>
      <c r="AI36" s="31">
        <f t="shared" si="9"/>
        <v>26.721479049198443</v>
      </c>
      <c r="AJ36" s="270">
        <f t="shared" si="10"/>
        <v>24.375181191762749</v>
      </c>
      <c r="AK36" s="275">
        <f t="shared" si="11"/>
        <v>2.3462859582434397</v>
      </c>
      <c r="AL36" s="267" t="str">
        <f t="shared" si="12"/>
        <v>·</v>
      </c>
      <c r="AM36" s="31">
        <f t="shared" si="13"/>
        <v>26.721479049198443</v>
      </c>
      <c r="AN36" s="521">
        <v>47062018</v>
      </c>
      <c r="AO36" s="503">
        <v>1257566728</v>
      </c>
      <c r="AP36" s="357">
        <v>1147145216</v>
      </c>
      <c r="AQ36" s="373">
        <v>110420952</v>
      </c>
      <c r="AR36" s="258"/>
      <c r="AS36" s="503">
        <v>38.272326999999997</v>
      </c>
      <c r="AT36" s="357">
        <v>40.538639000000003</v>
      </c>
      <c r="AU36" s="373">
        <v>40.301926000000002</v>
      </c>
      <c r="AV36" s="258"/>
      <c r="AW36" s="357">
        <v>30.069004</v>
      </c>
      <c r="AX36" s="357">
        <v>30.069004</v>
      </c>
      <c r="AY36" s="373">
        <v>30.069004</v>
      </c>
      <c r="AZ36" s="258"/>
      <c r="BA36" s="507">
        <v>281.16300000000001</v>
      </c>
      <c r="BB36" s="359">
        <v>203.30199999999999</v>
      </c>
      <c r="BC36" s="573">
        <v>0</v>
      </c>
      <c r="BD36" s="573">
        <v>0</v>
      </c>
      <c r="BE36" s="33"/>
      <c r="BG36" s="122" t="e">
        <f t="shared" si="14"/>
        <v>#DIV/0!</v>
      </c>
      <c r="BH36" s="123" t="e">
        <f t="shared" si="14"/>
        <v>#DIV/0!</v>
      </c>
      <c r="BI36" s="123">
        <f t="shared" si="8"/>
        <v>4.3403678985952321E-2</v>
      </c>
      <c r="BJ36" s="124"/>
      <c r="BL36" s="107"/>
      <c r="BM36" s="107"/>
      <c r="BN36" s="107"/>
      <c r="BO36" s="106"/>
      <c r="BQ36" s="177"/>
      <c r="BR36" s="177"/>
      <c r="BS36" s="177"/>
      <c r="BT36" s="106"/>
      <c r="BV36" s="177"/>
      <c r="BW36" s="177"/>
      <c r="BX36" s="177"/>
      <c r="BY36" s="106"/>
      <c r="CA36" s="177"/>
      <c r="CB36" s="177"/>
      <c r="CC36" s="177"/>
      <c r="CD36" s="106"/>
    </row>
    <row r="37" spans="1:82" outlineLevel="1">
      <c r="A37" s="13"/>
      <c r="B37" s="14" t="s">
        <v>1116</v>
      </c>
      <c r="C37" s="15" t="s">
        <v>133</v>
      </c>
      <c r="D37" s="479">
        <v>47062018</v>
      </c>
      <c r="E37" s="15">
        <v>20</v>
      </c>
      <c r="F37" s="15">
        <v>1</v>
      </c>
      <c r="G37" s="16"/>
      <c r="H37" s="492"/>
      <c r="I37" s="30" t="str">
        <f t="shared" si="15"/>
        <v>·</v>
      </c>
      <c r="J37" s="31">
        <f t="shared" ref="J37:J69" si="16">IF(ISBLANK(P37),"·",P37/D37)</f>
        <v>29.608479942360312</v>
      </c>
      <c r="K37" s="31">
        <f t="shared" si="2"/>
        <v>24.375181191762749</v>
      </c>
      <c r="L37" s="31">
        <f t="shared" ref="L37:L69" si="17">IF(ISBLANK(R37),"·",R37/D37)</f>
        <v>5.2332870213937701</v>
      </c>
      <c r="M37" s="106"/>
      <c r="N37" s="31">
        <f t="shared" si="4"/>
        <v>29.608479942360312</v>
      </c>
      <c r="O37" s="521">
        <v>47062018</v>
      </c>
      <c r="P37" s="503">
        <v>1393434816</v>
      </c>
      <c r="Q37" s="357">
        <v>1147145216</v>
      </c>
      <c r="R37" s="373">
        <v>246289048</v>
      </c>
      <c r="S37" s="258"/>
      <c r="T37" s="503">
        <v>43.300491000000001</v>
      </c>
      <c r="U37" s="357">
        <v>43.986018999999999</v>
      </c>
      <c r="V37" s="373">
        <v>43.551544</v>
      </c>
      <c r="W37" s="258"/>
      <c r="X37" s="357">
        <v>36.089602999999997</v>
      </c>
      <c r="Y37" s="357">
        <v>36.089602999999997</v>
      </c>
      <c r="Z37" s="373">
        <v>36.089602999999997</v>
      </c>
      <c r="AA37" s="258"/>
      <c r="AB37" s="507">
        <v>172.863</v>
      </c>
      <c r="AC37" s="359">
        <v>119.93899999999999</v>
      </c>
      <c r="AD37" s="573">
        <v>0</v>
      </c>
      <c r="AE37" s="573">
        <v>0</v>
      </c>
      <c r="AF37" s="33"/>
      <c r="AH37" s="30" t="str">
        <f t="shared" si="5"/>
        <v>·</v>
      </c>
      <c r="AI37" s="31">
        <f t="shared" si="9"/>
        <v>28.233257825875636</v>
      </c>
      <c r="AJ37" s="270">
        <f t="shared" si="10"/>
        <v>24.375181191762749</v>
      </c>
      <c r="AK37" s="275">
        <f t="shared" si="11"/>
        <v>3.8580649049090927</v>
      </c>
      <c r="AL37" s="267" t="str">
        <f t="shared" si="12"/>
        <v>·</v>
      </c>
      <c r="AM37" s="31">
        <f t="shared" si="13"/>
        <v>28.233257825875636</v>
      </c>
      <c r="AN37" s="521">
        <v>47062018</v>
      </c>
      <c r="AO37" s="503">
        <v>1328714088</v>
      </c>
      <c r="AP37" s="357">
        <v>1147145216</v>
      </c>
      <c r="AQ37" s="373">
        <v>181568320</v>
      </c>
      <c r="AR37" s="258"/>
      <c r="AS37" s="503">
        <v>44.099891999999997</v>
      </c>
      <c r="AT37" s="357">
        <v>45.119903999999998</v>
      </c>
      <c r="AU37" s="373">
        <v>44.693900999999997</v>
      </c>
      <c r="AV37" s="258"/>
      <c r="AW37" s="357">
        <v>36.089602999999997</v>
      </c>
      <c r="AX37" s="357">
        <v>36.089602999999997</v>
      </c>
      <c r="AY37" s="373">
        <v>36.089602999999997</v>
      </c>
      <c r="AZ37" s="258"/>
      <c r="BA37" s="507">
        <v>285.75400000000002</v>
      </c>
      <c r="BB37" s="359">
        <v>204.46899999999999</v>
      </c>
      <c r="BC37" s="573">
        <v>0</v>
      </c>
      <c r="BD37" s="573">
        <v>0</v>
      </c>
      <c r="BE37" s="33"/>
      <c r="BG37" s="122" t="e">
        <f t="shared" si="14"/>
        <v>#DIV/0!</v>
      </c>
      <c r="BH37" s="123" t="e">
        <f t="shared" si="14"/>
        <v>#DIV/0!</v>
      </c>
      <c r="BI37" s="123">
        <f t="shared" si="8"/>
        <v>4.0099928178946143E-2</v>
      </c>
      <c r="BJ37" s="124"/>
      <c r="BL37" s="107"/>
      <c r="BM37" s="107"/>
      <c r="BN37" s="107"/>
      <c r="BO37" s="106"/>
      <c r="BQ37" s="177"/>
      <c r="BR37" s="177"/>
      <c r="BS37" s="177"/>
      <c r="BT37" s="106"/>
      <c r="BV37" s="177"/>
      <c r="BW37" s="177"/>
      <c r="BX37" s="177"/>
      <c r="BY37" s="106"/>
      <c r="CA37" s="177"/>
      <c r="CB37" s="177"/>
      <c r="CC37" s="177"/>
      <c r="CD37" s="106"/>
    </row>
    <row r="38" spans="1:82" outlineLevel="1">
      <c r="A38" s="13"/>
      <c r="B38" s="14" t="s">
        <v>1116</v>
      </c>
      <c r="C38" s="15" t="s">
        <v>134</v>
      </c>
      <c r="D38" s="479">
        <v>47062018</v>
      </c>
      <c r="E38" s="15">
        <v>20</v>
      </c>
      <c r="F38" s="15">
        <v>1</v>
      </c>
      <c r="G38" s="16"/>
      <c r="H38" s="492"/>
      <c r="I38" s="30" t="str">
        <f t="shared" si="15"/>
        <v>·</v>
      </c>
      <c r="J38" s="31">
        <f t="shared" si="16"/>
        <v>31.495841593533026</v>
      </c>
      <c r="K38" s="31">
        <f t="shared" si="2"/>
        <v>24.375181191762749</v>
      </c>
      <c r="L38" s="31">
        <f t="shared" si="17"/>
        <v>7.1206486725664844</v>
      </c>
      <c r="M38" s="106"/>
      <c r="N38" s="31">
        <f t="shared" si="4"/>
        <v>31.495841593533026</v>
      </c>
      <c r="O38" s="521">
        <v>47062018</v>
      </c>
      <c r="P38" s="503">
        <v>1482257864</v>
      </c>
      <c r="Q38" s="357">
        <v>1147145216</v>
      </c>
      <c r="R38" s="373">
        <v>335112096</v>
      </c>
      <c r="S38" s="258"/>
      <c r="T38" s="503">
        <v>48.601654000000003</v>
      </c>
      <c r="U38" s="357">
        <v>48.715836000000003</v>
      </c>
      <c r="V38" s="373">
        <v>48.364899000000001</v>
      </c>
      <c r="W38" s="258"/>
      <c r="X38" s="357">
        <v>42.110202999999998</v>
      </c>
      <c r="Y38" s="357">
        <v>42.110202999999998</v>
      </c>
      <c r="Z38" s="373">
        <v>42.110202999999998</v>
      </c>
      <c r="AA38" s="258"/>
      <c r="AB38" s="507">
        <v>174.36600000000001</v>
      </c>
      <c r="AC38" s="359">
        <v>123.473</v>
      </c>
      <c r="AD38" s="573">
        <v>0</v>
      </c>
      <c r="AE38" s="573">
        <v>0</v>
      </c>
      <c r="AF38" s="33"/>
      <c r="AH38" s="30" t="str">
        <f t="shared" si="5"/>
        <v>·</v>
      </c>
      <c r="AI38" s="31">
        <f t="shared" si="9"/>
        <v>30.460032036875258</v>
      </c>
      <c r="AJ38" s="270">
        <f t="shared" si="10"/>
        <v>24.375181191762749</v>
      </c>
      <c r="AK38" s="275">
        <f t="shared" si="11"/>
        <v>6.0848391159087143</v>
      </c>
      <c r="AL38" s="267" t="str">
        <f t="shared" si="12"/>
        <v>·</v>
      </c>
      <c r="AM38" s="31">
        <f t="shared" si="13"/>
        <v>30.460032036875258</v>
      </c>
      <c r="AN38" s="521">
        <v>47062018</v>
      </c>
      <c r="AO38" s="503">
        <v>1433510576</v>
      </c>
      <c r="AP38" s="357">
        <v>1147145216</v>
      </c>
      <c r="AQ38" s="373">
        <v>286364808</v>
      </c>
      <c r="AR38" s="258"/>
      <c r="AS38" s="503">
        <v>49.14996</v>
      </c>
      <c r="AT38" s="357">
        <v>49.227809999999998</v>
      </c>
      <c r="AU38" s="373">
        <v>48.673088</v>
      </c>
      <c r="AV38" s="258"/>
      <c r="AW38" s="357">
        <v>42.110202999999998</v>
      </c>
      <c r="AX38" s="357">
        <v>42.110202999999998</v>
      </c>
      <c r="AY38" s="373">
        <v>42.110202999999998</v>
      </c>
      <c r="AZ38" s="258"/>
      <c r="BA38" s="507">
        <v>282.666</v>
      </c>
      <c r="BB38" s="359">
        <v>221.60300000000001</v>
      </c>
      <c r="BC38" s="573">
        <v>0</v>
      </c>
      <c r="BD38" s="573">
        <v>0</v>
      </c>
      <c r="BE38" s="33"/>
      <c r="BG38" s="122" t="e">
        <f t="shared" si="14"/>
        <v>#DIV/0!</v>
      </c>
      <c r="BH38" s="123" t="e">
        <f t="shared" si="14"/>
        <v>#DIV/0!</v>
      </c>
      <c r="BI38" s="123">
        <f t="shared" si="8"/>
        <v>2.6317473421288096E-2</v>
      </c>
      <c r="BJ38" s="124"/>
      <c r="BL38" s="107"/>
      <c r="BM38" s="107"/>
      <c r="BN38" s="107"/>
      <c r="BO38" s="106"/>
      <c r="BQ38" s="177"/>
      <c r="BR38" s="177"/>
      <c r="BS38" s="177"/>
      <c r="BT38" s="106"/>
      <c r="BV38" s="177"/>
      <c r="BW38" s="177"/>
      <c r="BX38" s="177"/>
      <c r="BY38" s="106"/>
      <c r="CA38" s="177"/>
      <c r="CB38" s="177"/>
      <c r="CC38" s="177"/>
      <c r="CD38" s="106"/>
    </row>
    <row r="39" spans="1:82" ht="14.25" outlineLevel="1" thickBot="1">
      <c r="A39" s="13"/>
      <c r="B39" s="18" t="s">
        <v>1116</v>
      </c>
      <c r="C39" s="19" t="s">
        <v>884</v>
      </c>
      <c r="D39" s="480">
        <v>47062018</v>
      </c>
      <c r="E39" s="19">
        <v>20</v>
      </c>
      <c r="F39" s="19">
        <v>1</v>
      </c>
      <c r="G39" s="20"/>
      <c r="H39" s="492"/>
      <c r="I39" s="34" t="str">
        <f t="shared" si="15"/>
        <v>·</v>
      </c>
      <c r="J39" s="35">
        <f t="shared" si="16"/>
        <v>33.82662035444379</v>
      </c>
      <c r="K39" s="35">
        <f t="shared" si="2"/>
        <v>24.375181191762749</v>
      </c>
      <c r="L39" s="35">
        <f t="shared" si="17"/>
        <v>9.4514274334772477</v>
      </c>
      <c r="M39" s="135"/>
      <c r="N39" s="35">
        <f t="shared" si="4"/>
        <v>33.82662035444379</v>
      </c>
      <c r="O39" s="522">
        <v>47062018</v>
      </c>
      <c r="P39" s="504">
        <v>1591949016</v>
      </c>
      <c r="Q39" s="369">
        <v>1147145216</v>
      </c>
      <c r="R39" s="374">
        <v>444803248</v>
      </c>
      <c r="S39" s="277"/>
      <c r="T39" s="504">
        <v>52.424309000000001</v>
      </c>
      <c r="U39" s="369">
        <v>51.983241999999997</v>
      </c>
      <c r="V39" s="374">
        <v>51.628593000000002</v>
      </c>
      <c r="W39" s="277"/>
      <c r="X39" s="369">
        <v>48.130802000000003</v>
      </c>
      <c r="Y39" s="369">
        <v>48.130802000000003</v>
      </c>
      <c r="Z39" s="374">
        <v>48.130802000000003</v>
      </c>
      <c r="AA39" s="277"/>
      <c r="AB39" s="508">
        <v>172.34299999999999</v>
      </c>
      <c r="AC39" s="371">
        <v>118.39100000000001</v>
      </c>
      <c r="AD39" s="574">
        <v>0</v>
      </c>
      <c r="AE39" s="574">
        <v>0</v>
      </c>
      <c r="AF39" s="37"/>
      <c r="AH39" s="38" t="str">
        <f t="shared" si="5"/>
        <v>·</v>
      </c>
      <c r="AI39" s="39">
        <f t="shared" si="9"/>
        <v>32.999975309176072</v>
      </c>
      <c r="AJ39" s="273">
        <f t="shared" si="10"/>
        <v>24.375181191762749</v>
      </c>
      <c r="AK39" s="276">
        <f t="shared" si="11"/>
        <v>8.6247823882095318</v>
      </c>
      <c r="AL39" s="268" t="str">
        <f t="shared" si="12"/>
        <v>·</v>
      </c>
      <c r="AM39" s="39">
        <f t="shared" si="13"/>
        <v>32.999975309176072</v>
      </c>
      <c r="AN39" s="522">
        <v>47062018</v>
      </c>
      <c r="AO39" s="504">
        <v>1553045432</v>
      </c>
      <c r="AP39" s="369">
        <v>1147145216</v>
      </c>
      <c r="AQ39" s="374">
        <v>405899664</v>
      </c>
      <c r="AR39" s="277"/>
      <c r="AS39" s="504">
        <v>52.658070000000002</v>
      </c>
      <c r="AT39" s="369">
        <v>52.25029</v>
      </c>
      <c r="AU39" s="374">
        <v>51.797749000000003</v>
      </c>
      <c r="AV39" s="277"/>
      <c r="AW39" s="369">
        <v>48.130802000000003</v>
      </c>
      <c r="AX39" s="369">
        <v>48.130802000000003</v>
      </c>
      <c r="AY39" s="374">
        <v>48.130802000000003</v>
      </c>
      <c r="AZ39" s="277"/>
      <c r="BA39" s="508">
        <v>290.69499999999999</v>
      </c>
      <c r="BB39" s="371">
        <v>217.48500000000001</v>
      </c>
      <c r="BC39" s="574">
        <v>0</v>
      </c>
      <c r="BD39" s="574">
        <v>0</v>
      </c>
      <c r="BE39" s="41"/>
      <c r="BG39" s="128" t="e">
        <f t="shared" si="14"/>
        <v>#DIV/0!</v>
      </c>
      <c r="BH39" s="129" t="e">
        <f t="shared" si="14"/>
        <v>#DIV/0!</v>
      </c>
      <c r="BI39" s="129">
        <f t="shared" si="8"/>
        <v>1.8050726898946157E-2</v>
      </c>
      <c r="BJ39" s="130"/>
      <c r="BL39" s="110"/>
      <c r="BM39" s="110"/>
      <c r="BN39" s="110"/>
      <c r="BO39" s="109"/>
      <c r="BQ39" s="181"/>
      <c r="BR39" s="181"/>
      <c r="BS39" s="181"/>
      <c r="BT39" s="109"/>
      <c r="BV39" s="181"/>
      <c r="BW39" s="181"/>
      <c r="BX39" s="181"/>
      <c r="BY39" s="109"/>
      <c r="CA39" s="181"/>
      <c r="CB39" s="181"/>
      <c r="CC39" s="181"/>
      <c r="CD39" s="109"/>
    </row>
    <row r="40" spans="1:82">
      <c r="A40" s="91"/>
      <c r="B40" s="27" t="s">
        <v>1117</v>
      </c>
      <c r="C40" s="28" t="s">
        <v>131</v>
      </c>
      <c r="D40" s="478">
        <v>43399207</v>
      </c>
      <c r="E40" s="28">
        <v>20</v>
      </c>
      <c r="F40" s="28">
        <v>1</v>
      </c>
      <c r="G40" s="29"/>
      <c r="H40" s="492"/>
      <c r="I40" s="46" t="str">
        <f t="shared" si="15"/>
        <v>·</v>
      </c>
      <c r="J40" s="47">
        <f t="shared" si="16"/>
        <v>28.062193670958088</v>
      </c>
      <c r="K40" s="47">
        <f t="shared" si="2"/>
        <v>25.480300043270375</v>
      </c>
      <c r="L40" s="47">
        <f t="shared" si="17"/>
        <v>2.5818803555558056</v>
      </c>
      <c r="M40" s="104"/>
      <c r="N40" s="47">
        <f t="shared" si="4"/>
        <v>28.062193670958088</v>
      </c>
      <c r="O40" s="520">
        <v>43399207</v>
      </c>
      <c r="P40" s="502">
        <v>1217876952</v>
      </c>
      <c r="Q40" s="353">
        <v>1105824816</v>
      </c>
      <c r="R40" s="372">
        <v>112051560</v>
      </c>
      <c r="S40" s="257"/>
      <c r="T40" s="502">
        <v>30.730812</v>
      </c>
      <c r="U40" s="353">
        <v>32.400554999999997</v>
      </c>
      <c r="V40" s="372">
        <v>33.523121000000003</v>
      </c>
      <c r="W40" s="257"/>
      <c r="X40" s="353">
        <v>24.048404999999999</v>
      </c>
      <c r="Y40" s="353">
        <v>24.048404999999999</v>
      </c>
      <c r="Z40" s="372">
        <v>24.048404999999999</v>
      </c>
      <c r="AA40" s="257"/>
      <c r="AB40" s="506">
        <v>153.16</v>
      </c>
      <c r="AC40" s="355">
        <v>106.279</v>
      </c>
      <c r="AD40" s="572">
        <v>0</v>
      </c>
      <c r="AE40" s="572">
        <v>0</v>
      </c>
      <c r="AF40" s="49"/>
      <c r="AH40" s="46" t="str">
        <f t="shared" si="5"/>
        <v>·</v>
      </c>
      <c r="AI40" s="47">
        <f t="shared" si="9"/>
        <v>26.917318005372771</v>
      </c>
      <c r="AJ40" s="269">
        <f t="shared" si="10"/>
        <v>25.480300043270375</v>
      </c>
      <c r="AK40" s="274">
        <f t="shared" si="11"/>
        <v>1.4370046899704874</v>
      </c>
      <c r="AL40" s="266" t="str">
        <f t="shared" si="12"/>
        <v>·</v>
      </c>
      <c r="AM40" s="47">
        <f t="shared" si="13"/>
        <v>26.917318005372771</v>
      </c>
      <c r="AN40" s="520">
        <v>43399207</v>
      </c>
      <c r="AO40" s="502">
        <v>1168190256</v>
      </c>
      <c r="AP40" s="353">
        <v>1105824816</v>
      </c>
      <c r="AQ40" s="372">
        <v>62364864</v>
      </c>
      <c r="AR40" s="257"/>
      <c r="AS40" s="502">
        <v>32.403315999999997</v>
      </c>
      <c r="AT40" s="353">
        <v>35.735382000000001</v>
      </c>
      <c r="AU40" s="372">
        <v>35.619788999999997</v>
      </c>
      <c r="AV40" s="257"/>
      <c r="AW40" s="353">
        <v>24.048404999999999</v>
      </c>
      <c r="AX40" s="353">
        <v>24.048404999999999</v>
      </c>
      <c r="AY40" s="372">
        <v>24.048404999999999</v>
      </c>
      <c r="AZ40" s="257"/>
      <c r="BA40" s="506">
        <v>251.386</v>
      </c>
      <c r="BB40" s="355">
        <v>187.88499999999999</v>
      </c>
      <c r="BC40" s="572">
        <v>0</v>
      </c>
      <c r="BD40" s="572">
        <v>0</v>
      </c>
      <c r="BE40" s="49"/>
      <c r="BG40" s="119" t="e">
        <f t="shared" si="14"/>
        <v>#DIV/0!</v>
      </c>
      <c r="BH40" s="120" t="e">
        <f t="shared" si="14"/>
        <v>#DIV/0!</v>
      </c>
      <c r="BI40" s="120">
        <f t="shared" si="8"/>
        <v>3.8619750105720607E-2</v>
      </c>
      <c r="BJ40" s="121">
        <f t="array" ref="BJ40">AVERAGE(AP40:AP44/AO40:AO44) - AVERAGE(Q40:Q44/P40:P44)</f>
        <v>3.155149922962508E-2</v>
      </c>
      <c r="BL40" s="279">
        <f>IF( OR(ISBLANK($R40:$R44),ISBLANK($AQ40:$AQ44), ISBLANK(T40:T44),ISBLANK(AS40:AS44)), "·", bdRateHermite($R40:$R44,T40:T44, $AQ40:$AQ44,AS40:AS44))</f>
        <v>-0.31219455270251406</v>
      </c>
      <c r="BM40" s="279">
        <f>IF( OR(ISBLANK($R40:$R44),ISBLANK($AQ40:$AQ44), ISBLANK(U40:U44),ISBLANK(AT40:AT44)), "·", bdRateHermite($R40:$R44,U40:U44, $AQ40:$AQ44,AT40:AT44))</f>
        <v>-0.33349616356223455</v>
      </c>
      <c r="BN40" s="279">
        <f>IF( OR(ISBLANK($R40:$R44),ISBLANK($AQ40:$AQ44), ISBLANK(V40:V44),ISBLANK(AU40:AU44)), "·", bdRateHermite($R40:$R44,V40:V44, $AQ40:$AQ44,AU40:AU44))</f>
        <v>-0.32551981763848825</v>
      </c>
      <c r="BO40" s="104"/>
      <c r="BQ40" s="173">
        <f>IF( OR(ISBLANK($R40:$R44),ISBLANK($AQ40:$AQ44), ISBLANK(X40:X44),ISBLANK(AW40:AW44)), "·", bdRateHermite($R40:$R44,X40:X44, $AQ40:$AQ44,AW40:AW44))</f>
        <v>-0.25290666385613481</v>
      </c>
      <c r="BR40" s="173">
        <f>IF( OR(ISBLANK($R40:$R44),ISBLANK($AQ40:$AQ44), ISBLANK(Y40:Y44),ISBLANK(AX40:AX44)), "·", bdRateHermite($R40:$R44,Y40:Y44, $AQ40:$AQ44,AX40:AX44))</f>
        <v>-0.25290666385613481</v>
      </c>
      <c r="BS40" s="173">
        <f>IF( OR(ISBLANK($R40:$R44),ISBLANK($AQ40:$AQ44), ISBLANK(Z40:Z44),ISBLANK(AY40:AY44)), "·", bdRateHermite($R40:$R44,Z40:Z44, $AQ40:$AQ44,AY40:AY44))</f>
        <v>-0.25290666385613481</v>
      </c>
      <c r="BT40" s="138"/>
      <c r="BV40" s="173">
        <f>IF(OR(ISBLANK($P40:$P44),ISBLANK($AO40:$AO44),ISBLANK(T40:T44),ISBLANK(AS40:AS44)),"·",bdRateHermite($P40:$P44,T40:T44,$AO40:$AO44,AS40:AS44))</f>
        <v>-4.7373531761122356E-2</v>
      </c>
      <c r="BW40" s="173">
        <f>IF(OR(ISBLANK($P40:$P44),ISBLANK($AO40:$AO44),ISBLANK(U40:U44),ISBLANK(AT40:AT44)),"·",bdRateHermite($P40:$P44,U40:U44,$AO40:$AO44,AT40:AT44))</f>
        <v>-5.1573452708144063E-2</v>
      </c>
      <c r="BX40" s="173">
        <f>IF(OR(ISBLANK($P40:$P44),ISBLANK($AO40:$AO44),ISBLANK(V40:V44),ISBLANK(AU40:AU44)),"·",bdRateHermite($P40:$P44,V40:V44,$AO40:$AO44,AU40:AU44))</f>
        <v>-5.0170168720056973E-2</v>
      </c>
      <c r="BY40" s="138"/>
      <c r="CA40" s="173">
        <f>IF( OR(ISBLANK($P40:$P44),ISBLANK($AO40:$AO44), ISBLANK(X40:X44),ISBLANK(AW40:AW44)), "·", bdRateHermite( $P40:$P44,X40:X44, $AO40:$AO44,AW40:AW44))</f>
        <v>-3.7805014937786097E-2</v>
      </c>
      <c r="CB40" s="173">
        <f>IF( OR(ISBLANK($P40:$P44),ISBLANK($AO40:$AO44), ISBLANK(Y40:Y44),ISBLANK(AX40:AX44)), "·", bdRateHermite( $P40:$P44,Y40:Y44, $AO40:$AO44,AX40:AX44))</f>
        <v>-3.7805014937786097E-2</v>
      </c>
      <c r="CC40" s="173">
        <f>IF( OR(ISBLANK($P40:$P44),ISBLANK($AO40:$AO44), ISBLANK(Z40:Z44),ISBLANK(AY40:AY44)), "·", bdRateHermite( $P40:$P44,Z40:Z44, $AO40:$AO44,AY40:AY44))</f>
        <v>-3.7805014937786097E-2</v>
      </c>
      <c r="CD40" s="138"/>
    </row>
    <row r="41" spans="1:82" outlineLevel="1">
      <c r="A41" s="13"/>
      <c r="B41" s="14" t="s">
        <v>1117</v>
      </c>
      <c r="C41" s="15" t="s">
        <v>132</v>
      </c>
      <c r="D41" s="479">
        <v>43399207</v>
      </c>
      <c r="E41" s="15">
        <v>20</v>
      </c>
      <c r="F41" s="15">
        <v>1</v>
      </c>
      <c r="G41" s="16"/>
      <c r="H41" s="492"/>
      <c r="I41" s="30" t="str">
        <f t="shared" si="15"/>
        <v>·</v>
      </c>
      <c r="J41" s="31">
        <f t="shared" si="16"/>
        <v>29.341615389424049</v>
      </c>
      <c r="K41" s="31">
        <f t="shared" si="2"/>
        <v>25.480300043270375</v>
      </c>
      <c r="L41" s="31">
        <f>IF(ISBLANK(R41),"·",R41/D41)</f>
        <v>3.8613020740217672</v>
      </c>
      <c r="M41" s="106"/>
      <c r="N41" s="31">
        <f t="shared" si="4"/>
        <v>29.341615389424049</v>
      </c>
      <c r="O41" s="521">
        <v>43399207</v>
      </c>
      <c r="P41" s="503">
        <v>1273402840</v>
      </c>
      <c r="Q41" s="357">
        <v>1105824816</v>
      </c>
      <c r="R41" s="373">
        <v>167577448</v>
      </c>
      <c r="S41" s="258"/>
      <c r="T41" s="503">
        <v>37.075352000000002</v>
      </c>
      <c r="U41" s="357">
        <v>38.441223000000001</v>
      </c>
      <c r="V41" s="373">
        <v>38.320492000000002</v>
      </c>
      <c r="W41" s="258"/>
      <c r="X41" s="357">
        <v>30.069004</v>
      </c>
      <c r="Y41" s="357">
        <v>30.069004</v>
      </c>
      <c r="Z41" s="373">
        <v>30.069004</v>
      </c>
      <c r="AA41" s="258"/>
      <c r="AB41" s="507">
        <v>151.405</v>
      </c>
      <c r="AC41" s="359">
        <v>106.709</v>
      </c>
      <c r="AD41" s="573">
        <v>0</v>
      </c>
      <c r="AE41" s="573">
        <v>0</v>
      </c>
      <c r="AF41" s="33"/>
      <c r="AH41" s="30" t="str">
        <f t="shared" si="5"/>
        <v>·</v>
      </c>
      <c r="AI41" s="31">
        <f t="shared" si="9"/>
        <v>28.005864715454361</v>
      </c>
      <c r="AJ41" s="270">
        <f t="shared" si="10"/>
        <v>25.480300043270375</v>
      </c>
      <c r="AK41" s="275">
        <f t="shared" si="11"/>
        <v>2.5255514000520791</v>
      </c>
      <c r="AL41" s="267" t="str">
        <f t="shared" si="12"/>
        <v>·</v>
      </c>
      <c r="AM41" s="31">
        <f t="shared" si="13"/>
        <v>28.005864715454361</v>
      </c>
      <c r="AN41" s="521">
        <v>43399207</v>
      </c>
      <c r="AO41" s="503">
        <v>1215432320</v>
      </c>
      <c r="AP41" s="357">
        <v>1105824816</v>
      </c>
      <c r="AQ41" s="373">
        <v>109606928</v>
      </c>
      <c r="AR41" s="258"/>
      <c r="AS41" s="503">
        <v>38.255661000000003</v>
      </c>
      <c r="AT41" s="357">
        <v>40.433230999999999</v>
      </c>
      <c r="AU41" s="373">
        <v>40.153919000000002</v>
      </c>
      <c r="AV41" s="258"/>
      <c r="AW41" s="357">
        <v>30.069004</v>
      </c>
      <c r="AX41" s="357">
        <v>30.069004</v>
      </c>
      <c r="AY41" s="373">
        <v>30.069004</v>
      </c>
      <c r="AZ41" s="258"/>
      <c r="BA41" s="507">
        <v>260.416</v>
      </c>
      <c r="BB41" s="359">
        <v>194.05500000000001</v>
      </c>
      <c r="BC41" s="573">
        <v>0</v>
      </c>
      <c r="BD41" s="573">
        <v>0</v>
      </c>
      <c r="BE41" s="33"/>
      <c r="BG41" s="122" t="e">
        <f t="shared" si="14"/>
        <v>#DIV/0!</v>
      </c>
      <c r="BH41" s="123" t="e">
        <f t="shared" si="14"/>
        <v>#DIV/0!</v>
      </c>
      <c r="BI41" s="123">
        <f t="shared" si="8"/>
        <v>4.1418744767695026E-2</v>
      </c>
      <c r="BJ41" s="124"/>
      <c r="BL41" s="107"/>
      <c r="BM41" s="107"/>
      <c r="BN41" s="107"/>
      <c r="BO41" s="106"/>
      <c r="BQ41" s="177"/>
      <c r="BR41" s="177"/>
      <c r="BS41" s="177"/>
      <c r="BT41" s="106"/>
      <c r="BV41" s="177"/>
      <c r="BW41" s="177"/>
      <c r="BX41" s="177"/>
      <c r="BY41" s="106"/>
      <c r="CA41" s="177"/>
      <c r="CB41" s="177"/>
      <c r="CC41" s="177"/>
      <c r="CD41" s="106"/>
    </row>
    <row r="42" spans="1:82" outlineLevel="1">
      <c r="A42" s="13"/>
      <c r="B42" s="14" t="s">
        <v>1117</v>
      </c>
      <c r="C42" s="15" t="s">
        <v>133</v>
      </c>
      <c r="D42" s="479">
        <v>43399207</v>
      </c>
      <c r="E42" s="15">
        <v>20</v>
      </c>
      <c r="F42" s="15">
        <v>1</v>
      </c>
      <c r="G42" s="16"/>
      <c r="H42" s="492"/>
      <c r="I42" s="30" t="str">
        <f t="shared" si="15"/>
        <v>·</v>
      </c>
      <c r="J42" s="31">
        <f t="shared" si="16"/>
        <v>30.934993259208632</v>
      </c>
      <c r="K42" s="31">
        <f t="shared" si="2"/>
        <v>25.480300043270375</v>
      </c>
      <c r="L42" s="31">
        <f t="shared" si="17"/>
        <v>5.4546799438063465</v>
      </c>
      <c r="M42" s="106"/>
      <c r="N42" s="31">
        <f t="shared" si="4"/>
        <v>30.934993259208632</v>
      </c>
      <c r="O42" s="521">
        <v>43399207</v>
      </c>
      <c r="P42" s="503">
        <v>1342554176</v>
      </c>
      <c r="Q42" s="357">
        <v>1105824816</v>
      </c>
      <c r="R42" s="373">
        <v>236728784</v>
      </c>
      <c r="S42" s="258"/>
      <c r="T42" s="503">
        <v>43.248919999999998</v>
      </c>
      <c r="U42" s="357">
        <v>44.024658000000002</v>
      </c>
      <c r="V42" s="373">
        <v>43.572333999999998</v>
      </c>
      <c r="W42" s="258"/>
      <c r="X42" s="357">
        <v>36.089602999999997</v>
      </c>
      <c r="Y42" s="357">
        <v>36.089602999999997</v>
      </c>
      <c r="Z42" s="373">
        <v>36.089602999999997</v>
      </c>
      <c r="AA42" s="258"/>
      <c r="AB42" s="507">
        <v>153.108</v>
      </c>
      <c r="AC42" s="359">
        <v>108.68600000000001</v>
      </c>
      <c r="AD42" s="573">
        <v>0</v>
      </c>
      <c r="AE42" s="573">
        <v>0</v>
      </c>
      <c r="AF42" s="33"/>
      <c r="AH42" s="30" t="str">
        <f t="shared" si="5"/>
        <v>·</v>
      </c>
      <c r="AI42" s="31">
        <f t="shared" si="9"/>
        <v>29.636803271543648</v>
      </c>
      <c r="AJ42" s="270">
        <f t="shared" si="10"/>
        <v>25.480300043270375</v>
      </c>
      <c r="AK42" s="275">
        <f t="shared" si="11"/>
        <v>4.1564899561413648</v>
      </c>
      <c r="AL42" s="267" t="str">
        <f t="shared" si="12"/>
        <v>·</v>
      </c>
      <c r="AM42" s="31">
        <f t="shared" si="13"/>
        <v>29.636803271543648</v>
      </c>
      <c r="AN42" s="521">
        <v>43399207</v>
      </c>
      <c r="AO42" s="503">
        <v>1286213760</v>
      </c>
      <c r="AP42" s="357">
        <v>1105824816</v>
      </c>
      <c r="AQ42" s="373">
        <v>180388368</v>
      </c>
      <c r="AR42" s="258"/>
      <c r="AS42" s="503">
        <v>44.001067999999997</v>
      </c>
      <c r="AT42" s="357">
        <v>44.986789999999999</v>
      </c>
      <c r="AU42" s="373">
        <v>44.536861000000002</v>
      </c>
      <c r="AV42" s="258"/>
      <c r="AW42" s="357">
        <v>36.089602999999997</v>
      </c>
      <c r="AX42" s="357">
        <v>36.089602999999997</v>
      </c>
      <c r="AY42" s="373">
        <v>36.089602999999997</v>
      </c>
      <c r="AZ42" s="258"/>
      <c r="BA42" s="507">
        <v>260.69</v>
      </c>
      <c r="BB42" s="359">
        <v>193.303</v>
      </c>
      <c r="BC42" s="573">
        <v>0</v>
      </c>
      <c r="BD42" s="573">
        <v>0</v>
      </c>
      <c r="BE42" s="33"/>
      <c r="BG42" s="122" t="e">
        <f t="shared" si="14"/>
        <v>#DIV/0!</v>
      </c>
      <c r="BH42" s="123" t="e">
        <f t="shared" si="14"/>
        <v>#DIV/0!</v>
      </c>
      <c r="BI42" s="123">
        <f t="shared" si="8"/>
        <v>3.607957473902168E-2</v>
      </c>
      <c r="BJ42" s="124"/>
      <c r="BL42" s="107"/>
      <c r="BM42" s="107"/>
      <c r="BN42" s="107"/>
      <c r="BO42" s="106"/>
      <c r="BQ42" s="177"/>
      <c r="BR42" s="177"/>
      <c r="BS42" s="177"/>
      <c r="BT42" s="106"/>
      <c r="BV42" s="177"/>
      <c r="BW42" s="177"/>
      <c r="BX42" s="177"/>
      <c r="BY42" s="106"/>
      <c r="CA42" s="177"/>
      <c r="CB42" s="177"/>
      <c r="CC42" s="177"/>
      <c r="CD42" s="106"/>
    </row>
    <row r="43" spans="1:82" outlineLevel="1">
      <c r="A43" s="13"/>
      <c r="B43" s="14" t="s">
        <v>1117</v>
      </c>
      <c r="C43" s="15" t="s">
        <v>134</v>
      </c>
      <c r="D43" s="479">
        <v>43399207</v>
      </c>
      <c r="E43" s="15">
        <v>20</v>
      </c>
      <c r="F43" s="15">
        <v>1</v>
      </c>
      <c r="G43" s="16"/>
      <c r="H43" s="492"/>
      <c r="I43" s="30" t="str">
        <f t="shared" si="15"/>
        <v>·</v>
      </c>
      <c r="J43" s="31">
        <f t="shared" si="16"/>
        <v>32.884428879080673</v>
      </c>
      <c r="K43" s="31">
        <f t="shared" si="2"/>
        <v>25.480300043270375</v>
      </c>
      <c r="L43" s="31">
        <f t="shared" si="17"/>
        <v>7.4041155636783866</v>
      </c>
      <c r="M43" s="106"/>
      <c r="N43" s="31">
        <f t="shared" si="4"/>
        <v>32.884428879080673</v>
      </c>
      <c r="O43" s="521">
        <v>43399207</v>
      </c>
      <c r="P43" s="503">
        <v>1427158136</v>
      </c>
      <c r="Q43" s="357">
        <v>1105824816</v>
      </c>
      <c r="R43" s="373">
        <v>321332744</v>
      </c>
      <c r="S43" s="258"/>
      <c r="T43" s="503">
        <v>48.546405999999998</v>
      </c>
      <c r="U43" s="357">
        <v>48.818644999999997</v>
      </c>
      <c r="V43" s="373">
        <v>48.390048999999998</v>
      </c>
      <c r="W43" s="258"/>
      <c r="X43" s="357">
        <v>42.110202999999998</v>
      </c>
      <c r="Y43" s="357">
        <v>42.110202999999998</v>
      </c>
      <c r="Z43" s="373">
        <v>42.110202999999998</v>
      </c>
      <c r="AA43" s="258"/>
      <c r="AB43" s="507">
        <v>155.57</v>
      </c>
      <c r="AC43" s="359">
        <v>111.43600000000001</v>
      </c>
      <c r="AD43" s="573">
        <v>0</v>
      </c>
      <c r="AE43" s="573">
        <v>0</v>
      </c>
      <c r="AF43" s="33"/>
      <c r="AH43" s="30" t="str">
        <f t="shared" si="5"/>
        <v>·</v>
      </c>
      <c r="AI43" s="31">
        <f t="shared" si="9"/>
        <v>31.886460782566832</v>
      </c>
      <c r="AJ43" s="270">
        <f t="shared" si="10"/>
        <v>25.480300043270375</v>
      </c>
      <c r="AK43" s="275">
        <f t="shared" si="11"/>
        <v>6.4061474671645495</v>
      </c>
      <c r="AL43" s="267" t="str">
        <f t="shared" si="12"/>
        <v>·</v>
      </c>
      <c r="AM43" s="31">
        <f t="shared" si="13"/>
        <v>31.886460782566832</v>
      </c>
      <c r="AN43" s="521">
        <v>43399207</v>
      </c>
      <c r="AO43" s="503">
        <v>1383847112</v>
      </c>
      <c r="AP43" s="357">
        <v>1105824816</v>
      </c>
      <c r="AQ43" s="373">
        <v>278021720</v>
      </c>
      <c r="AR43" s="258"/>
      <c r="AS43" s="503">
        <v>49.067149999999998</v>
      </c>
      <c r="AT43" s="357">
        <v>49.168137000000002</v>
      </c>
      <c r="AU43" s="373">
        <v>48.61692</v>
      </c>
      <c r="AV43" s="258"/>
      <c r="AW43" s="357">
        <v>42.110202999999998</v>
      </c>
      <c r="AX43" s="357">
        <v>42.110202999999998</v>
      </c>
      <c r="AY43" s="373">
        <v>42.110202999999998</v>
      </c>
      <c r="AZ43" s="258"/>
      <c r="BA43" s="507">
        <v>254.99100000000001</v>
      </c>
      <c r="BB43" s="359">
        <v>225.77</v>
      </c>
      <c r="BC43" s="573">
        <v>0</v>
      </c>
      <c r="BD43" s="573">
        <v>0</v>
      </c>
      <c r="BE43" s="33"/>
      <c r="BG43" s="122" t="e">
        <f t="shared" si="14"/>
        <v>#DIV/0!</v>
      </c>
      <c r="BH43" s="123" t="e">
        <f t="shared" si="14"/>
        <v>#DIV/0!</v>
      </c>
      <c r="BI43" s="123">
        <f t="shared" si="8"/>
        <v>2.4250716478431911E-2</v>
      </c>
      <c r="BJ43" s="124"/>
      <c r="BL43" s="107"/>
      <c r="BM43" s="107"/>
      <c r="BN43" s="107"/>
      <c r="BO43" s="106"/>
      <c r="BQ43" s="177"/>
      <c r="BR43" s="177"/>
      <c r="BS43" s="177"/>
      <c r="BT43" s="106"/>
      <c r="BV43" s="177"/>
      <c r="BW43" s="177"/>
      <c r="BX43" s="177"/>
      <c r="BY43" s="106"/>
      <c r="CA43" s="177"/>
      <c r="CB43" s="177"/>
      <c r="CC43" s="177"/>
      <c r="CD43" s="106"/>
    </row>
    <row r="44" spans="1:82" ht="14.25" outlineLevel="1" thickBot="1">
      <c r="A44" s="13"/>
      <c r="B44" s="18" t="s">
        <v>1117</v>
      </c>
      <c r="C44" s="19" t="s">
        <v>884</v>
      </c>
      <c r="D44" s="480">
        <v>43399207</v>
      </c>
      <c r="E44" s="19">
        <v>20</v>
      </c>
      <c r="F44" s="19">
        <v>1</v>
      </c>
      <c r="G44" s="20"/>
      <c r="H44" s="492"/>
      <c r="I44" s="34" t="str">
        <f t="shared" si="15"/>
        <v>·</v>
      </c>
      <c r="J44" s="35">
        <f t="shared" si="16"/>
        <v>35.28020131796417</v>
      </c>
      <c r="K44" s="35">
        <f t="shared" si="2"/>
        <v>25.480300043270375</v>
      </c>
      <c r="L44" s="35">
        <f t="shared" si="17"/>
        <v>9.7998880025618895</v>
      </c>
      <c r="M44" s="135"/>
      <c r="N44" s="35">
        <f t="shared" si="4"/>
        <v>35.28020131796417</v>
      </c>
      <c r="O44" s="525">
        <v>43399207</v>
      </c>
      <c r="P44" s="505">
        <v>1531132760</v>
      </c>
      <c r="Q44" s="361">
        <v>1105824816</v>
      </c>
      <c r="R44" s="375">
        <v>425307368</v>
      </c>
      <c r="S44" s="259"/>
      <c r="T44" s="505">
        <v>52.418227999999999</v>
      </c>
      <c r="U44" s="361">
        <v>51.996898999999999</v>
      </c>
      <c r="V44" s="375">
        <v>51.657893999999999</v>
      </c>
      <c r="W44" s="259"/>
      <c r="X44" s="361">
        <v>48.130802000000003</v>
      </c>
      <c r="Y44" s="361">
        <v>48.130802000000003</v>
      </c>
      <c r="Z44" s="375">
        <v>48.130802000000003</v>
      </c>
      <c r="AA44" s="259"/>
      <c r="AB44" s="509">
        <v>157.15100000000001</v>
      </c>
      <c r="AC44" s="363">
        <v>111.245</v>
      </c>
      <c r="AD44" s="574">
        <v>0</v>
      </c>
      <c r="AE44" s="574">
        <v>0</v>
      </c>
      <c r="AF44" s="37"/>
      <c r="AH44" s="38" t="str">
        <f t="shared" si="5"/>
        <v>·</v>
      </c>
      <c r="AI44" s="39">
        <f t="shared" si="9"/>
        <v>34.450746899591969</v>
      </c>
      <c r="AJ44" s="273">
        <f t="shared" si="10"/>
        <v>25.480300043270375</v>
      </c>
      <c r="AK44" s="276">
        <f t="shared" si="11"/>
        <v>8.9704335841896832</v>
      </c>
      <c r="AL44" s="268" t="str">
        <f t="shared" si="12"/>
        <v>·</v>
      </c>
      <c r="AM44" s="39">
        <f t="shared" si="13"/>
        <v>34.450746899591969</v>
      </c>
      <c r="AN44" s="525">
        <v>43399207</v>
      </c>
      <c r="AO44" s="505">
        <v>1495135096</v>
      </c>
      <c r="AP44" s="361">
        <v>1105824816</v>
      </c>
      <c r="AQ44" s="375">
        <v>389309704</v>
      </c>
      <c r="AR44" s="259"/>
      <c r="AS44" s="505">
        <v>52.614753999999998</v>
      </c>
      <c r="AT44" s="361">
        <v>52.250152999999997</v>
      </c>
      <c r="AU44" s="375">
        <v>51.803497</v>
      </c>
      <c r="AV44" s="259"/>
      <c r="AW44" s="361">
        <v>48.130802000000003</v>
      </c>
      <c r="AX44" s="361">
        <v>48.130802000000003</v>
      </c>
      <c r="AY44" s="375">
        <v>48.130802000000003</v>
      </c>
      <c r="AZ44" s="259"/>
      <c r="BA44" s="509">
        <v>241.36600000000001</v>
      </c>
      <c r="BB44" s="363">
        <v>223.22900000000001</v>
      </c>
      <c r="BC44" s="574">
        <v>0</v>
      </c>
      <c r="BD44" s="574">
        <v>0</v>
      </c>
      <c r="BE44" s="41"/>
      <c r="BG44" s="128" t="e">
        <f t="shared" si="14"/>
        <v>#DIV/0!</v>
      </c>
      <c r="BH44" s="129" t="e">
        <f t="shared" si="14"/>
        <v>#DIV/0!</v>
      </c>
      <c r="BI44" s="129">
        <f t="shared" si="8"/>
        <v>1.7388710057256396E-2</v>
      </c>
      <c r="BJ44" s="130"/>
      <c r="BL44" s="110"/>
      <c r="BM44" s="110"/>
      <c r="BN44" s="110"/>
      <c r="BO44" s="109"/>
      <c r="BQ44" s="181"/>
      <c r="BR44" s="181"/>
      <c r="BS44" s="181"/>
      <c r="BT44" s="109"/>
      <c r="BV44" s="181"/>
      <c r="BW44" s="181"/>
      <c r="BX44" s="181"/>
      <c r="BY44" s="109"/>
      <c r="CA44" s="181"/>
      <c r="CB44" s="181"/>
      <c r="CC44" s="181"/>
      <c r="CD44" s="109"/>
    </row>
    <row r="45" spans="1:82">
      <c r="A45" s="13"/>
      <c r="B45" s="27" t="s">
        <v>1118</v>
      </c>
      <c r="C45" s="28" t="s">
        <v>131</v>
      </c>
      <c r="D45" s="478">
        <v>67599953</v>
      </c>
      <c r="E45" s="28">
        <v>16</v>
      </c>
      <c r="F45" s="28">
        <v>1</v>
      </c>
      <c r="G45" s="29"/>
      <c r="H45" s="492"/>
      <c r="I45" s="46" t="str">
        <f t="shared" si="15"/>
        <v>·</v>
      </c>
      <c r="J45" s="47">
        <f t="shared" si="16"/>
        <v>13.730592741684303</v>
      </c>
      <c r="K45" s="47">
        <f t="shared" si="2"/>
        <v>10.797644785344747</v>
      </c>
      <c r="L45" s="47">
        <f t="shared" si="17"/>
        <v>2.9329364770416335</v>
      </c>
      <c r="M45" s="104"/>
      <c r="N45" s="43">
        <f t="shared" si="4"/>
        <v>13.730592741684303</v>
      </c>
      <c r="O45" s="520">
        <v>67599953</v>
      </c>
      <c r="P45" s="502">
        <v>928187424</v>
      </c>
      <c r="Q45" s="353">
        <v>729920280</v>
      </c>
      <c r="R45" s="372">
        <v>198266368</v>
      </c>
      <c r="S45" s="257"/>
      <c r="T45" s="502">
        <v>31.755932000000001</v>
      </c>
      <c r="U45" s="353">
        <v>32.925860999999998</v>
      </c>
      <c r="V45" s="372">
        <v>32.930126000000001</v>
      </c>
      <c r="W45" s="257"/>
      <c r="X45" s="353">
        <v>24.048404999999999</v>
      </c>
      <c r="Y45" s="353">
        <v>24.048404999999999</v>
      </c>
      <c r="Z45" s="372">
        <v>24.048404999999999</v>
      </c>
      <c r="AA45" s="257"/>
      <c r="AB45" s="506">
        <v>294.15100000000001</v>
      </c>
      <c r="AC45" s="355">
        <v>166.74700000000001</v>
      </c>
      <c r="AD45" s="572">
        <v>0</v>
      </c>
      <c r="AE45" s="572">
        <v>0</v>
      </c>
      <c r="AF45" s="45"/>
      <c r="AH45" s="46" t="str">
        <f t="shared" si="5"/>
        <v>·</v>
      </c>
      <c r="AI45" s="31">
        <f t="shared" si="9"/>
        <v>12.290492095460481</v>
      </c>
      <c r="AJ45" s="270">
        <f t="shared" si="10"/>
        <v>10.797644785344747</v>
      </c>
      <c r="AK45" s="275">
        <f t="shared" si="11"/>
        <v>1.4928358308178113</v>
      </c>
      <c r="AL45" s="266" t="str">
        <f t="shared" si="12"/>
        <v>·</v>
      </c>
      <c r="AM45" s="47">
        <f t="shared" si="13"/>
        <v>12.290492095460481</v>
      </c>
      <c r="AN45" s="520">
        <v>67599953</v>
      </c>
      <c r="AO45" s="502">
        <v>830836688</v>
      </c>
      <c r="AP45" s="353">
        <v>729920280</v>
      </c>
      <c r="AQ45" s="372">
        <v>100915632</v>
      </c>
      <c r="AR45" s="257"/>
      <c r="AS45" s="502">
        <v>32.475524999999998</v>
      </c>
      <c r="AT45" s="353">
        <v>35.460785000000001</v>
      </c>
      <c r="AU45" s="372">
        <v>35.188206000000001</v>
      </c>
      <c r="AV45" s="257"/>
      <c r="AW45" s="353">
        <v>24.048404999999999</v>
      </c>
      <c r="AX45" s="353">
        <v>24.048404999999999</v>
      </c>
      <c r="AY45" s="372">
        <v>24.048404999999999</v>
      </c>
      <c r="AZ45" s="257"/>
      <c r="BA45" s="506">
        <v>461.08499999999998</v>
      </c>
      <c r="BB45" s="355">
        <v>318.745</v>
      </c>
      <c r="BC45" s="572">
        <v>0</v>
      </c>
      <c r="BD45" s="572">
        <v>0</v>
      </c>
      <c r="BE45" s="49"/>
      <c r="BG45" s="119" t="e">
        <f t="shared" si="14"/>
        <v>#DIV/0!</v>
      </c>
      <c r="BH45" s="120" t="e">
        <f t="shared" si="14"/>
        <v>#DIV/0!</v>
      </c>
      <c r="BI45" s="120">
        <f t="shared" si="8"/>
        <v>9.2143207037239994E-2</v>
      </c>
      <c r="BJ45" s="121">
        <f t="array" ref="BJ45">AVERAGE(AP45:AP49/AO45:AO49) - AVERAGE(Q45:Q49/P45:P49)</f>
        <v>5.5199815101057981E-2</v>
      </c>
      <c r="BL45" s="279">
        <f>IF( OR(ISBLANK($R45:$R49),ISBLANK($AQ45:$AQ49), ISBLANK(T45:T49),ISBLANK(AS45:AS49)), "·", bdRateHermite($R45:$R49,T45:T49, $AQ45:$AQ49,AS45:AS49))</f>
        <v>-0.27751551823294118</v>
      </c>
      <c r="BM45" s="279">
        <f>IF( OR(ISBLANK($R45:$R49),ISBLANK($AQ45:$AQ49), ISBLANK(U45:U49),ISBLANK(AT45:AT49)), "·", bdRateHermite($R45:$R49,U45:U49, $AQ45:$AQ49,AT45:AT49))</f>
        <v>-0.28339031169181739</v>
      </c>
      <c r="BN45" s="279">
        <f>IF( OR(ISBLANK($R45:$R49),ISBLANK($AQ45:$AQ49), ISBLANK(V45:V49),ISBLANK(AU45:AU49)), "·", bdRateHermite($R45:$R49,V45:V49, $AQ45:$AQ49,AU45:AU49))</f>
        <v>-0.29655932197158241</v>
      </c>
      <c r="BO45" s="104"/>
      <c r="BQ45" s="173">
        <f>IF( OR(ISBLANK($R45:$R49),ISBLANK($AQ45:$AQ49), ISBLANK(X45:X49),ISBLANK(AW45:AW49)), "·", bdRateHermite($R45:$R49,X45:X49, $AQ45:$AQ49,AW45:AW49))</f>
        <v>-0.24033688053840985</v>
      </c>
      <c r="BR45" s="173">
        <f>IF( OR(ISBLANK($R45:$R49),ISBLANK($AQ45:$AQ49), ISBLANK(Y45:Y49),ISBLANK(AX45:AX49)), "·", bdRateHermite($R45:$R49,Y45:Y49, $AQ45:$AQ49,AX45:AX49))</f>
        <v>-0.24033688053840985</v>
      </c>
      <c r="BS45" s="173">
        <f>IF( OR(ISBLANK($R45:$R49),ISBLANK($AQ45:$AQ49), ISBLANK(Z45:Z49),ISBLANK(AY45:AY49)), "·", bdRateHermite($R45:$R49,Z45:Z49, $AQ45:$AQ49,AY45:AY49))</f>
        <v>-0.24033688053840985</v>
      </c>
      <c r="BT45" s="138"/>
      <c r="BV45" s="173">
        <f>IF(OR(ISBLANK($P45:$P49),ISBLANK($AO45:$AO49),ISBLANK(T45:T49),ISBLANK(AS45:AS49)),"·",bdRateHermite($P45:$P49,T45:T49,$AO45:$AO49,AS45:AS49))</f>
        <v>-8.7026596922541333E-2</v>
      </c>
      <c r="BW45" s="173">
        <f>IF(OR(ISBLANK($P45:$P49),ISBLANK($AO45:$AO49),ISBLANK(U45:U49),ISBLANK(AT45:AT49)),"·",bdRateHermite($P45:$P49,U45:U49,$AO45:$AO49,AT45:AT49))</f>
        <v>-9.0456867883828451E-2</v>
      </c>
      <c r="BX45" s="173">
        <f>IF(OR(ISBLANK($P45:$P49),ISBLANK($AO45:$AO49),ISBLANK(V45:V49),ISBLANK(AU45:AU49)),"·",bdRateHermite($P45:$P49,V45:V49,$AO45:$AO49,AU45:AU49))</f>
        <v>-9.5159640589484784E-2</v>
      </c>
      <c r="BY45" s="138"/>
      <c r="CA45" s="173">
        <f>IF( OR(ISBLANK($P45:$P49),ISBLANK($AO45:$AO49), ISBLANK(X45:X49),ISBLANK(AW45:AW49)), "·", bdRateHermite( $P45:$P49,X45:X49, $AO45:$AO49,AW45:AW49))</f>
        <v>-7.599242699305131E-2</v>
      </c>
      <c r="CB45" s="173">
        <f>IF( OR(ISBLANK($P45:$P49),ISBLANK($AO45:$AO49), ISBLANK(Y45:Y49),ISBLANK(AX45:AX49)), "·", bdRateHermite( $P45:$P49,Y45:Y49, $AO45:$AO49,AX45:AX49))</f>
        <v>-7.599242699305131E-2</v>
      </c>
      <c r="CC45" s="173">
        <f>IF( OR(ISBLANK($P45:$P49),ISBLANK($AO45:$AO49), ISBLANK(Z45:Z49),ISBLANK(AY45:AY49)), "·", bdRateHermite( $P45:$P49,Z45:Z49, $AO45:$AO49,AY45:AY49))</f>
        <v>-7.599242699305131E-2</v>
      </c>
      <c r="CD45" s="138"/>
    </row>
    <row r="46" spans="1:82" outlineLevel="1">
      <c r="A46" s="13"/>
      <c r="B46" s="14" t="s">
        <v>1118</v>
      </c>
      <c r="C46" s="15" t="s">
        <v>132</v>
      </c>
      <c r="D46" s="479">
        <v>67599953</v>
      </c>
      <c r="E46" s="15">
        <v>16</v>
      </c>
      <c r="F46" s="15">
        <v>1</v>
      </c>
      <c r="G46" s="16"/>
      <c r="H46" s="492"/>
      <c r="I46" s="30" t="str">
        <f t="shared" si="15"/>
        <v>·</v>
      </c>
      <c r="J46" s="31">
        <f t="shared" si="16"/>
        <v>15.188645116365688</v>
      </c>
      <c r="K46" s="31">
        <f t="shared" si="2"/>
        <v>10.797644785344747</v>
      </c>
      <c r="L46" s="31">
        <f t="shared" si="17"/>
        <v>4.3909888517230184</v>
      </c>
      <c r="M46" s="106"/>
      <c r="N46" s="31">
        <f t="shared" si="4"/>
        <v>15.188645116365688</v>
      </c>
      <c r="O46" s="521">
        <v>67599953</v>
      </c>
      <c r="P46" s="503">
        <v>1026751696</v>
      </c>
      <c r="Q46" s="357">
        <v>729920280</v>
      </c>
      <c r="R46" s="373">
        <v>296830640</v>
      </c>
      <c r="S46" s="258"/>
      <c r="T46" s="503">
        <v>37.662056</v>
      </c>
      <c r="U46" s="357">
        <v>38.831470000000003</v>
      </c>
      <c r="V46" s="373">
        <v>38.558467999999998</v>
      </c>
      <c r="W46" s="258"/>
      <c r="X46" s="357">
        <v>30.069004</v>
      </c>
      <c r="Y46" s="357">
        <v>30.069004</v>
      </c>
      <c r="Z46" s="373">
        <v>30.069004</v>
      </c>
      <c r="AA46" s="258"/>
      <c r="AB46" s="507">
        <v>286.334</v>
      </c>
      <c r="AC46" s="359">
        <v>180.65</v>
      </c>
      <c r="AD46" s="573">
        <v>0</v>
      </c>
      <c r="AE46" s="573">
        <v>0</v>
      </c>
      <c r="AF46" s="33"/>
      <c r="AH46" s="30" t="str">
        <f t="shared" si="5"/>
        <v>·</v>
      </c>
      <c r="AI46" s="31">
        <f t="shared" si="9"/>
        <v>13.816842269106312</v>
      </c>
      <c r="AJ46" s="31">
        <f t="shared" si="10"/>
        <v>10.797644785344747</v>
      </c>
      <c r="AK46" s="275">
        <f t="shared" si="11"/>
        <v>3.0191860044636423</v>
      </c>
      <c r="AL46" s="267" t="str">
        <f t="shared" si="12"/>
        <v>·</v>
      </c>
      <c r="AM46" s="31">
        <f t="shared" si="13"/>
        <v>13.816842269106312</v>
      </c>
      <c r="AN46" s="521">
        <v>67599953</v>
      </c>
      <c r="AO46" s="503">
        <v>934017888</v>
      </c>
      <c r="AP46" s="357">
        <v>729920280</v>
      </c>
      <c r="AQ46" s="373">
        <v>204096832</v>
      </c>
      <c r="AR46" s="258"/>
      <c r="AS46" s="503">
        <v>38.297421</v>
      </c>
      <c r="AT46" s="357">
        <v>39.752544</v>
      </c>
      <c r="AU46" s="373">
        <v>39.709747</v>
      </c>
      <c r="AV46" s="258"/>
      <c r="AW46" s="357">
        <v>30.069004</v>
      </c>
      <c r="AX46" s="357">
        <v>30.069004</v>
      </c>
      <c r="AY46" s="373">
        <v>30.069004</v>
      </c>
      <c r="AZ46" s="258"/>
      <c r="BA46" s="507">
        <v>464.26400000000001</v>
      </c>
      <c r="BB46" s="359">
        <v>317.81900000000002</v>
      </c>
      <c r="BC46" s="573">
        <v>0</v>
      </c>
      <c r="BD46" s="573">
        <v>0</v>
      </c>
      <c r="BE46" s="33"/>
      <c r="BG46" s="122" t="e">
        <f t="shared" si="14"/>
        <v>#DIV/0!</v>
      </c>
      <c r="BH46" s="123" t="e">
        <f t="shared" si="14"/>
        <v>#DIV/0!</v>
      </c>
      <c r="BI46" s="123">
        <f t="shared" si="8"/>
        <v>7.0581827913931416E-2</v>
      </c>
      <c r="BJ46" s="124"/>
      <c r="BL46" s="107"/>
      <c r="BM46" s="107"/>
      <c r="BN46" s="107"/>
      <c r="BO46" s="106"/>
      <c r="BQ46" s="177"/>
      <c r="BR46" s="177"/>
      <c r="BS46" s="177"/>
      <c r="BT46" s="106"/>
      <c r="BV46" s="177"/>
      <c r="BW46" s="177"/>
      <c r="BX46" s="177"/>
      <c r="BY46" s="106"/>
      <c r="CA46" s="177"/>
      <c r="CB46" s="177"/>
      <c r="CC46" s="177"/>
      <c r="CD46" s="106"/>
    </row>
    <row r="47" spans="1:82" outlineLevel="1">
      <c r="A47" s="13"/>
      <c r="B47" s="14" t="s">
        <v>1118</v>
      </c>
      <c r="C47" s="15" t="s">
        <v>133</v>
      </c>
      <c r="D47" s="479">
        <v>67599953</v>
      </c>
      <c r="E47" s="15">
        <v>16</v>
      </c>
      <c r="F47" s="15">
        <v>1</v>
      </c>
      <c r="G47" s="16"/>
      <c r="H47" s="492"/>
      <c r="I47" s="30" t="str">
        <f t="shared" si="15"/>
        <v>·</v>
      </c>
      <c r="J47" s="31">
        <f t="shared" si="16"/>
        <v>17.159927078647524</v>
      </c>
      <c r="K47" s="31">
        <f t="shared" si="2"/>
        <v>10.797644785344747</v>
      </c>
      <c r="L47" s="31">
        <f t="shared" si="17"/>
        <v>6.3622708140048561</v>
      </c>
      <c r="M47" s="106"/>
      <c r="N47" s="31">
        <f t="shared" si="4"/>
        <v>17.159927078647524</v>
      </c>
      <c r="O47" s="521">
        <v>67599953</v>
      </c>
      <c r="P47" s="503">
        <v>1160010264</v>
      </c>
      <c r="Q47" s="357">
        <v>729920280</v>
      </c>
      <c r="R47" s="373">
        <v>430089208</v>
      </c>
      <c r="S47" s="258"/>
      <c r="T47" s="503">
        <v>43.415610999999998</v>
      </c>
      <c r="U47" s="357">
        <v>44.368107000000002</v>
      </c>
      <c r="V47" s="373">
        <v>44.001060000000003</v>
      </c>
      <c r="W47" s="258"/>
      <c r="X47" s="357">
        <v>36.089602999999997</v>
      </c>
      <c r="Y47" s="357">
        <v>36.089602999999997</v>
      </c>
      <c r="Z47" s="373">
        <v>36.089602999999997</v>
      </c>
      <c r="AA47" s="258"/>
      <c r="AB47" s="507">
        <v>281.69200000000001</v>
      </c>
      <c r="AC47" s="359">
        <v>188.16200000000001</v>
      </c>
      <c r="AD47" s="573">
        <v>0</v>
      </c>
      <c r="AE47" s="573">
        <v>0</v>
      </c>
      <c r="AF47" s="33"/>
      <c r="AH47" s="30" t="str">
        <f t="shared" si="5"/>
        <v>·</v>
      </c>
      <c r="AI47" s="31">
        <f t="shared" si="9"/>
        <v>15.956270857170566</v>
      </c>
      <c r="AJ47" s="31">
        <f t="shared" si="10"/>
        <v>10.797644785344747</v>
      </c>
      <c r="AK47" s="275">
        <f t="shared" si="11"/>
        <v>5.158614592527897</v>
      </c>
      <c r="AL47" s="267" t="str">
        <f t="shared" si="12"/>
        <v>·</v>
      </c>
      <c r="AM47" s="31">
        <f t="shared" si="13"/>
        <v>15.956270857170566</v>
      </c>
      <c r="AN47" s="521">
        <v>67599953</v>
      </c>
      <c r="AO47" s="503">
        <v>1078643160</v>
      </c>
      <c r="AP47" s="357">
        <v>729920280</v>
      </c>
      <c r="AQ47" s="373">
        <v>348722104</v>
      </c>
      <c r="AR47" s="258"/>
      <c r="AS47" s="503">
        <v>43.766060000000003</v>
      </c>
      <c r="AT47" s="357">
        <v>44.646748000000002</v>
      </c>
      <c r="AU47" s="373">
        <v>44.425297</v>
      </c>
      <c r="AV47" s="258"/>
      <c r="AW47" s="357">
        <v>36.089602999999997</v>
      </c>
      <c r="AX47" s="357">
        <v>36.089602999999997</v>
      </c>
      <c r="AY47" s="373">
        <v>36.089602999999997</v>
      </c>
      <c r="AZ47" s="258"/>
      <c r="BA47" s="507">
        <v>501.38600000000002</v>
      </c>
      <c r="BB47" s="359">
        <v>321.02699999999999</v>
      </c>
      <c r="BC47" s="573">
        <v>0</v>
      </c>
      <c r="BD47" s="573">
        <v>0</v>
      </c>
      <c r="BE47" s="33"/>
      <c r="BG47" s="122" t="e">
        <f t="shared" si="14"/>
        <v>#DIV/0!</v>
      </c>
      <c r="BH47" s="123" t="e">
        <f t="shared" si="14"/>
        <v>#DIV/0!</v>
      </c>
      <c r="BI47" s="123">
        <f t="shared" si="8"/>
        <v>4.7466221700128375E-2</v>
      </c>
      <c r="BJ47" s="124"/>
      <c r="BL47" s="107"/>
      <c r="BM47" s="107"/>
      <c r="BN47" s="107"/>
      <c r="BO47" s="106"/>
      <c r="BQ47" s="177"/>
      <c r="BR47" s="177"/>
      <c r="BS47" s="177"/>
      <c r="BT47" s="106"/>
      <c r="BV47" s="177"/>
      <c r="BW47" s="177"/>
      <c r="BX47" s="177"/>
      <c r="BY47" s="106"/>
      <c r="CA47" s="177"/>
      <c r="CB47" s="177"/>
      <c r="CC47" s="177"/>
      <c r="CD47" s="106"/>
    </row>
    <row r="48" spans="1:82" outlineLevel="1">
      <c r="A48" s="13"/>
      <c r="B48" s="14" t="s">
        <v>1118</v>
      </c>
      <c r="C48" s="15" t="s">
        <v>134</v>
      </c>
      <c r="D48" s="479">
        <v>67599953</v>
      </c>
      <c r="E48" s="15">
        <v>16</v>
      </c>
      <c r="F48" s="15">
        <v>1</v>
      </c>
      <c r="G48" s="16"/>
      <c r="H48" s="492"/>
      <c r="I48" s="30" t="str">
        <f t="shared" si="15"/>
        <v>·</v>
      </c>
      <c r="J48" s="31">
        <f t="shared" si="16"/>
        <v>19.674880543186177</v>
      </c>
      <c r="K48" s="31">
        <f t="shared" si="2"/>
        <v>10.797644785344747</v>
      </c>
      <c r="L48" s="31">
        <f t="shared" si="17"/>
        <v>8.8772242785435065</v>
      </c>
      <c r="M48" s="106"/>
      <c r="N48" s="31">
        <f t="shared" si="4"/>
        <v>19.674880543186177</v>
      </c>
      <c r="O48" s="521">
        <v>67599953</v>
      </c>
      <c r="P48" s="503">
        <v>1330021000</v>
      </c>
      <c r="Q48" s="357">
        <v>729920280</v>
      </c>
      <c r="R48" s="373">
        <v>600099944</v>
      </c>
      <c r="S48" s="258"/>
      <c r="T48" s="503">
        <v>48.488360999999998</v>
      </c>
      <c r="U48" s="357">
        <v>49.095492999999998</v>
      </c>
      <c r="V48" s="373">
        <v>48.706245000000003</v>
      </c>
      <c r="W48" s="258"/>
      <c r="X48" s="357">
        <v>42.110202999999998</v>
      </c>
      <c r="Y48" s="357">
        <v>42.110202999999998</v>
      </c>
      <c r="Z48" s="373">
        <v>42.110202999999998</v>
      </c>
      <c r="AA48" s="258"/>
      <c r="AB48" s="507">
        <v>278</v>
      </c>
      <c r="AC48" s="359">
        <v>185.589</v>
      </c>
      <c r="AD48" s="573">
        <v>0</v>
      </c>
      <c r="AE48" s="573">
        <v>0</v>
      </c>
      <c r="AF48" s="33"/>
      <c r="AH48" s="30" t="str">
        <f t="shared" si="5"/>
        <v>·</v>
      </c>
      <c r="AI48" s="31">
        <f t="shared" si="9"/>
        <v>18.452728805891329</v>
      </c>
      <c r="AJ48" s="31">
        <f t="shared" si="10"/>
        <v>10.797644785344747</v>
      </c>
      <c r="AK48" s="275">
        <f t="shared" si="11"/>
        <v>7.6550725412486607</v>
      </c>
      <c r="AL48" s="267" t="str">
        <f t="shared" si="12"/>
        <v>·</v>
      </c>
      <c r="AM48" s="31">
        <f t="shared" si="13"/>
        <v>18.452728805891329</v>
      </c>
      <c r="AN48" s="521">
        <v>67599953</v>
      </c>
      <c r="AO48" s="503">
        <v>1247403600</v>
      </c>
      <c r="AP48" s="357">
        <v>729920280</v>
      </c>
      <c r="AQ48" s="373">
        <v>517482544</v>
      </c>
      <c r="AR48" s="258"/>
      <c r="AS48" s="503">
        <v>48.778548999999998</v>
      </c>
      <c r="AT48" s="357">
        <v>49.264294</v>
      </c>
      <c r="AU48" s="373">
        <v>48.991585000000001</v>
      </c>
      <c r="AV48" s="258"/>
      <c r="AW48" s="357">
        <v>42.110202999999998</v>
      </c>
      <c r="AX48" s="357">
        <v>42.110202999999998</v>
      </c>
      <c r="AY48" s="373">
        <v>42.110202999999998</v>
      </c>
      <c r="AZ48" s="258"/>
      <c r="BA48" s="507">
        <v>448.202</v>
      </c>
      <c r="BB48" s="359">
        <v>328.95699999999999</v>
      </c>
      <c r="BC48" s="573">
        <v>0</v>
      </c>
      <c r="BD48" s="573">
        <v>0</v>
      </c>
      <c r="BE48" s="33"/>
      <c r="BG48" s="122" t="e">
        <f t="shared" si="14"/>
        <v>#DIV/0!</v>
      </c>
      <c r="BH48" s="123" t="e">
        <f t="shared" si="14"/>
        <v>#DIV/0!</v>
      </c>
      <c r="BI48" s="123">
        <f t="shared" si="8"/>
        <v>3.6348078922086136E-2</v>
      </c>
      <c r="BJ48" s="124"/>
      <c r="BL48" s="107"/>
      <c r="BM48" s="107"/>
      <c r="BN48" s="107"/>
      <c r="BO48" s="106"/>
      <c r="BQ48" s="177"/>
      <c r="BR48" s="177"/>
      <c r="BS48" s="177"/>
      <c r="BT48" s="106"/>
      <c r="BV48" s="177"/>
      <c r="BW48" s="177"/>
      <c r="BX48" s="177"/>
      <c r="BY48" s="106"/>
      <c r="CA48" s="177"/>
      <c r="CB48" s="177"/>
      <c r="CC48" s="177"/>
      <c r="CD48" s="106"/>
    </row>
    <row r="49" spans="1:82" ht="14.25" outlineLevel="1" thickBot="1">
      <c r="A49" s="13"/>
      <c r="B49" s="18" t="s">
        <v>1118</v>
      </c>
      <c r="C49" s="19" t="s">
        <v>884</v>
      </c>
      <c r="D49" s="480">
        <v>67599953</v>
      </c>
      <c r="E49" s="19">
        <v>16</v>
      </c>
      <c r="F49" s="19">
        <v>1</v>
      </c>
      <c r="G49" s="20"/>
      <c r="H49" s="492"/>
      <c r="I49" s="34" t="str">
        <f t="shared" si="15"/>
        <v>·</v>
      </c>
      <c r="J49" s="35">
        <f t="shared" si="16"/>
        <v>22.840974460440822</v>
      </c>
      <c r="K49" s="35">
        <f t="shared" si="2"/>
        <v>10.797644785344747</v>
      </c>
      <c r="L49" s="35">
        <f t="shared" si="17"/>
        <v>12.043318195798154</v>
      </c>
      <c r="M49" s="109"/>
      <c r="N49" s="39">
        <f t="shared" si="4"/>
        <v>22.840974460440822</v>
      </c>
      <c r="O49" s="525">
        <v>67599953</v>
      </c>
      <c r="P49" s="505">
        <v>1544048800</v>
      </c>
      <c r="Q49" s="361">
        <v>729920280</v>
      </c>
      <c r="R49" s="375">
        <v>814127744</v>
      </c>
      <c r="S49" s="259"/>
      <c r="T49" s="505">
        <v>52.512264000000002</v>
      </c>
      <c r="U49" s="361">
        <v>52.081909000000003</v>
      </c>
      <c r="V49" s="375">
        <v>51.619545000000002</v>
      </c>
      <c r="W49" s="259"/>
      <c r="X49" s="361">
        <v>48.130802000000003</v>
      </c>
      <c r="Y49" s="361">
        <v>48.130802000000003</v>
      </c>
      <c r="Z49" s="375">
        <v>48.130802000000003</v>
      </c>
      <c r="AA49" s="259"/>
      <c r="AB49" s="509">
        <v>284.20499999999998</v>
      </c>
      <c r="AC49" s="363">
        <v>189.93299999999999</v>
      </c>
      <c r="AD49" s="575">
        <v>0</v>
      </c>
      <c r="AE49" s="575">
        <v>0</v>
      </c>
      <c r="AF49" s="41"/>
      <c r="AH49" s="34" t="str">
        <f t="shared" si="5"/>
        <v>·</v>
      </c>
      <c r="AI49" s="35">
        <f t="shared" si="9"/>
        <v>21.501067848375577</v>
      </c>
      <c r="AJ49" s="35">
        <f t="shared" si="10"/>
        <v>10.797644785344747</v>
      </c>
      <c r="AK49" s="276">
        <f t="shared" si="11"/>
        <v>10.703411583732906</v>
      </c>
      <c r="AL49" s="268" t="str">
        <f t="shared" si="12"/>
        <v>·</v>
      </c>
      <c r="AM49" s="35">
        <f t="shared" si="13"/>
        <v>21.501067848375577</v>
      </c>
      <c r="AN49" s="525">
        <v>67599953</v>
      </c>
      <c r="AO49" s="505">
        <v>1453471176</v>
      </c>
      <c r="AP49" s="361">
        <v>729920280</v>
      </c>
      <c r="AQ49" s="375">
        <v>723550120</v>
      </c>
      <c r="AR49" s="259"/>
      <c r="AS49" s="505">
        <v>52.537117000000002</v>
      </c>
      <c r="AT49" s="361">
        <v>52.438015</v>
      </c>
      <c r="AU49" s="375">
        <v>52.191189000000001</v>
      </c>
      <c r="AV49" s="259"/>
      <c r="AW49" s="361">
        <v>48.130802000000003</v>
      </c>
      <c r="AX49" s="361">
        <v>48.130802000000003</v>
      </c>
      <c r="AY49" s="375">
        <v>48.130802000000003</v>
      </c>
      <c r="AZ49" s="259"/>
      <c r="BA49" s="509">
        <v>501.47899999999998</v>
      </c>
      <c r="BB49" s="363">
        <v>325.34100000000001</v>
      </c>
      <c r="BC49" s="575">
        <v>0</v>
      </c>
      <c r="BD49" s="575">
        <v>0</v>
      </c>
      <c r="BE49" s="37"/>
      <c r="BG49" s="125" t="e">
        <f t="shared" si="14"/>
        <v>#DIV/0!</v>
      </c>
      <c r="BH49" s="126" t="e">
        <f t="shared" si="14"/>
        <v>#DIV/0!</v>
      </c>
      <c r="BI49" s="126">
        <f t="shared" si="8"/>
        <v>2.9459739931904372E-2</v>
      </c>
      <c r="BJ49" s="127"/>
      <c r="BL49" s="110"/>
      <c r="BM49" s="110"/>
      <c r="BN49" s="110"/>
      <c r="BO49" s="109"/>
      <c r="BQ49" s="181"/>
      <c r="BR49" s="181"/>
      <c r="BS49" s="181"/>
      <c r="BT49" s="109"/>
      <c r="BV49" s="181"/>
      <c r="BW49" s="181"/>
      <c r="BX49" s="181"/>
      <c r="BY49" s="109"/>
      <c r="CA49" s="181"/>
      <c r="CB49" s="181"/>
      <c r="CC49" s="181"/>
      <c r="CD49" s="109"/>
    </row>
    <row r="50" spans="1:82">
      <c r="A50" s="13"/>
      <c r="B50" s="27" t="s">
        <v>1119</v>
      </c>
      <c r="C50" s="28" t="s">
        <v>131</v>
      </c>
      <c r="D50" s="478">
        <v>59136574</v>
      </c>
      <c r="E50" s="28">
        <v>16</v>
      </c>
      <c r="F50" s="28">
        <v>1</v>
      </c>
      <c r="G50" s="29"/>
      <c r="H50" s="492"/>
      <c r="I50" s="46" t="str">
        <f t="shared" si="15"/>
        <v>·</v>
      </c>
      <c r="J50" s="47">
        <f t="shared" si="16"/>
        <v>14.570059198897791</v>
      </c>
      <c r="K50" s="47">
        <f t="shared" si="2"/>
        <v>11.745490159778278</v>
      </c>
      <c r="L50" s="47">
        <f t="shared" si="17"/>
        <v>2.8245565933528716</v>
      </c>
      <c r="M50" s="138"/>
      <c r="N50" s="47">
        <f t="shared" si="4"/>
        <v>14.570059198897791</v>
      </c>
      <c r="O50" s="520">
        <v>59136574</v>
      </c>
      <c r="P50" s="502">
        <v>861623384</v>
      </c>
      <c r="Q50" s="353">
        <v>694588048</v>
      </c>
      <c r="R50" s="372">
        <v>167034600</v>
      </c>
      <c r="S50" s="257"/>
      <c r="T50" s="502">
        <v>31.475573000000001</v>
      </c>
      <c r="U50" s="353">
        <v>32.596831999999999</v>
      </c>
      <c r="V50" s="372">
        <v>32.072296000000001</v>
      </c>
      <c r="W50" s="257"/>
      <c r="X50" s="353">
        <v>24.048404999999999</v>
      </c>
      <c r="Y50" s="353">
        <v>24.048404999999999</v>
      </c>
      <c r="Z50" s="372">
        <v>24.048404999999999</v>
      </c>
      <c r="AA50" s="257"/>
      <c r="AB50" s="506">
        <v>224.648</v>
      </c>
      <c r="AC50" s="355">
        <v>126.807</v>
      </c>
      <c r="AD50" s="576">
        <v>0</v>
      </c>
      <c r="AE50" s="576">
        <v>0</v>
      </c>
      <c r="AF50" s="49"/>
      <c r="AH50" s="42" t="str">
        <f t="shared" si="5"/>
        <v>·</v>
      </c>
      <c r="AI50" s="31">
        <f t="shared" si="9"/>
        <v>12.934534895443893</v>
      </c>
      <c r="AJ50" s="31">
        <f t="shared" si="10"/>
        <v>11.745490159778278</v>
      </c>
      <c r="AK50" s="275">
        <f t="shared" si="11"/>
        <v>1.1890322898989718</v>
      </c>
      <c r="AL50" s="266" t="str">
        <f t="shared" si="12"/>
        <v>·</v>
      </c>
      <c r="AM50" s="43">
        <f t="shared" si="13"/>
        <v>12.934534895443893</v>
      </c>
      <c r="AN50" s="520">
        <v>59136574</v>
      </c>
      <c r="AO50" s="502">
        <v>764904080</v>
      </c>
      <c r="AP50" s="353">
        <v>694588048</v>
      </c>
      <c r="AQ50" s="372">
        <v>70315296</v>
      </c>
      <c r="AR50" s="257"/>
      <c r="AS50" s="502">
        <v>32.764049999999997</v>
      </c>
      <c r="AT50" s="353">
        <v>36.438296999999999</v>
      </c>
      <c r="AU50" s="372">
        <v>35.860474000000004</v>
      </c>
      <c r="AV50" s="257"/>
      <c r="AW50" s="353">
        <v>24.048404999999999</v>
      </c>
      <c r="AX50" s="353">
        <v>24.048404999999999</v>
      </c>
      <c r="AY50" s="372">
        <v>24.048404999999999</v>
      </c>
      <c r="AZ50" s="257"/>
      <c r="BA50" s="506">
        <v>324.14699999999999</v>
      </c>
      <c r="BB50" s="355">
        <v>290.12200000000001</v>
      </c>
      <c r="BC50" s="576">
        <v>0</v>
      </c>
      <c r="BD50" s="576">
        <v>0</v>
      </c>
      <c r="BE50" s="45"/>
      <c r="BG50" s="131" t="e">
        <f t="shared" si="14"/>
        <v>#DIV/0!</v>
      </c>
      <c r="BH50" s="132" t="e">
        <f t="shared" si="14"/>
        <v>#DIV/0!</v>
      </c>
      <c r="BI50" s="132">
        <f t="shared" si="8"/>
        <v>0.10193328354096209</v>
      </c>
      <c r="BJ50" s="133">
        <f t="array" ref="BJ50">AVERAGE(AP50:AP54/AO50:AO54) - AVERAGE(Q50:Q54/P50:P54)</f>
        <v>5.9638285201302654E-2</v>
      </c>
      <c r="BL50" s="279">
        <f>IF( OR(ISBLANK($R50:$R54),ISBLANK($AQ50:$AQ54), ISBLANK(T50:T54),ISBLANK(AS50:AS54)), "·", bdRateHermite($R50:$R54,T50:T54, $AQ50:$AQ54,AS50:AS54))</f>
        <v>-0.32987559486790219</v>
      </c>
      <c r="BM50" s="279">
        <f>IF( OR(ISBLANK($R50:$R54),ISBLANK($AQ50:$AQ54), ISBLANK(U50:U54),ISBLANK(AT50:AT54)), "·", bdRateHermite($R50:$R54,U50:U54, $AQ50:$AQ54,AT50:AT54))</f>
        <v>-0.3254803912414217</v>
      </c>
      <c r="BN50" s="279">
        <f>IF( OR(ISBLANK($R50:$R54),ISBLANK($AQ50:$AQ54), ISBLANK(V50:V54),ISBLANK(AU50:AU54)), "·", bdRateHermite($R50:$R54,V50:V54, $AQ50:$AQ54,AU50:AU54))</f>
        <v>-0.32331832876251543</v>
      </c>
      <c r="BO50" s="104"/>
      <c r="BQ50" s="173">
        <f>IF( OR(ISBLANK($R50:$R54),ISBLANK($AQ50:$AQ54), ISBLANK(X50:X54),ISBLANK(AW50:AW54)), "·", bdRateHermite($R50:$R54,X50:X54, $AQ50:$AQ54,AW50:AW54))</f>
        <v>-0.28017695046336066</v>
      </c>
      <c r="BR50" s="173">
        <f>IF( OR(ISBLANK($R50:$R54),ISBLANK($AQ50:$AQ54), ISBLANK(Y50:Y54),ISBLANK(AX50:AX54)), "·", bdRateHermite($R50:$R54,Y50:Y54, $AQ50:$AQ54,AX50:AX54))</f>
        <v>-0.28017695046336066</v>
      </c>
      <c r="BS50" s="173">
        <f>IF( OR(ISBLANK($R50:$R54),ISBLANK($AQ50:$AQ54), ISBLANK(Z50:Z54),ISBLANK(AY50:AY54)), "·", bdRateHermite($R50:$R54,Z50:Z54, $AQ50:$AQ54,AY50:AY54))</f>
        <v>-0.28017695046336066</v>
      </c>
      <c r="BT50" s="138"/>
      <c r="BV50" s="173">
        <f>IF(OR(ISBLANK($P50:$P54),ISBLANK($AO50:$AO54),ISBLANK(T50:T54),ISBLANK(AS50:AS54)),"·",bdRateHermite($P50:$P54,T50:T54,$AO50:$AO54,AS50:AS54))</f>
        <v>-9.169377514975674E-2</v>
      </c>
      <c r="BW50" s="173">
        <f>IF(OR(ISBLANK($P50:$P54),ISBLANK($AO50:$AO54),ISBLANK(U50:U54),ISBLANK(AT50:AT54)),"·",bdRateHermite($P50:$P54,U50:U54,$AO50:$AO54,AT50:AT54))</f>
        <v>-9.324056908869327E-2</v>
      </c>
      <c r="BX50" s="173">
        <f>IF(OR(ISBLANK($P50:$P54),ISBLANK($AO50:$AO54),ISBLANK(V50:V54),ISBLANK(AU50:AU54)),"·",bdRateHermite($P50:$P54,V50:V54,$AO50:$AO54,AU50:AU54))</f>
        <v>-9.2739950578438979E-2</v>
      </c>
      <c r="BY50" s="138"/>
      <c r="CA50" s="173">
        <f>IF( OR(ISBLANK($P50:$P54),ISBLANK($AO50:$AO54), ISBLANK(X50:X54),ISBLANK(AW50:AW54)), "·", bdRateHermite( $P50:$P54,X50:X54, $AO50:$AO54,AW50:AW54))</f>
        <v>-7.7580943275273873E-2</v>
      </c>
      <c r="CB50" s="173">
        <f>IF( OR(ISBLANK($P50:$P54),ISBLANK($AO50:$AO54), ISBLANK(Y50:Y54),ISBLANK(AX50:AX54)), "·", bdRateHermite( $P50:$P54,Y50:Y54, $AO50:$AO54,AX50:AX54))</f>
        <v>-7.7580943275273873E-2</v>
      </c>
      <c r="CC50" s="173">
        <f>IF( OR(ISBLANK($P50:$P54),ISBLANK($AO50:$AO54), ISBLANK(Z50:Z54),ISBLANK(AY50:AY54)), "·", bdRateHermite( $P50:$P54,Z50:Z54, $AO50:$AO54,AY50:AY54))</f>
        <v>-7.7580943275273873E-2</v>
      </c>
      <c r="CD50" s="138"/>
    </row>
    <row r="51" spans="1:82" outlineLevel="1">
      <c r="A51" s="13"/>
      <c r="B51" s="14" t="s">
        <v>1119</v>
      </c>
      <c r="C51" s="15" t="s">
        <v>132</v>
      </c>
      <c r="D51" s="479">
        <v>59136574</v>
      </c>
      <c r="E51" s="15">
        <v>16</v>
      </c>
      <c r="F51" s="15">
        <v>1</v>
      </c>
      <c r="G51" s="16"/>
      <c r="H51" s="492"/>
      <c r="I51" s="30" t="str">
        <f t="shared" si="15"/>
        <v>·</v>
      </c>
      <c r="J51" s="31">
        <f t="shared" si="16"/>
        <v>15.907572055154903</v>
      </c>
      <c r="K51" s="31">
        <f t="shared" si="2"/>
        <v>11.745490159778278</v>
      </c>
      <c r="L51" s="31">
        <f t="shared" si="17"/>
        <v>4.1620694496099828</v>
      </c>
      <c r="M51" s="106"/>
      <c r="N51" s="31">
        <f t="shared" si="4"/>
        <v>15.907572055154903</v>
      </c>
      <c r="O51" s="521">
        <v>59136574</v>
      </c>
      <c r="P51" s="503">
        <v>940719312</v>
      </c>
      <c r="Q51" s="357">
        <v>694588048</v>
      </c>
      <c r="R51" s="373">
        <v>246130528</v>
      </c>
      <c r="S51" s="258"/>
      <c r="T51" s="503">
        <v>37.327067999999997</v>
      </c>
      <c r="U51" s="357">
        <v>38.516475999999997</v>
      </c>
      <c r="V51" s="373">
        <v>38.029860999999997</v>
      </c>
      <c r="W51" s="258"/>
      <c r="X51" s="357">
        <v>30.069004</v>
      </c>
      <c r="Y51" s="357">
        <v>30.069004</v>
      </c>
      <c r="Z51" s="373">
        <v>30.069004</v>
      </c>
      <c r="AA51" s="258"/>
      <c r="AB51" s="507">
        <v>217.006</v>
      </c>
      <c r="AC51" s="359">
        <v>127.673</v>
      </c>
      <c r="AD51" s="573">
        <v>0</v>
      </c>
      <c r="AE51" s="573">
        <v>0</v>
      </c>
      <c r="AF51" s="33"/>
      <c r="AH51" s="30" t="str">
        <f t="shared" si="5"/>
        <v>·</v>
      </c>
      <c r="AI51" s="31">
        <f t="shared" si="9"/>
        <v>14.334856260019391</v>
      </c>
      <c r="AJ51" s="31">
        <f t="shared" si="10"/>
        <v>11.745490159778278</v>
      </c>
      <c r="AK51" s="275">
        <f t="shared" si="11"/>
        <v>2.5893536544744711</v>
      </c>
      <c r="AL51" s="267" t="str">
        <f t="shared" si="12"/>
        <v>·</v>
      </c>
      <c r="AM51" s="31">
        <f t="shared" si="13"/>
        <v>14.334856260019391</v>
      </c>
      <c r="AN51" s="521">
        <v>59136574</v>
      </c>
      <c r="AO51" s="503">
        <v>847714288</v>
      </c>
      <c r="AP51" s="357">
        <v>694588048</v>
      </c>
      <c r="AQ51" s="373">
        <v>153125504</v>
      </c>
      <c r="AR51" s="258"/>
      <c r="AS51" s="503">
        <v>38.463580999999998</v>
      </c>
      <c r="AT51" s="357">
        <v>40.239429000000001</v>
      </c>
      <c r="AU51" s="373">
        <v>39.659264</v>
      </c>
      <c r="AV51" s="258"/>
      <c r="AW51" s="357">
        <v>30.069004</v>
      </c>
      <c r="AX51" s="357">
        <v>30.069004</v>
      </c>
      <c r="AY51" s="373">
        <v>30.069004</v>
      </c>
      <c r="AZ51" s="258"/>
      <c r="BA51" s="507">
        <v>355.54399999999998</v>
      </c>
      <c r="BB51" s="359">
        <v>250.25800000000001</v>
      </c>
      <c r="BC51" s="573">
        <v>0</v>
      </c>
      <c r="BD51" s="573">
        <v>0</v>
      </c>
      <c r="BE51" s="33"/>
      <c r="BG51" s="122" t="e">
        <f t="shared" si="14"/>
        <v>#DIV/0!</v>
      </c>
      <c r="BH51" s="123" t="e">
        <f t="shared" si="14"/>
        <v>#DIV/0!</v>
      </c>
      <c r="BI51" s="123">
        <f t="shared" si="8"/>
        <v>8.1007299076325978E-2</v>
      </c>
      <c r="BJ51" s="124"/>
      <c r="BL51" s="107"/>
      <c r="BM51" s="107"/>
      <c r="BN51" s="107"/>
      <c r="BO51" s="106"/>
      <c r="BQ51" s="177"/>
      <c r="BR51" s="177"/>
      <c r="BS51" s="177"/>
      <c r="BT51" s="106"/>
      <c r="BV51" s="177"/>
      <c r="BW51" s="177"/>
      <c r="BX51" s="177"/>
      <c r="BY51" s="106"/>
      <c r="CA51" s="177"/>
      <c r="CB51" s="177"/>
      <c r="CC51" s="177"/>
      <c r="CD51" s="106"/>
    </row>
    <row r="52" spans="1:82" outlineLevel="1">
      <c r="A52" s="13"/>
      <c r="B52" s="14" t="s">
        <v>1119</v>
      </c>
      <c r="C52" s="15" t="s">
        <v>133</v>
      </c>
      <c r="D52" s="479">
        <v>59136574</v>
      </c>
      <c r="E52" s="15">
        <v>16</v>
      </c>
      <c r="F52" s="15">
        <v>1</v>
      </c>
      <c r="G52" s="16"/>
      <c r="H52" s="492"/>
      <c r="I52" s="30" t="str">
        <f t="shared" si="15"/>
        <v>·</v>
      </c>
      <c r="J52" s="31">
        <f t="shared" si="16"/>
        <v>17.674520813464778</v>
      </c>
      <c r="K52" s="31">
        <f t="shared" si="2"/>
        <v>11.745490159778278</v>
      </c>
      <c r="L52" s="31">
        <f t="shared" si="17"/>
        <v>5.9290182079198566</v>
      </c>
      <c r="M52" s="106"/>
      <c r="N52" s="31">
        <f t="shared" si="4"/>
        <v>17.674520813464778</v>
      </c>
      <c r="O52" s="521">
        <v>59136574</v>
      </c>
      <c r="P52" s="503">
        <v>1045210608</v>
      </c>
      <c r="Q52" s="357">
        <v>694588048</v>
      </c>
      <c r="R52" s="373">
        <v>350621824</v>
      </c>
      <c r="S52" s="258"/>
      <c r="T52" s="503">
        <v>43.292991999999998</v>
      </c>
      <c r="U52" s="357">
        <v>44.137805999999998</v>
      </c>
      <c r="V52" s="373">
        <v>43.637062</v>
      </c>
      <c r="W52" s="258"/>
      <c r="X52" s="357">
        <v>36.089602999999997</v>
      </c>
      <c r="Y52" s="357">
        <v>36.089602999999997</v>
      </c>
      <c r="Z52" s="373">
        <v>36.089602999999997</v>
      </c>
      <c r="AA52" s="258"/>
      <c r="AB52" s="507">
        <v>212.85300000000001</v>
      </c>
      <c r="AC52" s="359">
        <v>131.41499999999999</v>
      </c>
      <c r="AD52" s="573">
        <v>0</v>
      </c>
      <c r="AE52" s="573">
        <v>0</v>
      </c>
      <c r="AF52" s="33"/>
      <c r="AH52" s="30" t="str">
        <f t="shared" si="5"/>
        <v>·</v>
      </c>
      <c r="AI52" s="31">
        <f t="shared" si="9"/>
        <v>16.407509302111414</v>
      </c>
      <c r="AJ52" s="31">
        <f t="shared" si="10"/>
        <v>11.745490159778278</v>
      </c>
      <c r="AK52" s="275">
        <f t="shared" si="11"/>
        <v>4.6620066965664932</v>
      </c>
      <c r="AL52" s="267" t="str">
        <f t="shared" si="12"/>
        <v>·</v>
      </c>
      <c r="AM52" s="31">
        <f t="shared" si="13"/>
        <v>16.407509302111414</v>
      </c>
      <c r="AN52" s="521">
        <v>59136574</v>
      </c>
      <c r="AO52" s="503">
        <v>970283888</v>
      </c>
      <c r="AP52" s="357">
        <v>694588048</v>
      </c>
      <c r="AQ52" s="373">
        <v>275695104</v>
      </c>
      <c r="AR52" s="258"/>
      <c r="AS52" s="503">
        <v>43.801071</v>
      </c>
      <c r="AT52" s="357">
        <v>44.551600999999998</v>
      </c>
      <c r="AU52" s="373">
        <v>44.052498</v>
      </c>
      <c r="AV52" s="258"/>
      <c r="AW52" s="357">
        <v>36.089602999999997</v>
      </c>
      <c r="AX52" s="357">
        <v>36.089602999999997</v>
      </c>
      <c r="AY52" s="373">
        <v>36.089602999999997</v>
      </c>
      <c r="AZ52" s="258"/>
      <c r="BA52" s="507">
        <v>350.339</v>
      </c>
      <c r="BB52" s="359">
        <v>257.32</v>
      </c>
      <c r="BC52" s="573">
        <v>0</v>
      </c>
      <c r="BD52" s="573">
        <v>0</v>
      </c>
      <c r="BE52" s="33"/>
      <c r="BG52" s="122" t="e">
        <f t="shared" si="14"/>
        <v>#DIV/0!</v>
      </c>
      <c r="BH52" s="123" t="e">
        <f t="shared" si="14"/>
        <v>#DIV/0!</v>
      </c>
      <c r="BI52" s="123">
        <f t="shared" si="8"/>
        <v>5.1317016446183805E-2</v>
      </c>
      <c r="BJ52" s="124"/>
      <c r="BL52" s="107"/>
      <c r="BM52" s="107"/>
      <c r="BN52" s="107"/>
      <c r="BO52" s="106"/>
      <c r="BQ52" s="177"/>
      <c r="BR52" s="177"/>
      <c r="BS52" s="177"/>
      <c r="BT52" s="106"/>
      <c r="BV52" s="177"/>
      <c r="BW52" s="177"/>
      <c r="BX52" s="177"/>
      <c r="BY52" s="106"/>
      <c r="CA52" s="177"/>
      <c r="CB52" s="177"/>
      <c r="CC52" s="177"/>
      <c r="CD52" s="106"/>
    </row>
    <row r="53" spans="1:82" outlineLevel="1">
      <c r="A53" s="13"/>
      <c r="B53" s="14" t="s">
        <v>1119</v>
      </c>
      <c r="C53" s="15" t="s">
        <v>134</v>
      </c>
      <c r="D53" s="479">
        <v>59136574</v>
      </c>
      <c r="E53" s="15">
        <v>16</v>
      </c>
      <c r="F53" s="15">
        <v>1</v>
      </c>
      <c r="G53" s="16"/>
      <c r="H53" s="492"/>
      <c r="I53" s="30" t="str">
        <f t="shared" si="15"/>
        <v>·</v>
      </c>
      <c r="J53" s="31">
        <f t="shared" si="16"/>
        <v>19.996767347394862</v>
      </c>
      <c r="K53" s="31">
        <f t="shared" si="2"/>
        <v>11.745490159778278</v>
      </c>
      <c r="L53" s="31">
        <f t="shared" si="17"/>
        <v>8.2512647418499423</v>
      </c>
      <c r="M53" s="106"/>
      <c r="N53" s="31">
        <f t="shared" si="4"/>
        <v>19.996767347394862</v>
      </c>
      <c r="O53" s="521">
        <v>59136574</v>
      </c>
      <c r="P53" s="503">
        <v>1182540312</v>
      </c>
      <c r="Q53" s="357">
        <v>694588048</v>
      </c>
      <c r="R53" s="373">
        <v>487951528</v>
      </c>
      <c r="S53" s="258"/>
      <c r="T53" s="503">
        <v>48.508938000000001</v>
      </c>
      <c r="U53" s="357">
        <v>48.918323999999998</v>
      </c>
      <c r="V53" s="373">
        <v>48.469172999999998</v>
      </c>
      <c r="W53" s="258"/>
      <c r="X53" s="357">
        <v>42.110202999999998</v>
      </c>
      <c r="Y53" s="357">
        <v>42.110202999999998</v>
      </c>
      <c r="Z53" s="373">
        <v>42.110202999999998</v>
      </c>
      <c r="AA53" s="258"/>
      <c r="AB53" s="507">
        <v>203.042</v>
      </c>
      <c r="AC53" s="359">
        <v>160.83699999999999</v>
      </c>
      <c r="AD53" s="573">
        <v>0</v>
      </c>
      <c r="AE53" s="573">
        <v>0</v>
      </c>
      <c r="AF53" s="33"/>
      <c r="AH53" s="30" t="str">
        <f t="shared" si="5"/>
        <v>·</v>
      </c>
      <c r="AI53" s="31">
        <f t="shared" si="9"/>
        <v>18.85492913404148</v>
      </c>
      <c r="AJ53" s="31">
        <f t="shared" si="10"/>
        <v>11.745490159778278</v>
      </c>
      <c r="AK53" s="275">
        <f t="shared" si="11"/>
        <v>7.1094265284965612</v>
      </c>
      <c r="AL53" s="267" t="str">
        <f t="shared" si="12"/>
        <v>·</v>
      </c>
      <c r="AM53" s="31">
        <f t="shared" si="13"/>
        <v>18.85492913404148</v>
      </c>
      <c r="AN53" s="521">
        <v>59136574</v>
      </c>
      <c r="AO53" s="503">
        <v>1115015912</v>
      </c>
      <c r="AP53" s="357">
        <v>694588048</v>
      </c>
      <c r="AQ53" s="373">
        <v>420427128</v>
      </c>
      <c r="AR53" s="258"/>
      <c r="AS53" s="503">
        <v>48.700989</v>
      </c>
      <c r="AT53" s="357">
        <v>48.967650999999996</v>
      </c>
      <c r="AU53" s="373">
        <v>48.532454999999999</v>
      </c>
      <c r="AV53" s="258"/>
      <c r="AW53" s="357">
        <v>42.110202999999998</v>
      </c>
      <c r="AX53" s="357">
        <v>42.110202999999998</v>
      </c>
      <c r="AY53" s="373">
        <v>42.110202999999998</v>
      </c>
      <c r="AZ53" s="258"/>
      <c r="BA53" s="507">
        <v>480.82299999999998</v>
      </c>
      <c r="BB53" s="359">
        <v>244.303</v>
      </c>
      <c r="BC53" s="573">
        <v>0</v>
      </c>
      <c r="BD53" s="573">
        <v>0</v>
      </c>
      <c r="BE53" s="33"/>
      <c r="BG53" s="122" t="e">
        <f t="shared" si="14"/>
        <v>#DIV/0!</v>
      </c>
      <c r="BH53" s="123" t="e">
        <f t="shared" si="14"/>
        <v>#DIV/0!</v>
      </c>
      <c r="BI53" s="123">
        <f t="shared" si="8"/>
        <v>3.5570586030667539E-2</v>
      </c>
      <c r="BJ53" s="124"/>
      <c r="BL53" s="107"/>
      <c r="BM53" s="107"/>
      <c r="BN53" s="107"/>
      <c r="BO53" s="106"/>
      <c r="BQ53" s="177"/>
      <c r="BR53" s="177"/>
      <c r="BS53" s="177"/>
      <c r="BT53" s="106"/>
      <c r="BV53" s="177"/>
      <c r="BW53" s="177"/>
      <c r="BX53" s="177"/>
      <c r="BY53" s="106"/>
      <c r="CA53" s="177"/>
      <c r="CB53" s="177"/>
      <c r="CC53" s="177"/>
      <c r="CD53" s="106"/>
    </row>
    <row r="54" spans="1:82" ht="14.25" outlineLevel="1" thickBot="1">
      <c r="A54" s="215"/>
      <c r="B54" s="18" t="s">
        <v>1119</v>
      </c>
      <c r="C54" s="19" t="s">
        <v>884</v>
      </c>
      <c r="D54" s="480">
        <v>59136574</v>
      </c>
      <c r="E54" s="19">
        <v>16</v>
      </c>
      <c r="F54" s="19">
        <v>1</v>
      </c>
      <c r="G54" s="20"/>
      <c r="H54" s="492"/>
      <c r="I54" s="34" t="str">
        <f t="shared" si="15"/>
        <v>·</v>
      </c>
      <c r="J54" s="35">
        <f t="shared" si="16"/>
        <v>22.847294603167239</v>
      </c>
      <c r="K54" s="35">
        <f t="shared" si="2"/>
        <v>11.745490159778278</v>
      </c>
      <c r="L54" s="35">
        <f t="shared" si="17"/>
        <v>11.101791997622318</v>
      </c>
      <c r="M54" s="109"/>
      <c r="N54" s="35">
        <f t="shared" si="4"/>
        <v>22.847294603167239</v>
      </c>
      <c r="O54" s="525">
        <v>59136574</v>
      </c>
      <c r="P54" s="505">
        <v>1351110728</v>
      </c>
      <c r="Q54" s="361">
        <v>694588048</v>
      </c>
      <c r="R54" s="375">
        <v>656521944</v>
      </c>
      <c r="S54" s="259"/>
      <c r="T54" s="505">
        <v>52.382919000000001</v>
      </c>
      <c r="U54" s="361">
        <v>52.185946999999999</v>
      </c>
      <c r="V54" s="375">
        <v>51.787399000000001</v>
      </c>
      <c r="W54" s="259"/>
      <c r="X54" s="361">
        <v>48.130802000000003</v>
      </c>
      <c r="Y54" s="361">
        <v>48.130802000000003</v>
      </c>
      <c r="Z54" s="375">
        <v>48.130802000000003</v>
      </c>
      <c r="AA54" s="259"/>
      <c r="AB54" s="509">
        <v>220.91399999999999</v>
      </c>
      <c r="AC54" s="363">
        <v>136.47399999999999</v>
      </c>
      <c r="AD54" s="575">
        <v>0</v>
      </c>
      <c r="AE54" s="575">
        <v>0</v>
      </c>
      <c r="AF54" s="37"/>
      <c r="AH54" s="34" t="str">
        <f t="shared" si="5"/>
        <v>·</v>
      </c>
      <c r="AI54" s="35">
        <f t="shared" si="9"/>
        <v>21.652671323164579</v>
      </c>
      <c r="AJ54" s="35">
        <f t="shared" si="10"/>
        <v>11.745490159778278</v>
      </c>
      <c r="AK54" s="276">
        <f t="shared" si="11"/>
        <v>9.9071687176196583</v>
      </c>
      <c r="AL54" s="268" t="str">
        <f t="shared" si="12"/>
        <v>·</v>
      </c>
      <c r="AM54" s="35">
        <f t="shared" si="13"/>
        <v>21.652671323164579</v>
      </c>
      <c r="AN54" s="525">
        <v>59136574</v>
      </c>
      <c r="AO54" s="505">
        <v>1280464800</v>
      </c>
      <c r="AP54" s="361">
        <v>694588048</v>
      </c>
      <c r="AQ54" s="375">
        <v>585876016</v>
      </c>
      <c r="AR54" s="259"/>
      <c r="AS54" s="505">
        <v>52.395538000000002</v>
      </c>
      <c r="AT54" s="361">
        <v>52.199848000000003</v>
      </c>
      <c r="AU54" s="375">
        <v>51.832352</v>
      </c>
      <c r="AV54" s="259"/>
      <c r="AW54" s="361">
        <v>48.130802000000003</v>
      </c>
      <c r="AX54" s="361">
        <v>48.130802000000003</v>
      </c>
      <c r="AY54" s="375">
        <v>48.130802000000003</v>
      </c>
      <c r="AZ54" s="259"/>
      <c r="BA54" s="509">
        <v>333.05500000000001</v>
      </c>
      <c r="BB54" s="363">
        <v>259.90199999999999</v>
      </c>
      <c r="BC54" s="575">
        <v>0</v>
      </c>
      <c r="BD54" s="575">
        <v>0</v>
      </c>
      <c r="BE54" s="37"/>
      <c r="BG54" s="125" t="e">
        <f t="shared" si="14"/>
        <v>#DIV/0!</v>
      </c>
      <c r="BH54" s="126" t="e">
        <f t="shared" si="14"/>
        <v>#DIV/0!</v>
      </c>
      <c r="BI54" s="126">
        <f t="shared" si="8"/>
        <v>2.8363240912374188E-2</v>
      </c>
      <c r="BJ54" s="127"/>
      <c r="BL54" s="110"/>
      <c r="BM54" s="110"/>
      <c r="BN54" s="110"/>
      <c r="BO54" s="109"/>
      <c r="BQ54" s="181"/>
      <c r="BR54" s="181"/>
      <c r="BS54" s="181"/>
      <c r="BT54" s="109"/>
      <c r="BV54" s="181"/>
      <c r="BW54" s="181"/>
      <c r="BX54" s="181"/>
      <c r="BY54" s="109"/>
      <c r="CA54" s="181"/>
      <c r="CB54" s="181"/>
      <c r="CC54" s="181"/>
      <c r="CD54" s="109"/>
    </row>
    <row r="55" spans="1:82">
      <c r="A55" s="13"/>
      <c r="B55" s="27" t="s">
        <v>1120</v>
      </c>
      <c r="C55" s="28" t="s">
        <v>131</v>
      </c>
      <c r="D55" s="478">
        <v>4649702</v>
      </c>
      <c r="E55" s="28">
        <v>11</v>
      </c>
      <c r="F55" s="28">
        <v>1</v>
      </c>
      <c r="G55" s="29"/>
      <c r="I55" s="46" t="str">
        <f t="shared" si="15"/>
        <v>·</v>
      </c>
      <c r="J55" s="47">
        <f t="shared" si="16"/>
        <v>5.5993317421202473</v>
      </c>
      <c r="K55" s="47">
        <f t="shared" si="2"/>
        <v>3.0196911544008627</v>
      </c>
      <c r="L55" s="47">
        <f t="shared" si="17"/>
        <v>2.579521870433847</v>
      </c>
      <c r="M55" s="104"/>
      <c r="N55" s="43">
        <f t="shared" si="4"/>
        <v>5.5993317421202473</v>
      </c>
      <c r="O55" s="520">
        <v>4649702</v>
      </c>
      <c r="P55" s="502">
        <v>26035224</v>
      </c>
      <c r="Q55" s="353">
        <v>14040664</v>
      </c>
      <c r="R55" s="372">
        <v>11994008</v>
      </c>
      <c r="S55" s="257"/>
      <c r="T55" s="502">
        <v>31.956579000000001</v>
      </c>
      <c r="U55" s="353">
        <v>34.077770000000001</v>
      </c>
      <c r="V55" s="372">
        <v>33.812221999999998</v>
      </c>
      <c r="W55" s="257"/>
      <c r="X55" s="353">
        <v>24.048404999999999</v>
      </c>
      <c r="Y55" s="353">
        <v>24.048404999999999</v>
      </c>
      <c r="Z55" s="372">
        <v>24.048404999999999</v>
      </c>
      <c r="AA55" s="257"/>
      <c r="AB55" s="506">
        <v>6.952</v>
      </c>
      <c r="AC55" s="355">
        <v>4.58</v>
      </c>
      <c r="AD55" s="572">
        <v>0</v>
      </c>
      <c r="AE55" s="572">
        <v>0</v>
      </c>
      <c r="AF55" s="45"/>
      <c r="AH55" s="46" t="str">
        <f t="shared" si="5"/>
        <v>·</v>
      </c>
      <c r="AI55" s="31">
        <f t="shared" si="9"/>
        <v>4.9198800267199916</v>
      </c>
      <c r="AJ55" s="31">
        <f t="shared" si="10"/>
        <v>3.0196911544008627</v>
      </c>
      <c r="AK55" s="275">
        <f t="shared" si="11"/>
        <v>1.9000701550335914</v>
      </c>
      <c r="AL55" s="266" t="str">
        <f t="shared" si="12"/>
        <v>·</v>
      </c>
      <c r="AM55" s="47">
        <f t="shared" si="13"/>
        <v>4.9198800267199916</v>
      </c>
      <c r="AN55" s="520">
        <v>4649702</v>
      </c>
      <c r="AO55" s="502">
        <v>22875976</v>
      </c>
      <c r="AP55" s="353">
        <v>14040664</v>
      </c>
      <c r="AQ55" s="372">
        <v>8834760</v>
      </c>
      <c r="AR55" s="257"/>
      <c r="AS55" s="502">
        <v>31.896988</v>
      </c>
      <c r="AT55" s="353">
        <v>34.931728</v>
      </c>
      <c r="AU55" s="372">
        <v>34.832709999999999</v>
      </c>
      <c r="AV55" s="257"/>
      <c r="AW55" s="353">
        <v>24.048404999999999</v>
      </c>
      <c r="AX55" s="353">
        <v>24.048404999999999</v>
      </c>
      <c r="AY55" s="372">
        <v>24.048404999999999</v>
      </c>
      <c r="AZ55" s="257"/>
      <c r="BA55" s="506">
        <v>12.65</v>
      </c>
      <c r="BB55" s="355">
        <v>9.4290000000000003</v>
      </c>
      <c r="BC55" s="572">
        <v>0</v>
      </c>
      <c r="BD55" s="572">
        <v>0</v>
      </c>
      <c r="BE55" s="49"/>
      <c r="BG55" s="119" t="e">
        <f t="shared" si="14"/>
        <v>#DIV/0!</v>
      </c>
      <c r="BH55" s="120" t="e">
        <f t="shared" si="14"/>
        <v>#DIV/0!</v>
      </c>
      <c r="BI55" s="120">
        <f t="shared" si="8"/>
        <v>7.4478413163625135E-2</v>
      </c>
      <c r="BJ55" s="121">
        <f t="array" ref="BJ55">AVERAGE(AP55:AP59/AO55:AO59) - AVERAGE(Q55:Q59/P55:P59)</f>
        <v>3.1618168439330463E-2</v>
      </c>
      <c r="BL55" s="279">
        <f>IF( OR(ISBLANK($R55:$R59),ISBLANK($AQ55:$AQ59), ISBLANK(T55:T59),ISBLANK(AS55:AS59)), "·", bdRateHermite($R55:$R59,T55:T59, $AQ55:$AQ59,AS55:AS59))</f>
        <v>-0.12808626107275178</v>
      </c>
      <c r="BM55" s="279">
        <f>IF( OR(ISBLANK($R55:$R59),ISBLANK($AQ55:$AQ59), ISBLANK(U55:U59),ISBLANK(AT55:AT59)), "·", bdRateHermite($R55:$R59,U55:U59, $AQ55:$AQ59,AT55:AT59))</f>
        <v>-0.1328879565654898</v>
      </c>
      <c r="BN55" s="279">
        <f>IF( OR(ISBLANK($R55:$R59),ISBLANK($AQ55:$AQ59), ISBLANK(V55:V59),ISBLANK(AU55:AU59)), "·", bdRateHermite($R55:$R59,V55:V59, $AQ55:$AQ59,AU55:AU59))</f>
        <v>-0.13398442142359224</v>
      </c>
      <c r="BO55" s="104"/>
      <c r="BQ55" s="173">
        <f>IF( OR(ISBLANK($R55:$R59),ISBLANK($AQ55:$AQ59), ISBLANK(X55:X59),ISBLANK(AW55:AW59)), "·", bdRateHermite($R55:$R59,X55:X59, $AQ55:$AQ59,AW55:AW59))</f>
        <v>-0.11625970356310655</v>
      </c>
      <c r="BR55" s="173">
        <f>IF( OR(ISBLANK($R55:$R59),ISBLANK($AQ55:$AQ59), ISBLANK(Y55:Y59),ISBLANK(AX55:AX59)), "·", bdRateHermite($R55:$R59,Y55:Y59, $AQ55:$AQ59,AX55:AX59))</f>
        <v>-0.11625970356310655</v>
      </c>
      <c r="BS55" s="173">
        <f>IF( OR(ISBLANK($R55:$R59),ISBLANK($AQ55:$AQ59), ISBLANK(Z55:Z59),ISBLANK(AY55:AY59)), "·", bdRateHermite($R55:$R59,Z55:Z59, $AQ55:$AQ59,AY55:AY59))</f>
        <v>-0.11625970356310655</v>
      </c>
      <c r="BT55" s="138"/>
      <c r="BV55" s="173">
        <f>IF(OR(ISBLANK($P55:$P59),ISBLANK($AO55:$AO59),ISBLANK(T55:T59),ISBLANK(AS55:AS59)),"·",bdRateHermite($P55:$P59,T55:T59,$AO55:$AO59,AS55:AS59))</f>
        <v>-7.6738284157054748E-2</v>
      </c>
      <c r="BW55" s="173">
        <f>IF(OR(ISBLANK($P55:$P59),ISBLANK($AO55:$AO59),ISBLANK(U55:U59),ISBLANK(AT55:AT59)),"·",bdRateHermite($P55:$P59,U55:U59,$AO55:$AO59,AT55:AT59))</f>
        <v>-7.9781336296431027E-2</v>
      </c>
      <c r="BX55" s="173">
        <f>IF(OR(ISBLANK($P55:$P59),ISBLANK($AO55:$AO59),ISBLANK(V55:V59),ISBLANK(AU55:AU59)),"·",bdRateHermite($P55:$P59,V55:V59,$AO55:$AO59,AU55:AU59))</f>
        <v>-8.0712379574753412E-2</v>
      </c>
      <c r="BY55" s="138"/>
      <c r="CA55" s="173">
        <f>IF( OR(ISBLANK($P55:$P59),ISBLANK($AO55:$AO59), ISBLANK(X55:X59),ISBLANK(AW55:AW59)), "·", bdRateHermite( $P55:$P59,X55:X59, $AO55:$AO59,AW55:AW59))</f>
        <v>-7.0486023729072977E-2</v>
      </c>
      <c r="CB55" s="173">
        <f>IF( OR(ISBLANK($P55:$P59),ISBLANK($AO55:$AO59), ISBLANK(Y55:Y59),ISBLANK(AX55:AX59)), "·", bdRateHermite( $P55:$P59,Y55:Y59, $AO55:$AO59,AX55:AX59))</f>
        <v>-7.0486023729072977E-2</v>
      </c>
      <c r="CC55" s="173">
        <f>IF( OR(ISBLANK($P55:$P59),ISBLANK($AO55:$AO59), ISBLANK(Z55:Z59),ISBLANK(AY55:AY59)), "·", bdRateHermite( $P55:$P59,Z55:Z59, $AO55:$AO59,AY55:AY59))</f>
        <v>-7.0486023729072977E-2</v>
      </c>
      <c r="CD55" s="138"/>
    </row>
    <row r="56" spans="1:82" outlineLevel="1">
      <c r="A56" s="13"/>
      <c r="B56" s="14" t="s">
        <v>1120</v>
      </c>
      <c r="C56" s="15" t="s">
        <v>132</v>
      </c>
      <c r="D56" s="479">
        <v>4649702</v>
      </c>
      <c r="E56" s="15">
        <v>11</v>
      </c>
      <c r="F56" s="15">
        <v>1</v>
      </c>
      <c r="G56" s="16"/>
      <c r="I56" s="30" t="str">
        <f t="shared" si="15"/>
        <v>·</v>
      </c>
      <c r="J56" s="31">
        <f t="shared" si="16"/>
        <v>7.3078627404508936</v>
      </c>
      <c r="K56" s="31">
        <f t="shared" si="2"/>
        <v>3.0196911544008627</v>
      </c>
      <c r="L56" s="31">
        <f t="shared" si="17"/>
        <v>4.2880528687644928</v>
      </c>
      <c r="M56" s="106"/>
      <c r="N56" s="31">
        <f t="shared" si="4"/>
        <v>7.3078627404508936</v>
      </c>
      <c r="O56" s="521">
        <v>4649702</v>
      </c>
      <c r="P56" s="503">
        <v>33979384</v>
      </c>
      <c r="Q56" s="357">
        <v>14040664</v>
      </c>
      <c r="R56" s="373">
        <v>19938168</v>
      </c>
      <c r="S56" s="258"/>
      <c r="T56" s="503">
        <v>37.62191</v>
      </c>
      <c r="U56" s="357">
        <v>38.957732999999998</v>
      </c>
      <c r="V56" s="373">
        <v>38.657974000000003</v>
      </c>
      <c r="W56" s="258"/>
      <c r="X56" s="357">
        <v>30.069004</v>
      </c>
      <c r="Y56" s="357">
        <v>30.069004</v>
      </c>
      <c r="Z56" s="373">
        <v>30.069004</v>
      </c>
      <c r="AA56" s="258"/>
      <c r="AB56" s="507">
        <v>7.1040000000000001</v>
      </c>
      <c r="AC56" s="359">
        <v>4.8170000000000002</v>
      </c>
      <c r="AD56" s="573">
        <v>0</v>
      </c>
      <c r="AE56" s="573">
        <v>0</v>
      </c>
      <c r="AF56" s="33"/>
      <c r="AH56" s="30" t="str">
        <f t="shared" si="5"/>
        <v>·</v>
      </c>
      <c r="AI56" s="31">
        <f t="shared" si="9"/>
        <v>6.6824050229455567</v>
      </c>
      <c r="AJ56" s="31">
        <f t="shared" si="10"/>
        <v>3.0196911544008627</v>
      </c>
      <c r="AK56" s="275">
        <f t="shared" si="11"/>
        <v>3.6625951512591559</v>
      </c>
      <c r="AL56" s="267" t="str">
        <f t="shared" si="12"/>
        <v>·</v>
      </c>
      <c r="AM56" s="31">
        <f t="shared" si="13"/>
        <v>6.6824050229455567</v>
      </c>
      <c r="AN56" s="521">
        <v>4649702</v>
      </c>
      <c r="AO56" s="503">
        <v>31071192</v>
      </c>
      <c r="AP56" s="357">
        <v>14040664</v>
      </c>
      <c r="AQ56" s="373">
        <v>17029976</v>
      </c>
      <c r="AR56" s="258"/>
      <c r="AS56" s="503">
        <v>37.782649999999997</v>
      </c>
      <c r="AT56" s="357">
        <v>39.231777000000001</v>
      </c>
      <c r="AU56" s="373">
        <v>38.945633000000001</v>
      </c>
      <c r="AV56" s="258"/>
      <c r="AW56" s="357">
        <v>30.069004</v>
      </c>
      <c r="AX56" s="357">
        <v>30.069004</v>
      </c>
      <c r="AY56" s="373">
        <v>30.069004</v>
      </c>
      <c r="AZ56" s="258"/>
      <c r="BA56" s="507">
        <v>12.63</v>
      </c>
      <c r="BB56" s="359">
        <v>9.7919999999999998</v>
      </c>
      <c r="BC56" s="573">
        <v>0</v>
      </c>
      <c r="BD56" s="573">
        <v>0</v>
      </c>
      <c r="BE56" s="33"/>
      <c r="BG56" s="122" t="e">
        <f t="shared" si="14"/>
        <v>#DIV/0!</v>
      </c>
      <c r="BH56" s="123" t="e">
        <f t="shared" si="14"/>
        <v>#DIV/0!</v>
      </c>
      <c r="BI56" s="123">
        <f t="shared" si="8"/>
        <v>3.8675621909854518E-2</v>
      </c>
      <c r="BJ56" s="124"/>
      <c r="BL56" s="107"/>
      <c r="BM56" s="107"/>
      <c r="BN56" s="107"/>
      <c r="BO56" s="106"/>
      <c r="BQ56" s="177"/>
      <c r="BR56" s="177"/>
      <c r="BS56" s="177"/>
      <c r="BT56" s="106"/>
      <c r="BV56" s="177"/>
      <c r="BW56" s="177"/>
      <c r="BX56" s="177"/>
      <c r="BY56" s="106"/>
      <c r="CA56" s="177"/>
      <c r="CB56" s="177"/>
      <c r="CC56" s="177"/>
      <c r="CD56" s="106"/>
    </row>
    <row r="57" spans="1:82" outlineLevel="1">
      <c r="A57" s="13"/>
      <c r="B57" s="14" t="s">
        <v>1120</v>
      </c>
      <c r="C57" s="15" t="s">
        <v>133</v>
      </c>
      <c r="D57" s="479">
        <v>4649702</v>
      </c>
      <c r="E57" s="15">
        <v>11</v>
      </c>
      <c r="F57" s="15">
        <v>1</v>
      </c>
      <c r="G57" s="16"/>
      <c r="I57" s="30" t="str">
        <f t="shared" si="15"/>
        <v>·</v>
      </c>
      <c r="J57" s="31">
        <f t="shared" si="16"/>
        <v>9.356871472623407</v>
      </c>
      <c r="K57" s="31">
        <f t="shared" si="2"/>
        <v>3.0196911544008627</v>
      </c>
      <c r="L57" s="31">
        <f t="shared" si="17"/>
        <v>6.3370616009370062</v>
      </c>
      <c r="M57" s="106"/>
      <c r="N57" s="31">
        <f t="shared" si="4"/>
        <v>9.356871472623407</v>
      </c>
      <c r="O57" s="521">
        <v>4649702</v>
      </c>
      <c r="P57" s="503">
        <v>43506664</v>
      </c>
      <c r="Q57" s="357">
        <v>14040664</v>
      </c>
      <c r="R57" s="373">
        <v>29465448</v>
      </c>
      <c r="S57" s="258"/>
      <c r="T57" s="503">
        <v>43.422134</v>
      </c>
      <c r="U57" s="357">
        <v>44.282649999999997</v>
      </c>
      <c r="V57" s="373">
        <v>43.960692999999999</v>
      </c>
      <c r="W57" s="258"/>
      <c r="X57" s="357">
        <v>36.089602999999997</v>
      </c>
      <c r="Y57" s="357">
        <v>36.089602999999997</v>
      </c>
      <c r="Z57" s="373">
        <v>36.089602999999997</v>
      </c>
      <c r="AA57" s="258"/>
      <c r="AB57" s="507">
        <v>7.33</v>
      </c>
      <c r="AC57" s="359">
        <v>4.9050000000000002</v>
      </c>
      <c r="AD57" s="573">
        <v>0</v>
      </c>
      <c r="AE57" s="573">
        <v>0</v>
      </c>
      <c r="AF57" s="33"/>
      <c r="AH57" s="30" t="str">
        <f t="shared" si="5"/>
        <v>·</v>
      </c>
      <c r="AI57" s="31">
        <f t="shared" si="9"/>
        <v>8.7592830680331772</v>
      </c>
      <c r="AJ57" s="31">
        <f t="shared" si="10"/>
        <v>3.0196911544008627</v>
      </c>
      <c r="AK57" s="275">
        <f t="shared" si="11"/>
        <v>5.7394731963467764</v>
      </c>
      <c r="AL57" s="267" t="str">
        <f t="shared" si="12"/>
        <v>·</v>
      </c>
      <c r="AM57" s="31">
        <f t="shared" si="13"/>
        <v>8.7592830680331772</v>
      </c>
      <c r="AN57" s="521">
        <v>4649702</v>
      </c>
      <c r="AO57" s="503">
        <v>40728056</v>
      </c>
      <c r="AP57" s="357">
        <v>14040664</v>
      </c>
      <c r="AQ57" s="373">
        <v>26686840</v>
      </c>
      <c r="AR57" s="258"/>
      <c r="AS57" s="503">
        <v>43.50132</v>
      </c>
      <c r="AT57" s="357">
        <v>44.306362</v>
      </c>
      <c r="AU57" s="373">
        <v>44.002406999999998</v>
      </c>
      <c r="AV57" s="258"/>
      <c r="AW57" s="357">
        <v>36.089602999999997</v>
      </c>
      <c r="AX57" s="357">
        <v>36.089602999999997</v>
      </c>
      <c r="AY57" s="373">
        <v>36.089602999999997</v>
      </c>
      <c r="AZ57" s="258"/>
      <c r="BA57" s="507">
        <v>13.03</v>
      </c>
      <c r="BB57" s="359">
        <v>10.012</v>
      </c>
      <c r="BC57" s="573">
        <v>0</v>
      </c>
      <c r="BD57" s="573">
        <v>0</v>
      </c>
      <c r="BE57" s="33"/>
      <c r="BG57" s="122" t="e">
        <f t="shared" si="14"/>
        <v>#DIV/0!</v>
      </c>
      <c r="BH57" s="123" t="e">
        <f t="shared" si="14"/>
        <v>#DIV/0!</v>
      </c>
      <c r="BI57" s="123">
        <f t="shared" si="8"/>
        <v>2.201737114844754E-2</v>
      </c>
      <c r="BJ57" s="124"/>
      <c r="BL57" s="107"/>
      <c r="BM57" s="107"/>
      <c r="BN57" s="107"/>
      <c r="BO57" s="106"/>
      <c r="BQ57" s="177"/>
      <c r="BR57" s="177"/>
      <c r="BS57" s="177"/>
      <c r="BT57" s="106"/>
      <c r="BV57" s="177"/>
      <c r="BW57" s="177"/>
      <c r="BX57" s="177"/>
      <c r="BY57" s="106"/>
      <c r="CA57" s="177"/>
      <c r="CB57" s="177"/>
      <c r="CC57" s="177"/>
      <c r="CD57" s="106"/>
    </row>
    <row r="58" spans="1:82" outlineLevel="1">
      <c r="A58" s="13"/>
      <c r="B58" s="14" t="s">
        <v>1120</v>
      </c>
      <c r="C58" s="15" t="s">
        <v>134</v>
      </c>
      <c r="D58" s="479">
        <v>4649702</v>
      </c>
      <c r="E58" s="15">
        <v>11</v>
      </c>
      <c r="F58" s="15">
        <v>1</v>
      </c>
      <c r="G58" s="16"/>
      <c r="I58" s="30" t="str">
        <f t="shared" si="15"/>
        <v>·</v>
      </c>
      <c r="J58" s="31">
        <f t="shared" si="16"/>
        <v>11.988647874637987</v>
      </c>
      <c r="K58" s="31">
        <f t="shared" si="2"/>
        <v>3.0196911544008627</v>
      </c>
      <c r="L58" s="31">
        <f t="shared" si="17"/>
        <v>8.9688380029515873</v>
      </c>
      <c r="M58" s="106"/>
      <c r="N58" s="31">
        <f t="shared" si="4"/>
        <v>11.988647874637987</v>
      </c>
      <c r="O58" s="521">
        <v>4649702</v>
      </c>
      <c r="P58" s="503">
        <v>55743640</v>
      </c>
      <c r="Q58" s="357">
        <v>14040664</v>
      </c>
      <c r="R58" s="373">
        <v>41702424</v>
      </c>
      <c r="S58" s="258"/>
      <c r="T58" s="503">
        <v>48.574795000000002</v>
      </c>
      <c r="U58" s="357">
        <v>49.088562000000003</v>
      </c>
      <c r="V58" s="373">
        <v>48.767502</v>
      </c>
      <c r="W58" s="258"/>
      <c r="X58" s="357">
        <v>42.110202999999998</v>
      </c>
      <c r="Y58" s="357">
        <v>42.110202999999998</v>
      </c>
      <c r="Z58" s="373">
        <v>42.110202999999998</v>
      </c>
      <c r="AA58" s="258"/>
      <c r="AB58" s="507">
        <v>7.3170000000000002</v>
      </c>
      <c r="AC58" s="359">
        <v>5.2409999999999997</v>
      </c>
      <c r="AD58" s="573">
        <v>0</v>
      </c>
      <c r="AE58" s="573">
        <v>0</v>
      </c>
      <c r="AF58" s="33"/>
      <c r="AH58" s="30" t="str">
        <f t="shared" si="5"/>
        <v>·</v>
      </c>
      <c r="AI58" s="31">
        <f t="shared" si="9"/>
        <v>11.366137442786655</v>
      </c>
      <c r="AJ58" s="31">
        <f t="shared" si="10"/>
        <v>3.0196911544008627</v>
      </c>
      <c r="AK58" s="275">
        <f t="shared" si="11"/>
        <v>8.3463275711002556</v>
      </c>
      <c r="AL58" s="267" t="str">
        <f t="shared" si="12"/>
        <v>·</v>
      </c>
      <c r="AM58" s="31">
        <f t="shared" si="13"/>
        <v>11.366137442786655</v>
      </c>
      <c r="AN58" s="521">
        <v>4649702</v>
      </c>
      <c r="AO58" s="503">
        <v>52849152</v>
      </c>
      <c r="AP58" s="357">
        <v>14040664</v>
      </c>
      <c r="AQ58" s="373">
        <v>38807936</v>
      </c>
      <c r="AR58" s="258"/>
      <c r="AS58" s="503">
        <v>48.626114000000001</v>
      </c>
      <c r="AT58" s="357">
        <v>49.08379</v>
      </c>
      <c r="AU58" s="373">
        <v>48.778145000000002</v>
      </c>
      <c r="AV58" s="258"/>
      <c r="AW58" s="357">
        <v>42.110202999999998</v>
      </c>
      <c r="AX58" s="357">
        <v>42.110202999999998</v>
      </c>
      <c r="AY58" s="373">
        <v>42.110202999999998</v>
      </c>
      <c r="AZ58" s="258"/>
      <c r="BA58" s="507">
        <v>13.11</v>
      </c>
      <c r="BB58" s="359">
        <v>10.683999999999999</v>
      </c>
      <c r="BC58" s="573">
        <v>0</v>
      </c>
      <c r="BD58" s="573">
        <v>0</v>
      </c>
      <c r="BE58" s="33"/>
      <c r="BG58" s="122" t="e">
        <f t="shared" si="14"/>
        <v>#DIV/0!</v>
      </c>
      <c r="BH58" s="123" t="e">
        <f t="shared" si="14"/>
        <v>#DIV/0!</v>
      </c>
      <c r="BI58" s="123">
        <f t="shared" si="8"/>
        <v>1.3795138103582849E-2</v>
      </c>
      <c r="BJ58" s="124"/>
      <c r="BL58" s="107"/>
      <c r="BM58" s="107"/>
      <c r="BN58" s="107"/>
      <c r="BO58" s="106"/>
      <c r="BQ58" s="177"/>
      <c r="BR58" s="177"/>
      <c r="BS58" s="177"/>
      <c r="BT58" s="106"/>
      <c r="BV58" s="177"/>
      <c r="BW58" s="177"/>
      <c r="BX58" s="177"/>
      <c r="BY58" s="106"/>
      <c r="CA58" s="177"/>
      <c r="CB58" s="177"/>
      <c r="CC58" s="177"/>
      <c r="CD58" s="106"/>
    </row>
    <row r="59" spans="1:82" ht="14.25" outlineLevel="1" thickBot="1">
      <c r="A59" s="13"/>
      <c r="B59" s="18" t="s">
        <v>1120</v>
      </c>
      <c r="C59" s="19" t="s">
        <v>884</v>
      </c>
      <c r="D59" s="480">
        <v>4649702</v>
      </c>
      <c r="E59" s="19">
        <v>11</v>
      </c>
      <c r="F59" s="19">
        <v>1</v>
      </c>
      <c r="G59" s="20"/>
      <c r="I59" s="34" t="str">
        <f t="shared" si="15"/>
        <v>·</v>
      </c>
      <c r="J59" s="35">
        <f t="shared" si="16"/>
        <v>15.137634196772181</v>
      </c>
      <c r="K59" s="35">
        <f t="shared" si="2"/>
        <v>3.0196911544008627</v>
      </c>
      <c r="L59" s="35">
        <f t="shared" si="17"/>
        <v>12.117826045626149</v>
      </c>
      <c r="M59" s="109"/>
      <c r="N59" s="39">
        <f t="shared" si="4"/>
        <v>15.137634196772181</v>
      </c>
      <c r="O59" s="525">
        <v>4649702</v>
      </c>
      <c r="P59" s="505">
        <v>70385488</v>
      </c>
      <c r="Q59" s="361">
        <v>14040664</v>
      </c>
      <c r="R59" s="375">
        <v>56344280</v>
      </c>
      <c r="S59" s="259"/>
      <c r="T59" s="505">
        <v>52.337752999999999</v>
      </c>
      <c r="U59" s="361">
        <v>52.381241000000003</v>
      </c>
      <c r="V59" s="375">
        <v>52.101996999999997</v>
      </c>
      <c r="W59" s="259"/>
      <c r="X59" s="361">
        <v>48.130802000000003</v>
      </c>
      <c r="Y59" s="361">
        <v>48.130802000000003</v>
      </c>
      <c r="Z59" s="375">
        <v>48.130802000000003</v>
      </c>
      <c r="AA59" s="259"/>
      <c r="AB59" s="509">
        <v>7.4779999999999998</v>
      </c>
      <c r="AC59" s="363">
        <v>5.3719999999999999</v>
      </c>
      <c r="AD59" s="575">
        <v>0</v>
      </c>
      <c r="AE59" s="575">
        <v>0</v>
      </c>
      <c r="AF59" s="41"/>
      <c r="AH59" s="34" t="str">
        <f t="shared" si="5"/>
        <v>·</v>
      </c>
      <c r="AI59" s="35">
        <f t="shared" si="9"/>
        <v>14.475525528302674</v>
      </c>
      <c r="AJ59" s="35">
        <f t="shared" si="10"/>
        <v>3.0196911544008627</v>
      </c>
      <c r="AK59" s="276">
        <f t="shared" si="11"/>
        <v>11.455717377156644</v>
      </c>
      <c r="AL59" s="268" t="str">
        <f t="shared" si="12"/>
        <v>·</v>
      </c>
      <c r="AM59" s="35">
        <f t="shared" si="13"/>
        <v>14.475525528302674</v>
      </c>
      <c r="AN59" s="525">
        <v>4649702</v>
      </c>
      <c r="AO59" s="505">
        <v>67306880</v>
      </c>
      <c r="AP59" s="361">
        <v>14040664</v>
      </c>
      <c r="AQ59" s="375">
        <v>53265672</v>
      </c>
      <c r="AR59" s="259"/>
      <c r="AS59" s="505">
        <v>52.341876999999997</v>
      </c>
      <c r="AT59" s="361">
        <v>52.387177000000001</v>
      </c>
      <c r="AU59" s="375">
        <v>52.132164000000003</v>
      </c>
      <c r="AV59" s="259"/>
      <c r="AW59" s="361">
        <v>48.130802000000003</v>
      </c>
      <c r="AX59" s="361">
        <v>48.130802000000003</v>
      </c>
      <c r="AY59" s="375">
        <v>48.130802000000003</v>
      </c>
      <c r="AZ59" s="259"/>
      <c r="BA59" s="509">
        <v>13.237</v>
      </c>
      <c r="BB59" s="363">
        <v>10.744999999999999</v>
      </c>
      <c r="BC59" s="575">
        <v>0</v>
      </c>
      <c r="BD59" s="575">
        <v>0</v>
      </c>
      <c r="BE59" s="37"/>
      <c r="BG59" s="125" t="e">
        <f t="shared" si="14"/>
        <v>#DIV/0!</v>
      </c>
      <c r="BH59" s="126" t="e">
        <f t="shared" si="14"/>
        <v>#DIV/0!</v>
      </c>
      <c r="BI59" s="126">
        <f t="shared" si="8"/>
        <v>9.1242978711424672E-3</v>
      </c>
      <c r="BJ59" s="127"/>
      <c r="BL59" s="110"/>
      <c r="BM59" s="110"/>
      <c r="BN59" s="110"/>
      <c r="BO59" s="109"/>
      <c r="BQ59" s="181"/>
      <c r="BR59" s="181"/>
      <c r="BS59" s="181"/>
      <c r="BT59" s="109"/>
      <c r="BV59" s="181"/>
      <c r="BW59" s="181"/>
      <c r="BX59" s="181"/>
      <c r="BY59" s="109"/>
      <c r="CA59" s="181"/>
      <c r="CB59" s="181"/>
      <c r="CC59" s="181"/>
      <c r="CD59" s="109"/>
    </row>
    <row r="60" spans="1:82">
      <c r="A60" s="13"/>
      <c r="B60" s="27" t="s">
        <v>1121</v>
      </c>
      <c r="C60" s="28" t="s">
        <v>131</v>
      </c>
      <c r="D60" s="478">
        <v>2096385</v>
      </c>
      <c r="E60" s="28">
        <v>15</v>
      </c>
      <c r="F60" s="28">
        <v>1</v>
      </c>
      <c r="G60" s="29"/>
      <c r="H60" s="492"/>
      <c r="I60" s="46" t="str">
        <f t="shared" si="15"/>
        <v>·</v>
      </c>
      <c r="J60" s="47">
        <f t="shared" si="16"/>
        <v>17.928279395244672</v>
      </c>
      <c r="K60" s="47">
        <f t="shared" si="2"/>
        <v>16.30251695180036</v>
      </c>
      <c r="L60" s="47">
        <f t="shared" si="17"/>
        <v>1.6253960985219795</v>
      </c>
      <c r="M60" s="138"/>
      <c r="N60" s="47">
        <f t="shared" si="4"/>
        <v>17.928279395244672</v>
      </c>
      <c r="O60" s="520">
        <v>2096385</v>
      </c>
      <c r="P60" s="502">
        <v>37584576</v>
      </c>
      <c r="Q60" s="353">
        <v>34176352</v>
      </c>
      <c r="R60" s="372">
        <v>3407456</v>
      </c>
      <c r="S60" s="257"/>
      <c r="T60" s="502">
        <v>31.627514000000001</v>
      </c>
      <c r="U60" s="353">
        <v>32.914501000000001</v>
      </c>
      <c r="V60" s="372">
        <v>31.993120000000001</v>
      </c>
      <c r="W60" s="257"/>
      <c r="X60" s="353">
        <v>24.048404999999999</v>
      </c>
      <c r="Y60" s="353">
        <v>24.048404999999999</v>
      </c>
      <c r="Z60" s="372">
        <v>24.048404999999999</v>
      </c>
      <c r="AA60" s="257"/>
      <c r="AB60" s="506">
        <v>5.6769999999999996</v>
      </c>
      <c r="AC60" s="355">
        <v>4.0259999999999998</v>
      </c>
      <c r="AD60" s="576">
        <v>0</v>
      </c>
      <c r="AE60" s="576">
        <v>0</v>
      </c>
      <c r="AF60" s="49"/>
      <c r="AH60" s="42" t="str">
        <f t="shared" si="5"/>
        <v>·</v>
      </c>
      <c r="AI60" s="31">
        <f t="shared" si="9"/>
        <v>16.772484061849326</v>
      </c>
      <c r="AJ60" s="31">
        <f t="shared" si="10"/>
        <v>16.30251695180036</v>
      </c>
      <c r="AK60" s="275">
        <f t="shared" si="11"/>
        <v>0.46960076512663468</v>
      </c>
      <c r="AL60" s="266" t="str">
        <f t="shared" si="12"/>
        <v>·</v>
      </c>
      <c r="AM60" s="43">
        <f t="shared" si="13"/>
        <v>16.772484061849326</v>
      </c>
      <c r="AN60" s="520">
        <v>2096385</v>
      </c>
      <c r="AO60" s="502">
        <v>35161584</v>
      </c>
      <c r="AP60" s="353">
        <v>34176352</v>
      </c>
      <c r="AQ60" s="372">
        <v>984464</v>
      </c>
      <c r="AR60" s="257"/>
      <c r="AS60" s="502">
        <v>32.929538999999998</v>
      </c>
      <c r="AT60" s="353">
        <v>38.895423999999998</v>
      </c>
      <c r="AU60" s="372">
        <v>38.647025999999997</v>
      </c>
      <c r="AV60" s="257"/>
      <c r="AW60" s="353">
        <v>24.048404999999999</v>
      </c>
      <c r="AX60" s="353">
        <v>24.048404999999999</v>
      </c>
      <c r="AY60" s="372">
        <v>24.048404999999999</v>
      </c>
      <c r="AZ60" s="257"/>
      <c r="BA60" s="506">
        <v>9.1780000000000008</v>
      </c>
      <c r="BB60" s="355">
        <v>6.8460000000000001</v>
      </c>
      <c r="BC60" s="576">
        <v>0</v>
      </c>
      <c r="BD60" s="576">
        <v>0</v>
      </c>
      <c r="BE60" s="45"/>
      <c r="BG60" s="131" t="e">
        <f t="shared" si="14"/>
        <v>#DIV/0!</v>
      </c>
      <c r="BH60" s="132" t="e">
        <f t="shared" si="14"/>
        <v>#DIV/0!</v>
      </c>
      <c r="BI60" s="132">
        <f t="shared" si="8"/>
        <v>6.2661328408506689E-2</v>
      </c>
      <c r="BJ60" s="133">
        <f t="array" ref="BJ60">AVERAGE(AP60:AP64/AO60:AO64) - AVERAGE(Q60:Q64/P60:P64)</f>
        <v>6.1058664056838019E-2</v>
      </c>
      <c r="BL60" s="279">
        <f>IF( OR(ISBLANK($R60:$R64),ISBLANK($AQ60:$AQ64), ISBLANK(T60:T64),ISBLANK(AS60:AS64)), "·", bdRateHermite($R60:$R64,T60:T64, $AQ60:$AQ64,AS60:AS64))</f>
        <v>-0.56188946496678471</v>
      </c>
      <c r="BM60" s="279">
        <f>IF( OR(ISBLANK($R60:$R64),ISBLANK($AQ60:$AQ64), ISBLANK(U60:U64),ISBLANK(AT60:AT64)), "·", bdRateHermite($R60:$R64,U60:U64, $AQ60:$AQ64,AT60:AT64))</f>
        <v>-0.57242875825410677</v>
      </c>
      <c r="BN60" s="279">
        <f>IF( OR(ISBLANK($R60:$R64),ISBLANK($AQ60:$AQ64), ISBLANK(V60:V64),ISBLANK(AU60:AU64)), "·", bdRateHermite($R60:$R64,V60:V64, $AQ60:$AQ64,AU60:AU64))</f>
        <v>-0.57031257719336614</v>
      </c>
      <c r="BO60" s="104"/>
      <c r="BQ60" s="173">
        <f>IF( OR(ISBLANK($R60:$R64),ISBLANK($AQ60:$AQ64), ISBLANK(X60:X64),ISBLANK(AW60:AW64)), "·", bdRateHermite($R60:$R64,X60:X64, $AQ60:$AQ64,AW60:AW64))</f>
        <v>-0.47758982754688262</v>
      </c>
      <c r="BR60" s="173">
        <f>IF( OR(ISBLANK($R60:$R64),ISBLANK($AQ60:$AQ64), ISBLANK(Y60:Y64),ISBLANK(AX60:AX64)), "·", bdRateHermite($R60:$R64,Y60:Y64, $AQ60:$AQ64,AX60:AX64))</f>
        <v>-0.47758982754688262</v>
      </c>
      <c r="BS60" s="173">
        <f>IF( OR(ISBLANK($R60:$R64),ISBLANK($AQ60:$AQ64), ISBLANK(Z60:Z64),ISBLANK(AY60:AY64)), "·", bdRateHermite($R60:$R64,Z60:Z64, $AQ60:$AQ64,AY60:AY64))</f>
        <v>-0.47758982754688262</v>
      </c>
      <c r="BT60" s="138"/>
      <c r="BV60" s="173">
        <f>IF(OR(ISBLANK($P60:$P64),ISBLANK($AO60:$AO64),ISBLANK(T60:T64),ISBLANK(AS60:AS64)),"·",bdRateHermite($P60:$P64,T60:T64,$AO60:$AO64,AS60:AS64))</f>
        <v>-9.6194330872017786E-2</v>
      </c>
      <c r="BW60" s="173">
        <f>IF(OR(ISBLANK($P60:$P64),ISBLANK($AO60:$AO64),ISBLANK(U60:U64),ISBLANK(AT60:AT64)),"·",bdRateHermite($P60:$P64,U60:U64,$AO60:$AO64,AT60:AT64))</f>
        <v>-0.10070158245485217</v>
      </c>
      <c r="BX60" s="173">
        <f>IF(OR(ISBLANK($P60:$P64),ISBLANK($AO60:$AO64),ISBLANK(V60:V64),ISBLANK(AU60:AU64)),"·",bdRateHermite($P60:$P64,V60:V64,$AO60:$AO64,AU60:AU64))</f>
        <v>-0.10146227023411347</v>
      </c>
      <c r="BY60" s="138"/>
      <c r="CA60" s="173">
        <f>IF( OR(ISBLANK($P60:$P64),ISBLANK($AO60:$AO64), ISBLANK(X60:X64),ISBLANK(AW60:AW64)), "·", bdRateHermite( $P60:$P64,X60:X64, $AO60:$AO64,AW60:AW64))</f>
        <v>-7.6977078772431984E-2</v>
      </c>
      <c r="CB60" s="173">
        <f>IF( OR(ISBLANK($P60:$P64),ISBLANK($AO60:$AO64), ISBLANK(Y60:Y64),ISBLANK(AX60:AX64)), "·", bdRateHermite( $P60:$P64,Y60:Y64, $AO60:$AO64,AX60:AX64))</f>
        <v>-7.6977078772431984E-2</v>
      </c>
      <c r="CC60" s="173">
        <f>IF( OR(ISBLANK($P60:$P64),ISBLANK($AO60:$AO64), ISBLANK(Z60:Z64),ISBLANK(AY60:AY64)), "·", bdRateHermite( $P60:$P64,Z60:Z64, $AO60:$AO64,AY60:AY64))</f>
        <v>-7.6977078772431984E-2</v>
      </c>
      <c r="CD60" s="138"/>
    </row>
    <row r="61" spans="1:82" outlineLevel="1">
      <c r="A61" s="13"/>
      <c r="B61" s="14" t="s">
        <v>1121</v>
      </c>
      <c r="C61" s="15" t="s">
        <v>132</v>
      </c>
      <c r="D61" s="479">
        <v>2096385</v>
      </c>
      <c r="E61" s="15">
        <v>15</v>
      </c>
      <c r="F61" s="15">
        <v>1</v>
      </c>
      <c r="G61" s="16"/>
      <c r="H61" s="492"/>
      <c r="I61" s="30" t="str">
        <f t="shared" si="15"/>
        <v>·</v>
      </c>
      <c r="J61" s="31">
        <f t="shared" si="16"/>
        <v>19.721236318710542</v>
      </c>
      <c r="K61" s="31">
        <f t="shared" si="2"/>
        <v>16.30251695180036</v>
      </c>
      <c r="L61" s="31">
        <f t="shared" si="17"/>
        <v>3.4183530219878504</v>
      </c>
      <c r="M61" s="106"/>
      <c r="N61" s="31">
        <f t="shared" si="4"/>
        <v>19.721236318710542</v>
      </c>
      <c r="O61" s="521">
        <v>2096385</v>
      </c>
      <c r="P61" s="503">
        <v>41343304</v>
      </c>
      <c r="Q61" s="357">
        <v>34176352</v>
      </c>
      <c r="R61" s="373">
        <v>7166184</v>
      </c>
      <c r="S61" s="258"/>
      <c r="T61" s="503">
        <v>37.181624999999997</v>
      </c>
      <c r="U61" s="357">
        <v>37.753723000000001</v>
      </c>
      <c r="V61" s="373">
        <v>37.566471</v>
      </c>
      <c r="W61" s="258"/>
      <c r="X61" s="357">
        <v>30.069004</v>
      </c>
      <c r="Y61" s="357">
        <v>30.069004</v>
      </c>
      <c r="Z61" s="373">
        <v>30.069004</v>
      </c>
      <c r="AA61" s="258"/>
      <c r="AB61" s="507">
        <v>5.76</v>
      </c>
      <c r="AC61" s="359">
        <v>3.823</v>
      </c>
      <c r="AD61" s="573">
        <v>0</v>
      </c>
      <c r="AE61" s="573">
        <v>0</v>
      </c>
      <c r="AF61" s="33"/>
      <c r="AH61" s="30" t="str">
        <f t="shared" si="5"/>
        <v>·</v>
      </c>
      <c r="AI61" s="31">
        <f t="shared" si="9"/>
        <v>17.323726319354506</v>
      </c>
      <c r="AJ61" s="31">
        <f t="shared" si="10"/>
        <v>16.30251695180036</v>
      </c>
      <c r="AK61" s="275">
        <f t="shared" si="11"/>
        <v>1.0208430226318161</v>
      </c>
      <c r="AL61" s="267" t="str">
        <f t="shared" si="12"/>
        <v>·</v>
      </c>
      <c r="AM61" s="31">
        <f t="shared" si="13"/>
        <v>17.323726319354506</v>
      </c>
      <c r="AN61" s="521">
        <v>2096385</v>
      </c>
      <c r="AO61" s="503">
        <v>36317200</v>
      </c>
      <c r="AP61" s="357">
        <v>34176352</v>
      </c>
      <c r="AQ61" s="373">
        <v>2140080</v>
      </c>
      <c r="AR61" s="258"/>
      <c r="AS61" s="503">
        <v>38.851402</v>
      </c>
      <c r="AT61" s="357">
        <v>42.821781000000001</v>
      </c>
      <c r="AU61" s="373">
        <v>42.519421000000001</v>
      </c>
      <c r="AV61" s="258"/>
      <c r="AW61" s="357">
        <v>30.069004</v>
      </c>
      <c r="AX61" s="357">
        <v>30.069004</v>
      </c>
      <c r="AY61" s="373">
        <v>30.069004</v>
      </c>
      <c r="AZ61" s="258"/>
      <c r="BA61" s="507">
        <v>9.3019999999999996</v>
      </c>
      <c r="BB61" s="359">
        <v>7.1459999999999999</v>
      </c>
      <c r="BC61" s="573">
        <v>0</v>
      </c>
      <c r="BD61" s="573">
        <v>0</v>
      </c>
      <c r="BE61" s="33"/>
      <c r="BG61" s="122" t="e">
        <f t="shared" si="14"/>
        <v>#DIV/0!</v>
      </c>
      <c r="BH61" s="123" t="e">
        <f t="shared" si="14"/>
        <v>#DIV/0!</v>
      </c>
      <c r="BI61" s="123">
        <f t="shared" si="8"/>
        <v>0.11440358562103337</v>
      </c>
      <c r="BJ61" s="124"/>
      <c r="BL61" s="107"/>
      <c r="BM61" s="107"/>
      <c r="BN61" s="107"/>
      <c r="BO61" s="106"/>
      <c r="BQ61" s="177"/>
      <c r="BR61" s="177"/>
      <c r="BS61" s="177"/>
      <c r="BT61" s="106"/>
      <c r="BV61" s="177"/>
      <c r="BW61" s="177"/>
      <c r="BX61" s="177"/>
      <c r="BY61" s="106"/>
      <c r="CA61" s="177"/>
      <c r="CB61" s="177"/>
      <c r="CC61" s="177"/>
      <c r="CD61" s="106"/>
    </row>
    <row r="62" spans="1:82" outlineLevel="1">
      <c r="A62" s="13"/>
      <c r="B62" s="14" t="s">
        <v>1121</v>
      </c>
      <c r="C62" s="15" t="s">
        <v>133</v>
      </c>
      <c r="D62" s="479">
        <v>2096385</v>
      </c>
      <c r="E62" s="15">
        <v>15</v>
      </c>
      <c r="F62" s="15">
        <v>1</v>
      </c>
      <c r="G62" s="16"/>
      <c r="H62" s="492"/>
      <c r="I62" s="30" t="str">
        <f t="shared" si="15"/>
        <v>·</v>
      </c>
      <c r="J62" s="31">
        <f t="shared" si="16"/>
        <v>20.521803008512272</v>
      </c>
      <c r="K62" s="31">
        <f t="shared" si="2"/>
        <v>16.30251695180036</v>
      </c>
      <c r="L62" s="31">
        <f t="shared" si="17"/>
        <v>4.2189235278825219</v>
      </c>
      <c r="M62" s="106"/>
      <c r="N62" s="31">
        <f t="shared" si="4"/>
        <v>20.521803008512272</v>
      </c>
      <c r="O62" s="521">
        <v>2096385</v>
      </c>
      <c r="P62" s="503">
        <v>43021600</v>
      </c>
      <c r="Q62" s="357">
        <v>34176352</v>
      </c>
      <c r="R62" s="373">
        <v>8844488</v>
      </c>
      <c r="S62" s="258"/>
      <c r="T62" s="503">
        <v>43.355773999999997</v>
      </c>
      <c r="U62" s="357">
        <v>44.076889000000001</v>
      </c>
      <c r="V62" s="373">
        <v>43.590473000000003</v>
      </c>
      <c r="W62" s="258"/>
      <c r="X62" s="357">
        <v>36.089602999999997</v>
      </c>
      <c r="Y62" s="357">
        <v>36.089602999999997</v>
      </c>
      <c r="Z62" s="373">
        <v>36.089602999999997</v>
      </c>
      <c r="AA62" s="258"/>
      <c r="AB62" s="507">
        <v>5.8239999999999998</v>
      </c>
      <c r="AC62" s="359">
        <v>3.9460000000000002</v>
      </c>
      <c r="AD62" s="573">
        <v>0</v>
      </c>
      <c r="AE62" s="573">
        <v>0</v>
      </c>
      <c r="AF62" s="33"/>
      <c r="AH62" s="30" t="str">
        <f t="shared" si="5"/>
        <v>·</v>
      </c>
      <c r="AI62" s="31">
        <f t="shared" si="9"/>
        <v>18.863771683159342</v>
      </c>
      <c r="AJ62" s="31">
        <f t="shared" si="10"/>
        <v>16.30251695180036</v>
      </c>
      <c r="AK62" s="275">
        <f t="shared" si="11"/>
        <v>2.5608922025295926</v>
      </c>
      <c r="AL62" s="267" t="str">
        <f t="shared" si="12"/>
        <v>·</v>
      </c>
      <c r="AM62" s="31">
        <f t="shared" si="13"/>
        <v>18.863771683159342</v>
      </c>
      <c r="AN62" s="521">
        <v>2096385</v>
      </c>
      <c r="AO62" s="503">
        <v>39545728</v>
      </c>
      <c r="AP62" s="357">
        <v>34176352</v>
      </c>
      <c r="AQ62" s="373">
        <v>5368616</v>
      </c>
      <c r="AR62" s="258"/>
      <c r="AS62" s="503">
        <v>44.132216999999997</v>
      </c>
      <c r="AT62" s="357">
        <v>45.592860999999999</v>
      </c>
      <c r="AU62" s="373">
        <v>45.244484</v>
      </c>
      <c r="AV62" s="258"/>
      <c r="AW62" s="357">
        <v>36.089602999999997</v>
      </c>
      <c r="AX62" s="357">
        <v>36.089602999999997</v>
      </c>
      <c r="AY62" s="373">
        <v>36.089602999999997</v>
      </c>
      <c r="AZ62" s="258"/>
      <c r="BA62" s="507">
        <v>9.0109999999999992</v>
      </c>
      <c r="BB62" s="359">
        <v>6.9569999999999999</v>
      </c>
      <c r="BC62" s="573">
        <v>0</v>
      </c>
      <c r="BD62" s="573">
        <v>0</v>
      </c>
      <c r="BE62" s="33"/>
      <c r="BG62" s="122" t="e">
        <f t="shared" si="14"/>
        <v>#DIV/0!</v>
      </c>
      <c r="BH62" s="123" t="e">
        <f t="shared" si="14"/>
        <v>#DIV/0!</v>
      </c>
      <c r="BI62" s="123">
        <f t="shared" si="8"/>
        <v>6.9823778386700064E-2</v>
      </c>
      <c r="BJ62" s="124"/>
      <c r="BL62" s="107"/>
      <c r="BM62" s="107"/>
      <c r="BN62" s="107"/>
      <c r="BO62" s="106"/>
      <c r="BQ62" s="177"/>
      <c r="BR62" s="177"/>
      <c r="BS62" s="177"/>
      <c r="BT62" s="106"/>
      <c r="BV62" s="177"/>
      <c r="BW62" s="177"/>
      <c r="BX62" s="177"/>
      <c r="BY62" s="106"/>
      <c r="CA62" s="177"/>
      <c r="CB62" s="177"/>
      <c r="CC62" s="177"/>
      <c r="CD62" s="106"/>
    </row>
    <row r="63" spans="1:82" outlineLevel="1">
      <c r="A63" s="13"/>
      <c r="B63" s="14" t="s">
        <v>1121</v>
      </c>
      <c r="C63" s="15" t="s">
        <v>134</v>
      </c>
      <c r="D63" s="479">
        <v>2096385</v>
      </c>
      <c r="E63" s="15">
        <v>15</v>
      </c>
      <c r="F63" s="15">
        <v>1</v>
      </c>
      <c r="G63" s="16"/>
      <c r="H63" s="492"/>
      <c r="I63" s="30" t="str">
        <f t="shared" si="15"/>
        <v>·</v>
      </c>
      <c r="J63" s="31">
        <f t="shared" si="16"/>
        <v>22.07977637695366</v>
      </c>
      <c r="K63" s="31">
        <f t="shared" si="2"/>
        <v>16.30251695180036</v>
      </c>
      <c r="L63" s="31">
        <f t="shared" si="17"/>
        <v>5.77689689632391</v>
      </c>
      <c r="M63" s="106"/>
      <c r="N63" s="31">
        <f t="shared" si="4"/>
        <v>22.07977637695366</v>
      </c>
      <c r="O63" s="521">
        <v>2096385</v>
      </c>
      <c r="P63" s="503">
        <v>46287712</v>
      </c>
      <c r="Q63" s="357">
        <v>34176352</v>
      </c>
      <c r="R63" s="373">
        <v>12110600</v>
      </c>
      <c r="S63" s="258"/>
      <c r="T63" s="503">
        <v>48.322032999999998</v>
      </c>
      <c r="U63" s="357">
        <v>49.115611999999999</v>
      </c>
      <c r="V63" s="373">
        <v>48.392014000000003</v>
      </c>
      <c r="W63" s="258"/>
      <c r="X63" s="357">
        <v>42.110202999999998</v>
      </c>
      <c r="Y63" s="357">
        <v>42.110202999999998</v>
      </c>
      <c r="Z63" s="373">
        <v>42.110202999999998</v>
      </c>
      <c r="AA63" s="258"/>
      <c r="AB63" s="507">
        <v>5.8440000000000003</v>
      </c>
      <c r="AC63" s="359">
        <v>4.0540000000000003</v>
      </c>
      <c r="AD63" s="573">
        <v>0</v>
      </c>
      <c r="AE63" s="573">
        <v>0</v>
      </c>
      <c r="AF63" s="33"/>
      <c r="AH63" s="30" t="str">
        <f t="shared" si="5"/>
        <v>·</v>
      </c>
      <c r="AI63" s="31">
        <f t="shared" si="9"/>
        <v>21.073480300612722</v>
      </c>
      <c r="AJ63" s="31">
        <f t="shared" si="10"/>
        <v>16.30251695180036</v>
      </c>
      <c r="AK63" s="275">
        <f t="shared" si="11"/>
        <v>4.7706008199829704</v>
      </c>
      <c r="AL63" s="267" t="str">
        <f t="shared" si="12"/>
        <v>·</v>
      </c>
      <c r="AM63" s="31">
        <f t="shared" si="13"/>
        <v>21.073480300612722</v>
      </c>
      <c r="AN63" s="521">
        <v>2096385</v>
      </c>
      <c r="AO63" s="503">
        <v>44178128</v>
      </c>
      <c r="AP63" s="357">
        <v>34176352</v>
      </c>
      <c r="AQ63" s="373">
        <v>10001016</v>
      </c>
      <c r="AR63" s="258"/>
      <c r="AS63" s="503">
        <v>49.117226000000002</v>
      </c>
      <c r="AT63" s="357">
        <v>49.034405</v>
      </c>
      <c r="AU63" s="373">
        <v>48.559586000000003</v>
      </c>
      <c r="AV63" s="258"/>
      <c r="AW63" s="357">
        <v>42.110202999999998</v>
      </c>
      <c r="AX63" s="357">
        <v>42.110202999999998</v>
      </c>
      <c r="AY63" s="373">
        <v>42.110202999999998</v>
      </c>
      <c r="AZ63" s="258"/>
      <c r="BA63" s="507">
        <v>9.7189999999999994</v>
      </c>
      <c r="BB63" s="359">
        <v>7.125</v>
      </c>
      <c r="BC63" s="573">
        <v>0</v>
      </c>
      <c r="BD63" s="573">
        <v>0</v>
      </c>
      <c r="BE63" s="33"/>
      <c r="BG63" s="122" t="e">
        <f t="shared" si="14"/>
        <v>#DIV/0!</v>
      </c>
      <c r="BH63" s="123" t="e">
        <f t="shared" si="14"/>
        <v>#DIV/0!</v>
      </c>
      <c r="BI63" s="123">
        <f t="shared" si="8"/>
        <v>3.5257336746884804E-2</v>
      </c>
      <c r="BJ63" s="124"/>
      <c r="BL63" s="107"/>
      <c r="BM63" s="107"/>
      <c r="BN63" s="107"/>
      <c r="BO63" s="106"/>
      <c r="BQ63" s="177"/>
      <c r="BR63" s="177"/>
      <c r="BS63" s="177"/>
      <c r="BT63" s="106"/>
      <c r="BV63" s="177"/>
      <c r="BW63" s="177"/>
      <c r="BX63" s="177"/>
      <c r="BY63" s="106"/>
      <c r="CA63" s="177"/>
      <c r="CB63" s="177"/>
      <c r="CC63" s="177"/>
      <c r="CD63" s="106"/>
    </row>
    <row r="64" spans="1:82" ht="14.25" outlineLevel="1" thickBot="1">
      <c r="A64" s="215"/>
      <c r="B64" s="18" t="s">
        <v>1121</v>
      </c>
      <c r="C64" s="19" t="s">
        <v>884</v>
      </c>
      <c r="D64" s="480">
        <v>2096385</v>
      </c>
      <c r="E64" s="19">
        <v>15</v>
      </c>
      <c r="F64" s="19">
        <v>1</v>
      </c>
      <c r="G64" s="20"/>
      <c r="H64" s="492"/>
      <c r="I64" s="34" t="str">
        <f t="shared" si="15"/>
        <v>·</v>
      </c>
      <c r="J64" s="35">
        <f t="shared" si="16"/>
        <v>23.964189783842187</v>
      </c>
      <c r="K64" s="35">
        <f t="shared" si="2"/>
        <v>16.30251695180036</v>
      </c>
      <c r="L64" s="35">
        <f t="shared" si="17"/>
        <v>7.661310303212435</v>
      </c>
      <c r="M64" s="109"/>
      <c r="N64" s="35">
        <f t="shared" si="4"/>
        <v>23.964189783842187</v>
      </c>
      <c r="O64" s="525">
        <v>2096385</v>
      </c>
      <c r="P64" s="505">
        <v>50238168</v>
      </c>
      <c r="Q64" s="361">
        <v>34176352</v>
      </c>
      <c r="R64" s="375">
        <v>16061056</v>
      </c>
      <c r="S64" s="259"/>
      <c r="T64" s="505">
        <v>52.214171999999998</v>
      </c>
      <c r="U64" s="361">
        <v>52.004330000000003</v>
      </c>
      <c r="V64" s="375">
        <v>51.793339000000003</v>
      </c>
      <c r="W64" s="259"/>
      <c r="X64" s="361">
        <v>48.130802000000003</v>
      </c>
      <c r="Y64" s="361">
        <v>48.130802000000003</v>
      </c>
      <c r="Z64" s="375">
        <v>48.130802000000003</v>
      </c>
      <c r="AA64" s="259"/>
      <c r="AB64" s="509">
        <v>5.8650000000000002</v>
      </c>
      <c r="AC64" s="363">
        <v>3.9820000000000002</v>
      </c>
      <c r="AD64" s="575">
        <v>0</v>
      </c>
      <c r="AE64" s="575">
        <v>0</v>
      </c>
      <c r="AF64" s="37"/>
      <c r="AH64" s="34" t="str">
        <f t="shared" si="5"/>
        <v>·</v>
      </c>
      <c r="AI64" s="35">
        <f t="shared" si="9"/>
        <v>23.175620890246783</v>
      </c>
      <c r="AJ64" s="35">
        <f t="shared" si="10"/>
        <v>16.30251695180036</v>
      </c>
      <c r="AK64" s="276">
        <f t="shared" si="11"/>
        <v>6.8727414096170314</v>
      </c>
      <c r="AL64" s="268" t="str">
        <f t="shared" si="12"/>
        <v>·</v>
      </c>
      <c r="AM64" s="35">
        <f t="shared" si="13"/>
        <v>23.175620890246783</v>
      </c>
      <c r="AN64" s="525">
        <v>2096385</v>
      </c>
      <c r="AO64" s="505">
        <v>48585024</v>
      </c>
      <c r="AP64" s="361">
        <v>34176352</v>
      </c>
      <c r="AQ64" s="375">
        <v>14407912</v>
      </c>
      <c r="AR64" s="259"/>
      <c r="AS64" s="505">
        <v>52.683101999999998</v>
      </c>
      <c r="AT64" s="361">
        <v>52.137282999999996</v>
      </c>
      <c r="AU64" s="375">
        <v>51.991729999999997</v>
      </c>
      <c r="AV64" s="259"/>
      <c r="AW64" s="361">
        <v>48.130802000000003</v>
      </c>
      <c r="AX64" s="361">
        <v>48.130802000000003</v>
      </c>
      <c r="AY64" s="375">
        <v>48.130802000000003</v>
      </c>
      <c r="AZ64" s="259"/>
      <c r="BA64" s="509">
        <v>9.891</v>
      </c>
      <c r="BB64" s="363">
        <v>7.7169999999999996</v>
      </c>
      <c r="BC64" s="575">
        <v>0</v>
      </c>
      <c r="BD64" s="575">
        <v>0</v>
      </c>
      <c r="BE64" s="37"/>
      <c r="BG64" s="125" t="e">
        <f t="shared" si="14"/>
        <v>#DIV/0!</v>
      </c>
      <c r="BH64" s="126" t="e">
        <f t="shared" si="14"/>
        <v>#DIV/0!</v>
      </c>
      <c r="BI64" s="126">
        <f t="shared" si="8"/>
        <v>2.3147291121064839E-2</v>
      </c>
      <c r="BJ64" s="127"/>
      <c r="BL64" s="110"/>
      <c r="BM64" s="110"/>
      <c r="BN64" s="110"/>
      <c r="BO64" s="109"/>
      <c r="BQ64" s="181"/>
      <c r="BR64" s="181"/>
      <c r="BS64" s="181"/>
      <c r="BT64" s="109"/>
      <c r="BV64" s="181"/>
      <c r="BW64" s="181"/>
      <c r="BX64" s="181"/>
      <c r="BY64" s="109"/>
      <c r="CA64" s="181"/>
      <c r="CB64" s="181"/>
      <c r="CC64" s="181"/>
      <c r="CD64" s="109"/>
    </row>
    <row r="65" spans="1:82">
      <c r="A65" s="13"/>
      <c r="B65" s="27" t="s">
        <v>1122</v>
      </c>
      <c r="C65" s="28" t="s">
        <v>131</v>
      </c>
      <c r="D65" s="478">
        <v>8046105</v>
      </c>
      <c r="E65" s="28">
        <v>15</v>
      </c>
      <c r="F65" s="28">
        <v>1</v>
      </c>
      <c r="G65" s="29"/>
      <c r="H65" s="492"/>
      <c r="I65" s="46" t="str">
        <f t="shared" si="15"/>
        <v>·</v>
      </c>
      <c r="J65" s="47">
        <f t="shared" si="16"/>
        <v>11.451094908654561</v>
      </c>
      <c r="K65" s="47">
        <f t="shared" si="2"/>
        <v>7.3923609000876818</v>
      </c>
      <c r="L65" s="47">
        <f t="shared" si="17"/>
        <v>4.0586395529265404</v>
      </c>
      <c r="M65" s="104"/>
      <c r="N65" s="47">
        <f t="shared" si="4"/>
        <v>11.451094908654561</v>
      </c>
      <c r="O65" s="520">
        <v>8046105</v>
      </c>
      <c r="P65" s="502">
        <v>92136712</v>
      </c>
      <c r="Q65" s="353">
        <v>59479712</v>
      </c>
      <c r="R65" s="372">
        <v>32656240</v>
      </c>
      <c r="S65" s="257"/>
      <c r="T65" s="502">
        <v>31.34656</v>
      </c>
      <c r="U65" s="353">
        <v>32.804962000000003</v>
      </c>
      <c r="V65" s="372">
        <v>32.324451000000003</v>
      </c>
      <c r="W65" s="257"/>
      <c r="X65" s="353">
        <v>24.048404999999999</v>
      </c>
      <c r="Y65" s="353">
        <v>24.048404999999999</v>
      </c>
      <c r="Z65" s="372">
        <v>24.048404999999999</v>
      </c>
      <c r="AA65" s="257"/>
      <c r="AB65" s="511">
        <v>24.567</v>
      </c>
      <c r="AC65" s="499">
        <v>18.271999999999998</v>
      </c>
      <c r="AD65" s="572">
        <v>0</v>
      </c>
      <c r="AE65" s="572">
        <v>0</v>
      </c>
      <c r="AF65" s="49"/>
      <c r="AH65" s="46" t="str">
        <f t="shared" si="5"/>
        <v>·</v>
      </c>
      <c r="AI65" s="31">
        <f t="shared" si="9"/>
        <v>10.315929011614937</v>
      </c>
      <c r="AJ65" s="31">
        <f t="shared" si="10"/>
        <v>7.3923609000876818</v>
      </c>
      <c r="AK65" s="275">
        <f t="shared" si="11"/>
        <v>2.9234736558869168</v>
      </c>
      <c r="AL65" s="266" t="str">
        <f t="shared" si="12"/>
        <v>·</v>
      </c>
      <c r="AM65" s="47">
        <f t="shared" si="13"/>
        <v>10.315929011614937</v>
      </c>
      <c r="AN65" s="520">
        <v>8046105</v>
      </c>
      <c r="AO65" s="502">
        <v>83003048</v>
      </c>
      <c r="AP65" s="353">
        <v>59479712</v>
      </c>
      <c r="AQ65" s="372">
        <v>23522576</v>
      </c>
      <c r="AR65" s="257"/>
      <c r="AS65" s="502">
        <v>31.822448999999999</v>
      </c>
      <c r="AT65" s="353">
        <v>34.238491000000003</v>
      </c>
      <c r="AU65" s="372">
        <v>33.569873999999999</v>
      </c>
      <c r="AV65" s="257"/>
      <c r="AW65" s="353">
        <v>24.048404999999999</v>
      </c>
      <c r="AX65" s="353">
        <v>24.048404999999999</v>
      </c>
      <c r="AY65" s="372">
        <v>24.048404999999999</v>
      </c>
      <c r="AZ65" s="257"/>
      <c r="BA65" s="511">
        <v>43.761000000000003</v>
      </c>
      <c r="BB65" s="499">
        <v>34.130000000000003</v>
      </c>
      <c r="BC65" s="572">
        <v>0</v>
      </c>
      <c r="BD65" s="572">
        <v>0</v>
      </c>
      <c r="BE65" s="49"/>
      <c r="BG65" s="119" t="e">
        <f t="shared" si="14"/>
        <v>#DIV/0!</v>
      </c>
      <c r="BH65" s="120" t="e">
        <f t="shared" si="14"/>
        <v>#DIV/0!</v>
      </c>
      <c r="BI65" s="120">
        <f t="shared" si="8"/>
        <v>7.1037413076298406E-2</v>
      </c>
      <c r="BJ65" s="121">
        <f t="array" ref="BJ65">AVERAGE(AP65:AP69/AO65:AO69) - AVERAGE(Q65:Q69/P65:P69)</f>
        <v>4.0465755549428661E-2</v>
      </c>
      <c r="BL65" s="279">
        <f>IF( OR(ISBLANK($R65:$R69),ISBLANK($AQ65:$AQ69), ISBLANK(T65:T69),ISBLANK(AS65:AS69)), "·", bdRateHermite($R65:$R69,T65:T69, $AQ65:$AQ69,AS65:AS69))</f>
        <v>-0.17294639688165214</v>
      </c>
      <c r="BM65" s="279">
        <f>IF( OR(ISBLANK($R65:$R69),ISBLANK($AQ65:$AQ69), ISBLANK(U65:U69),ISBLANK(AT65:AT69)), "·", bdRateHermite($R65:$R69,U65:U69, $AQ65:$AQ69,AT65:AT69))</f>
        <v>-0.17712309703188445</v>
      </c>
      <c r="BN65" s="279">
        <f>IF( OR(ISBLANK($R65:$R69),ISBLANK($AQ65:$AQ69), ISBLANK(V65:V69),ISBLANK(AU65:AU69)), "·", bdRateHermite($R65:$R69,V65:V69, $AQ65:$AQ69,AU65:AU69))</f>
        <v>-0.17251132096948452</v>
      </c>
      <c r="BO65" s="104"/>
      <c r="BQ65" s="173">
        <f>IF( OR(ISBLANK($R65:$R69),ISBLANK($AQ65:$AQ69), ISBLANK(X65:X69),ISBLANK(AW65:AW69)), "·", bdRateHermite($R65:$R69,X65:X69, $AQ65:$AQ69,AW65:AW69))</f>
        <v>-0.15128328369373789</v>
      </c>
      <c r="BR65" s="173">
        <f>IF( OR(ISBLANK($R65:$R69),ISBLANK($AQ65:$AQ69), ISBLANK(Y65:Y69),ISBLANK(AX65:AX69)), "·", bdRateHermite($R65:$R69,Y65:Y69, $AQ65:$AQ69,AX65:AX69))</f>
        <v>-0.15128328369373789</v>
      </c>
      <c r="BS65" s="173">
        <f>IF( OR(ISBLANK($R65:$R69),ISBLANK($AQ65:$AQ69), ISBLANK(Z65:Z69),ISBLANK(AY65:AY69)), "·", bdRateHermite($R65:$R69,Z65:Z69, $AQ65:$AQ69,AY65:AY69))</f>
        <v>-0.15128328369373789</v>
      </c>
      <c r="BT65" s="138"/>
      <c r="BV65" s="173">
        <f>IF(OR(ISBLANK($P65:$P69),ISBLANK($AO65:$AO69),ISBLANK(T65:T69),ISBLANK(AS65:AS69)),"·",bdRateHermite($P65:$P69,T65:T69,$AO65:$AO69,AS65:AS69))</f>
        <v>-8.0892117448860934E-2</v>
      </c>
      <c r="BW65" s="173">
        <f>IF(OR(ISBLANK($P65:$P69),ISBLANK($AO65:$AO69),ISBLANK(U65:U69),ISBLANK(AT65:AT69)),"·",bdRateHermite($P65:$P69,U65:U69,$AO65:$AO69,AT65:AT69))</f>
        <v>-8.322890400464833E-2</v>
      </c>
      <c r="BX65" s="173">
        <f>IF(OR(ISBLANK($P65:$P69),ISBLANK($AO65:$AO69),ISBLANK(V65:V69),ISBLANK(AU65:AU69)),"·",bdRateHermite($P65:$P69,V65:V69,$AO65:$AO69,AU65:AU69))</f>
        <v>-8.0754995246943628E-2</v>
      </c>
      <c r="BY65" s="138"/>
      <c r="CA65" s="173">
        <f>IF( OR(ISBLANK($P65:$P69),ISBLANK($AO65:$AO69), ISBLANK(X65:X69),ISBLANK(AW65:AW69)), "·", bdRateHermite( $P65:$P69,X65:X69, $AO65:$AO69,AW65:AW69))</f>
        <v>-7.2068064941027132E-2</v>
      </c>
      <c r="CB65" s="173">
        <f>IF( OR(ISBLANK($P65:$P69),ISBLANK($AO65:$AO69), ISBLANK(Y65:Y69),ISBLANK(AX65:AX69)), "·", bdRateHermite( $P65:$P69,Y65:Y69, $AO65:$AO69,AX65:AX69))</f>
        <v>-7.2068064941027132E-2</v>
      </c>
      <c r="CC65" s="173">
        <f>IF( OR(ISBLANK($P65:$P69),ISBLANK($AO65:$AO69), ISBLANK(Z65:Z69),ISBLANK(AY65:AY69)), "·", bdRateHermite( $P65:$P69,Z65:Z69, $AO65:$AO69,AY65:AY69))</f>
        <v>-7.2068064941027132E-2</v>
      </c>
      <c r="CD65" s="138"/>
    </row>
    <row r="66" spans="1:82" outlineLevel="1">
      <c r="A66" s="13"/>
      <c r="B66" s="14" t="s">
        <v>1122</v>
      </c>
      <c r="C66" s="15" t="s">
        <v>132</v>
      </c>
      <c r="D66" s="479">
        <v>8046105</v>
      </c>
      <c r="E66" s="15">
        <v>15</v>
      </c>
      <c r="F66" s="15">
        <v>1</v>
      </c>
      <c r="G66" s="16"/>
      <c r="H66" s="492"/>
      <c r="I66" s="30" t="str">
        <f t="shared" si="15"/>
        <v>·</v>
      </c>
      <c r="J66" s="31">
        <f t="shared" si="16"/>
        <v>13.209203707881018</v>
      </c>
      <c r="K66" s="31">
        <f t="shared" si="2"/>
        <v>7.3923609000876818</v>
      </c>
      <c r="L66" s="31">
        <f t="shared" si="17"/>
        <v>5.8167483521529979</v>
      </c>
      <c r="M66" s="106"/>
      <c r="N66" s="31">
        <f t="shared" si="4"/>
        <v>13.209203707881018</v>
      </c>
      <c r="O66" s="521">
        <v>8046105</v>
      </c>
      <c r="P66" s="503">
        <v>106282640</v>
      </c>
      <c r="Q66" s="357">
        <v>59479712</v>
      </c>
      <c r="R66" s="373">
        <v>46802168</v>
      </c>
      <c r="S66" s="258"/>
      <c r="T66" s="503">
        <v>37.361099000000003</v>
      </c>
      <c r="U66" s="357">
        <v>38.486213999999997</v>
      </c>
      <c r="V66" s="373">
        <v>38.003590000000003</v>
      </c>
      <c r="W66" s="258"/>
      <c r="X66" s="357">
        <v>30.069004</v>
      </c>
      <c r="Y66" s="357">
        <v>30.069004</v>
      </c>
      <c r="Z66" s="373">
        <v>30.069004</v>
      </c>
      <c r="AA66" s="258"/>
      <c r="AB66" s="512">
        <v>26.462</v>
      </c>
      <c r="AC66" s="500">
        <v>18.280999999999999</v>
      </c>
      <c r="AD66" s="573">
        <v>0</v>
      </c>
      <c r="AE66" s="573">
        <v>0</v>
      </c>
      <c r="AF66" s="33"/>
      <c r="AH66" s="30" t="str">
        <f t="shared" si="5"/>
        <v>·</v>
      </c>
      <c r="AI66" s="31">
        <f t="shared" si="9"/>
        <v>12.083229836051109</v>
      </c>
      <c r="AJ66" s="31">
        <f t="shared" si="10"/>
        <v>7.3923609000876818</v>
      </c>
      <c r="AK66" s="275">
        <f t="shared" si="11"/>
        <v>4.6907744803230882</v>
      </c>
      <c r="AL66" s="267" t="str">
        <f t="shared" si="12"/>
        <v>·</v>
      </c>
      <c r="AM66" s="31">
        <f t="shared" si="13"/>
        <v>12.083229836051109</v>
      </c>
      <c r="AN66" s="521">
        <v>8046105</v>
      </c>
      <c r="AO66" s="503">
        <v>97222936</v>
      </c>
      <c r="AP66" s="357">
        <v>59479712</v>
      </c>
      <c r="AQ66" s="373">
        <v>37742464</v>
      </c>
      <c r="AR66" s="258"/>
      <c r="AS66" s="503">
        <v>37.798926999999999</v>
      </c>
      <c r="AT66" s="357">
        <v>39.092616999999997</v>
      </c>
      <c r="AU66" s="373">
        <v>38.475451999999997</v>
      </c>
      <c r="AV66" s="258"/>
      <c r="AW66" s="357">
        <v>30.069004</v>
      </c>
      <c r="AX66" s="357">
        <v>30.069004</v>
      </c>
      <c r="AY66" s="373">
        <v>30.069004</v>
      </c>
      <c r="AZ66" s="258"/>
      <c r="BA66" s="512">
        <v>41.851999999999997</v>
      </c>
      <c r="BB66" s="500">
        <v>32.942</v>
      </c>
      <c r="BC66" s="573">
        <v>0</v>
      </c>
      <c r="BD66" s="573">
        <v>0</v>
      </c>
      <c r="BE66" s="33"/>
      <c r="BG66" s="122" t="e">
        <f t="shared" si="14"/>
        <v>#DIV/0!</v>
      </c>
      <c r="BH66" s="123" t="e">
        <f t="shared" si="14"/>
        <v>#DIV/0!</v>
      </c>
      <c r="BI66" s="123">
        <f t="shared" si="8"/>
        <v>5.2149698274239986E-2</v>
      </c>
      <c r="BJ66" s="124"/>
      <c r="BL66" s="107"/>
      <c r="BM66" s="107"/>
      <c r="BN66" s="107"/>
      <c r="BO66" s="106"/>
      <c r="BQ66" s="177"/>
      <c r="BR66" s="177"/>
      <c r="BS66" s="177"/>
      <c r="BT66" s="106"/>
      <c r="BV66" s="177"/>
      <c r="BW66" s="177"/>
      <c r="BX66" s="177"/>
      <c r="BY66" s="106"/>
      <c r="CA66" s="177"/>
      <c r="CB66" s="177"/>
      <c r="CC66" s="177"/>
      <c r="CD66" s="106"/>
    </row>
    <row r="67" spans="1:82" outlineLevel="1">
      <c r="A67" s="13"/>
      <c r="B67" s="14" t="s">
        <v>1122</v>
      </c>
      <c r="C67" s="15" t="s">
        <v>133</v>
      </c>
      <c r="D67" s="479">
        <v>8046105</v>
      </c>
      <c r="E67" s="15">
        <v>15</v>
      </c>
      <c r="F67" s="15">
        <v>1</v>
      </c>
      <c r="G67" s="16"/>
      <c r="H67" s="492"/>
      <c r="I67" s="30" t="str">
        <f t="shared" si="15"/>
        <v>·</v>
      </c>
      <c r="J67" s="31">
        <f t="shared" si="16"/>
        <v>15.459830066846008</v>
      </c>
      <c r="K67" s="31">
        <f t="shared" si="2"/>
        <v>7.3923609000876818</v>
      </c>
      <c r="L67" s="31">
        <f t="shared" si="17"/>
        <v>8.0673747111179885</v>
      </c>
      <c r="M67" s="106"/>
      <c r="N67" s="31">
        <f t="shared" si="4"/>
        <v>15.459830066846008</v>
      </c>
      <c r="O67" s="521">
        <v>8046105</v>
      </c>
      <c r="P67" s="503">
        <v>124391416</v>
      </c>
      <c r="Q67" s="357">
        <v>59479712</v>
      </c>
      <c r="R67" s="373">
        <v>64910944</v>
      </c>
      <c r="S67" s="258"/>
      <c r="T67" s="503">
        <v>43.223919000000002</v>
      </c>
      <c r="U67" s="357">
        <v>44.120795999999999</v>
      </c>
      <c r="V67" s="373">
        <v>43.615684999999999</v>
      </c>
      <c r="W67" s="258"/>
      <c r="X67" s="357">
        <v>36.089602999999997</v>
      </c>
      <c r="Y67" s="357">
        <v>36.089602999999997</v>
      </c>
      <c r="Z67" s="373">
        <v>36.089602999999997</v>
      </c>
      <c r="AA67" s="258"/>
      <c r="AB67" s="512">
        <v>26.326000000000001</v>
      </c>
      <c r="AC67" s="500">
        <v>18.760000000000002</v>
      </c>
      <c r="AD67" s="573">
        <v>0</v>
      </c>
      <c r="AE67" s="573">
        <v>0</v>
      </c>
      <c r="AF67" s="33"/>
      <c r="AH67" s="30" t="str">
        <f t="shared" si="5"/>
        <v>·</v>
      </c>
      <c r="AI67" s="31">
        <f t="shared" si="9"/>
        <v>14.378343807345294</v>
      </c>
      <c r="AJ67" s="31">
        <f t="shared" si="10"/>
        <v>7.3923609000876818</v>
      </c>
      <c r="AK67" s="275">
        <f t="shared" si="11"/>
        <v>6.9858884516172735</v>
      </c>
      <c r="AL67" s="267" t="str">
        <f t="shared" si="12"/>
        <v>·</v>
      </c>
      <c r="AM67" s="31">
        <f t="shared" si="13"/>
        <v>14.378343807345294</v>
      </c>
      <c r="AN67" s="521">
        <v>8046105</v>
      </c>
      <c r="AO67" s="503">
        <v>115689664</v>
      </c>
      <c r="AP67" s="357">
        <v>59479712</v>
      </c>
      <c r="AQ67" s="373">
        <v>56209192</v>
      </c>
      <c r="AR67" s="258"/>
      <c r="AS67" s="503">
        <v>43.441783999999998</v>
      </c>
      <c r="AT67" s="357">
        <v>44.277954000000001</v>
      </c>
      <c r="AU67" s="373">
        <v>43.698462999999997</v>
      </c>
      <c r="AV67" s="258"/>
      <c r="AW67" s="357">
        <v>36.089602999999997</v>
      </c>
      <c r="AX67" s="357">
        <v>36.089602999999997</v>
      </c>
      <c r="AY67" s="373">
        <v>36.089602999999997</v>
      </c>
      <c r="AZ67" s="258"/>
      <c r="BA67" s="512">
        <v>41.107999999999997</v>
      </c>
      <c r="BB67" s="500">
        <v>31.408999999999999</v>
      </c>
      <c r="BC67" s="573">
        <v>0</v>
      </c>
      <c r="BD67" s="573">
        <v>0</v>
      </c>
      <c r="BE67" s="33"/>
      <c r="BG67" s="122" t="e">
        <f t="shared" si="14"/>
        <v>#DIV/0!</v>
      </c>
      <c r="BH67" s="123" t="e">
        <f t="shared" si="14"/>
        <v>#DIV/0!</v>
      </c>
      <c r="BI67" s="123">
        <f t="shared" si="8"/>
        <v>3.5965871426107521E-2</v>
      </c>
      <c r="BJ67" s="124"/>
      <c r="BL67" s="107"/>
      <c r="BM67" s="107"/>
      <c r="BN67" s="107"/>
      <c r="BO67" s="106"/>
      <c r="BQ67" s="177"/>
      <c r="BR67" s="177"/>
      <c r="BS67" s="177"/>
      <c r="BT67" s="106"/>
      <c r="BV67" s="177"/>
      <c r="BW67" s="177"/>
      <c r="BX67" s="177"/>
      <c r="BY67" s="106"/>
      <c r="CA67" s="177"/>
      <c r="CB67" s="177"/>
      <c r="CC67" s="177"/>
      <c r="CD67" s="106"/>
    </row>
    <row r="68" spans="1:82" outlineLevel="1">
      <c r="A68" s="13"/>
      <c r="B68" s="14" t="s">
        <v>1122</v>
      </c>
      <c r="C68" s="15" t="s">
        <v>134</v>
      </c>
      <c r="D68" s="479">
        <v>8046105</v>
      </c>
      <c r="E68" s="15">
        <v>15</v>
      </c>
      <c r="F68" s="15">
        <v>1</v>
      </c>
      <c r="G68" s="16"/>
      <c r="H68" s="492"/>
      <c r="I68" s="30" t="str">
        <f t="shared" si="15"/>
        <v>·</v>
      </c>
      <c r="J68" s="31">
        <f t="shared" si="16"/>
        <v>18.302709199047239</v>
      </c>
      <c r="K68" s="31">
        <f t="shared" si="2"/>
        <v>7.3923609000876818</v>
      </c>
      <c r="L68" s="31">
        <f t="shared" si="17"/>
        <v>10.910253843319222</v>
      </c>
      <c r="M68" s="106"/>
      <c r="N68" s="31">
        <f t="shared" si="4"/>
        <v>18.302709199047239</v>
      </c>
      <c r="O68" s="521">
        <v>8046105</v>
      </c>
      <c r="P68" s="503">
        <v>147265520</v>
      </c>
      <c r="Q68" s="357">
        <v>59479712</v>
      </c>
      <c r="R68" s="373">
        <v>87785048</v>
      </c>
      <c r="S68" s="258"/>
      <c r="T68" s="503">
        <v>48.444285999999998</v>
      </c>
      <c r="U68" s="357">
        <v>49.025677000000002</v>
      </c>
      <c r="V68" s="373">
        <v>48.522300999999999</v>
      </c>
      <c r="W68" s="258"/>
      <c r="X68" s="357">
        <v>42.110202999999998</v>
      </c>
      <c r="Y68" s="357">
        <v>42.110202999999998</v>
      </c>
      <c r="Z68" s="373">
        <v>42.110202999999998</v>
      </c>
      <c r="AA68" s="258"/>
      <c r="AB68" s="512">
        <v>25.97</v>
      </c>
      <c r="AC68" s="500">
        <v>19.661999999999999</v>
      </c>
      <c r="AD68" s="573">
        <v>0</v>
      </c>
      <c r="AE68" s="573">
        <v>0</v>
      </c>
      <c r="AF68" s="33"/>
      <c r="AH68" s="30" t="str">
        <f t="shared" si="5"/>
        <v>·</v>
      </c>
      <c r="AI68" s="31">
        <f t="shared" si="9"/>
        <v>17.234183247670767</v>
      </c>
      <c r="AJ68" s="31">
        <f t="shared" si="10"/>
        <v>7.3923609000876818</v>
      </c>
      <c r="AK68" s="275">
        <f t="shared" si="11"/>
        <v>9.8417278919427478</v>
      </c>
      <c r="AL68" s="267" t="str">
        <f t="shared" si="12"/>
        <v>·</v>
      </c>
      <c r="AM68" s="31">
        <f t="shared" si="13"/>
        <v>17.234183247670767</v>
      </c>
      <c r="AN68" s="521">
        <v>8046105</v>
      </c>
      <c r="AO68" s="503">
        <v>138668048</v>
      </c>
      <c r="AP68" s="357">
        <v>59479712</v>
      </c>
      <c r="AQ68" s="373">
        <v>79187576</v>
      </c>
      <c r="AR68" s="258"/>
      <c r="AS68" s="503">
        <v>48.502411000000002</v>
      </c>
      <c r="AT68" s="357">
        <v>49.050750999999998</v>
      </c>
      <c r="AU68" s="373">
        <v>48.499873999999998</v>
      </c>
      <c r="AV68" s="258"/>
      <c r="AW68" s="357">
        <v>42.110202999999998</v>
      </c>
      <c r="AX68" s="357">
        <v>42.110202999999998</v>
      </c>
      <c r="AY68" s="373">
        <v>42.110202999999998</v>
      </c>
      <c r="AZ68" s="258"/>
      <c r="BA68" s="512">
        <v>39.536000000000001</v>
      </c>
      <c r="BB68" s="500">
        <v>33.048000000000002</v>
      </c>
      <c r="BC68" s="573">
        <v>0</v>
      </c>
      <c r="BD68" s="573">
        <v>0</v>
      </c>
      <c r="BE68" s="33"/>
      <c r="BG68" s="122" t="e">
        <f t="shared" si="14"/>
        <v>#DIV/0!</v>
      </c>
      <c r="BH68" s="123" t="e">
        <f t="shared" si="14"/>
        <v>#DIV/0!</v>
      </c>
      <c r="BI68" s="123">
        <f t="shared" si="8"/>
        <v>2.504160436129399E-2</v>
      </c>
      <c r="BJ68" s="124"/>
      <c r="BL68" s="107"/>
      <c r="BM68" s="107"/>
      <c r="BN68" s="107"/>
      <c r="BO68" s="106"/>
      <c r="BQ68" s="177"/>
      <c r="BR68" s="177"/>
      <c r="BS68" s="177"/>
      <c r="BT68" s="106"/>
      <c r="BV68" s="177"/>
      <c r="BW68" s="177"/>
      <c r="BX68" s="177"/>
      <c r="BY68" s="106"/>
      <c r="CA68" s="177"/>
      <c r="CB68" s="177"/>
      <c r="CC68" s="177"/>
      <c r="CD68" s="106"/>
    </row>
    <row r="69" spans="1:82" ht="14.25" outlineLevel="1" thickBot="1">
      <c r="A69" s="17"/>
      <c r="B69" s="18" t="s">
        <v>1122</v>
      </c>
      <c r="C69" s="19" t="s">
        <v>135</v>
      </c>
      <c r="D69" s="480">
        <v>8046105</v>
      </c>
      <c r="E69" s="19">
        <v>15</v>
      </c>
      <c r="F69" s="19">
        <v>1</v>
      </c>
      <c r="G69" s="20"/>
      <c r="H69" s="492"/>
      <c r="I69" s="34" t="str">
        <f t="shared" si="15"/>
        <v>·</v>
      </c>
      <c r="J69" s="35">
        <f t="shared" si="16"/>
        <v>21.685347630934469</v>
      </c>
      <c r="K69" s="35">
        <f t="shared" si="2"/>
        <v>7.3923609000876818</v>
      </c>
      <c r="L69" s="35">
        <f t="shared" si="17"/>
        <v>14.29289326947635</v>
      </c>
      <c r="M69" s="109"/>
      <c r="N69" s="35">
        <f t="shared" si="4"/>
        <v>21.685347630934469</v>
      </c>
      <c r="O69" s="525">
        <v>8046105</v>
      </c>
      <c r="P69" s="505">
        <v>174482584</v>
      </c>
      <c r="Q69" s="361">
        <v>59479712</v>
      </c>
      <c r="R69" s="375">
        <v>115002120</v>
      </c>
      <c r="S69" s="259"/>
      <c r="T69" s="505">
        <v>52.276336999999998</v>
      </c>
      <c r="U69" s="361">
        <v>52.379855999999997</v>
      </c>
      <c r="V69" s="375">
        <v>51.831328999999997</v>
      </c>
      <c r="W69" s="259"/>
      <c r="X69" s="361">
        <v>48.130802000000003</v>
      </c>
      <c r="Y69" s="361">
        <v>48.130802000000003</v>
      </c>
      <c r="Z69" s="375">
        <v>48.130802000000003</v>
      </c>
      <c r="AA69" s="259"/>
      <c r="AB69" s="513">
        <v>26.527000000000001</v>
      </c>
      <c r="AC69" s="501">
        <v>19.39</v>
      </c>
      <c r="AD69" s="575">
        <v>0</v>
      </c>
      <c r="AE69" s="575">
        <v>0</v>
      </c>
      <c r="AF69" s="37"/>
      <c r="AH69" s="34" t="str">
        <f t="shared" si="5"/>
        <v>·</v>
      </c>
      <c r="AI69" s="35">
        <f t="shared" si="9"/>
        <v>20.590034059958203</v>
      </c>
      <c r="AJ69" s="35">
        <f t="shared" si="10"/>
        <v>7.3923609000876818</v>
      </c>
      <c r="AK69" s="276">
        <f t="shared" si="11"/>
        <v>13.197579698500082</v>
      </c>
      <c r="AL69" s="109" t="str">
        <f t="shared" si="12"/>
        <v>·</v>
      </c>
      <c r="AM69" s="35">
        <f t="shared" si="13"/>
        <v>20.590034059958203</v>
      </c>
      <c r="AN69" s="525">
        <v>8046105</v>
      </c>
      <c r="AO69" s="505">
        <v>165669576</v>
      </c>
      <c r="AP69" s="361">
        <v>59479712</v>
      </c>
      <c r="AQ69" s="375">
        <v>106189112</v>
      </c>
      <c r="AR69" s="259"/>
      <c r="AS69" s="505">
        <v>52.288291999999998</v>
      </c>
      <c r="AT69" s="361">
        <v>52.410274999999999</v>
      </c>
      <c r="AU69" s="375">
        <v>51.842723999999997</v>
      </c>
      <c r="AV69" s="259"/>
      <c r="AW69" s="361">
        <v>48.130802000000003</v>
      </c>
      <c r="AX69" s="361">
        <v>48.130802000000003</v>
      </c>
      <c r="AY69" s="375">
        <v>48.130802000000003</v>
      </c>
      <c r="AZ69" s="259"/>
      <c r="BA69" s="513">
        <v>42.424999999999997</v>
      </c>
      <c r="BB69" s="501">
        <v>34.344000000000001</v>
      </c>
      <c r="BC69" s="575">
        <v>0</v>
      </c>
      <c r="BD69" s="575">
        <v>0</v>
      </c>
      <c r="BE69" s="37"/>
      <c r="BG69" s="125" t="e">
        <f t="shared" si="14"/>
        <v>#DIV/0!</v>
      </c>
      <c r="BH69" s="126" t="e">
        <f t="shared" si="14"/>
        <v>#DIV/0!</v>
      </c>
      <c r="BI69" s="126">
        <f t="shared" si="8"/>
        <v>1.8134190609203849E-2</v>
      </c>
      <c r="BJ69" s="127"/>
      <c r="BL69" s="110"/>
      <c r="BM69" s="110"/>
      <c r="BN69" s="110"/>
      <c r="BO69" s="109"/>
      <c r="BQ69" s="181"/>
      <c r="BR69" s="181"/>
      <c r="BS69" s="181"/>
      <c r="BT69" s="109"/>
      <c r="BV69" s="181"/>
      <c r="BW69" s="181"/>
      <c r="BX69" s="181"/>
      <c r="BY69" s="109"/>
      <c r="CA69" s="181"/>
      <c r="CB69" s="181"/>
      <c r="CC69" s="181"/>
      <c r="CD69" s="109"/>
    </row>
    <row r="70" spans="1:82">
      <c r="A70" s="96" t="s">
        <v>178</v>
      </c>
      <c r="B70" s="24" t="s">
        <v>471</v>
      </c>
      <c r="C70" s="25" t="s">
        <v>131</v>
      </c>
      <c r="D70" s="24">
        <v>59931072</v>
      </c>
      <c r="E70" s="25">
        <v>18</v>
      </c>
      <c r="F70" s="25">
        <v>600</v>
      </c>
      <c r="G70" s="26">
        <v>10</v>
      </c>
      <c r="I70" s="42">
        <f t="shared" si="0"/>
        <v>19.441900799999999</v>
      </c>
      <c r="J70" s="43">
        <f t="shared" si="1"/>
        <v>19.464261343431335</v>
      </c>
      <c r="K70" s="43">
        <f t="shared" si="2"/>
        <v>18.604441182029916</v>
      </c>
      <c r="L70" s="137"/>
      <c r="M70" s="47">
        <f t="shared" si="3"/>
        <v>0.85237507515300248</v>
      </c>
      <c r="N70" s="47">
        <f t="shared" si="4"/>
        <v>19.464261343431335</v>
      </c>
      <c r="O70" s="521">
        <v>59931072</v>
      </c>
      <c r="P70" s="502">
        <v>1166514048</v>
      </c>
      <c r="Q70" s="372">
        <v>1114984104</v>
      </c>
      <c r="R70" s="104"/>
      <c r="S70" s="353">
        <v>51083752</v>
      </c>
      <c r="T70" s="103"/>
      <c r="U70" s="104"/>
      <c r="V70" s="104"/>
      <c r="W70" s="354">
        <v>78.009567000000004</v>
      </c>
      <c r="X70" s="103"/>
      <c r="Y70" s="104"/>
      <c r="Z70" s="104"/>
      <c r="AA70" s="514">
        <v>72.246467999999993</v>
      </c>
      <c r="AB70" s="506"/>
      <c r="AC70" s="355"/>
      <c r="AD70" s="572">
        <v>0</v>
      </c>
      <c r="AE70" s="572">
        <v>0</v>
      </c>
      <c r="AF70" s="49"/>
      <c r="AH70" s="46">
        <f>IF(OR(ISBLANK(AO70),ISBLANK(G70)),"·",AO70*G70/F70/1000000)</f>
        <v>19.441900799999999</v>
      </c>
      <c r="AI70" s="47">
        <f t="shared" ref="AI70:AI114" si="18">IF(ISBLANK(AO70),"·",AO70/D70)</f>
        <v>19.464261343431335</v>
      </c>
      <c r="AJ70" s="47">
        <f t="shared" ref="AJ70:AJ114" si="19">IF(AP70="","·",AP70/D70)</f>
        <v>18.604441182029916</v>
      </c>
      <c r="AK70" s="103" t="str">
        <f t="shared" ref="AK70:AK114" si="20">IF(ISBLANK(AQ70),"·",AQ70/D70)</f>
        <v>·</v>
      </c>
      <c r="AL70" s="47">
        <f t="shared" ref="AL70:AL114" si="21">IF(ISBLANK(AR70),"·",AR70/D70)</f>
        <v>0.85237507515300248</v>
      </c>
      <c r="AM70" s="47">
        <f t="shared" si="13"/>
        <v>19.464261343431335</v>
      </c>
      <c r="AN70" s="521">
        <v>59931072</v>
      </c>
      <c r="AO70" s="502">
        <v>1166514048</v>
      </c>
      <c r="AP70" s="372">
        <v>1114984104</v>
      </c>
      <c r="AQ70" s="104"/>
      <c r="AR70" s="353">
        <v>51083752</v>
      </c>
      <c r="AS70" s="103"/>
      <c r="AT70" s="104"/>
      <c r="AU70" s="104"/>
      <c r="AV70" s="354">
        <v>78.009567000000004</v>
      </c>
      <c r="AW70" s="103"/>
      <c r="AX70" s="104"/>
      <c r="AY70" s="104"/>
      <c r="AZ70" s="514">
        <v>72.246467999999993</v>
      </c>
      <c r="BA70" s="506">
        <v>459.18000000000018</v>
      </c>
      <c r="BB70" s="355">
        <v>170.86600000000004</v>
      </c>
      <c r="BC70" s="572">
        <v>0</v>
      </c>
      <c r="BD70" s="572">
        <v>0</v>
      </c>
      <c r="BE70" s="49"/>
      <c r="BG70" s="119" t="e">
        <f t="shared" si="14"/>
        <v>#DIV/0!</v>
      </c>
      <c r="BH70" s="120" t="e">
        <f t="shared" si="14"/>
        <v>#DIV/0!</v>
      </c>
      <c r="BI70" s="120">
        <f t="shared" si="8"/>
        <v>0</v>
      </c>
      <c r="BJ70" s="121">
        <f t="array" ref="BJ70">AVERAGE(AP70:AP74/AO70:AO74) - AVERAGE(Q70:Q74/P70:P74)</f>
        <v>0</v>
      </c>
      <c r="BL70" s="103"/>
      <c r="BM70" s="104"/>
      <c r="BN70" s="104"/>
      <c r="BO70" s="139">
        <f>IF( OR(ISBLANK($S70:$S74),ISBLANK($AR70:$AR74), ISBLANK($W70:$W74),ISBLANK($AV70:$AV74)), "·", bdRateHermite($S70:$S74,$W70:$W74, $AR70:$AR74,$AV70:$AV74))</f>
        <v>0</v>
      </c>
      <c r="BQ70" s="137"/>
      <c r="BR70" s="138"/>
      <c r="BS70" s="138"/>
      <c r="BT70" s="139">
        <f>IF( OR(ISBLANK($S70:$S74),ISBLANK($AR70:$AR74), ISBLANK($AA70:$AA74),ISBLANK($AZ70:$AZ74)), "·", bdRateHermite($S70:$S74,$AA70:$AA74, $AR70:$AR74,$AZ70:$AZ74))</f>
        <v>0</v>
      </c>
      <c r="BV70" s="137"/>
      <c r="BW70" s="138"/>
      <c r="BX70" s="138"/>
      <c r="BY70" s="139">
        <f>IF(OR(ISBLANK($P70:$P74),ISBLANK($AO70:$AO74),ISBLANK($W70:$W74),ISBLANK($AV70:$AV74)),"·",bdRateHermite($P70:$P74,$W70:$W74,$AO70:$AO74,$AV70:$AV74))</f>
        <v>0</v>
      </c>
      <c r="CA70" s="137"/>
      <c r="CB70" s="138"/>
      <c r="CC70" s="138"/>
      <c r="CD70" s="139">
        <f>IF( OR(ISBLANK($P70:$P74),ISBLANK($AO70:$AO74), ISBLANK($AA70:$AA74),ISBLANK($AZ70:$AZ74)), "·", bdRateHermite( $P70:$P74,$AA70:$AA74, $AO70:$AO74,$AZ70:$AZ74))</f>
        <v>0</v>
      </c>
    </row>
    <row r="71" spans="1:82" outlineLevel="1">
      <c r="A71" s="13"/>
      <c r="B71" s="14" t="s">
        <v>471</v>
      </c>
      <c r="C71" s="15" t="s">
        <v>132</v>
      </c>
      <c r="D71" s="14">
        <v>59931072</v>
      </c>
      <c r="E71" s="15">
        <v>18</v>
      </c>
      <c r="F71" s="15">
        <v>600</v>
      </c>
      <c r="G71" s="16">
        <v>10</v>
      </c>
      <c r="I71" s="30">
        <f t="shared" si="0"/>
        <v>19.9895152</v>
      </c>
      <c r="J71" s="31">
        <f t="shared" si="1"/>
        <v>20.012505566394672</v>
      </c>
      <c r="K71" s="31">
        <f t="shared" si="2"/>
        <v>18.604441182029916</v>
      </c>
      <c r="L71" s="105"/>
      <c r="M71" s="31">
        <f t="shared" si="3"/>
        <v>1.4006192981163428</v>
      </c>
      <c r="N71" s="31">
        <f t="shared" si="4"/>
        <v>20.012505566394672</v>
      </c>
      <c r="O71" s="521">
        <v>59931072</v>
      </c>
      <c r="P71" s="503">
        <v>1199370912</v>
      </c>
      <c r="Q71" s="373">
        <v>1114984104</v>
      </c>
      <c r="R71" s="106"/>
      <c r="S71" s="357">
        <v>83940616</v>
      </c>
      <c r="T71" s="105"/>
      <c r="U71" s="106"/>
      <c r="V71" s="106"/>
      <c r="W71" s="358">
        <v>83.685317999999995</v>
      </c>
      <c r="X71" s="105"/>
      <c r="Y71" s="106"/>
      <c r="Z71" s="106"/>
      <c r="AA71" s="515">
        <v>78.268180999999998</v>
      </c>
      <c r="AB71" s="507"/>
      <c r="AC71" s="359"/>
      <c r="AD71" s="573">
        <v>0</v>
      </c>
      <c r="AE71" s="573">
        <v>0</v>
      </c>
      <c r="AF71" s="33"/>
      <c r="AH71" s="30">
        <f t="shared" si="5"/>
        <v>19.9895152</v>
      </c>
      <c r="AI71" s="31">
        <f t="shared" si="18"/>
        <v>20.012505566394672</v>
      </c>
      <c r="AJ71" s="31">
        <f t="shared" si="19"/>
        <v>18.604441182029916</v>
      </c>
      <c r="AK71" s="105" t="str">
        <f t="shared" si="20"/>
        <v>·</v>
      </c>
      <c r="AL71" s="31">
        <f t="shared" si="21"/>
        <v>1.4006192981163428</v>
      </c>
      <c r="AM71" s="31">
        <f t="shared" si="13"/>
        <v>20.012505566394672</v>
      </c>
      <c r="AN71" s="521">
        <v>59931072</v>
      </c>
      <c r="AO71" s="503">
        <v>1199370912</v>
      </c>
      <c r="AP71" s="373">
        <v>1114984104</v>
      </c>
      <c r="AQ71" s="106"/>
      <c r="AR71" s="357">
        <v>83940616</v>
      </c>
      <c r="AS71" s="105"/>
      <c r="AT71" s="106"/>
      <c r="AU71" s="106"/>
      <c r="AV71" s="358">
        <v>83.685317999999995</v>
      </c>
      <c r="AW71" s="105"/>
      <c r="AX71" s="106"/>
      <c r="AY71" s="106"/>
      <c r="AZ71" s="515">
        <v>78.268180999999998</v>
      </c>
      <c r="BA71" s="507">
        <v>464.92199999999997</v>
      </c>
      <c r="BB71" s="359">
        <v>172.9850000000003</v>
      </c>
      <c r="BC71" s="573">
        <v>0</v>
      </c>
      <c r="BD71" s="573">
        <v>0</v>
      </c>
      <c r="BE71" s="33"/>
      <c r="BG71" s="122" t="e">
        <f t="shared" si="14"/>
        <v>#DIV/0!</v>
      </c>
      <c r="BH71" s="123" t="e">
        <f t="shared" si="14"/>
        <v>#DIV/0!</v>
      </c>
      <c r="BI71" s="123">
        <f t="shared" si="8"/>
        <v>0</v>
      </c>
      <c r="BJ71" s="124"/>
      <c r="BL71" s="105"/>
      <c r="BM71" s="106"/>
      <c r="BN71" s="106"/>
      <c r="BO71" s="107"/>
      <c r="BQ71" s="105"/>
      <c r="BR71" s="106"/>
      <c r="BS71" s="106"/>
      <c r="BT71" s="107"/>
      <c r="BV71" s="105"/>
      <c r="BW71" s="106"/>
      <c r="BX71" s="106"/>
      <c r="BY71" s="107"/>
      <c r="CA71" s="105"/>
      <c r="CB71" s="106"/>
      <c r="CC71" s="106"/>
      <c r="CD71" s="107"/>
    </row>
    <row r="72" spans="1:82" outlineLevel="1">
      <c r="A72" s="13"/>
      <c r="B72" s="14" t="s">
        <v>471</v>
      </c>
      <c r="C72" s="15" t="s">
        <v>133</v>
      </c>
      <c r="D72" s="14">
        <v>59931072</v>
      </c>
      <c r="E72" s="15">
        <v>18</v>
      </c>
      <c r="F72" s="15">
        <v>600</v>
      </c>
      <c r="G72" s="16">
        <v>10</v>
      </c>
      <c r="I72" s="30">
        <f t="shared" si="0"/>
        <v>20.684103333333333</v>
      </c>
      <c r="J72" s="31">
        <f t="shared" si="1"/>
        <v>20.707892560306615</v>
      </c>
      <c r="K72" s="31">
        <f t="shared" si="2"/>
        <v>18.604441182029916</v>
      </c>
      <c r="L72" s="105"/>
      <c r="M72" s="31">
        <f t="shared" si="3"/>
        <v>2.096015369122715</v>
      </c>
      <c r="N72" s="31">
        <f t="shared" si="4"/>
        <v>20.707892560306615</v>
      </c>
      <c r="O72" s="521">
        <v>59931072</v>
      </c>
      <c r="P72" s="503">
        <v>1241046200</v>
      </c>
      <c r="Q72" s="373">
        <v>1114984104</v>
      </c>
      <c r="R72" s="106"/>
      <c r="S72" s="357">
        <v>125616448</v>
      </c>
      <c r="T72" s="105"/>
      <c r="U72" s="106"/>
      <c r="V72" s="106"/>
      <c r="W72" s="358">
        <v>89.391022000000007</v>
      </c>
      <c r="X72" s="105"/>
      <c r="Y72" s="106"/>
      <c r="Z72" s="106"/>
      <c r="AA72" s="515">
        <v>84.288764999999998</v>
      </c>
      <c r="AB72" s="507"/>
      <c r="AC72" s="359"/>
      <c r="AD72" s="573">
        <v>0</v>
      </c>
      <c r="AE72" s="573">
        <v>0</v>
      </c>
      <c r="AF72" s="33"/>
      <c r="AH72" s="30">
        <f t="shared" si="5"/>
        <v>20.684103333333333</v>
      </c>
      <c r="AI72" s="31">
        <f t="shared" si="18"/>
        <v>20.707892560306615</v>
      </c>
      <c r="AJ72" s="31">
        <f t="shared" si="19"/>
        <v>18.604441182029916</v>
      </c>
      <c r="AK72" s="105" t="str">
        <f t="shared" si="20"/>
        <v>·</v>
      </c>
      <c r="AL72" s="31">
        <f t="shared" si="21"/>
        <v>2.096015369122715</v>
      </c>
      <c r="AM72" s="31">
        <f t="shared" si="13"/>
        <v>20.707892560306615</v>
      </c>
      <c r="AN72" s="521">
        <v>59931072</v>
      </c>
      <c r="AO72" s="503">
        <v>1241046200</v>
      </c>
      <c r="AP72" s="373">
        <v>1114984104</v>
      </c>
      <c r="AQ72" s="106"/>
      <c r="AR72" s="357">
        <v>125616448</v>
      </c>
      <c r="AS72" s="105"/>
      <c r="AT72" s="106"/>
      <c r="AU72" s="106"/>
      <c r="AV72" s="358">
        <v>89.391022000000007</v>
      </c>
      <c r="AW72" s="105"/>
      <c r="AX72" s="106"/>
      <c r="AY72" s="106"/>
      <c r="AZ72" s="515">
        <v>84.288764999999998</v>
      </c>
      <c r="BA72" s="507">
        <v>443.05900000000042</v>
      </c>
      <c r="BB72" s="359">
        <v>173.64900000000003</v>
      </c>
      <c r="BC72" s="573">
        <v>0</v>
      </c>
      <c r="BD72" s="573">
        <v>0</v>
      </c>
      <c r="BE72" s="33"/>
      <c r="BG72" s="122" t="e">
        <f t="shared" ref="BG72:BH87" si="22">BC72/AD72</f>
        <v>#DIV/0!</v>
      </c>
      <c r="BH72" s="123" t="e">
        <f t="shared" si="22"/>
        <v>#DIV/0!</v>
      </c>
      <c r="BI72" s="123">
        <f t="shared" si="8"/>
        <v>0</v>
      </c>
      <c r="BJ72" s="124"/>
      <c r="BL72" s="105"/>
      <c r="BM72" s="106"/>
      <c r="BN72" s="106"/>
      <c r="BO72" s="107"/>
      <c r="BQ72" s="105"/>
      <c r="BR72" s="106"/>
      <c r="BS72" s="106"/>
      <c r="BT72" s="107"/>
      <c r="BV72" s="105"/>
      <c r="BW72" s="106"/>
      <c r="BX72" s="106"/>
      <c r="BY72" s="107"/>
      <c r="CA72" s="105"/>
      <c r="CB72" s="106"/>
      <c r="CC72" s="106"/>
      <c r="CD72" s="107"/>
    </row>
    <row r="73" spans="1:82" outlineLevel="1">
      <c r="A73" s="13"/>
      <c r="B73" s="14" t="s">
        <v>471</v>
      </c>
      <c r="C73" s="15" t="s">
        <v>134</v>
      </c>
      <c r="D73" s="14">
        <v>59931072</v>
      </c>
      <c r="E73" s="15">
        <v>18</v>
      </c>
      <c r="F73" s="15">
        <v>600</v>
      </c>
      <c r="G73" s="16">
        <v>10</v>
      </c>
      <c r="I73" s="30">
        <f t="shared" si="0"/>
        <v>21.504817333333332</v>
      </c>
      <c r="J73" s="31">
        <f t="shared" si="1"/>
        <v>21.52955048092582</v>
      </c>
      <c r="K73" s="31">
        <f t="shared" si="2"/>
        <v>18.604441182029916</v>
      </c>
      <c r="L73" s="105"/>
      <c r="M73" s="31">
        <f t="shared" si="3"/>
        <v>2.9176732897419222</v>
      </c>
      <c r="N73" s="31">
        <f t="shared" si="4"/>
        <v>21.52955048092582</v>
      </c>
      <c r="O73" s="521">
        <v>59931072</v>
      </c>
      <c r="P73" s="503">
        <v>1290289040</v>
      </c>
      <c r="Q73" s="373">
        <v>1114984104</v>
      </c>
      <c r="R73" s="106"/>
      <c r="S73" s="357">
        <v>174859288</v>
      </c>
      <c r="T73" s="105"/>
      <c r="U73" s="106"/>
      <c r="V73" s="106"/>
      <c r="W73" s="358">
        <v>94.846335999999994</v>
      </c>
      <c r="X73" s="105"/>
      <c r="Y73" s="106"/>
      <c r="Z73" s="106"/>
      <c r="AA73" s="515">
        <v>90.308655000000002</v>
      </c>
      <c r="AB73" s="507"/>
      <c r="AC73" s="359"/>
      <c r="AD73" s="573">
        <v>0</v>
      </c>
      <c r="AE73" s="573">
        <v>0</v>
      </c>
      <c r="AF73" s="33"/>
      <c r="AH73" s="30">
        <f t="shared" si="5"/>
        <v>21.504817333333332</v>
      </c>
      <c r="AI73" s="31">
        <f t="shared" si="18"/>
        <v>21.52955048092582</v>
      </c>
      <c r="AJ73" s="31">
        <f t="shared" si="19"/>
        <v>18.604441182029916</v>
      </c>
      <c r="AK73" s="105" t="str">
        <f t="shared" si="20"/>
        <v>·</v>
      </c>
      <c r="AL73" s="31">
        <f t="shared" si="21"/>
        <v>2.9176732897419222</v>
      </c>
      <c r="AM73" s="31">
        <f t="shared" si="13"/>
        <v>21.52955048092582</v>
      </c>
      <c r="AN73" s="521">
        <v>59931072</v>
      </c>
      <c r="AO73" s="503">
        <v>1290289040</v>
      </c>
      <c r="AP73" s="373">
        <v>1114984104</v>
      </c>
      <c r="AQ73" s="106"/>
      <c r="AR73" s="357">
        <v>174859288</v>
      </c>
      <c r="AS73" s="105"/>
      <c r="AT73" s="106"/>
      <c r="AU73" s="106"/>
      <c r="AV73" s="358">
        <v>94.846335999999994</v>
      </c>
      <c r="AW73" s="105"/>
      <c r="AX73" s="106"/>
      <c r="AY73" s="106"/>
      <c r="AZ73" s="515">
        <v>90.308655000000002</v>
      </c>
      <c r="BA73" s="507">
        <v>463.40400000000034</v>
      </c>
      <c r="BB73" s="359">
        <v>172.55800000000048</v>
      </c>
      <c r="BC73" s="573">
        <v>0</v>
      </c>
      <c r="BD73" s="573">
        <v>0</v>
      </c>
      <c r="BE73" s="33"/>
      <c r="BG73" s="122" t="e">
        <f t="shared" si="22"/>
        <v>#DIV/0!</v>
      </c>
      <c r="BH73" s="123" t="e">
        <f t="shared" si="22"/>
        <v>#DIV/0!</v>
      </c>
      <c r="BI73" s="123">
        <f t="shared" si="8"/>
        <v>0</v>
      </c>
      <c r="BJ73" s="124"/>
      <c r="BL73" s="105"/>
      <c r="BM73" s="106"/>
      <c r="BN73" s="106"/>
      <c r="BO73" s="107"/>
      <c r="BQ73" s="105"/>
      <c r="BR73" s="106"/>
      <c r="BS73" s="106"/>
      <c r="BT73" s="107"/>
      <c r="BV73" s="105"/>
      <c r="BW73" s="106"/>
      <c r="BX73" s="106"/>
      <c r="BY73" s="107"/>
      <c r="CA73" s="105"/>
      <c r="CB73" s="106"/>
      <c r="CC73" s="106"/>
      <c r="CD73" s="107"/>
    </row>
    <row r="74" spans="1:82" ht="14.25" outlineLevel="1" thickBot="1">
      <c r="A74" s="13"/>
      <c r="B74" s="21" t="s">
        <v>471</v>
      </c>
      <c r="C74" s="22" t="s">
        <v>135</v>
      </c>
      <c r="D74" s="21">
        <v>59931072</v>
      </c>
      <c r="E74" s="22">
        <v>18</v>
      </c>
      <c r="F74" s="22">
        <v>600</v>
      </c>
      <c r="G74" s="23">
        <v>10</v>
      </c>
      <c r="I74" s="34">
        <f t="shared" si="0"/>
        <v>22.509129066666667</v>
      </c>
      <c r="J74" s="35">
        <f t="shared" si="1"/>
        <v>22.535017294534629</v>
      </c>
      <c r="K74" s="35">
        <f t="shared" si="2"/>
        <v>18.604441182029916</v>
      </c>
      <c r="L74" s="134"/>
      <c r="M74" s="35">
        <f t="shared" si="3"/>
        <v>3.92315331853233</v>
      </c>
      <c r="N74" s="35">
        <f t="shared" si="4"/>
        <v>22.535017294534629</v>
      </c>
      <c r="O74" s="522">
        <v>59931072</v>
      </c>
      <c r="P74" s="504">
        <v>1350547744</v>
      </c>
      <c r="Q74" s="374">
        <v>1114984104</v>
      </c>
      <c r="R74" s="135"/>
      <c r="S74" s="369">
        <v>235118784</v>
      </c>
      <c r="T74" s="134"/>
      <c r="U74" s="135"/>
      <c r="V74" s="135"/>
      <c r="W74" s="370">
        <v>99.581717999999995</v>
      </c>
      <c r="X74" s="134"/>
      <c r="Y74" s="135"/>
      <c r="Z74" s="135"/>
      <c r="AA74" s="516">
        <v>96.329025000000001</v>
      </c>
      <c r="AB74" s="508"/>
      <c r="AC74" s="371"/>
      <c r="AD74" s="574">
        <v>0</v>
      </c>
      <c r="AE74" s="574">
        <v>0</v>
      </c>
      <c r="AF74" s="37"/>
      <c r="AH74" s="38">
        <f t="shared" si="5"/>
        <v>22.509129066666667</v>
      </c>
      <c r="AI74" s="39">
        <f t="shared" si="18"/>
        <v>22.535017294534629</v>
      </c>
      <c r="AJ74" s="39">
        <f t="shared" si="19"/>
        <v>18.604441182029916</v>
      </c>
      <c r="AK74" s="134" t="str">
        <f t="shared" si="20"/>
        <v>·</v>
      </c>
      <c r="AL74" s="39">
        <f t="shared" si="21"/>
        <v>3.92315331853233</v>
      </c>
      <c r="AM74" s="39">
        <f t="shared" si="13"/>
        <v>22.535017294534629</v>
      </c>
      <c r="AN74" s="522">
        <v>59931072</v>
      </c>
      <c r="AO74" s="504">
        <v>1350547744</v>
      </c>
      <c r="AP74" s="374">
        <v>1114984104</v>
      </c>
      <c r="AQ74" s="135"/>
      <c r="AR74" s="369">
        <v>235118784</v>
      </c>
      <c r="AS74" s="134"/>
      <c r="AT74" s="135"/>
      <c r="AU74" s="135"/>
      <c r="AV74" s="370">
        <v>99.581717999999995</v>
      </c>
      <c r="AW74" s="134"/>
      <c r="AX74" s="135"/>
      <c r="AY74" s="135"/>
      <c r="AZ74" s="516">
        <v>96.329025000000001</v>
      </c>
      <c r="BA74" s="508">
        <v>465.5090000000003</v>
      </c>
      <c r="BB74" s="371">
        <v>174.69300000000038</v>
      </c>
      <c r="BC74" s="574">
        <v>0</v>
      </c>
      <c r="BD74" s="574">
        <v>0</v>
      </c>
      <c r="BE74" s="41"/>
      <c r="BG74" s="128" t="e">
        <f t="shared" si="22"/>
        <v>#DIV/0!</v>
      </c>
      <c r="BH74" s="129" t="e">
        <f t="shared" si="22"/>
        <v>#DIV/0!</v>
      </c>
      <c r="BI74" s="129">
        <f t="shared" si="8"/>
        <v>0</v>
      </c>
      <c r="BJ74" s="130"/>
      <c r="BL74" s="134"/>
      <c r="BM74" s="135"/>
      <c r="BN74" s="135"/>
      <c r="BO74" s="136"/>
      <c r="BQ74" s="134"/>
      <c r="BR74" s="135"/>
      <c r="BS74" s="135"/>
      <c r="BT74" s="136"/>
      <c r="BV74" s="134"/>
      <c r="BW74" s="135"/>
      <c r="BX74" s="135"/>
      <c r="BY74" s="136"/>
      <c r="CA74" s="134"/>
      <c r="CB74" s="135"/>
      <c r="CC74" s="135"/>
      <c r="CD74" s="136"/>
    </row>
    <row r="75" spans="1:82">
      <c r="A75" s="13"/>
      <c r="B75" s="27" t="s">
        <v>469</v>
      </c>
      <c r="C75" s="28" t="s">
        <v>131</v>
      </c>
      <c r="D75" s="27">
        <v>59935680</v>
      </c>
      <c r="E75" s="28">
        <v>18</v>
      </c>
      <c r="F75" s="28">
        <v>600</v>
      </c>
      <c r="G75" s="29">
        <v>10</v>
      </c>
      <c r="I75" s="42">
        <f t="shared" si="0"/>
        <v>19.863031866666667</v>
      </c>
      <c r="J75" s="43">
        <f t="shared" si="1"/>
        <v>19.884347887602175</v>
      </c>
      <c r="K75" s="43">
        <f t="shared" si="2"/>
        <v>18.942545208463471</v>
      </c>
      <c r="L75" s="103"/>
      <c r="M75" s="43">
        <f t="shared" si="3"/>
        <v>0.93436350434332271</v>
      </c>
      <c r="N75" s="43">
        <f t="shared" si="4"/>
        <v>19.884347887602175</v>
      </c>
      <c r="O75" s="520">
        <v>59935680</v>
      </c>
      <c r="P75" s="502">
        <v>1191781912</v>
      </c>
      <c r="Q75" s="372">
        <v>1135334328</v>
      </c>
      <c r="R75" s="104"/>
      <c r="S75" s="353">
        <v>56001712</v>
      </c>
      <c r="T75" s="103"/>
      <c r="U75" s="104"/>
      <c r="V75" s="104"/>
      <c r="W75" s="354">
        <v>77.950432000000006</v>
      </c>
      <c r="X75" s="103"/>
      <c r="Y75" s="104"/>
      <c r="Z75" s="104"/>
      <c r="AA75" s="514">
        <v>72.246467999999993</v>
      </c>
      <c r="AB75" s="506"/>
      <c r="AC75" s="355"/>
      <c r="AD75" s="572">
        <v>0</v>
      </c>
      <c r="AE75" s="572">
        <v>0</v>
      </c>
      <c r="AF75" s="45"/>
      <c r="AH75" s="46">
        <f t="shared" si="5"/>
        <v>19.863031866666667</v>
      </c>
      <c r="AI75" s="47">
        <f t="shared" si="18"/>
        <v>19.884347887602175</v>
      </c>
      <c r="AJ75" s="47">
        <f t="shared" si="19"/>
        <v>18.942545208463471</v>
      </c>
      <c r="AK75" s="103" t="str">
        <f t="shared" si="20"/>
        <v>·</v>
      </c>
      <c r="AL75" s="47">
        <f t="shared" si="21"/>
        <v>0.93436350434332271</v>
      </c>
      <c r="AM75" s="47">
        <f t="shared" si="13"/>
        <v>19.884347887602175</v>
      </c>
      <c r="AN75" s="520">
        <v>59935680</v>
      </c>
      <c r="AO75" s="502">
        <v>1191781912</v>
      </c>
      <c r="AP75" s="372">
        <v>1135334328</v>
      </c>
      <c r="AQ75" s="104"/>
      <c r="AR75" s="353">
        <v>56001712</v>
      </c>
      <c r="AS75" s="103"/>
      <c r="AT75" s="104"/>
      <c r="AU75" s="104"/>
      <c r="AV75" s="354">
        <v>77.950432000000006</v>
      </c>
      <c r="AW75" s="103"/>
      <c r="AX75" s="104"/>
      <c r="AY75" s="104"/>
      <c r="AZ75" s="514">
        <v>72.246467999999993</v>
      </c>
      <c r="BA75" s="506">
        <v>460.40899999999937</v>
      </c>
      <c r="BB75" s="355">
        <v>196.71299999999999</v>
      </c>
      <c r="BC75" s="572">
        <v>0</v>
      </c>
      <c r="BD75" s="572">
        <v>0</v>
      </c>
      <c r="BE75" s="49"/>
      <c r="BG75" s="119" t="e">
        <f t="shared" si="22"/>
        <v>#DIV/0!</v>
      </c>
      <c r="BH75" s="120" t="e">
        <f t="shared" si="22"/>
        <v>#DIV/0!</v>
      </c>
      <c r="BI75" s="120">
        <f t="shared" si="8"/>
        <v>0</v>
      </c>
      <c r="BJ75" s="121">
        <f t="array" ref="BJ75">AVERAGE(AP75:AP79/AO75:AO79) - AVERAGE(Q75:Q79/P75:P79)</f>
        <v>0</v>
      </c>
      <c r="BL75" s="103"/>
      <c r="BM75" s="104"/>
      <c r="BN75" s="104"/>
      <c r="BO75" s="139">
        <f>IF( OR(ISBLANK($S75:$S79),ISBLANK($AR75:$AR79), ISBLANK($W75:$W79),ISBLANK($AV75:$AV79)), "·", bdRateHermite($S75:$S79,$W75:$W79, $AR75:$AR79,$AV75:$AV79))</f>
        <v>0</v>
      </c>
      <c r="BQ75" s="137"/>
      <c r="BR75" s="138"/>
      <c r="BS75" s="138"/>
      <c r="BT75" s="139">
        <f>IF( OR(ISBLANK($S75:$S79),ISBLANK($AR75:$AR79), ISBLANK($AA75:$AA79),ISBLANK($AZ75:$AZ79)), "·", bdRateHermite($S75:$S79,$AA75:$AA79, $AR75:$AR79,$AZ75:$AZ79))</f>
        <v>0</v>
      </c>
      <c r="BV75" s="137"/>
      <c r="BW75" s="138"/>
      <c r="BX75" s="138"/>
      <c r="BY75" s="139">
        <f>IF(OR(ISBLANK($P75:$P79),ISBLANK($AO75:$AO79),ISBLANK($W75:$W79),ISBLANK($AV75:$AV79)),"·",bdRateHermite($P75:$P79,$W75:$W79,$AO75:$AO79,$AV75:$AV79))</f>
        <v>0</v>
      </c>
      <c r="CA75" s="137"/>
      <c r="CB75" s="138"/>
      <c r="CC75" s="138"/>
      <c r="CD75" s="139">
        <f>IF( OR(ISBLANK($P75:$P79),ISBLANK($AO75:$AO79), ISBLANK($AA75:$AA79),ISBLANK($AZ75:$AZ79)), "·", bdRateHermite( $P75:$P79,$AA75:$AA79, $AO75:$AO79,$AZ75:$AZ79))</f>
        <v>0</v>
      </c>
    </row>
    <row r="76" spans="1:82" outlineLevel="1">
      <c r="A76" s="13"/>
      <c r="B76" s="14" t="s">
        <v>469</v>
      </c>
      <c r="C76" s="15" t="s">
        <v>132</v>
      </c>
      <c r="D76" s="14">
        <v>59935680</v>
      </c>
      <c r="E76" s="15">
        <v>18</v>
      </c>
      <c r="F76" s="15">
        <v>600</v>
      </c>
      <c r="G76" s="16">
        <v>10</v>
      </c>
      <c r="I76" s="30">
        <f t="shared" si="0"/>
        <v>20.468570933333332</v>
      </c>
      <c r="J76" s="31">
        <f t="shared" si="1"/>
        <v>20.490536788770896</v>
      </c>
      <c r="K76" s="31">
        <f t="shared" si="2"/>
        <v>18.942545208463471</v>
      </c>
      <c r="L76" s="105"/>
      <c r="M76" s="31">
        <f t="shared" si="3"/>
        <v>1.5405524055120423</v>
      </c>
      <c r="N76" s="31">
        <f t="shared" si="4"/>
        <v>20.490536788770896</v>
      </c>
      <c r="O76" s="521">
        <v>59935680</v>
      </c>
      <c r="P76" s="503">
        <v>1228114256</v>
      </c>
      <c r="Q76" s="373">
        <v>1135334328</v>
      </c>
      <c r="R76" s="106"/>
      <c r="S76" s="357">
        <v>92334056</v>
      </c>
      <c r="T76" s="105"/>
      <c r="U76" s="106"/>
      <c r="V76" s="106"/>
      <c r="W76" s="358">
        <v>83.551772999999997</v>
      </c>
      <c r="X76" s="105"/>
      <c r="Y76" s="106"/>
      <c r="Z76" s="106"/>
      <c r="AA76" s="515">
        <v>78.268180999999998</v>
      </c>
      <c r="AB76" s="507"/>
      <c r="AC76" s="359"/>
      <c r="AD76" s="573">
        <v>0</v>
      </c>
      <c r="AE76" s="573">
        <v>0</v>
      </c>
      <c r="AF76" s="33"/>
      <c r="AH76" s="30">
        <f t="shared" si="5"/>
        <v>20.468570933333332</v>
      </c>
      <c r="AI76" s="31">
        <f t="shared" si="18"/>
        <v>20.490536788770896</v>
      </c>
      <c r="AJ76" s="31">
        <f t="shared" si="19"/>
        <v>18.942545208463471</v>
      </c>
      <c r="AK76" s="105" t="str">
        <f t="shared" si="20"/>
        <v>·</v>
      </c>
      <c r="AL76" s="31">
        <f t="shared" si="21"/>
        <v>1.5405524055120423</v>
      </c>
      <c r="AM76" s="31">
        <f t="shared" si="13"/>
        <v>20.490536788770896</v>
      </c>
      <c r="AN76" s="521">
        <v>59935680</v>
      </c>
      <c r="AO76" s="503">
        <v>1228114256</v>
      </c>
      <c r="AP76" s="373">
        <v>1135334328</v>
      </c>
      <c r="AQ76" s="106"/>
      <c r="AR76" s="357">
        <v>92334056</v>
      </c>
      <c r="AS76" s="105"/>
      <c r="AT76" s="106"/>
      <c r="AU76" s="106"/>
      <c r="AV76" s="358">
        <v>83.551772999999997</v>
      </c>
      <c r="AW76" s="105"/>
      <c r="AX76" s="106"/>
      <c r="AY76" s="106"/>
      <c r="AZ76" s="515">
        <v>78.268180999999998</v>
      </c>
      <c r="BA76" s="507">
        <v>521.31899999999951</v>
      </c>
      <c r="BB76" s="359">
        <v>208.38100000000003</v>
      </c>
      <c r="BC76" s="573">
        <v>0</v>
      </c>
      <c r="BD76" s="573">
        <v>0</v>
      </c>
      <c r="BE76" s="33"/>
      <c r="BG76" s="122" t="e">
        <f t="shared" si="22"/>
        <v>#DIV/0!</v>
      </c>
      <c r="BH76" s="123" t="e">
        <f t="shared" si="22"/>
        <v>#DIV/0!</v>
      </c>
      <c r="BI76" s="123">
        <f t="shared" si="8"/>
        <v>0</v>
      </c>
      <c r="BJ76" s="124"/>
      <c r="BL76" s="105"/>
      <c r="BM76" s="106"/>
      <c r="BN76" s="106"/>
      <c r="BO76" s="107"/>
      <c r="BQ76" s="105"/>
      <c r="BR76" s="106"/>
      <c r="BS76" s="106"/>
      <c r="BT76" s="107"/>
      <c r="BV76" s="105"/>
      <c r="BW76" s="106"/>
      <c r="BX76" s="106"/>
      <c r="BY76" s="107"/>
      <c r="CA76" s="105"/>
      <c r="CB76" s="106"/>
      <c r="CC76" s="106"/>
      <c r="CD76" s="107"/>
    </row>
    <row r="77" spans="1:82" outlineLevel="1">
      <c r="A77" s="13"/>
      <c r="B77" s="14" t="s">
        <v>467</v>
      </c>
      <c r="C77" s="15" t="s">
        <v>133</v>
      </c>
      <c r="D77" s="14">
        <v>59935680</v>
      </c>
      <c r="E77" s="15">
        <v>18</v>
      </c>
      <c r="F77" s="15">
        <v>600</v>
      </c>
      <c r="G77" s="16">
        <v>10</v>
      </c>
      <c r="I77" s="30">
        <f t="shared" si="0"/>
        <v>21.217258133333331</v>
      </c>
      <c r="J77" s="31">
        <f t="shared" si="1"/>
        <v>21.240027442751963</v>
      </c>
      <c r="K77" s="31">
        <f t="shared" si="2"/>
        <v>18.942545208463471</v>
      </c>
      <c r="L77" s="105"/>
      <c r="M77" s="31">
        <f t="shared" si="3"/>
        <v>2.2900578753757359</v>
      </c>
      <c r="N77" s="31">
        <f t="shared" si="4"/>
        <v>21.240027442751963</v>
      </c>
      <c r="O77" s="521">
        <v>59935680</v>
      </c>
      <c r="P77" s="503">
        <v>1273035488</v>
      </c>
      <c r="Q77" s="373">
        <v>1135334328</v>
      </c>
      <c r="R77" s="106"/>
      <c r="S77" s="357">
        <v>137256176</v>
      </c>
      <c r="T77" s="105"/>
      <c r="U77" s="106"/>
      <c r="V77" s="106"/>
      <c r="W77" s="358">
        <v>89.283546000000001</v>
      </c>
      <c r="X77" s="105"/>
      <c r="Y77" s="106"/>
      <c r="Z77" s="106"/>
      <c r="AA77" s="515">
        <v>84.288764999999998</v>
      </c>
      <c r="AB77" s="507"/>
      <c r="AC77" s="359"/>
      <c r="AD77" s="573">
        <v>0</v>
      </c>
      <c r="AE77" s="573">
        <v>0</v>
      </c>
      <c r="AF77" s="33"/>
      <c r="AH77" s="30">
        <f t="shared" si="5"/>
        <v>21.217258133333331</v>
      </c>
      <c r="AI77" s="31">
        <f t="shared" si="18"/>
        <v>21.240027442751963</v>
      </c>
      <c r="AJ77" s="31">
        <f t="shared" si="19"/>
        <v>18.942545208463471</v>
      </c>
      <c r="AK77" s="105" t="str">
        <f t="shared" si="20"/>
        <v>·</v>
      </c>
      <c r="AL77" s="31">
        <f t="shared" si="21"/>
        <v>2.2900578753757359</v>
      </c>
      <c r="AM77" s="31">
        <f t="shared" si="13"/>
        <v>21.240027442751963</v>
      </c>
      <c r="AN77" s="521">
        <v>59935680</v>
      </c>
      <c r="AO77" s="503">
        <v>1273035488</v>
      </c>
      <c r="AP77" s="373">
        <v>1135334328</v>
      </c>
      <c r="AQ77" s="106"/>
      <c r="AR77" s="357">
        <v>137256176</v>
      </c>
      <c r="AS77" s="105"/>
      <c r="AT77" s="106"/>
      <c r="AU77" s="106"/>
      <c r="AV77" s="358">
        <v>89.283546000000001</v>
      </c>
      <c r="AW77" s="105"/>
      <c r="AX77" s="106"/>
      <c r="AY77" s="106"/>
      <c r="AZ77" s="515">
        <v>84.288764999999998</v>
      </c>
      <c r="BA77" s="507">
        <v>426.08000000000061</v>
      </c>
      <c r="BB77" s="359">
        <v>206.04600000000013</v>
      </c>
      <c r="BC77" s="573">
        <v>0</v>
      </c>
      <c r="BD77" s="573">
        <v>0</v>
      </c>
      <c r="BE77" s="33"/>
      <c r="BG77" s="122" t="e">
        <f t="shared" si="22"/>
        <v>#DIV/0!</v>
      </c>
      <c r="BH77" s="123" t="e">
        <f t="shared" si="22"/>
        <v>#DIV/0!</v>
      </c>
      <c r="BI77" s="123">
        <f t="shared" si="8"/>
        <v>0</v>
      </c>
      <c r="BJ77" s="124"/>
      <c r="BL77" s="105"/>
      <c r="BM77" s="106"/>
      <c r="BN77" s="106"/>
      <c r="BO77" s="107"/>
      <c r="BQ77" s="105"/>
      <c r="BR77" s="106"/>
      <c r="BS77" s="106"/>
      <c r="BT77" s="107"/>
      <c r="BV77" s="105"/>
      <c r="BW77" s="106"/>
      <c r="BX77" s="106"/>
      <c r="BY77" s="107"/>
      <c r="CA77" s="105"/>
      <c r="CB77" s="106"/>
      <c r="CC77" s="106"/>
      <c r="CD77" s="107"/>
    </row>
    <row r="78" spans="1:82" outlineLevel="1">
      <c r="A78" s="13"/>
      <c r="B78" s="14" t="s">
        <v>467</v>
      </c>
      <c r="C78" s="15" t="s">
        <v>134</v>
      </c>
      <c r="D78" s="14">
        <v>59935680</v>
      </c>
      <c r="E78" s="15">
        <v>18</v>
      </c>
      <c r="F78" s="15">
        <v>600</v>
      </c>
      <c r="G78" s="16">
        <v>10</v>
      </c>
      <c r="I78" s="30">
        <f t="shared" si="0"/>
        <v>22.08659066666667</v>
      </c>
      <c r="J78" s="31">
        <f t="shared" si="1"/>
        <v>22.110292900656169</v>
      </c>
      <c r="K78" s="31">
        <f t="shared" si="2"/>
        <v>18.942545208463471</v>
      </c>
      <c r="L78" s="105"/>
      <c r="M78" s="31">
        <f t="shared" si="3"/>
        <v>3.1603233332799427</v>
      </c>
      <c r="N78" s="31">
        <f t="shared" si="4"/>
        <v>22.110292900656169</v>
      </c>
      <c r="O78" s="521">
        <v>59935680</v>
      </c>
      <c r="P78" s="503">
        <v>1325195440</v>
      </c>
      <c r="Q78" s="373">
        <v>1135334328</v>
      </c>
      <c r="R78" s="106"/>
      <c r="S78" s="357">
        <v>189416128</v>
      </c>
      <c r="T78" s="105"/>
      <c r="U78" s="106"/>
      <c r="V78" s="106"/>
      <c r="W78" s="358">
        <v>94.785117999999997</v>
      </c>
      <c r="X78" s="105"/>
      <c r="Y78" s="106"/>
      <c r="Z78" s="106"/>
      <c r="AA78" s="515">
        <v>90.308655000000002</v>
      </c>
      <c r="AB78" s="507"/>
      <c r="AC78" s="359"/>
      <c r="AD78" s="573">
        <v>0</v>
      </c>
      <c r="AE78" s="573">
        <v>0</v>
      </c>
      <c r="AF78" s="33"/>
      <c r="AH78" s="30">
        <f t="shared" si="5"/>
        <v>22.08659066666667</v>
      </c>
      <c r="AI78" s="31">
        <f t="shared" si="18"/>
        <v>22.110292900656169</v>
      </c>
      <c r="AJ78" s="31">
        <f t="shared" si="19"/>
        <v>18.942545208463471</v>
      </c>
      <c r="AK78" s="105" t="str">
        <f t="shared" si="20"/>
        <v>·</v>
      </c>
      <c r="AL78" s="31">
        <f t="shared" si="21"/>
        <v>3.1603233332799427</v>
      </c>
      <c r="AM78" s="31">
        <f t="shared" si="13"/>
        <v>22.110292900656169</v>
      </c>
      <c r="AN78" s="521">
        <v>59935680</v>
      </c>
      <c r="AO78" s="503">
        <v>1325195440</v>
      </c>
      <c r="AP78" s="373">
        <v>1135334328</v>
      </c>
      <c r="AQ78" s="106"/>
      <c r="AR78" s="357">
        <v>189416128</v>
      </c>
      <c r="AS78" s="105"/>
      <c r="AT78" s="106"/>
      <c r="AU78" s="106"/>
      <c r="AV78" s="358">
        <v>94.785117999999997</v>
      </c>
      <c r="AW78" s="105"/>
      <c r="AX78" s="106"/>
      <c r="AY78" s="106"/>
      <c r="AZ78" s="515">
        <v>90.308655000000002</v>
      </c>
      <c r="BA78" s="507">
        <v>523.43100000000061</v>
      </c>
      <c r="BB78" s="359">
        <v>212.3420000000003</v>
      </c>
      <c r="BC78" s="573">
        <v>0</v>
      </c>
      <c r="BD78" s="573">
        <v>0</v>
      </c>
      <c r="BE78" s="33"/>
      <c r="BG78" s="122" t="e">
        <f t="shared" si="22"/>
        <v>#DIV/0!</v>
      </c>
      <c r="BH78" s="123" t="e">
        <f t="shared" si="22"/>
        <v>#DIV/0!</v>
      </c>
      <c r="BI78" s="123">
        <f t="shared" si="8"/>
        <v>0</v>
      </c>
      <c r="BJ78" s="124"/>
      <c r="BL78" s="105"/>
      <c r="BM78" s="106"/>
      <c r="BN78" s="106"/>
      <c r="BO78" s="107"/>
      <c r="BQ78" s="105"/>
      <c r="BR78" s="106"/>
      <c r="BS78" s="106"/>
      <c r="BT78" s="107"/>
      <c r="BV78" s="105"/>
      <c r="BW78" s="106"/>
      <c r="BX78" s="106"/>
      <c r="BY78" s="107"/>
      <c r="CA78" s="105"/>
      <c r="CB78" s="106"/>
      <c r="CC78" s="106"/>
      <c r="CD78" s="107"/>
    </row>
    <row r="79" spans="1:82" ht="14.25" outlineLevel="1" thickBot="1">
      <c r="A79" s="13"/>
      <c r="B79" s="18" t="s">
        <v>467</v>
      </c>
      <c r="C79" s="19" t="s">
        <v>135</v>
      </c>
      <c r="D79" s="14">
        <v>59935680</v>
      </c>
      <c r="E79" s="19">
        <v>18</v>
      </c>
      <c r="F79" s="19">
        <v>600</v>
      </c>
      <c r="G79" s="20">
        <v>10</v>
      </c>
      <c r="I79" s="38">
        <f t="shared" si="0"/>
        <v>23.137575733333335</v>
      </c>
      <c r="J79" s="39">
        <f t="shared" si="1"/>
        <v>23.162405832385652</v>
      </c>
      <c r="K79" s="39">
        <f t="shared" si="2"/>
        <v>18.942545208463471</v>
      </c>
      <c r="L79" s="108"/>
      <c r="M79" s="39">
        <f t="shared" si="3"/>
        <v>4.2124532165147706</v>
      </c>
      <c r="N79" s="39">
        <f t="shared" si="4"/>
        <v>23.162405832385652</v>
      </c>
      <c r="O79" s="521">
        <v>59935680</v>
      </c>
      <c r="P79" s="505">
        <v>1388254544</v>
      </c>
      <c r="Q79" s="375">
        <v>1135334328</v>
      </c>
      <c r="R79" s="109"/>
      <c r="S79" s="361">
        <v>252476248</v>
      </c>
      <c r="T79" s="108"/>
      <c r="U79" s="109"/>
      <c r="V79" s="109"/>
      <c r="W79" s="362">
        <v>99.523101999999994</v>
      </c>
      <c r="X79" s="108"/>
      <c r="Y79" s="109"/>
      <c r="Z79" s="109"/>
      <c r="AA79" s="517">
        <v>96.329025000000001</v>
      </c>
      <c r="AB79" s="509"/>
      <c r="AC79" s="363"/>
      <c r="AD79" s="575">
        <v>0</v>
      </c>
      <c r="AE79" s="575">
        <v>0</v>
      </c>
      <c r="AF79" s="41"/>
      <c r="AH79" s="34">
        <f t="shared" si="5"/>
        <v>23.137575733333335</v>
      </c>
      <c r="AI79" s="35">
        <f t="shared" si="18"/>
        <v>23.162405832385652</v>
      </c>
      <c r="AJ79" s="35">
        <f t="shared" si="19"/>
        <v>18.942545208463471</v>
      </c>
      <c r="AK79" s="108" t="str">
        <f t="shared" si="20"/>
        <v>·</v>
      </c>
      <c r="AL79" s="35">
        <f t="shared" si="21"/>
        <v>4.2124532165147706</v>
      </c>
      <c r="AM79" s="35">
        <f t="shared" si="13"/>
        <v>23.162405832385652</v>
      </c>
      <c r="AN79" s="521">
        <v>59935680</v>
      </c>
      <c r="AO79" s="505">
        <v>1388254544</v>
      </c>
      <c r="AP79" s="375">
        <v>1135334328</v>
      </c>
      <c r="AQ79" s="109"/>
      <c r="AR79" s="361">
        <v>252476248</v>
      </c>
      <c r="AS79" s="108"/>
      <c r="AT79" s="109"/>
      <c r="AU79" s="109"/>
      <c r="AV79" s="362">
        <v>99.523101999999994</v>
      </c>
      <c r="AW79" s="108"/>
      <c r="AX79" s="109"/>
      <c r="AY79" s="109"/>
      <c r="AZ79" s="517">
        <v>96.329025000000001</v>
      </c>
      <c r="BA79" s="509">
        <v>435.66100000000029</v>
      </c>
      <c r="BB79" s="363">
        <v>180.06200000000035</v>
      </c>
      <c r="BC79" s="575">
        <v>0</v>
      </c>
      <c r="BD79" s="575">
        <v>0</v>
      </c>
      <c r="BE79" s="37"/>
      <c r="BG79" s="125" t="e">
        <f t="shared" si="22"/>
        <v>#DIV/0!</v>
      </c>
      <c r="BH79" s="126" t="e">
        <f t="shared" si="22"/>
        <v>#DIV/0!</v>
      </c>
      <c r="BI79" s="126">
        <f t="shared" si="8"/>
        <v>0</v>
      </c>
      <c r="BJ79" s="127"/>
      <c r="BL79" s="108"/>
      <c r="BM79" s="109"/>
      <c r="BN79" s="109"/>
      <c r="BO79" s="110"/>
      <c r="BQ79" s="108"/>
      <c r="BR79" s="109"/>
      <c r="BS79" s="109"/>
      <c r="BT79" s="110"/>
      <c r="BV79" s="108"/>
      <c r="BW79" s="109"/>
      <c r="BX79" s="109"/>
      <c r="BY79" s="110"/>
      <c r="CA79" s="108"/>
      <c r="CB79" s="109"/>
      <c r="CC79" s="109"/>
      <c r="CD79" s="110"/>
    </row>
    <row r="80" spans="1:82">
      <c r="A80" s="13"/>
      <c r="B80" s="24" t="s">
        <v>473</v>
      </c>
      <c r="C80" s="25" t="s">
        <v>131</v>
      </c>
      <c r="D80" s="27">
        <v>59948032</v>
      </c>
      <c r="E80" s="25">
        <v>18</v>
      </c>
      <c r="F80" s="25">
        <v>600</v>
      </c>
      <c r="G80" s="26">
        <v>10</v>
      </c>
      <c r="I80" s="46">
        <f t="shared" si="0"/>
        <v>20.904415733333334</v>
      </c>
      <c r="J80" s="47">
        <f t="shared" si="1"/>
        <v>20.922537440428403</v>
      </c>
      <c r="K80" s="47">
        <f t="shared" si="2"/>
        <v>20.032813087175239</v>
      </c>
      <c r="L80" s="137"/>
      <c r="M80" s="47">
        <f t="shared" si="3"/>
        <v>0.88228457608082944</v>
      </c>
      <c r="N80" s="47">
        <f t="shared" si="4"/>
        <v>20.922537440428403</v>
      </c>
      <c r="O80" s="520">
        <v>59948032</v>
      </c>
      <c r="P80" s="519">
        <v>1254264944</v>
      </c>
      <c r="Q80" s="376">
        <v>1200927720</v>
      </c>
      <c r="R80" s="138"/>
      <c r="S80" s="365">
        <v>52891224</v>
      </c>
      <c r="T80" s="137"/>
      <c r="U80" s="138"/>
      <c r="V80" s="138"/>
      <c r="W80" s="366">
        <v>77.807616999999993</v>
      </c>
      <c r="X80" s="137"/>
      <c r="Y80" s="138"/>
      <c r="Z80" s="138"/>
      <c r="AA80" s="518">
        <v>72.246467999999993</v>
      </c>
      <c r="AB80" s="510"/>
      <c r="AC80" s="367"/>
      <c r="AD80" s="576">
        <v>0</v>
      </c>
      <c r="AE80" s="576">
        <v>0</v>
      </c>
      <c r="AF80" s="49"/>
      <c r="AH80" s="42">
        <f t="shared" si="5"/>
        <v>20.904415733333334</v>
      </c>
      <c r="AI80" s="43">
        <f t="shared" si="18"/>
        <v>20.922537440428403</v>
      </c>
      <c r="AJ80" s="43">
        <f t="shared" si="19"/>
        <v>20.032813087175239</v>
      </c>
      <c r="AK80" s="137" t="str">
        <f t="shared" si="20"/>
        <v>·</v>
      </c>
      <c r="AL80" s="43">
        <f t="shared" si="21"/>
        <v>0.88228457608082944</v>
      </c>
      <c r="AM80" s="43">
        <f t="shared" si="13"/>
        <v>20.922537440428403</v>
      </c>
      <c r="AN80" s="520">
        <v>59948032</v>
      </c>
      <c r="AO80" s="519">
        <v>1254264944</v>
      </c>
      <c r="AP80" s="376">
        <v>1200927720</v>
      </c>
      <c r="AQ80" s="138"/>
      <c r="AR80" s="365">
        <v>52891224</v>
      </c>
      <c r="AS80" s="137"/>
      <c r="AT80" s="138"/>
      <c r="AU80" s="138"/>
      <c r="AV80" s="366">
        <v>77.807616999999993</v>
      </c>
      <c r="AW80" s="137"/>
      <c r="AX80" s="138"/>
      <c r="AY80" s="138"/>
      <c r="AZ80" s="518">
        <v>72.246467999999993</v>
      </c>
      <c r="BA80" s="510">
        <v>526.9640000000004</v>
      </c>
      <c r="BB80" s="367">
        <v>188.06399999999991</v>
      </c>
      <c r="BC80" s="576">
        <v>0</v>
      </c>
      <c r="BD80" s="576">
        <v>0</v>
      </c>
      <c r="BE80" s="45"/>
      <c r="BG80" s="131" t="e">
        <f t="shared" si="22"/>
        <v>#DIV/0!</v>
      </c>
      <c r="BH80" s="132" t="e">
        <f t="shared" si="22"/>
        <v>#DIV/0!</v>
      </c>
      <c r="BI80" s="132">
        <f t="shared" si="8"/>
        <v>0</v>
      </c>
      <c r="BJ80" s="133">
        <f t="array" ref="BJ80">AVERAGE(AP80:AP84/AO80:AO84) - AVERAGE(Q80:Q84/P80:P84)</f>
        <v>0</v>
      </c>
      <c r="BL80" s="137"/>
      <c r="BM80" s="138"/>
      <c r="BN80" s="138"/>
      <c r="BO80" s="139">
        <f>IF( OR(ISBLANK($S80:$S84),ISBLANK($AR80:$AR84), ISBLANK($W80:$W84),ISBLANK($AV80:$AV84)), "·", bdRateHermite($S80:$S84,$W80:$W84, $AR80:$AR84,$AV80:$AV84))</f>
        <v>0</v>
      </c>
      <c r="BQ80" s="137"/>
      <c r="BR80" s="138"/>
      <c r="BS80" s="138"/>
      <c r="BT80" s="139">
        <f>IF( OR(ISBLANK($S80:$S84),ISBLANK($AR80:$AR84), ISBLANK($AA80:$AA84),ISBLANK($AZ80:$AZ84)), "·", bdRateHermite($S80:$S84,$AA80:$AA84, $AR80:$AR84,$AZ80:$AZ84))</f>
        <v>0</v>
      </c>
      <c r="BV80" s="137"/>
      <c r="BW80" s="138"/>
      <c r="BX80" s="138"/>
      <c r="BY80" s="139">
        <f>IF(OR(ISBLANK($P80:$P84),ISBLANK($AO80:$AO84),ISBLANK($W80:$W84),ISBLANK($AV80:$AV84)),"·",bdRateHermite($P80:$P84,$W80:$W84,$AO80:$AO84,$AV80:$AV84))</f>
        <v>0</v>
      </c>
      <c r="CA80" s="137"/>
      <c r="CB80" s="138"/>
      <c r="CC80" s="138"/>
      <c r="CD80" s="139">
        <f>IF( OR(ISBLANK($P80:$P84),ISBLANK($AO80:$AO84), ISBLANK($AA80:$AA84),ISBLANK($AZ80:$AZ84)), "·", bdRateHermite( $P80:$P84,$AA80:$AA84, $AO80:$AO84,$AZ80:$AZ84))</f>
        <v>0</v>
      </c>
    </row>
    <row r="81" spans="1:82" outlineLevel="1">
      <c r="A81" s="13"/>
      <c r="B81" s="14" t="s">
        <v>468</v>
      </c>
      <c r="C81" s="15" t="s">
        <v>132</v>
      </c>
      <c r="D81" s="24">
        <v>59948032</v>
      </c>
      <c r="E81" s="15">
        <v>18</v>
      </c>
      <c r="F81" s="15">
        <v>600</v>
      </c>
      <c r="G81" s="16">
        <v>10</v>
      </c>
      <c r="I81" s="30">
        <f t="shared" si="0"/>
        <v>21.574364533333334</v>
      </c>
      <c r="J81" s="31">
        <f t="shared" si="1"/>
        <v>21.593067008438243</v>
      </c>
      <c r="K81" s="31">
        <f t="shared" si="2"/>
        <v>20.032813087175239</v>
      </c>
      <c r="L81" s="105"/>
      <c r="M81" s="31">
        <f t="shared" si="3"/>
        <v>1.5528141440906684</v>
      </c>
      <c r="N81" s="31">
        <f t="shared" si="4"/>
        <v>21.593067008438243</v>
      </c>
      <c r="O81" s="523">
        <v>59948032</v>
      </c>
      <c r="P81" s="503">
        <v>1294461872</v>
      </c>
      <c r="Q81" s="373">
        <v>1200927720</v>
      </c>
      <c r="R81" s="106"/>
      <c r="S81" s="357">
        <v>93088152</v>
      </c>
      <c r="T81" s="105"/>
      <c r="U81" s="106"/>
      <c r="V81" s="106"/>
      <c r="W81" s="358">
        <v>83.353226000000006</v>
      </c>
      <c r="X81" s="105"/>
      <c r="Y81" s="106"/>
      <c r="Z81" s="106"/>
      <c r="AA81" s="515">
        <v>78.268180999999998</v>
      </c>
      <c r="AB81" s="507"/>
      <c r="AC81" s="359"/>
      <c r="AD81" s="573">
        <v>0</v>
      </c>
      <c r="AE81" s="573">
        <v>0</v>
      </c>
      <c r="AF81" s="33"/>
      <c r="AH81" s="30">
        <f t="shared" si="5"/>
        <v>21.574364533333334</v>
      </c>
      <c r="AI81" s="31">
        <f t="shared" si="18"/>
        <v>21.593067008438243</v>
      </c>
      <c r="AJ81" s="31">
        <f t="shared" si="19"/>
        <v>20.032813087175239</v>
      </c>
      <c r="AK81" s="105" t="str">
        <f t="shared" si="20"/>
        <v>·</v>
      </c>
      <c r="AL81" s="31">
        <f t="shared" si="21"/>
        <v>1.5528141440906684</v>
      </c>
      <c r="AM81" s="31">
        <f t="shared" si="13"/>
        <v>21.593067008438243</v>
      </c>
      <c r="AN81" s="523">
        <v>59948032</v>
      </c>
      <c r="AO81" s="503">
        <v>1294461872</v>
      </c>
      <c r="AP81" s="373">
        <v>1200927720</v>
      </c>
      <c r="AQ81" s="106"/>
      <c r="AR81" s="357">
        <v>93088152</v>
      </c>
      <c r="AS81" s="105"/>
      <c r="AT81" s="106"/>
      <c r="AU81" s="106"/>
      <c r="AV81" s="358">
        <v>83.353226000000006</v>
      </c>
      <c r="AW81" s="105"/>
      <c r="AX81" s="106"/>
      <c r="AY81" s="106"/>
      <c r="AZ81" s="515">
        <v>78.268180999999998</v>
      </c>
      <c r="BA81" s="507">
        <v>517.20099999999979</v>
      </c>
      <c r="BB81" s="359">
        <v>194.58900000000003</v>
      </c>
      <c r="BC81" s="573">
        <v>0</v>
      </c>
      <c r="BD81" s="573">
        <v>0</v>
      </c>
      <c r="BE81" s="33"/>
      <c r="BG81" s="122" t="e">
        <f t="shared" si="22"/>
        <v>#DIV/0!</v>
      </c>
      <c r="BH81" s="123" t="e">
        <f t="shared" si="22"/>
        <v>#DIV/0!</v>
      </c>
      <c r="BI81" s="123">
        <f t="shared" si="8"/>
        <v>0</v>
      </c>
      <c r="BJ81" s="124"/>
      <c r="BL81" s="105"/>
      <c r="BM81" s="106"/>
      <c r="BN81" s="106"/>
      <c r="BO81" s="107"/>
      <c r="BQ81" s="105"/>
      <c r="BR81" s="106"/>
      <c r="BS81" s="106"/>
      <c r="BT81" s="107"/>
      <c r="BV81" s="105"/>
      <c r="BW81" s="106"/>
      <c r="BX81" s="106"/>
      <c r="BY81" s="107"/>
      <c r="CA81" s="105"/>
      <c r="CB81" s="106"/>
      <c r="CC81" s="106"/>
      <c r="CD81" s="107"/>
    </row>
    <row r="82" spans="1:82" outlineLevel="1">
      <c r="A82" s="13"/>
      <c r="B82" s="14" t="s">
        <v>468</v>
      </c>
      <c r="C82" s="15" t="s">
        <v>133</v>
      </c>
      <c r="D82" s="24">
        <v>59948032</v>
      </c>
      <c r="E82" s="15">
        <v>18</v>
      </c>
      <c r="F82" s="15">
        <v>600</v>
      </c>
      <c r="G82" s="16">
        <v>10</v>
      </c>
      <c r="I82" s="30">
        <f t="shared" si="0"/>
        <v>22.373289733333333</v>
      </c>
      <c r="J82" s="31">
        <f t="shared" si="1"/>
        <v>22.392684784047624</v>
      </c>
      <c r="K82" s="31">
        <f t="shared" si="2"/>
        <v>20.032813087175239</v>
      </c>
      <c r="L82" s="105"/>
      <c r="M82" s="31">
        <f t="shared" si="3"/>
        <v>2.3524440635515775</v>
      </c>
      <c r="N82" s="31">
        <f t="shared" si="4"/>
        <v>22.392684784047624</v>
      </c>
      <c r="O82" s="523">
        <v>59948032</v>
      </c>
      <c r="P82" s="503">
        <v>1342397384</v>
      </c>
      <c r="Q82" s="373">
        <v>1200927720</v>
      </c>
      <c r="R82" s="106"/>
      <c r="S82" s="357">
        <v>141024392</v>
      </c>
      <c r="T82" s="105"/>
      <c r="U82" s="106"/>
      <c r="V82" s="106"/>
      <c r="W82" s="358">
        <v>89.100082</v>
      </c>
      <c r="X82" s="105"/>
      <c r="Y82" s="106"/>
      <c r="Z82" s="106"/>
      <c r="AA82" s="515">
        <v>84.288764999999998</v>
      </c>
      <c r="AB82" s="507"/>
      <c r="AC82" s="359"/>
      <c r="AD82" s="573">
        <v>0</v>
      </c>
      <c r="AE82" s="573">
        <v>0</v>
      </c>
      <c r="AF82" s="33"/>
      <c r="AH82" s="30">
        <f t="shared" si="5"/>
        <v>22.373289733333333</v>
      </c>
      <c r="AI82" s="31">
        <f t="shared" si="18"/>
        <v>22.392684784047624</v>
      </c>
      <c r="AJ82" s="31">
        <f t="shared" si="19"/>
        <v>20.032813087175239</v>
      </c>
      <c r="AK82" s="105" t="str">
        <f t="shared" si="20"/>
        <v>·</v>
      </c>
      <c r="AL82" s="31">
        <f t="shared" si="21"/>
        <v>2.3524440635515775</v>
      </c>
      <c r="AM82" s="31">
        <f t="shared" si="13"/>
        <v>22.392684784047624</v>
      </c>
      <c r="AN82" s="523">
        <v>59948032</v>
      </c>
      <c r="AO82" s="503">
        <v>1342397384</v>
      </c>
      <c r="AP82" s="373">
        <v>1200927720</v>
      </c>
      <c r="AQ82" s="106"/>
      <c r="AR82" s="357">
        <v>141024392</v>
      </c>
      <c r="AS82" s="105"/>
      <c r="AT82" s="106"/>
      <c r="AU82" s="106"/>
      <c r="AV82" s="358">
        <v>89.100082</v>
      </c>
      <c r="AW82" s="105"/>
      <c r="AX82" s="106"/>
      <c r="AY82" s="106"/>
      <c r="AZ82" s="515">
        <v>84.288764999999998</v>
      </c>
      <c r="BA82" s="507">
        <v>538.97699999999998</v>
      </c>
      <c r="BB82" s="359">
        <v>189.01500000000007</v>
      </c>
      <c r="BC82" s="573">
        <v>0</v>
      </c>
      <c r="BD82" s="573">
        <v>0</v>
      </c>
      <c r="BE82" s="33"/>
      <c r="BG82" s="122" t="e">
        <f t="shared" si="22"/>
        <v>#DIV/0!</v>
      </c>
      <c r="BH82" s="123" t="e">
        <f t="shared" si="22"/>
        <v>#DIV/0!</v>
      </c>
      <c r="BI82" s="123">
        <f t="shared" si="8"/>
        <v>0</v>
      </c>
      <c r="BJ82" s="124"/>
      <c r="BL82" s="105"/>
      <c r="BM82" s="106"/>
      <c r="BN82" s="106"/>
      <c r="BO82" s="107"/>
      <c r="BQ82" s="105"/>
      <c r="BR82" s="106"/>
      <c r="BS82" s="106"/>
      <c r="BT82" s="107"/>
      <c r="BV82" s="105"/>
      <c r="BW82" s="106"/>
      <c r="BX82" s="106"/>
      <c r="BY82" s="107"/>
      <c r="CA82" s="105"/>
      <c r="CB82" s="106"/>
      <c r="CC82" s="106"/>
      <c r="CD82" s="107"/>
    </row>
    <row r="83" spans="1:82" outlineLevel="1">
      <c r="A83" s="13"/>
      <c r="B83" s="14" t="s">
        <v>468</v>
      </c>
      <c r="C83" s="15" t="s">
        <v>134</v>
      </c>
      <c r="D83" s="24">
        <v>59948032</v>
      </c>
      <c r="E83" s="15">
        <v>18</v>
      </c>
      <c r="F83" s="15">
        <v>600</v>
      </c>
      <c r="G83" s="16">
        <v>10</v>
      </c>
      <c r="I83" s="30">
        <f t="shared" si="0"/>
        <v>23.272213600000001</v>
      </c>
      <c r="J83" s="31">
        <f t="shared" si="1"/>
        <v>23.292387913584886</v>
      </c>
      <c r="K83" s="31">
        <f t="shared" si="2"/>
        <v>20.032813087175239</v>
      </c>
      <c r="L83" s="105"/>
      <c r="M83" s="31">
        <f t="shared" si="3"/>
        <v>3.2521471930888408</v>
      </c>
      <c r="N83" s="31">
        <f t="shared" si="4"/>
        <v>23.292387913584886</v>
      </c>
      <c r="O83" s="523">
        <v>59948032</v>
      </c>
      <c r="P83" s="503">
        <v>1396332816</v>
      </c>
      <c r="Q83" s="373">
        <v>1200927720</v>
      </c>
      <c r="R83" s="106"/>
      <c r="S83" s="357">
        <v>194959824</v>
      </c>
      <c r="T83" s="105"/>
      <c r="U83" s="106"/>
      <c r="V83" s="106"/>
      <c r="W83" s="358">
        <v>94.678047000000007</v>
      </c>
      <c r="X83" s="105"/>
      <c r="Y83" s="106"/>
      <c r="Z83" s="106"/>
      <c r="AA83" s="515">
        <v>90.308655000000002</v>
      </c>
      <c r="AB83" s="507"/>
      <c r="AC83" s="359"/>
      <c r="AD83" s="573">
        <v>0</v>
      </c>
      <c r="AE83" s="573">
        <v>0</v>
      </c>
      <c r="AF83" s="33"/>
      <c r="AH83" s="30">
        <f t="shared" si="5"/>
        <v>23.272213600000001</v>
      </c>
      <c r="AI83" s="31">
        <f t="shared" si="18"/>
        <v>23.292387913584886</v>
      </c>
      <c r="AJ83" s="31">
        <f t="shared" si="19"/>
        <v>20.032813087175239</v>
      </c>
      <c r="AK83" s="105" t="str">
        <f t="shared" si="20"/>
        <v>·</v>
      </c>
      <c r="AL83" s="31">
        <f t="shared" si="21"/>
        <v>3.2521471930888408</v>
      </c>
      <c r="AM83" s="31">
        <f t="shared" si="13"/>
        <v>23.292387913584886</v>
      </c>
      <c r="AN83" s="523">
        <v>59948032</v>
      </c>
      <c r="AO83" s="503">
        <v>1396332816</v>
      </c>
      <c r="AP83" s="373">
        <v>1200927720</v>
      </c>
      <c r="AQ83" s="106"/>
      <c r="AR83" s="357">
        <v>194959824</v>
      </c>
      <c r="AS83" s="105"/>
      <c r="AT83" s="106"/>
      <c r="AU83" s="106"/>
      <c r="AV83" s="358">
        <v>94.678047000000007</v>
      </c>
      <c r="AW83" s="105"/>
      <c r="AX83" s="106"/>
      <c r="AY83" s="106"/>
      <c r="AZ83" s="515">
        <v>90.308655000000002</v>
      </c>
      <c r="BA83" s="507">
        <v>514.79299999999989</v>
      </c>
      <c r="BB83" s="359">
        <v>193.41499999999982</v>
      </c>
      <c r="BC83" s="573">
        <v>0</v>
      </c>
      <c r="BD83" s="573">
        <v>0</v>
      </c>
      <c r="BE83" s="33"/>
      <c r="BG83" s="122" t="e">
        <f t="shared" si="22"/>
        <v>#DIV/0!</v>
      </c>
      <c r="BH83" s="123" t="e">
        <f t="shared" si="22"/>
        <v>#DIV/0!</v>
      </c>
      <c r="BI83" s="123">
        <f t="shared" si="8"/>
        <v>0</v>
      </c>
      <c r="BJ83" s="124"/>
      <c r="BL83" s="105"/>
      <c r="BM83" s="106"/>
      <c r="BN83" s="106"/>
      <c r="BO83" s="107"/>
      <c r="BQ83" s="105"/>
      <c r="BR83" s="106"/>
      <c r="BS83" s="106"/>
      <c r="BT83" s="107"/>
      <c r="BV83" s="105"/>
      <c r="BW83" s="106"/>
      <c r="BX83" s="106"/>
      <c r="BY83" s="107"/>
      <c r="CA83" s="105"/>
      <c r="CB83" s="106"/>
      <c r="CC83" s="106"/>
      <c r="CD83" s="107"/>
    </row>
    <row r="84" spans="1:82" ht="14.25" outlineLevel="1" thickBot="1">
      <c r="A84" s="215"/>
      <c r="B84" s="18" t="s">
        <v>468</v>
      </c>
      <c r="C84" s="19" t="s">
        <v>135</v>
      </c>
      <c r="D84" s="185">
        <v>59948032</v>
      </c>
      <c r="E84" s="19">
        <v>18</v>
      </c>
      <c r="F84" s="19">
        <v>600</v>
      </c>
      <c r="G84" s="20">
        <v>10</v>
      </c>
      <c r="I84" s="34">
        <f t="shared" si="0"/>
        <v>24.360481866666667</v>
      </c>
      <c r="J84" s="35">
        <f t="shared" si="1"/>
        <v>24.381599582785302</v>
      </c>
      <c r="K84" s="35">
        <f t="shared" si="2"/>
        <v>20.032813087175239</v>
      </c>
      <c r="L84" s="108"/>
      <c r="M84" s="35">
        <f t="shared" si="3"/>
        <v>4.3413768778931727</v>
      </c>
      <c r="N84" s="35">
        <f t="shared" si="4"/>
        <v>24.381599582785302</v>
      </c>
      <c r="O84" s="524">
        <v>59948032</v>
      </c>
      <c r="P84" s="505">
        <v>1461628912</v>
      </c>
      <c r="Q84" s="375">
        <v>1200927720</v>
      </c>
      <c r="R84" s="109"/>
      <c r="S84" s="361">
        <v>260257000</v>
      </c>
      <c r="T84" s="108"/>
      <c r="U84" s="109"/>
      <c r="V84" s="109"/>
      <c r="W84" s="362">
        <v>99.443916000000002</v>
      </c>
      <c r="X84" s="108"/>
      <c r="Y84" s="109"/>
      <c r="Z84" s="109"/>
      <c r="AA84" s="517">
        <v>96.329025000000001</v>
      </c>
      <c r="AB84" s="509"/>
      <c r="AC84" s="363"/>
      <c r="AD84" s="575">
        <v>0</v>
      </c>
      <c r="AE84" s="575">
        <v>0</v>
      </c>
      <c r="AF84" s="37"/>
      <c r="AH84" s="34">
        <f t="shared" si="5"/>
        <v>24.360481866666667</v>
      </c>
      <c r="AI84" s="35">
        <f t="shared" si="18"/>
        <v>24.381599582785302</v>
      </c>
      <c r="AJ84" s="35">
        <f t="shared" si="19"/>
        <v>20.032813087175239</v>
      </c>
      <c r="AK84" s="108" t="str">
        <f t="shared" si="20"/>
        <v>·</v>
      </c>
      <c r="AL84" s="35">
        <f t="shared" si="21"/>
        <v>4.3413768778931727</v>
      </c>
      <c r="AM84" s="35">
        <f t="shared" si="13"/>
        <v>24.381599582785302</v>
      </c>
      <c r="AN84" s="524">
        <v>59948032</v>
      </c>
      <c r="AO84" s="505">
        <v>1461628912</v>
      </c>
      <c r="AP84" s="375">
        <v>1200927720</v>
      </c>
      <c r="AQ84" s="109"/>
      <c r="AR84" s="361">
        <v>260257000</v>
      </c>
      <c r="AS84" s="108"/>
      <c r="AT84" s="109"/>
      <c r="AU84" s="109"/>
      <c r="AV84" s="362">
        <v>99.443916000000002</v>
      </c>
      <c r="AW84" s="108"/>
      <c r="AX84" s="109"/>
      <c r="AY84" s="109"/>
      <c r="AZ84" s="517">
        <v>96.329025000000001</v>
      </c>
      <c r="BA84" s="509">
        <v>479.72399999999976</v>
      </c>
      <c r="BB84" s="363">
        <v>214.43400000000017</v>
      </c>
      <c r="BC84" s="575">
        <v>0</v>
      </c>
      <c r="BD84" s="575">
        <v>0</v>
      </c>
      <c r="BE84" s="37"/>
      <c r="BG84" s="125" t="e">
        <f t="shared" si="22"/>
        <v>#DIV/0!</v>
      </c>
      <c r="BH84" s="126" t="e">
        <f t="shared" si="22"/>
        <v>#DIV/0!</v>
      </c>
      <c r="BI84" s="126">
        <f t="shared" si="8"/>
        <v>0</v>
      </c>
      <c r="BJ84" s="127"/>
      <c r="BL84" s="108"/>
      <c r="BM84" s="109"/>
      <c r="BN84" s="109"/>
      <c r="BO84" s="110"/>
      <c r="BQ84" s="108"/>
      <c r="BR84" s="109"/>
      <c r="BS84" s="109"/>
      <c r="BT84" s="110"/>
      <c r="BV84" s="108"/>
      <c r="BW84" s="109"/>
      <c r="BX84" s="109"/>
      <c r="BY84" s="110"/>
      <c r="CA84" s="108"/>
      <c r="CB84" s="109"/>
      <c r="CC84" s="109"/>
      <c r="CD84" s="110"/>
    </row>
    <row r="85" spans="1:82">
      <c r="A85" s="13"/>
      <c r="B85" s="24" t="s">
        <v>813</v>
      </c>
      <c r="C85" s="25" t="s">
        <v>131</v>
      </c>
      <c r="D85" s="27">
        <v>40386600</v>
      </c>
      <c r="E85" s="15">
        <v>20</v>
      </c>
      <c r="F85" s="25">
        <v>387</v>
      </c>
      <c r="G85" s="26">
        <v>20</v>
      </c>
      <c r="I85" s="46">
        <f t="shared" si="0"/>
        <v>31.873248992248062</v>
      </c>
      <c r="J85" s="47">
        <f t="shared" si="1"/>
        <v>15.271089123620211</v>
      </c>
      <c r="K85" s="47">
        <f t="shared" si="2"/>
        <v>14.81315248126854</v>
      </c>
      <c r="L85" s="103"/>
      <c r="M85" s="47">
        <f t="shared" si="3"/>
        <v>0.45076119306898821</v>
      </c>
      <c r="N85" s="47">
        <f t="shared" si="4"/>
        <v>15.271089123620211</v>
      </c>
      <c r="O85" s="521">
        <v>40386600</v>
      </c>
      <c r="P85" s="502">
        <v>616747368</v>
      </c>
      <c r="Q85" s="372">
        <v>598252864</v>
      </c>
      <c r="R85" s="104"/>
      <c r="S85" s="353">
        <v>18204712</v>
      </c>
      <c r="T85" s="103"/>
      <c r="U85" s="104"/>
      <c r="V85" s="104"/>
      <c r="W85" s="354">
        <v>78.562873999999994</v>
      </c>
      <c r="X85" s="103"/>
      <c r="Y85" s="104"/>
      <c r="Z85" s="104"/>
      <c r="AA85" s="514">
        <v>72.246666000000005</v>
      </c>
      <c r="AB85" s="506"/>
      <c r="AC85" s="355"/>
      <c r="AD85" s="572">
        <v>0</v>
      </c>
      <c r="AE85" s="572">
        <v>0</v>
      </c>
      <c r="AF85" s="49"/>
      <c r="AH85" s="46">
        <f t="shared" si="5"/>
        <v>31.873248992248062</v>
      </c>
      <c r="AI85" s="47">
        <f t="shared" si="18"/>
        <v>15.271089123620211</v>
      </c>
      <c r="AJ85" s="47">
        <f t="shared" si="19"/>
        <v>14.81315248126854</v>
      </c>
      <c r="AK85" s="103" t="str">
        <f t="shared" si="20"/>
        <v>·</v>
      </c>
      <c r="AL85" s="47">
        <f t="shared" si="21"/>
        <v>0.45076119306898821</v>
      </c>
      <c r="AM85" s="47">
        <f t="shared" si="13"/>
        <v>15.271089123620211</v>
      </c>
      <c r="AN85" s="521">
        <v>40386600</v>
      </c>
      <c r="AO85" s="502">
        <v>616747368</v>
      </c>
      <c r="AP85" s="372">
        <v>598252864</v>
      </c>
      <c r="AQ85" s="104"/>
      <c r="AR85" s="353">
        <v>18204712</v>
      </c>
      <c r="AS85" s="103"/>
      <c r="AT85" s="104"/>
      <c r="AU85" s="104"/>
      <c r="AV85" s="354">
        <v>78.562873999999994</v>
      </c>
      <c r="AW85" s="103"/>
      <c r="AX85" s="104"/>
      <c r="AY85" s="104"/>
      <c r="AZ85" s="514">
        <v>72.246666000000005</v>
      </c>
      <c r="BA85" s="506">
        <v>275.28699999999975</v>
      </c>
      <c r="BB85" s="355">
        <v>99.288999999999945</v>
      </c>
      <c r="BC85" s="572">
        <v>0</v>
      </c>
      <c r="BD85" s="572">
        <v>0</v>
      </c>
      <c r="BE85" s="49"/>
      <c r="BG85" s="119" t="e">
        <f t="shared" si="22"/>
        <v>#DIV/0!</v>
      </c>
      <c r="BH85" s="120" t="e">
        <f t="shared" si="22"/>
        <v>#DIV/0!</v>
      </c>
      <c r="BI85" s="120">
        <f t="shared" si="8"/>
        <v>0</v>
      </c>
      <c r="BJ85" s="121">
        <f t="array" ref="BJ85">AVERAGE(AP85:AP89/AO85:AO89) - AVERAGE(Q85:Q89/P85:P89)</f>
        <v>0</v>
      </c>
      <c r="BL85" s="103"/>
      <c r="BM85" s="104"/>
      <c r="BN85" s="104"/>
      <c r="BO85" s="139">
        <f>IF( OR(ISBLANK($S85:$S89),ISBLANK($AR85:$AR89), ISBLANK($W85:$W89),ISBLANK($AV85:$AV89)), "·", bdRateHermite($S85:$S89,$W85:$W89, $AR85:$AR89,$AV85:$AV89))</f>
        <v>0</v>
      </c>
      <c r="BQ85" s="137"/>
      <c r="BR85" s="138"/>
      <c r="BS85" s="138"/>
      <c r="BT85" s="139">
        <f>IF( OR(ISBLANK($S85:$S89),ISBLANK($AR85:$AR89), ISBLANK($AA85:$AA89),ISBLANK($AZ85:$AZ89)), "·", bdRateHermite($S85:$S89,$AA85:$AA89, $AR85:$AR89,$AZ85:$AZ89))</f>
        <v>0</v>
      </c>
      <c r="BV85" s="137"/>
      <c r="BW85" s="138"/>
      <c r="BX85" s="138"/>
      <c r="BY85" s="139">
        <f>IF(OR(ISBLANK($P85:$P89),ISBLANK($AO85:$AO89),ISBLANK($W85:$W89),ISBLANK($AV85:$AV89)),"·",bdRateHermite($P85:$P89,$W85:$W89,$AO85:$AO89,$AV85:$AV89))</f>
        <v>0</v>
      </c>
      <c r="CA85" s="137"/>
      <c r="CB85" s="138"/>
      <c r="CC85" s="138"/>
      <c r="CD85" s="139">
        <f>IF( OR(ISBLANK($P85:$P89),ISBLANK($AO85:$AO89), ISBLANK($AA85:$AA89),ISBLANK($AZ85:$AZ89)), "·", bdRateHermite( $P85:$P89,$AA85:$AA89, $AO85:$AO89,$AZ85:$AZ89))</f>
        <v>0</v>
      </c>
    </row>
    <row r="86" spans="1:82" outlineLevel="1">
      <c r="A86" s="13"/>
      <c r="B86" s="24" t="s">
        <v>813</v>
      </c>
      <c r="C86" s="15" t="s">
        <v>132</v>
      </c>
      <c r="D86" s="24">
        <v>40386600</v>
      </c>
      <c r="E86" s="15">
        <v>20</v>
      </c>
      <c r="F86" s="25">
        <v>387</v>
      </c>
      <c r="G86" s="26">
        <v>20</v>
      </c>
      <c r="I86" s="30">
        <f t="shared" si="0"/>
        <v>32.673105529715762</v>
      </c>
      <c r="J86" s="31">
        <f t="shared" si="1"/>
        <v>15.654315837431227</v>
      </c>
      <c r="K86" s="31">
        <f t="shared" si="2"/>
        <v>14.81315248126854</v>
      </c>
      <c r="L86" s="105"/>
      <c r="M86" s="31">
        <f t="shared" si="3"/>
        <v>0.83398790688000479</v>
      </c>
      <c r="N86" s="31">
        <f t="shared" si="4"/>
        <v>15.654315837431227</v>
      </c>
      <c r="O86" s="521">
        <v>40386600</v>
      </c>
      <c r="P86" s="503">
        <v>632224592</v>
      </c>
      <c r="Q86" s="373">
        <v>598252864</v>
      </c>
      <c r="R86" s="106"/>
      <c r="S86" s="357">
        <v>33681936</v>
      </c>
      <c r="T86" s="105"/>
      <c r="U86" s="106"/>
      <c r="V86" s="106"/>
      <c r="W86" s="358">
        <v>84.215187</v>
      </c>
      <c r="X86" s="105"/>
      <c r="Y86" s="106"/>
      <c r="Z86" s="106"/>
      <c r="AA86" s="515">
        <v>78.267585999999994</v>
      </c>
      <c r="AB86" s="507"/>
      <c r="AC86" s="359"/>
      <c r="AD86" s="573">
        <v>0</v>
      </c>
      <c r="AE86" s="573">
        <v>0</v>
      </c>
      <c r="AF86" s="33"/>
      <c r="AH86" s="30">
        <f t="shared" si="5"/>
        <v>32.673105529715762</v>
      </c>
      <c r="AI86" s="31">
        <f t="shared" si="18"/>
        <v>15.654315837431227</v>
      </c>
      <c r="AJ86" s="31">
        <f t="shared" si="19"/>
        <v>14.81315248126854</v>
      </c>
      <c r="AK86" s="105" t="str">
        <f t="shared" si="20"/>
        <v>·</v>
      </c>
      <c r="AL86" s="31">
        <f t="shared" si="21"/>
        <v>0.83398790688000479</v>
      </c>
      <c r="AM86" s="31">
        <f t="shared" si="13"/>
        <v>15.654315837431227</v>
      </c>
      <c r="AN86" s="521">
        <v>40386600</v>
      </c>
      <c r="AO86" s="503">
        <v>632224592</v>
      </c>
      <c r="AP86" s="373">
        <v>598252864</v>
      </c>
      <c r="AQ86" s="106"/>
      <c r="AR86" s="357">
        <v>33681936</v>
      </c>
      <c r="AS86" s="105"/>
      <c r="AT86" s="106"/>
      <c r="AU86" s="106"/>
      <c r="AV86" s="358">
        <v>84.215187</v>
      </c>
      <c r="AW86" s="105"/>
      <c r="AX86" s="106"/>
      <c r="AY86" s="106"/>
      <c r="AZ86" s="515">
        <v>78.267585999999994</v>
      </c>
      <c r="BA86" s="507">
        <v>319.16900000000015</v>
      </c>
      <c r="BB86" s="359">
        <v>105.09199999999994</v>
      </c>
      <c r="BC86" s="573">
        <v>0</v>
      </c>
      <c r="BD86" s="573">
        <v>0</v>
      </c>
      <c r="BE86" s="33"/>
      <c r="BG86" s="122" t="e">
        <f t="shared" si="22"/>
        <v>#DIV/0!</v>
      </c>
      <c r="BH86" s="123" t="e">
        <f t="shared" si="22"/>
        <v>#DIV/0!</v>
      </c>
      <c r="BI86" s="123">
        <f t="shared" si="8"/>
        <v>0</v>
      </c>
      <c r="BJ86" s="124"/>
      <c r="BL86" s="105"/>
      <c r="BM86" s="106"/>
      <c r="BN86" s="106"/>
      <c r="BO86" s="107"/>
      <c r="BQ86" s="105"/>
      <c r="BR86" s="106"/>
      <c r="BS86" s="106"/>
      <c r="BT86" s="107"/>
      <c r="BV86" s="105"/>
      <c r="BW86" s="106"/>
      <c r="BX86" s="106"/>
      <c r="BY86" s="107"/>
      <c r="CA86" s="105"/>
      <c r="CB86" s="106"/>
      <c r="CC86" s="106"/>
      <c r="CD86" s="107"/>
    </row>
    <row r="87" spans="1:82" outlineLevel="1">
      <c r="A87" s="13"/>
      <c r="B87" s="24" t="s">
        <v>813</v>
      </c>
      <c r="C87" s="15" t="s">
        <v>133</v>
      </c>
      <c r="D87" s="24">
        <v>40386600</v>
      </c>
      <c r="E87" s="15">
        <v>20</v>
      </c>
      <c r="F87" s="25">
        <v>387</v>
      </c>
      <c r="G87" s="26">
        <v>20</v>
      </c>
      <c r="I87" s="30">
        <f t="shared" si="0"/>
        <v>33.633725684754523</v>
      </c>
      <c r="J87" s="31">
        <f t="shared" si="1"/>
        <v>16.114567505063562</v>
      </c>
      <c r="K87" s="31">
        <f t="shared" si="2"/>
        <v>14.81315248126854</v>
      </c>
      <c r="L87" s="105"/>
      <c r="M87" s="31">
        <f t="shared" si="3"/>
        <v>1.2942583926351809</v>
      </c>
      <c r="N87" s="31">
        <f t="shared" si="4"/>
        <v>16.114567505063562</v>
      </c>
      <c r="O87" s="521">
        <v>40386600</v>
      </c>
      <c r="P87" s="503">
        <v>650812592</v>
      </c>
      <c r="Q87" s="373">
        <v>598252864</v>
      </c>
      <c r="R87" s="106"/>
      <c r="S87" s="357">
        <v>52270696</v>
      </c>
      <c r="T87" s="105"/>
      <c r="U87" s="106"/>
      <c r="V87" s="106"/>
      <c r="W87" s="358">
        <v>89.768508999999995</v>
      </c>
      <c r="X87" s="105"/>
      <c r="Y87" s="106"/>
      <c r="Z87" s="106"/>
      <c r="AA87" s="515">
        <v>84.288605000000004</v>
      </c>
      <c r="AB87" s="507"/>
      <c r="AC87" s="359"/>
      <c r="AD87" s="573">
        <v>0</v>
      </c>
      <c r="AE87" s="573">
        <v>0</v>
      </c>
      <c r="AF87" s="33"/>
      <c r="AH87" s="30">
        <f t="shared" si="5"/>
        <v>33.633725684754523</v>
      </c>
      <c r="AI87" s="31">
        <f t="shared" si="18"/>
        <v>16.114567505063562</v>
      </c>
      <c r="AJ87" s="31">
        <f t="shared" si="19"/>
        <v>14.81315248126854</v>
      </c>
      <c r="AK87" s="105" t="str">
        <f t="shared" si="20"/>
        <v>·</v>
      </c>
      <c r="AL87" s="31">
        <f t="shared" si="21"/>
        <v>1.2942583926351809</v>
      </c>
      <c r="AM87" s="31">
        <f t="shared" si="13"/>
        <v>16.114567505063562</v>
      </c>
      <c r="AN87" s="521">
        <v>40386600</v>
      </c>
      <c r="AO87" s="503">
        <v>650812592</v>
      </c>
      <c r="AP87" s="373">
        <v>598252864</v>
      </c>
      <c r="AQ87" s="106"/>
      <c r="AR87" s="357">
        <v>52270696</v>
      </c>
      <c r="AS87" s="105"/>
      <c r="AT87" s="106"/>
      <c r="AU87" s="106"/>
      <c r="AV87" s="358">
        <v>89.768508999999995</v>
      </c>
      <c r="AW87" s="105"/>
      <c r="AX87" s="106"/>
      <c r="AY87" s="106"/>
      <c r="AZ87" s="515">
        <v>84.288605000000004</v>
      </c>
      <c r="BA87" s="507">
        <v>277.40100000000029</v>
      </c>
      <c r="BB87" s="359">
        <v>102.59499999999986</v>
      </c>
      <c r="BC87" s="573">
        <v>0</v>
      </c>
      <c r="BD87" s="573">
        <v>0</v>
      </c>
      <c r="BE87" s="33"/>
      <c r="BG87" s="122" t="e">
        <f t="shared" si="22"/>
        <v>#DIV/0!</v>
      </c>
      <c r="BH87" s="123" t="e">
        <f t="shared" si="22"/>
        <v>#DIV/0!</v>
      </c>
      <c r="BI87" s="123">
        <f t="shared" si="8"/>
        <v>0</v>
      </c>
      <c r="BJ87" s="124"/>
      <c r="BL87" s="105"/>
      <c r="BM87" s="106"/>
      <c r="BN87" s="106"/>
      <c r="BO87" s="107"/>
      <c r="BQ87" s="105"/>
      <c r="BR87" s="106"/>
      <c r="BS87" s="106"/>
      <c r="BT87" s="107"/>
      <c r="BV87" s="105"/>
      <c r="BW87" s="106"/>
      <c r="BX87" s="106"/>
      <c r="BY87" s="107"/>
      <c r="CA87" s="105"/>
      <c r="CB87" s="106"/>
      <c r="CC87" s="106"/>
      <c r="CD87" s="107"/>
    </row>
    <row r="88" spans="1:82" outlineLevel="1">
      <c r="A88" s="13"/>
      <c r="B88" s="24" t="s">
        <v>813</v>
      </c>
      <c r="C88" s="15" t="s">
        <v>134</v>
      </c>
      <c r="D88" s="24">
        <v>40386600</v>
      </c>
      <c r="E88" s="15">
        <v>20</v>
      </c>
      <c r="F88" s="25">
        <v>387</v>
      </c>
      <c r="G88" s="26">
        <v>20</v>
      </c>
      <c r="I88" s="30">
        <f t="shared" si="0"/>
        <v>34.861712868217055</v>
      </c>
      <c r="J88" s="31">
        <f t="shared" si="1"/>
        <v>16.702919879365929</v>
      </c>
      <c r="K88" s="31">
        <f t="shared" si="2"/>
        <v>14.81315248126854</v>
      </c>
      <c r="L88" s="105"/>
      <c r="M88" s="31">
        <f t="shared" si="3"/>
        <v>1.8826107669375487</v>
      </c>
      <c r="N88" s="31">
        <f t="shared" si="4"/>
        <v>16.702919879365929</v>
      </c>
      <c r="O88" s="521">
        <v>40386600</v>
      </c>
      <c r="P88" s="503">
        <v>674574144</v>
      </c>
      <c r="Q88" s="373">
        <v>598252864</v>
      </c>
      <c r="R88" s="106"/>
      <c r="S88" s="357">
        <v>76032248</v>
      </c>
      <c r="T88" s="105"/>
      <c r="U88" s="106"/>
      <c r="V88" s="106"/>
      <c r="W88" s="358">
        <v>95.008339000000007</v>
      </c>
      <c r="X88" s="105"/>
      <c r="Y88" s="106"/>
      <c r="Z88" s="106"/>
      <c r="AA88" s="515">
        <v>90.308684999999997</v>
      </c>
      <c r="AB88" s="507"/>
      <c r="AC88" s="359"/>
      <c r="AD88" s="573">
        <v>0</v>
      </c>
      <c r="AE88" s="573">
        <v>0</v>
      </c>
      <c r="AF88" s="33"/>
      <c r="AH88" s="30">
        <f t="shared" si="5"/>
        <v>34.861712868217055</v>
      </c>
      <c r="AI88" s="31">
        <f t="shared" si="18"/>
        <v>16.702919879365929</v>
      </c>
      <c r="AJ88" s="31">
        <f t="shared" si="19"/>
        <v>14.81315248126854</v>
      </c>
      <c r="AK88" s="105" t="str">
        <f t="shared" si="20"/>
        <v>·</v>
      </c>
      <c r="AL88" s="31">
        <f t="shared" si="21"/>
        <v>1.8826107669375487</v>
      </c>
      <c r="AM88" s="31">
        <f t="shared" si="13"/>
        <v>16.702919879365929</v>
      </c>
      <c r="AN88" s="521">
        <v>40386600</v>
      </c>
      <c r="AO88" s="503">
        <v>674574144</v>
      </c>
      <c r="AP88" s="373">
        <v>598252864</v>
      </c>
      <c r="AQ88" s="106"/>
      <c r="AR88" s="357">
        <v>76032248</v>
      </c>
      <c r="AS88" s="105"/>
      <c r="AT88" s="106"/>
      <c r="AU88" s="106"/>
      <c r="AV88" s="358">
        <v>95.008339000000007</v>
      </c>
      <c r="AW88" s="105"/>
      <c r="AX88" s="106"/>
      <c r="AY88" s="106"/>
      <c r="AZ88" s="515">
        <v>90.308684999999997</v>
      </c>
      <c r="BA88" s="507">
        <v>299.70199999999988</v>
      </c>
      <c r="BB88" s="359">
        <v>113.62000000000002</v>
      </c>
      <c r="BC88" s="573">
        <v>0</v>
      </c>
      <c r="BD88" s="573">
        <v>0</v>
      </c>
      <c r="BE88" s="33"/>
      <c r="BG88" s="122" t="e">
        <f t="shared" ref="BG88:BH103" si="23">BC88/AD88</f>
        <v>#DIV/0!</v>
      </c>
      <c r="BH88" s="123" t="e">
        <f t="shared" si="23"/>
        <v>#DIV/0!</v>
      </c>
      <c r="BI88" s="123">
        <f t="shared" si="8"/>
        <v>0</v>
      </c>
      <c r="BJ88" s="124"/>
      <c r="BL88" s="105"/>
      <c r="BM88" s="106"/>
      <c r="BN88" s="106"/>
      <c r="BO88" s="107"/>
      <c r="BQ88" s="105"/>
      <c r="BR88" s="106"/>
      <c r="BS88" s="106"/>
      <c r="BT88" s="107"/>
      <c r="BV88" s="105"/>
      <c r="BW88" s="106"/>
      <c r="BX88" s="106"/>
      <c r="BY88" s="107"/>
      <c r="CA88" s="105"/>
      <c r="CB88" s="106"/>
      <c r="CC88" s="106"/>
      <c r="CD88" s="107"/>
    </row>
    <row r="89" spans="1:82" ht="14.25" outlineLevel="1" thickBot="1">
      <c r="A89" s="13"/>
      <c r="B89" s="24" t="s">
        <v>813</v>
      </c>
      <c r="C89" s="15" t="s">
        <v>135</v>
      </c>
      <c r="D89" s="24">
        <v>40386600</v>
      </c>
      <c r="E89" s="22">
        <v>20</v>
      </c>
      <c r="F89" s="25">
        <v>387</v>
      </c>
      <c r="G89" s="26">
        <v>20</v>
      </c>
      <c r="I89" s="34">
        <f t="shared" si="0"/>
        <v>36.289783979328163</v>
      </c>
      <c r="J89" s="35">
        <f t="shared" si="1"/>
        <v>17.387136327395719</v>
      </c>
      <c r="K89" s="35">
        <f t="shared" si="2"/>
        <v>14.81315248126854</v>
      </c>
      <c r="L89" s="134"/>
      <c r="M89" s="35">
        <f t="shared" si="3"/>
        <v>2.566850192885759</v>
      </c>
      <c r="N89" s="35">
        <f t="shared" si="4"/>
        <v>17.387136327395719</v>
      </c>
      <c r="O89" s="521">
        <v>40386600</v>
      </c>
      <c r="P89" s="504">
        <v>702207320</v>
      </c>
      <c r="Q89" s="374">
        <v>598252864</v>
      </c>
      <c r="R89" s="135"/>
      <c r="S89" s="369">
        <v>103666352</v>
      </c>
      <c r="T89" s="134"/>
      <c r="U89" s="135"/>
      <c r="V89" s="135"/>
      <c r="W89" s="370">
        <v>99.477622999999994</v>
      </c>
      <c r="X89" s="134"/>
      <c r="Y89" s="135"/>
      <c r="Z89" s="135"/>
      <c r="AA89" s="516">
        <v>96.329521</v>
      </c>
      <c r="AB89" s="508"/>
      <c r="AC89" s="371"/>
      <c r="AD89" s="574">
        <v>0</v>
      </c>
      <c r="AE89" s="574">
        <v>0</v>
      </c>
      <c r="AF89" s="37"/>
      <c r="AH89" s="38">
        <f t="shared" si="5"/>
        <v>36.289783979328163</v>
      </c>
      <c r="AI89" s="39">
        <f t="shared" si="18"/>
        <v>17.387136327395719</v>
      </c>
      <c r="AJ89" s="39">
        <f t="shared" si="19"/>
        <v>14.81315248126854</v>
      </c>
      <c r="AK89" s="134" t="str">
        <f t="shared" si="20"/>
        <v>·</v>
      </c>
      <c r="AL89" s="39">
        <f t="shared" si="21"/>
        <v>2.566850192885759</v>
      </c>
      <c r="AM89" s="39">
        <f t="shared" si="13"/>
        <v>17.387136327395719</v>
      </c>
      <c r="AN89" s="521">
        <v>40386600</v>
      </c>
      <c r="AO89" s="504">
        <v>702207320</v>
      </c>
      <c r="AP89" s="374">
        <v>598252864</v>
      </c>
      <c r="AQ89" s="135"/>
      <c r="AR89" s="369">
        <v>103666352</v>
      </c>
      <c r="AS89" s="134"/>
      <c r="AT89" s="135"/>
      <c r="AU89" s="135"/>
      <c r="AV89" s="370">
        <v>99.477622999999994</v>
      </c>
      <c r="AW89" s="134"/>
      <c r="AX89" s="135"/>
      <c r="AY89" s="135"/>
      <c r="AZ89" s="516">
        <v>96.329521</v>
      </c>
      <c r="BA89" s="508">
        <v>312.3950000000001</v>
      </c>
      <c r="BB89" s="371">
        <v>105.34299999999992</v>
      </c>
      <c r="BC89" s="574">
        <v>0</v>
      </c>
      <c r="BD89" s="574">
        <v>0</v>
      </c>
      <c r="BE89" s="41"/>
      <c r="BG89" s="128" t="e">
        <f t="shared" si="23"/>
        <v>#DIV/0!</v>
      </c>
      <c r="BH89" s="129" t="e">
        <f t="shared" si="23"/>
        <v>#DIV/0!</v>
      </c>
      <c r="BI89" s="129">
        <f t="shared" si="8"/>
        <v>0</v>
      </c>
      <c r="BJ89" s="130"/>
      <c r="BL89" s="134"/>
      <c r="BM89" s="135"/>
      <c r="BN89" s="135"/>
      <c r="BO89" s="136"/>
      <c r="BQ89" s="134"/>
      <c r="BR89" s="135"/>
      <c r="BS89" s="135"/>
      <c r="BT89" s="136"/>
      <c r="BV89" s="134"/>
      <c r="BW89" s="135"/>
      <c r="BX89" s="135"/>
      <c r="BY89" s="136"/>
      <c r="CA89" s="134"/>
      <c r="CB89" s="135"/>
      <c r="CC89" s="135"/>
      <c r="CD89" s="136"/>
    </row>
    <row r="90" spans="1:82">
      <c r="A90" s="13"/>
      <c r="B90" s="27" t="s">
        <v>815</v>
      </c>
      <c r="C90" s="28" t="s">
        <v>131</v>
      </c>
      <c r="D90" s="27">
        <v>40439600</v>
      </c>
      <c r="E90" s="28">
        <v>20</v>
      </c>
      <c r="F90" s="28">
        <v>387</v>
      </c>
      <c r="G90" s="29">
        <v>20</v>
      </c>
      <c r="I90" s="46">
        <f t="shared" si="0"/>
        <v>38.116842997416022</v>
      </c>
      <c r="J90" s="47">
        <f t="shared" si="1"/>
        <v>18.238580797040523</v>
      </c>
      <c r="K90" s="47">
        <f t="shared" si="2"/>
        <v>17.680129773786092</v>
      </c>
      <c r="L90" s="103"/>
      <c r="M90" s="47">
        <f t="shared" si="3"/>
        <v>0.5512907150416918</v>
      </c>
      <c r="N90" s="47">
        <f t="shared" si="4"/>
        <v>18.238580797040523</v>
      </c>
      <c r="O90" s="520">
        <v>40439600</v>
      </c>
      <c r="P90" s="502">
        <v>737560912</v>
      </c>
      <c r="Q90" s="372">
        <v>714977376</v>
      </c>
      <c r="R90" s="104"/>
      <c r="S90" s="353">
        <v>22293976</v>
      </c>
      <c r="T90" s="103"/>
      <c r="U90" s="104"/>
      <c r="V90" s="104"/>
      <c r="W90" s="354">
        <v>78.294334000000006</v>
      </c>
      <c r="X90" s="103"/>
      <c r="Y90" s="104"/>
      <c r="Z90" s="104"/>
      <c r="AA90" s="514">
        <v>72.246666000000005</v>
      </c>
      <c r="AB90" s="506"/>
      <c r="AC90" s="355"/>
      <c r="AD90" s="572">
        <v>0</v>
      </c>
      <c r="AE90" s="572">
        <v>0</v>
      </c>
      <c r="AF90" s="49"/>
      <c r="AH90" s="46">
        <f t="shared" si="5"/>
        <v>38.116842997416022</v>
      </c>
      <c r="AI90" s="47">
        <f t="shared" si="18"/>
        <v>18.238580797040523</v>
      </c>
      <c r="AJ90" s="47">
        <f t="shared" si="19"/>
        <v>17.680129773786092</v>
      </c>
      <c r="AK90" s="103" t="str">
        <f t="shared" si="20"/>
        <v>·</v>
      </c>
      <c r="AL90" s="47">
        <f t="shared" si="21"/>
        <v>0.5512907150416918</v>
      </c>
      <c r="AM90" s="47">
        <f t="shared" si="13"/>
        <v>18.238580797040523</v>
      </c>
      <c r="AN90" s="520">
        <v>40439600</v>
      </c>
      <c r="AO90" s="502">
        <v>737560912</v>
      </c>
      <c r="AP90" s="372">
        <v>714977376</v>
      </c>
      <c r="AQ90" s="104"/>
      <c r="AR90" s="353">
        <v>22293976</v>
      </c>
      <c r="AS90" s="103"/>
      <c r="AT90" s="104"/>
      <c r="AU90" s="104"/>
      <c r="AV90" s="354">
        <v>78.294334000000006</v>
      </c>
      <c r="AW90" s="103"/>
      <c r="AX90" s="104"/>
      <c r="AY90" s="104"/>
      <c r="AZ90" s="514">
        <v>72.246666000000005</v>
      </c>
      <c r="BA90" s="506">
        <v>310.971</v>
      </c>
      <c r="BB90" s="355">
        <v>118.18699999999998</v>
      </c>
      <c r="BC90" s="572">
        <v>0</v>
      </c>
      <c r="BD90" s="572">
        <v>0</v>
      </c>
      <c r="BE90" s="49"/>
      <c r="BG90" s="119" t="e">
        <f t="shared" si="23"/>
        <v>#DIV/0!</v>
      </c>
      <c r="BH90" s="120" t="e">
        <f t="shared" si="23"/>
        <v>#DIV/0!</v>
      </c>
      <c r="BI90" s="120">
        <f t="shared" si="8"/>
        <v>0</v>
      </c>
      <c r="BJ90" s="121">
        <f t="array" ref="BJ90">AVERAGE(AP90:AP94/AO90:AO94) - AVERAGE(Q90:Q94/P90:P94)</f>
        <v>0</v>
      </c>
      <c r="BL90" s="103"/>
      <c r="BM90" s="104"/>
      <c r="BN90" s="104"/>
      <c r="BO90" s="139">
        <f>IF( OR(ISBLANK($S90:$S94),ISBLANK($AR90:$AR94), ISBLANK($W90:$W94),ISBLANK($AV90:$AV94)), "·", bdRateHermite($S90:$S94,$W90:$W94, $AR90:$AR94,$AV90:$AV94))</f>
        <v>0</v>
      </c>
      <c r="BQ90" s="137"/>
      <c r="BR90" s="138"/>
      <c r="BS90" s="138"/>
      <c r="BT90" s="139">
        <f>IF( OR(ISBLANK($S90:$S94),ISBLANK($AR90:$AR94), ISBLANK($AA90:$AA94),ISBLANK($AZ90:$AZ94)), "·", bdRateHermite($S90:$S94,$AA90:$AA94, $AR90:$AR94,$AZ90:$AZ94))</f>
        <v>0</v>
      </c>
      <c r="BV90" s="137"/>
      <c r="BW90" s="138"/>
      <c r="BX90" s="138"/>
      <c r="BY90" s="139">
        <f>IF(OR(ISBLANK($P90:$P94),ISBLANK($AO90:$AO94),ISBLANK($W90:$W94),ISBLANK($AV90:$AV94)),"·",bdRateHermite($P90:$P94,$W90:$W94,$AO90:$AO94,$AV90:$AV94))</f>
        <v>0</v>
      </c>
      <c r="CA90" s="137"/>
      <c r="CB90" s="138"/>
      <c r="CC90" s="138"/>
      <c r="CD90" s="139">
        <f>IF( OR(ISBLANK($P90:$P94),ISBLANK($AO90:$AO94), ISBLANK($AA90:$AA94),ISBLANK($AZ90:$AZ94)), "·", bdRateHermite( $P90:$P94,$AA90:$AA94, $AO90:$AO94,$AZ90:$AZ94))</f>
        <v>0</v>
      </c>
    </row>
    <row r="91" spans="1:82" outlineLevel="1">
      <c r="A91" s="13"/>
      <c r="B91" s="24" t="s">
        <v>815</v>
      </c>
      <c r="C91" s="15" t="s">
        <v>132</v>
      </c>
      <c r="D91" s="24">
        <v>40439600</v>
      </c>
      <c r="E91" s="25">
        <v>20</v>
      </c>
      <c r="F91" s="25">
        <v>387</v>
      </c>
      <c r="G91" s="26">
        <v>20</v>
      </c>
      <c r="I91" s="30">
        <f t="shared" si="0"/>
        <v>39.111937157622741</v>
      </c>
      <c r="J91" s="31">
        <f t="shared" si="1"/>
        <v>18.714724774725763</v>
      </c>
      <c r="K91" s="31">
        <f t="shared" si="2"/>
        <v>17.680129773786092</v>
      </c>
      <c r="L91" s="105"/>
      <c r="M91" s="31">
        <f t="shared" si="3"/>
        <v>1.0274346927269311</v>
      </c>
      <c r="N91" s="31">
        <f t="shared" si="4"/>
        <v>18.714724774725763</v>
      </c>
      <c r="O91" s="521">
        <v>40439600</v>
      </c>
      <c r="P91" s="503">
        <v>756815984</v>
      </c>
      <c r="Q91" s="373">
        <v>714977376</v>
      </c>
      <c r="R91" s="106"/>
      <c r="S91" s="357">
        <v>41549048</v>
      </c>
      <c r="T91" s="105"/>
      <c r="U91" s="106"/>
      <c r="V91" s="106"/>
      <c r="W91" s="358">
        <v>83.914023999999998</v>
      </c>
      <c r="X91" s="105"/>
      <c r="Y91" s="106"/>
      <c r="Z91" s="106"/>
      <c r="AA91" s="515">
        <v>78.267585999999994</v>
      </c>
      <c r="AB91" s="507"/>
      <c r="AC91" s="359"/>
      <c r="AD91" s="573">
        <v>0</v>
      </c>
      <c r="AE91" s="573">
        <v>0</v>
      </c>
      <c r="AF91" s="33"/>
      <c r="AH91" s="30">
        <f t="shared" si="5"/>
        <v>39.111937157622741</v>
      </c>
      <c r="AI91" s="31">
        <f t="shared" si="18"/>
        <v>18.714724774725763</v>
      </c>
      <c r="AJ91" s="31">
        <f t="shared" si="19"/>
        <v>17.680129773786092</v>
      </c>
      <c r="AK91" s="105" t="str">
        <f t="shared" si="20"/>
        <v>·</v>
      </c>
      <c r="AL91" s="31">
        <f t="shared" si="21"/>
        <v>1.0274346927269311</v>
      </c>
      <c r="AM91" s="31">
        <f t="shared" si="13"/>
        <v>18.714724774725763</v>
      </c>
      <c r="AN91" s="521">
        <v>40439600</v>
      </c>
      <c r="AO91" s="503">
        <v>756815984</v>
      </c>
      <c r="AP91" s="373">
        <v>714977376</v>
      </c>
      <c r="AQ91" s="106"/>
      <c r="AR91" s="357">
        <v>41549048</v>
      </c>
      <c r="AS91" s="105"/>
      <c r="AT91" s="106"/>
      <c r="AU91" s="106"/>
      <c r="AV91" s="358">
        <v>83.914023999999998</v>
      </c>
      <c r="AW91" s="105"/>
      <c r="AX91" s="106"/>
      <c r="AY91" s="106"/>
      <c r="AZ91" s="515">
        <v>78.267585999999994</v>
      </c>
      <c r="BA91" s="507">
        <v>307.80799999999988</v>
      </c>
      <c r="BB91" s="359">
        <v>115.39300000000009</v>
      </c>
      <c r="BC91" s="573">
        <v>0</v>
      </c>
      <c r="BD91" s="573">
        <v>0</v>
      </c>
      <c r="BE91" s="33"/>
      <c r="BG91" s="122" t="e">
        <f t="shared" si="23"/>
        <v>#DIV/0!</v>
      </c>
      <c r="BH91" s="123" t="e">
        <f t="shared" si="23"/>
        <v>#DIV/0!</v>
      </c>
      <c r="BI91" s="123">
        <f t="shared" si="8"/>
        <v>0</v>
      </c>
      <c r="BJ91" s="124"/>
      <c r="BL91" s="105"/>
      <c r="BM91" s="106"/>
      <c r="BN91" s="106"/>
      <c r="BO91" s="107"/>
      <c r="BQ91" s="105"/>
      <c r="BR91" s="106"/>
      <c r="BS91" s="106"/>
      <c r="BT91" s="107"/>
      <c r="BV91" s="105"/>
      <c r="BW91" s="106"/>
      <c r="BX91" s="106"/>
      <c r="BY91" s="107"/>
      <c r="CA91" s="105"/>
      <c r="CB91" s="106"/>
      <c r="CC91" s="106"/>
      <c r="CD91" s="107"/>
    </row>
    <row r="92" spans="1:82" outlineLevel="1">
      <c r="A92" s="13"/>
      <c r="B92" s="24" t="s">
        <v>815</v>
      </c>
      <c r="C92" s="15" t="s">
        <v>133</v>
      </c>
      <c r="D92" s="24">
        <v>40439600</v>
      </c>
      <c r="E92" s="15">
        <v>20</v>
      </c>
      <c r="F92" s="25">
        <v>387</v>
      </c>
      <c r="G92" s="26">
        <v>20</v>
      </c>
      <c r="I92" s="30">
        <f t="shared" si="0"/>
        <v>40.297630594315244</v>
      </c>
      <c r="J92" s="31">
        <f t="shared" si="1"/>
        <v>19.282068863193505</v>
      </c>
      <c r="K92" s="31">
        <f t="shared" si="2"/>
        <v>17.680129773786092</v>
      </c>
      <c r="L92" s="105"/>
      <c r="M92" s="31">
        <f t="shared" si="3"/>
        <v>1.5947914420518501</v>
      </c>
      <c r="N92" s="31">
        <f t="shared" si="4"/>
        <v>19.282068863193505</v>
      </c>
      <c r="O92" s="521">
        <v>40439600</v>
      </c>
      <c r="P92" s="503">
        <v>779759152</v>
      </c>
      <c r="Q92" s="373">
        <v>714977376</v>
      </c>
      <c r="R92" s="106"/>
      <c r="S92" s="357">
        <v>64492728</v>
      </c>
      <c r="T92" s="105"/>
      <c r="U92" s="106"/>
      <c r="V92" s="106"/>
      <c r="W92" s="358">
        <v>89.532195999999999</v>
      </c>
      <c r="X92" s="105"/>
      <c r="Y92" s="106"/>
      <c r="Z92" s="106"/>
      <c r="AA92" s="515">
        <v>84.288605000000004</v>
      </c>
      <c r="AB92" s="507"/>
      <c r="AC92" s="359"/>
      <c r="AD92" s="573">
        <v>0</v>
      </c>
      <c r="AE92" s="573">
        <v>0</v>
      </c>
      <c r="AF92" s="33"/>
      <c r="AH92" s="30">
        <f t="shared" si="5"/>
        <v>40.297630594315244</v>
      </c>
      <c r="AI92" s="31">
        <f t="shared" si="18"/>
        <v>19.282068863193505</v>
      </c>
      <c r="AJ92" s="31">
        <f t="shared" si="19"/>
        <v>17.680129773786092</v>
      </c>
      <c r="AK92" s="105" t="str">
        <f t="shared" si="20"/>
        <v>·</v>
      </c>
      <c r="AL92" s="31">
        <f t="shared" si="21"/>
        <v>1.5947914420518501</v>
      </c>
      <c r="AM92" s="31">
        <f t="shared" si="13"/>
        <v>19.282068863193505</v>
      </c>
      <c r="AN92" s="521">
        <v>40439600</v>
      </c>
      <c r="AO92" s="503">
        <v>779759152</v>
      </c>
      <c r="AP92" s="373">
        <v>714977376</v>
      </c>
      <c r="AQ92" s="106"/>
      <c r="AR92" s="357">
        <v>64492728</v>
      </c>
      <c r="AS92" s="105"/>
      <c r="AT92" s="106"/>
      <c r="AU92" s="106"/>
      <c r="AV92" s="358">
        <v>89.532195999999999</v>
      </c>
      <c r="AW92" s="105"/>
      <c r="AX92" s="106"/>
      <c r="AY92" s="106"/>
      <c r="AZ92" s="515">
        <v>84.288605000000004</v>
      </c>
      <c r="BA92" s="507">
        <v>310.83600000000001</v>
      </c>
      <c r="BB92" s="359">
        <v>119.69099999999992</v>
      </c>
      <c r="BC92" s="573">
        <v>0</v>
      </c>
      <c r="BD92" s="573">
        <v>0</v>
      </c>
      <c r="BE92" s="33"/>
      <c r="BG92" s="122" t="e">
        <f t="shared" si="23"/>
        <v>#DIV/0!</v>
      </c>
      <c r="BH92" s="123" t="e">
        <f t="shared" si="23"/>
        <v>#DIV/0!</v>
      </c>
      <c r="BI92" s="123">
        <f t="shared" si="8"/>
        <v>0</v>
      </c>
      <c r="BJ92" s="124"/>
      <c r="BL92" s="105"/>
      <c r="BM92" s="106"/>
      <c r="BN92" s="106"/>
      <c r="BO92" s="107"/>
      <c r="BQ92" s="105"/>
      <c r="BR92" s="106"/>
      <c r="BS92" s="106"/>
      <c r="BT92" s="107"/>
      <c r="BV92" s="105"/>
      <c r="BW92" s="106"/>
      <c r="BX92" s="106"/>
      <c r="BY92" s="107"/>
      <c r="CA92" s="105"/>
      <c r="CB92" s="106"/>
      <c r="CC92" s="106"/>
      <c r="CD92" s="107"/>
    </row>
    <row r="93" spans="1:82" outlineLevel="1">
      <c r="A93" s="13"/>
      <c r="B93" s="24" t="s">
        <v>815</v>
      </c>
      <c r="C93" s="15" t="s">
        <v>134</v>
      </c>
      <c r="D93" s="24">
        <v>40439600</v>
      </c>
      <c r="E93" s="15">
        <v>20</v>
      </c>
      <c r="F93" s="25">
        <v>387</v>
      </c>
      <c r="G93" s="26">
        <v>20</v>
      </c>
      <c r="I93" s="30">
        <f t="shared" si="0"/>
        <v>41.746833695090444</v>
      </c>
      <c r="J93" s="31">
        <f t="shared" si="1"/>
        <v>19.975500054402122</v>
      </c>
      <c r="K93" s="31">
        <f t="shared" si="2"/>
        <v>17.680129773786092</v>
      </c>
      <c r="L93" s="105"/>
      <c r="M93" s="31">
        <f t="shared" si="3"/>
        <v>2.2882226332604674</v>
      </c>
      <c r="N93" s="31">
        <f t="shared" si="4"/>
        <v>19.975500054402122</v>
      </c>
      <c r="O93" s="521">
        <v>40439600</v>
      </c>
      <c r="P93" s="503">
        <v>807801232</v>
      </c>
      <c r="Q93" s="373">
        <v>714977376</v>
      </c>
      <c r="R93" s="106"/>
      <c r="S93" s="357">
        <v>92534808</v>
      </c>
      <c r="T93" s="105"/>
      <c r="U93" s="106"/>
      <c r="V93" s="106"/>
      <c r="W93" s="358">
        <v>94.883133000000001</v>
      </c>
      <c r="X93" s="105"/>
      <c r="Y93" s="106"/>
      <c r="Z93" s="106"/>
      <c r="AA93" s="515">
        <v>90.308684999999997</v>
      </c>
      <c r="AB93" s="507"/>
      <c r="AC93" s="359"/>
      <c r="AD93" s="573">
        <v>0</v>
      </c>
      <c r="AE93" s="573">
        <v>0</v>
      </c>
      <c r="AF93" s="33"/>
      <c r="AH93" s="30">
        <f t="shared" si="5"/>
        <v>41.746833695090444</v>
      </c>
      <c r="AI93" s="31">
        <f t="shared" si="18"/>
        <v>19.975500054402122</v>
      </c>
      <c r="AJ93" s="31">
        <f t="shared" si="19"/>
        <v>17.680129773786092</v>
      </c>
      <c r="AK93" s="105" t="str">
        <f t="shared" si="20"/>
        <v>·</v>
      </c>
      <c r="AL93" s="31">
        <f t="shared" si="21"/>
        <v>2.2882226332604674</v>
      </c>
      <c r="AM93" s="31">
        <f t="shared" si="13"/>
        <v>19.975500054402122</v>
      </c>
      <c r="AN93" s="521">
        <v>40439600</v>
      </c>
      <c r="AO93" s="503">
        <v>807801232</v>
      </c>
      <c r="AP93" s="373">
        <v>714977376</v>
      </c>
      <c r="AQ93" s="106"/>
      <c r="AR93" s="357">
        <v>92534808</v>
      </c>
      <c r="AS93" s="105"/>
      <c r="AT93" s="106"/>
      <c r="AU93" s="106"/>
      <c r="AV93" s="358">
        <v>94.883133000000001</v>
      </c>
      <c r="AW93" s="105"/>
      <c r="AX93" s="106"/>
      <c r="AY93" s="106"/>
      <c r="AZ93" s="515">
        <v>90.308684999999997</v>
      </c>
      <c r="BA93" s="507">
        <v>304.52200000000005</v>
      </c>
      <c r="BB93" s="359">
        <v>121.85099999999991</v>
      </c>
      <c r="BC93" s="573">
        <v>0</v>
      </c>
      <c r="BD93" s="573">
        <v>0</v>
      </c>
      <c r="BE93" s="33"/>
      <c r="BG93" s="122" t="e">
        <f t="shared" si="23"/>
        <v>#DIV/0!</v>
      </c>
      <c r="BH93" s="123" t="e">
        <f t="shared" si="23"/>
        <v>#DIV/0!</v>
      </c>
      <c r="BI93" s="123">
        <f t="shared" si="8"/>
        <v>0</v>
      </c>
      <c r="BJ93" s="124"/>
      <c r="BL93" s="105"/>
      <c r="BM93" s="106"/>
      <c r="BN93" s="106"/>
      <c r="BO93" s="107"/>
      <c r="BQ93" s="105"/>
      <c r="BR93" s="106"/>
      <c r="BS93" s="106"/>
      <c r="BT93" s="107"/>
      <c r="BV93" s="105"/>
      <c r="BW93" s="106"/>
      <c r="BX93" s="106"/>
      <c r="BY93" s="107"/>
      <c r="CA93" s="105"/>
      <c r="CB93" s="106"/>
      <c r="CC93" s="106"/>
      <c r="CD93" s="107"/>
    </row>
    <row r="94" spans="1:82" ht="14.25" outlineLevel="1" thickBot="1">
      <c r="A94" s="17"/>
      <c r="B94" s="18" t="s">
        <v>815</v>
      </c>
      <c r="C94" s="19" t="s">
        <v>135</v>
      </c>
      <c r="D94" s="18">
        <v>40439600</v>
      </c>
      <c r="E94" s="19">
        <v>20</v>
      </c>
      <c r="F94" s="19">
        <v>387</v>
      </c>
      <c r="G94" s="20">
        <v>20</v>
      </c>
      <c r="I94" s="34">
        <f t="shared" si="0"/>
        <v>43.421644651162786</v>
      </c>
      <c r="J94" s="35">
        <f t="shared" si="1"/>
        <v>20.77688265957131</v>
      </c>
      <c r="K94" s="35">
        <f t="shared" si="2"/>
        <v>17.680129773786092</v>
      </c>
      <c r="L94" s="108"/>
      <c r="M94" s="35">
        <f t="shared" si="3"/>
        <v>3.0896157232020101</v>
      </c>
      <c r="N94" s="35">
        <f t="shared" si="4"/>
        <v>20.77688265957131</v>
      </c>
      <c r="O94" s="525">
        <v>40439600</v>
      </c>
      <c r="P94" s="504">
        <v>840208824</v>
      </c>
      <c r="Q94" s="374">
        <v>714977376</v>
      </c>
      <c r="R94" s="109"/>
      <c r="S94" s="369">
        <v>124942824</v>
      </c>
      <c r="T94" s="134"/>
      <c r="U94" s="135"/>
      <c r="V94" s="135"/>
      <c r="W94" s="370">
        <v>99.434905999999998</v>
      </c>
      <c r="X94" s="134"/>
      <c r="Y94" s="135"/>
      <c r="Z94" s="135"/>
      <c r="AA94" s="516">
        <v>96.329521</v>
      </c>
      <c r="AB94" s="508"/>
      <c r="AC94" s="371"/>
      <c r="AD94" s="574">
        <v>0</v>
      </c>
      <c r="AE94" s="574">
        <v>0</v>
      </c>
      <c r="AF94" s="37"/>
      <c r="AH94" s="38">
        <f t="shared" si="5"/>
        <v>43.421644651162786</v>
      </c>
      <c r="AI94" s="39">
        <f t="shared" si="18"/>
        <v>20.77688265957131</v>
      </c>
      <c r="AJ94" s="39">
        <f t="shared" si="19"/>
        <v>17.680129773786092</v>
      </c>
      <c r="AK94" s="134" t="str">
        <f t="shared" si="20"/>
        <v>·</v>
      </c>
      <c r="AL94" s="39">
        <f t="shared" si="21"/>
        <v>3.0896157232020101</v>
      </c>
      <c r="AM94" s="39">
        <f t="shared" si="13"/>
        <v>20.77688265957131</v>
      </c>
      <c r="AN94" s="525">
        <v>40439600</v>
      </c>
      <c r="AO94" s="504">
        <v>840208824</v>
      </c>
      <c r="AP94" s="374">
        <v>714977376</v>
      </c>
      <c r="AQ94" s="109"/>
      <c r="AR94" s="369">
        <v>124942824</v>
      </c>
      <c r="AS94" s="134"/>
      <c r="AT94" s="135"/>
      <c r="AU94" s="135"/>
      <c r="AV94" s="370">
        <v>99.434905999999998</v>
      </c>
      <c r="AW94" s="134"/>
      <c r="AX94" s="135"/>
      <c r="AY94" s="135"/>
      <c r="AZ94" s="516">
        <v>96.329521</v>
      </c>
      <c r="BA94" s="508">
        <v>326.0200000000001</v>
      </c>
      <c r="BB94" s="371">
        <v>134.83799999999997</v>
      </c>
      <c r="BC94" s="574">
        <v>0</v>
      </c>
      <c r="BD94" s="574">
        <v>0</v>
      </c>
      <c r="BE94" s="41"/>
      <c r="BG94" s="128" t="e">
        <f t="shared" si="23"/>
        <v>#DIV/0!</v>
      </c>
      <c r="BH94" s="129" t="e">
        <f t="shared" si="23"/>
        <v>#DIV/0!</v>
      </c>
      <c r="BI94" s="129">
        <f t="shared" si="8"/>
        <v>0</v>
      </c>
      <c r="BJ94" s="130"/>
      <c r="BL94" s="134"/>
      <c r="BM94" s="135"/>
      <c r="BN94" s="135"/>
      <c r="BO94" s="136"/>
      <c r="BQ94" s="134"/>
      <c r="BR94" s="135"/>
      <c r="BS94" s="135"/>
      <c r="BT94" s="136"/>
      <c r="BV94" s="134"/>
      <c r="BW94" s="135"/>
      <c r="BX94" s="135"/>
      <c r="BY94" s="136"/>
      <c r="CA94" s="134"/>
      <c r="CB94" s="135"/>
      <c r="CC94" s="135"/>
      <c r="CD94" s="136"/>
    </row>
    <row r="95" spans="1:82">
      <c r="A95" s="96" t="s">
        <v>994</v>
      </c>
      <c r="B95" s="27" t="s">
        <v>872</v>
      </c>
      <c r="C95" s="25" t="s">
        <v>131</v>
      </c>
      <c r="D95" s="24">
        <v>186907991</v>
      </c>
      <c r="E95" s="25">
        <v>11</v>
      </c>
      <c r="F95" s="25">
        <v>64</v>
      </c>
      <c r="G95" s="26">
        <v>30</v>
      </c>
      <c r="I95" s="46">
        <f t="shared" si="0"/>
        <v>140.76415499999999</v>
      </c>
      <c r="J95" s="47">
        <f t="shared" si="1"/>
        <v>1.6066561006479385</v>
      </c>
      <c r="K95" s="47">
        <f t="shared" si="2"/>
        <v>1.0091804796082795</v>
      </c>
      <c r="L95" s="269">
        <f>IF(ISBLANK(R95),"·",R95/D95)</f>
        <v>0.59727796228894248</v>
      </c>
      <c r="M95" s="104"/>
      <c r="N95" s="47">
        <f t="shared" si="4"/>
        <v>1.6066561006479385</v>
      </c>
      <c r="O95" s="523">
        <v>186907991</v>
      </c>
      <c r="P95" s="502">
        <v>300296864</v>
      </c>
      <c r="Q95" s="353">
        <v>188623896</v>
      </c>
      <c r="R95" s="353">
        <v>111636024</v>
      </c>
      <c r="S95" s="257"/>
      <c r="T95" s="353">
        <v>32.598095000000001</v>
      </c>
      <c r="U95" s="353">
        <v>37.038367999999998</v>
      </c>
      <c r="V95" s="372">
        <v>37.197032999999998</v>
      </c>
      <c r="W95" s="257"/>
      <c r="X95" s="353">
        <v>24.048421999999999</v>
      </c>
      <c r="Y95" s="353">
        <v>24.048421999999999</v>
      </c>
      <c r="Z95" s="372">
        <v>24.048421999999999</v>
      </c>
      <c r="AA95" s="257"/>
      <c r="AB95" s="506">
        <v>442.99700000000007</v>
      </c>
      <c r="AC95" s="355">
        <v>322.75900000000001</v>
      </c>
      <c r="AD95" s="572">
        <v>0</v>
      </c>
      <c r="AE95" s="572">
        <v>0</v>
      </c>
      <c r="AF95" s="49"/>
      <c r="AH95" s="46">
        <f t="shared" si="5"/>
        <v>125.85707625000001</v>
      </c>
      <c r="AI95" s="47">
        <f t="shared" si="18"/>
        <v>1.4365094534668665</v>
      </c>
      <c r="AJ95" s="269">
        <f t="shared" si="19"/>
        <v>1.0091804796082795</v>
      </c>
      <c r="AK95" s="274">
        <f t="shared" si="20"/>
        <v>0.42713131510787039</v>
      </c>
      <c r="AL95" s="266" t="str">
        <f t="shared" si="21"/>
        <v>·</v>
      </c>
      <c r="AM95" s="47">
        <f t="shared" si="13"/>
        <v>1.4365094534668665</v>
      </c>
      <c r="AN95" s="523">
        <v>186907991</v>
      </c>
      <c r="AO95" s="502">
        <v>268495096</v>
      </c>
      <c r="AP95" s="353">
        <v>188623896</v>
      </c>
      <c r="AQ95" s="353">
        <v>79834256</v>
      </c>
      <c r="AR95" s="257"/>
      <c r="AS95" s="353">
        <v>32.078322999999997</v>
      </c>
      <c r="AT95" s="353">
        <v>38.536495000000002</v>
      </c>
      <c r="AU95" s="372">
        <v>39.486941999999999</v>
      </c>
      <c r="AV95" s="257"/>
      <c r="AW95" s="353">
        <v>24.048421999999999</v>
      </c>
      <c r="AX95" s="353">
        <v>24.048421999999999</v>
      </c>
      <c r="AY95" s="372">
        <v>24.048421999999999</v>
      </c>
      <c r="AZ95" s="257"/>
      <c r="BA95" s="506">
        <v>613.09400000000005</v>
      </c>
      <c r="BB95" s="355">
        <v>499.68599999999986</v>
      </c>
      <c r="BC95" s="572">
        <v>0</v>
      </c>
      <c r="BD95" s="572">
        <v>0</v>
      </c>
      <c r="BE95" s="49"/>
      <c r="BG95" s="119" t="e">
        <f t="shared" si="23"/>
        <v>#DIV/0!</v>
      </c>
      <c r="BH95" s="120" t="e">
        <f t="shared" si="23"/>
        <v>#DIV/0!</v>
      </c>
      <c r="BI95" s="120">
        <f t="shared" si="8"/>
        <v>7.4397924690182027E-2</v>
      </c>
      <c r="BJ95" s="121">
        <f t="array" ref="BJ95">AVERAGE(AP95:AP99/AO95:AO99) - AVERAGE(Q95:Q99/P95:P99)</f>
        <v>3.9484609472774157E-2</v>
      </c>
      <c r="BL95" s="279">
        <f>IF( OR(ISBLANK($R95:$R99),ISBLANK($AQ95:$AQ99), ISBLANK(T95:T99),ISBLANK(AS95:AS99)), "·", bdRateHermite($R95:$R99,T95:T99, $AQ95:$AQ99,AS95:AS99))</f>
        <v>-0.20027144766903726</v>
      </c>
      <c r="BM95" s="279">
        <f>IF( OR(ISBLANK($R95:$R99),ISBLANK($AQ95:$AQ99), ISBLANK(U95:U99),ISBLANK(AT95:AT99)), "·", bdRateHermite($R95:$R99,U95:U99, $AQ95:$AQ99,AT95:AT99))</f>
        <v>-0.24558604390906114</v>
      </c>
      <c r="BN95" s="279">
        <f>IF( OR(ISBLANK($R95:$R99),ISBLANK($AQ95:$AQ99), ISBLANK(V95:V99),ISBLANK(AU95:AU99)), "·", bdRateHermite($R95:$R99,V95:V99, $AQ95:$AQ99,AU95:AU99))</f>
        <v>-0.28616485729779284</v>
      </c>
      <c r="BO95" s="104"/>
      <c r="BQ95" s="173">
        <f>IF( OR(ISBLANK($R95:$R99),ISBLANK($AQ95:$AQ99), ISBLANK(X95:X99),ISBLANK(AW95:AW99)), "·", bdRateHermite($R95:$R99,X95:X99, $AQ95:$AQ99,AW95:AW99))</f>
        <v>-0.1688590052701926</v>
      </c>
      <c r="BR95" s="173">
        <f>IF( OR(ISBLANK($R95:$R99),ISBLANK($AQ95:$AQ99), ISBLANK(Y95:Y99),ISBLANK(AX95:AX99)), "·", bdRateHermite($R95:$R99,Y95:Y99, $AQ95:$AQ99,AX95:AX99))</f>
        <v>-0.1688590052701926</v>
      </c>
      <c r="BS95" s="173">
        <f>IF( OR(ISBLANK($R95:$R99),ISBLANK($AQ95:$AQ99), ISBLANK(Z95:Z99),ISBLANK(AY95:AY99)), "·", bdRateHermite($R95:$R99,Z95:Z99, $AQ95:$AQ99,AY95:AY99))</f>
        <v>-0.1688590052701926</v>
      </c>
      <c r="BT95" s="138"/>
      <c r="BV95" s="173">
        <f>IF(OR(ISBLANK($P95:$P99),ISBLANK($AO95:$AO99),ISBLANK(T95:T99),ISBLANK(AS95:AS99)),"·",bdRateHermite($P95:$P99,T95:T99,$AO95:$AO99,AS95:AS99))</f>
        <v>-0.12661166534341717</v>
      </c>
      <c r="BW95" s="173">
        <f>IF(OR(ISBLANK($P95:$P99),ISBLANK($AO95:$AO99),ISBLANK(U95:U99),ISBLANK(AT95:AT99)),"·",bdRateHermite($P95:$P99,U95:U99,$AO95:$AO99,AT95:AT99))</f>
        <v>-0.1533322249372655</v>
      </c>
      <c r="BX95" s="173">
        <f>IF(OR(ISBLANK($P95:$P99),ISBLANK($AO95:$AO99),ISBLANK(V95:V99),ISBLANK(AU95:AU99)),"·",bdRateHermite($P95:$P99,V95:V99,$AO95:$AO99,AU95:AU99))</f>
        <v>-0.17950232780289732</v>
      </c>
      <c r="BY95" s="138"/>
      <c r="CA95" s="173">
        <f>IF( OR(ISBLANK($P95:$P99),ISBLANK($AO95:$AO99), ISBLANK(X95:X99),ISBLANK(AW95:AW99)), "·", bdRateHermite( $P95:$P99,X95:X99, $AO95:$AO99,AW95:AW99))</f>
        <v>-0.10422105006796534</v>
      </c>
      <c r="CB95" s="173">
        <f>IF( OR(ISBLANK($P95:$P99),ISBLANK($AO95:$AO99), ISBLANK(Y95:Y99),ISBLANK(AX95:AX99)), "·", bdRateHermite( $P95:$P99,Y95:Y99, $AO95:$AO99,AX95:AX99))</f>
        <v>-0.10422105006796534</v>
      </c>
      <c r="CC95" s="173">
        <f>IF( OR(ISBLANK($P95:$P99),ISBLANK($AO95:$AO99), ISBLANK(Z95:Z99),ISBLANK(AY95:AY99)), "·", bdRateHermite( $P95:$P99,Z95:Z99, $AO95:$AO99,AY95:AY99))</f>
        <v>-0.10422105006796534</v>
      </c>
      <c r="CD95" s="138"/>
    </row>
    <row r="96" spans="1:82" outlineLevel="1">
      <c r="A96" s="13"/>
      <c r="B96" s="14" t="s">
        <v>873</v>
      </c>
      <c r="C96" s="15" t="s">
        <v>132</v>
      </c>
      <c r="D96" s="14">
        <v>186907991</v>
      </c>
      <c r="E96" s="15">
        <v>11</v>
      </c>
      <c r="F96" s="25">
        <v>64</v>
      </c>
      <c r="G96" s="16">
        <v>30</v>
      </c>
      <c r="I96" s="30">
        <f t="shared" si="0"/>
        <v>217.93181250000001</v>
      </c>
      <c r="J96" s="31">
        <f t="shared" si="1"/>
        <v>2.4874335094640228</v>
      </c>
      <c r="K96" s="31">
        <f t="shared" si="2"/>
        <v>1.0091804796082795</v>
      </c>
      <c r="L96" s="270">
        <f t="shared" ref="L96:L99" si="24">IF(ISBLANK(R96),"·",R96/D96)</f>
        <v>1.4780553711050268</v>
      </c>
      <c r="M96" s="106"/>
      <c r="N96" s="31">
        <f t="shared" si="4"/>
        <v>2.4874335094640228</v>
      </c>
      <c r="O96" s="521">
        <v>186907991</v>
      </c>
      <c r="P96" s="503">
        <v>464921200</v>
      </c>
      <c r="Q96" s="357">
        <v>188623896</v>
      </c>
      <c r="R96" s="357">
        <v>276260360</v>
      </c>
      <c r="S96" s="258"/>
      <c r="T96" s="357">
        <v>38.277724999999997</v>
      </c>
      <c r="U96" s="357">
        <v>41.004257000000003</v>
      </c>
      <c r="V96" s="373">
        <v>41.396557000000001</v>
      </c>
      <c r="W96" s="258"/>
      <c r="X96" s="357">
        <v>30.068995000000001</v>
      </c>
      <c r="Y96" s="357">
        <v>30.068995000000001</v>
      </c>
      <c r="Z96" s="373">
        <v>30.068995000000001</v>
      </c>
      <c r="AA96" s="258"/>
      <c r="AB96" s="507">
        <v>496.65500000000014</v>
      </c>
      <c r="AC96" s="359">
        <v>328.392</v>
      </c>
      <c r="AD96" s="573">
        <v>0</v>
      </c>
      <c r="AE96" s="573">
        <v>0</v>
      </c>
      <c r="AF96" s="33"/>
      <c r="AH96" s="30">
        <f t="shared" si="5"/>
        <v>183.66762</v>
      </c>
      <c r="AI96" s="31">
        <f t="shared" si="18"/>
        <v>2.0963483364389703</v>
      </c>
      <c r="AJ96" s="270">
        <f t="shared" si="19"/>
        <v>1.0091804796082795</v>
      </c>
      <c r="AK96" s="275">
        <f t="shared" si="20"/>
        <v>1.086970198079974</v>
      </c>
      <c r="AL96" s="267" t="str">
        <f t="shared" si="21"/>
        <v>·</v>
      </c>
      <c r="AM96" s="31">
        <f t="shared" si="13"/>
        <v>2.0963483364389703</v>
      </c>
      <c r="AN96" s="521">
        <v>186907991</v>
      </c>
      <c r="AO96" s="503">
        <v>391824256</v>
      </c>
      <c r="AP96" s="357">
        <v>188623896</v>
      </c>
      <c r="AQ96" s="357">
        <v>203163416</v>
      </c>
      <c r="AR96" s="258"/>
      <c r="AS96" s="357">
        <v>38.475616000000002</v>
      </c>
      <c r="AT96" s="357">
        <v>41.812904000000003</v>
      </c>
      <c r="AU96" s="373">
        <v>42.712645999999999</v>
      </c>
      <c r="AV96" s="258"/>
      <c r="AW96" s="357">
        <v>30.068995000000001</v>
      </c>
      <c r="AX96" s="357">
        <v>30.068995000000001</v>
      </c>
      <c r="AY96" s="373">
        <v>30.068995000000001</v>
      </c>
      <c r="AZ96" s="258"/>
      <c r="BA96" s="507">
        <v>651.04900000000021</v>
      </c>
      <c r="BB96" s="359">
        <v>483.517</v>
      </c>
      <c r="BC96" s="573">
        <v>0</v>
      </c>
      <c r="BD96" s="573">
        <v>0</v>
      </c>
      <c r="BE96" s="33"/>
      <c r="BG96" s="122" t="e">
        <f t="shared" si="23"/>
        <v>#DIV/0!</v>
      </c>
      <c r="BH96" s="123" t="e">
        <f t="shared" si="23"/>
        <v>#DIV/0!</v>
      </c>
      <c r="BI96" s="123">
        <f t="shared" si="8"/>
        <v>7.5687692276802665E-2</v>
      </c>
      <c r="BJ96" s="124"/>
      <c r="BL96" s="107"/>
      <c r="BM96" s="107"/>
      <c r="BN96" s="107"/>
      <c r="BO96" s="106"/>
      <c r="BQ96" s="177"/>
      <c r="BR96" s="177"/>
      <c r="BS96" s="177"/>
      <c r="BT96" s="106"/>
      <c r="BV96" s="177"/>
      <c r="BW96" s="177"/>
      <c r="BX96" s="177"/>
      <c r="BY96" s="106"/>
      <c r="CA96" s="177"/>
      <c r="CB96" s="177"/>
      <c r="CC96" s="177"/>
      <c r="CD96" s="106"/>
    </row>
    <row r="97" spans="1:82" outlineLevel="1">
      <c r="A97" s="13"/>
      <c r="B97" s="14" t="s">
        <v>873</v>
      </c>
      <c r="C97" s="15" t="s">
        <v>133</v>
      </c>
      <c r="D97" s="14">
        <v>186907991</v>
      </c>
      <c r="E97" s="15">
        <v>11</v>
      </c>
      <c r="F97" s="25">
        <v>64</v>
      </c>
      <c r="G97" s="16">
        <v>30</v>
      </c>
      <c r="I97" s="30">
        <f t="shared" si="0"/>
        <v>360.62467125000001</v>
      </c>
      <c r="J97" s="31">
        <f t="shared" si="1"/>
        <v>4.1161034789571946</v>
      </c>
      <c r="K97" s="31">
        <f t="shared" si="2"/>
        <v>1.0091804796082795</v>
      </c>
      <c r="L97" s="270">
        <f t="shared" si="24"/>
        <v>3.1067260254271312</v>
      </c>
      <c r="M97" s="106"/>
      <c r="N97" s="31">
        <f t="shared" si="4"/>
        <v>4.1161034789571946</v>
      </c>
      <c r="O97" s="521">
        <v>186907991</v>
      </c>
      <c r="P97" s="503">
        <v>769332632</v>
      </c>
      <c r="Q97" s="357">
        <v>188623896</v>
      </c>
      <c r="R97" s="357">
        <v>580671920</v>
      </c>
      <c r="S97" s="258"/>
      <c r="T97" s="357">
        <v>43.912444999999998</v>
      </c>
      <c r="U97" s="357">
        <v>45.026294999999998</v>
      </c>
      <c r="V97" s="373">
        <v>44.947239000000003</v>
      </c>
      <c r="W97" s="258"/>
      <c r="X97" s="357">
        <v>36.089602999999997</v>
      </c>
      <c r="Y97" s="357">
        <v>36.089602999999997</v>
      </c>
      <c r="Z97" s="373">
        <v>36.089602999999997</v>
      </c>
      <c r="AA97" s="258"/>
      <c r="AB97" s="507">
        <v>460.3889999999999</v>
      </c>
      <c r="AC97" s="359">
        <v>340.86599999999993</v>
      </c>
      <c r="AD97" s="573">
        <v>0</v>
      </c>
      <c r="AE97" s="573">
        <v>0</v>
      </c>
      <c r="AF97" s="33"/>
      <c r="AH97" s="30">
        <f t="shared" si="5"/>
        <v>318.21020625</v>
      </c>
      <c r="AI97" s="31">
        <f t="shared" si="18"/>
        <v>3.6319925989681199</v>
      </c>
      <c r="AJ97" s="270">
        <f t="shared" si="19"/>
        <v>1.0091804796082795</v>
      </c>
      <c r="AK97" s="275">
        <f t="shared" si="20"/>
        <v>2.6226151454380568</v>
      </c>
      <c r="AL97" s="267" t="str">
        <f t="shared" si="21"/>
        <v>·</v>
      </c>
      <c r="AM97" s="31">
        <f t="shared" si="13"/>
        <v>3.6319925989681199</v>
      </c>
      <c r="AN97" s="521">
        <v>186907991</v>
      </c>
      <c r="AO97" s="503">
        <v>678848440</v>
      </c>
      <c r="AP97" s="357">
        <v>188623896</v>
      </c>
      <c r="AQ97" s="357">
        <v>490187728</v>
      </c>
      <c r="AR97" s="258"/>
      <c r="AS97" s="357">
        <v>44.304347999999997</v>
      </c>
      <c r="AT97" s="357">
        <v>45.344788000000001</v>
      </c>
      <c r="AU97" s="373">
        <v>45.442332999999998</v>
      </c>
      <c r="AV97" s="258"/>
      <c r="AW97" s="357">
        <v>36.089602999999997</v>
      </c>
      <c r="AX97" s="357">
        <v>36.089602999999997</v>
      </c>
      <c r="AY97" s="373">
        <v>36.089602999999997</v>
      </c>
      <c r="AZ97" s="258"/>
      <c r="BA97" s="507">
        <v>639.78699999999992</v>
      </c>
      <c r="BB97" s="359">
        <v>488.74999999999994</v>
      </c>
      <c r="BC97" s="573">
        <v>0</v>
      </c>
      <c r="BD97" s="573">
        <v>0</v>
      </c>
      <c r="BE97" s="33"/>
      <c r="BG97" s="122" t="e">
        <f t="shared" si="23"/>
        <v>#DIV/0!</v>
      </c>
      <c r="BH97" s="123" t="e">
        <f t="shared" si="23"/>
        <v>#DIV/0!</v>
      </c>
      <c r="BI97" s="123">
        <f t="shared" si="8"/>
        <v>3.2680029908965652E-2</v>
      </c>
      <c r="BJ97" s="124"/>
      <c r="BL97" s="107"/>
      <c r="BM97" s="107"/>
      <c r="BN97" s="107"/>
      <c r="BO97" s="106"/>
      <c r="BQ97" s="177"/>
      <c r="BR97" s="177"/>
      <c r="BS97" s="177"/>
      <c r="BT97" s="106"/>
      <c r="BV97" s="177"/>
      <c r="BW97" s="177"/>
      <c r="BX97" s="177"/>
      <c r="BY97" s="106"/>
      <c r="CA97" s="177"/>
      <c r="CB97" s="177"/>
      <c r="CC97" s="177"/>
      <c r="CD97" s="106"/>
    </row>
    <row r="98" spans="1:82" outlineLevel="1">
      <c r="A98" s="13"/>
      <c r="B98" s="14" t="s">
        <v>872</v>
      </c>
      <c r="C98" s="15" t="s">
        <v>134</v>
      </c>
      <c r="D98" s="14">
        <v>186907991</v>
      </c>
      <c r="E98" s="15">
        <v>11</v>
      </c>
      <c r="F98" s="25">
        <v>64</v>
      </c>
      <c r="G98" s="16">
        <v>30</v>
      </c>
      <c r="I98" s="30">
        <f t="shared" si="0"/>
        <v>538.90405499999997</v>
      </c>
      <c r="J98" s="31">
        <f t="shared" si="1"/>
        <v>6.1509514807208001</v>
      </c>
      <c r="K98" s="31">
        <f t="shared" si="2"/>
        <v>1.0091804796082795</v>
      </c>
      <c r="L98" s="270">
        <f t="shared" si="24"/>
        <v>5.1415740271907371</v>
      </c>
      <c r="M98" s="106"/>
      <c r="N98" s="31">
        <f t="shared" si="4"/>
        <v>6.1509514807208001</v>
      </c>
      <c r="O98" s="521">
        <v>186907991</v>
      </c>
      <c r="P98" s="503">
        <v>1149661984</v>
      </c>
      <c r="Q98" s="357">
        <v>188623896</v>
      </c>
      <c r="R98" s="357">
        <v>961001272</v>
      </c>
      <c r="S98" s="258"/>
      <c r="T98" s="357">
        <v>49.160277999999998</v>
      </c>
      <c r="U98" s="357">
        <v>48.982460000000003</v>
      </c>
      <c r="V98" s="373">
        <v>48.675808000000004</v>
      </c>
      <c r="W98" s="258"/>
      <c r="X98" s="357">
        <v>42.110194999999997</v>
      </c>
      <c r="Y98" s="357">
        <v>42.110194999999997</v>
      </c>
      <c r="Z98" s="373">
        <v>42.110194999999997</v>
      </c>
      <c r="AA98" s="258"/>
      <c r="AB98" s="507">
        <v>501.95899999999995</v>
      </c>
      <c r="AC98" s="359">
        <v>347.01499999999999</v>
      </c>
      <c r="AD98" s="573">
        <v>0</v>
      </c>
      <c r="AE98" s="573">
        <v>0</v>
      </c>
      <c r="AF98" s="33"/>
      <c r="AH98" s="30">
        <f t="shared" si="5"/>
        <v>507.32168625000003</v>
      </c>
      <c r="AI98" s="31">
        <f t="shared" si="18"/>
        <v>5.7904761493049275</v>
      </c>
      <c r="AJ98" s="270">
        <f t="shared" si="19"/>
        <v>1.0091804796082795</v>
      </c>
      <c r="AK98" s="275">
        <f t="shared" si="20"/>
        <v>4.7810986957748636</v>
      </c>
      <c r="AL98" s="267" t="str">
        <f t="shared" si="21"/>
        <v>·</v>
      </c>
      <c r="AM98" s="31">
        <f t="shared" si="13"/>
        <v>5.7904761493049275</v>
      </c>
      <c r="AN98" s="521">
        <v>186907991</v>
      </c>
      <c r="AO98" s="503">
        <v>1082286264</v>
      </c>
      <c r="AP98" s="357">
        <v>188623896</v>
      </c>
      <c r="AQ98" s="357">
        <v>893625552</v>
      </c>
      <c r="AR98" s="258"/>
      <c r="AS98" s="357">
        <v>49.343871999999998</v>
      </c>
      <c r="AT98" s="357">
        <v>49.074748999999997</v>
      </c>
      <c r="AU98" s="373">
        <v>48.759318999999998</v>
      </c>
      <c r="AV98" s="258"/>
      <c r="AW98" s="357">
        <v>42.110194999999997</v>
      </c>
      <c r="AX98" s="357">
        <v>42.110194999999997</v>
      </c>
      <c r="AY98" s="373">
        <v>42.110194999999997</v>
      </c>
      <c r="AZ98" s="258"/>
      <c r="BA98" s="507">
        <v>688.8159999999998</v>
      </c>
      <c r="BB98" s="359">
        <v>524.38800000000003</v>
      </c>
      <c r="BC98" s="573">
        <v>0</v>
      </c>
      <c r="BD98" s="573">
        <v>0</v>
      </c>
      <c r="BE98" s="33"/>
      <c r="BG98" s="122" t="e">
        <f t="shared" si="23"/>
        <v>#DIV/0!</v>
      </c>
      <c r="BH98" s="123" t="e">
        <f t="shared" si="23"/>
        <v>#DIV/0!</v>
      </c>
      <c r="BI98" s="123">
        <f t="shared" si="8"/>
        <v>1.0213810896152392E-2</v>
      </c>
      <c r="BJ98" s="124"/>
      <c r="BL98" s="107"/>
      <c r="BM98" s="107"/>
      <c r="BN98" s="107"/>
      <c r="BO98" s="106"/>
      <c r="BQ98" s="177"/>
      <c r="BR98" s="177"/>
      <c r="BS98" s="177"/>
      <c r="BT98" s="106"/>
      <c r="BV98" s="177"/>
      <c r="BW98" s="177"/>
      <c r="BX98" s="177"/>
      <c r="BY98" s="106"/>
      <c r="CA98" s="177"/>
      <c r="CB98" s="177"/>
      <c r="CC98" s="177"/>
      <c r="CD98" s="106"/>
    </row>
    <row r="99" spans="1:82" ht="14.25" outlineLevel="1" thickBot="1">
      <c r="A99" s="13"/>
      <c r="B99" s="18" t="s">
        <v>872</v>
      </c>
      <c r="C99" s="22" t="s">
        <v>995</v>
      </c>
      <c r="D99" s="21">
        <v>186907991</v>
      </c>
      <c r="E99" s="22">
        <v>11</v>
      </c>
      <c r="F99" s="188">
        <v>64</v>
      </c>
      <c r="G99" s="23">
        <v>30</v>
      </c>
      <c r="I99" s="34">
        <f t="shared" si="0"/>
        <v>732.1375425</v>
      </c>
      <c r="J99" s="35">
        <f t="shared" si="1"/>
        <v>8.3564828643415243</v>
      </c>
      <c r="K99" s="35">
        <f t="shared" si="2"/>
        <v>1.0091804796082795</v>
      </c>
      <c r="L99" s="271">
        <f t="shared" si="24"/>
        <v>7.3471056248205029</v>
      </c>
      <c r="M99" s="135"/>
      <c r="N99" s="35">
        <f t="shared" si="4"/>
        <v>8.3564828643415243</v>
      </c>
      <c r="O99" s="522">
        <v>186907991</v>
      </c>
      <c r="P99" s="504">
        <v>1561893424</v>
      </c>
      <c r="Q99" s="369">
        <v>188623896</v>
      </c>
      <c r="R99" s="369">
        <v>1373232752</v>
      </c>
      <c r="S99" s="277"/>
      <c r="T99" s="369">
        <v>52.632027000000001</v>
      </c>
      <c r="U99" s="369">
        <v>52.099795999999998</v>
      </c>
      <c r="V99" s="374">
        <v>51.804786999999997</v>
      </c>
      <c r="W99" s="277"/>
      <c r="X99" s="369">
        <v>48.130839999999999</v>
      </c>
      <c r="Y99" s="369">
        <v>48.130839999999999</v>
      </c>
      <c r="Z99" s="374">
        <v>48.130839999999999</v>
      </c>
      <c r="AA99" s="277"/>
      <c r="AB99" s="508">
        <v>499.11099999999999</v>
      </c>
      <c r="AC99" s="371">
        <v>365.916</v>
      </c>
      <c r="AD99" s="574">
        <v>0</v>
      </c>
      <c r="AE99" s="574">
        <v>0</v>
      </c>
      <c r="AF99" s="37"/>
      <c r="AH99" s="38">
        <f t="shared" si="5"/>
        <v>706.15459499999997</v>
      </c>
      <c r="AI99" s="39">
        <f t="shared" si="18"/>
        <v>8.0599182942370824</v>
      </c>
      <c r="AJ99" s="273">
        <f t="shared" si="19"/>
        <v>1.0091804796082795</v>
      </c>
      <c r="AK99" s="276">
        <f t="shared" si="20"/>
        <v>7.050541054716061</v>
      </c>
      <c r="AL99" s="268" t="str">
        <f t="shared" si="21"/>
        <v>·</v>
      </c>
      <c r="AM99" s="39">
        <f t="shared" si="13"/>
        <v>8.0599182942370824</v>
      </c>
      <c r="AN99" s="522">
        <v>186907991</v>
      </c>
      <c r="AO99" s="504">
        <v>1506463136</v>
      </c>
      <c r="AP99" s="369">
        <v>188623896</v>
      </c>
      <c r="AQ99" s="369">
        <v>1317802464</v>
      </c>
      <c r="AR99" s="277"/>
      <c r="AS99" s="369">
        <v>52.713867</v>
      </c>
      <c r="AT99" s="369">
        <v>52.127586000000001</v>
      </c>
      <c r="AU99" s="374">
        <v>51.801765000000003</v>
      </c>
      <c r="AV99" s="277"/>
      <c r="AW99" s="369">
        <v>48.130839999999999</v>
      </c>
      <c r="AX99" s="369">
        <v>48.130839999999999</v>
      </c>
      <c r="AY99" s="374">
        <v>48.130839999999999</v>
      </c>
      <c r="AZ99" s="277"/>
      <c r="BA99" s="508">
        <v>608.34100000000012</v>
      </c>
      <c r="BB99" s="371">
        <v>553.68899999999985</v>
      </c>
      <c r="BC99" s="574">
        <v>0</v>
      </c>
      <c r="BD99" s="574">
        <v>0</v>
      </c>
      <c r="BE99" s="41"/>
      <c r="BG99" s="128" t="e">
        <f t="shared" si="23"/>
        <v>#DIV/0!</v>
      </c>
      <c r="BH99" s="129" t="e">
        <f t="shared" si="23"/>
        <v>#DIV/0!</v>
      </c>
      <c r="BI99" s="129">
        <f t="shared" si="8"/>
        <v>4.4435895917676188E-3</v>
      </c>
      <c r="BJ99" s="130"/>
      <c r="BL99" s="110"/>
      <c r="BM99" s="110"/>
      <c r="BN99" s="110"/>
      <c r="BO99" s="109"/>
      <c r="BQ99" s="181"/>
      <c r="BR99" s="181"/>
      <c r="BS99" s="181"/>
      <c r="BT99" s="109"/>
      <c r="BV99" s="181"/>
      <c r="BW99" s="181"/>
      <c r="BX99" s="181"/>
      <c r="BY99" s="109"/>
      <c r="CA99" s="181"/>
      <c r="CB99" s="181"/>
      <c r="CC99" s="181"/>
      <c r="CD99" s="109"/>
    </row>
    <row r="100" spans="1:82">
      <c r="A100" s="13"/>
      <c r="B100" s="27" t="s">
        <v>996</v>
      </c>
      <c r="C100" s="28" t="s">
        <v>131</v>
      </c>
      <c r="D100" s="27">
        <v>166028718</v>
      </c>
      <c r="E100" s="28">
        <v>11</v>
      </c>
      <c r="F100" s="28">
        <v>64</v>
      </c>
      <c r="G100" s="29">
        <v>30</v>
      </c>
      <c r="I100" s="42">
        <f t="shared" si="0"/>
        <v>136.7985525</v>
      </c>
      <c r="J100" s="43">
        <f t="shared" si="1"/>
        <v>1.7577495960668683</v>
      </c>
      <c r="K100" s="43">
        <f t="shared" si="2"/>
        <v>1.0594718439011255</v>
      </c>
      <c r="L100" s="269">
        <f>IF(ISBLANK(R100),"·",R100/D100)</f>
        <v>0.69805591102618769</v>
      </c>
      <c r="M100" s="104"/>
      <c r="N100" s="43">
        <f t="shared" si="4"/>
        <v>1.7577495960668683</v>
      </c>
      <c r="O100" s="520">
        <v>166028718</v>
      </c>
      <c r="P100" s="502">
        <v>291836912</v>
      </c>
      <c r="Q100" s="353">
        <v>175902752</v>
      </c>
      <c r="R100" s="353">
        <v>115897328</v>
      </c>
      <c r="S100" s="257"/>
      <c r="T100" s="353">
        <v>32.346049999999998</v>
      </c>
      <c r="U100" s="353">
        <v>36.629047</v>
      </c>
      <c r="V100" s="372">
        <v>36.802357000000001</v>
      </c>
      <c r="W100" s="257"/>
      <c r="X100" s="353">
        <v>24.048421999999999</v>
      </c>
      <c r="Y100" s="353">
        <v>24.048421999999999</v>
      </c>
      <c r="Z100" s="372">
        <v>24.048421999999999</v>
      </c>
      <c r="AA100" s="257"/>
      <c r="AB100" s="506">
        <v>427.03099999999989</v>
      </c>
      <c r="AC100" s="355">
        <v>269.73599999999999</v>
      </c>
      <c r="AD100" s="572">
        <v>0</v>
      </c>
      <c r="AE100" s="572">
        <v>0</v>
      </c>
      <c r="AF100" s="45"/>
      <c r="AH100" s="46">
        <f t="shared" si="5"/>
        <v>120.90736875</v>
      </c>
      <c r="AI100" s="47">
        <f t="shared" si="18"/>
        <v>1.5535608725232704</v>
      </c>
      <c r="AJ100" s="47">
        <f t="shared" si="19"/>
        <v>1.0594718439011255</v>
      </c>
      <c r="AK100" s="274">
        <f t="shared" si="20"/>
        <v>0.49386718748258962</v>
      </c>
      <c r="AL100" s="266" t="str">
        <f t="shared" si="21"/>
        <v>·</v>
      </c>
      <c r="AM100" s="47">
        <f t="shared" si="13"/>
        <v>1.5535608725232704</v>
      </c>
      <c r="AN100" s="520">
        <v>166028718</v>
      </c>
      <c r="AO100" s="502">
        <v>257935720</v>
      </c>
      <c r="AP100" s="353">
        <v>175902752</v>
      </c>
      <c r="AQ100" s="353">
        <v>81996136</v>
      </c>
      <c r="AR100" s="257"/>
      <c r="AS100" s="353">
        <v>31.880704999999999</v>
      </c>
      <c r="AT100" s="353">
        <v>38.221172000000003</v>
      </c>
      <c r="AU100" s="372">
        <v>39.153033999999998</v>
      </c>
      <c r="AV100" s="257"/>
      <c r="AW100" s="353">
        <v>24.048421999999999</v>
      </c>
      <c r="AX100" s="353">
        <v>24.048421999999999</v>
      </c>
      <c r="AY100" s="372">
        <v>24.048421999999999</v>
      </c>
      <c r="AZ100" s="257"/>
      <c r="BA100" s="506">
        <v>549.32500000000016</v>
      </c>
      <c r="BB100" s="355">
        <v>382.73000000000008</v>
      </c>
      <c r="BC100" s="572">
        <v>0</v>
      </c>
      <c r="BD100" s="572">
        <v>0</v>
      </c>
      <c r="BE100" s="49"/>
      <c r="BG100" s="119" t="e">
        <f t="shared" si="23"/>
        <v>#DIV/0!</v>
      </c>
      <c r="BH100" s="120" t="e">
        <f t="shared" si="23"/>
        <v>#DIV/0!</v>
      </c>
      <c r="BI100" s="120">
        <f t="shared" si="8"/>
        <v>7.922019229810906E-2</v>
      </c>
      <c r="BJ100" s="121">
        <f t="array" ref="BJ100">AVERAGE(AP100:AP104/AO100:AO104) - AVERAGE(Q100:Q104/P100:P104)</f>
        <v>3.9071733339144876E-2</v>
      </c>
      <c r="BL100" s="279">
        <f>IF( OR(ISBLANK($R100:$R104),ISBLANK($AQ100:$AQ104), ISBLANK(T100:T104),ISBLANK(AS100:AS104)), "·", bdRateHermite($R100:$R104,T100:T104, $AQ100:$AQ104,AS100:AS104))</f>
        <v>-0.18837521257504675</v>
      </c>
      <c r="BM100" s="279">
        <f>IF( OR(ISBLANK($R100:$R104),ISBLANK($AQ100:$AQ104), ISBLANK(U100:U104),ISBLANK(AT100:AT104)), "·", bdRateHermite($R100:$R104,U100:U104, $AQ100:$AQ104,AT100:AT104))</f>
        <v>-0.2362886062015277</v>
      </c>
      <c r="BN100" s="279">
        <f>IF( OR(ISBLANK($R100:$R104),ISBLANK($AQ100:$AQ104), ISBLANK(V100:V104),ISBLANK(AU100:AU104)), "·", bdRateHermite($R100:$R104,V100:V104, $AQ100:$AQ104,AU100:AU104))</f>
        <v>-0.25736794469552793</v>
      </c>
      <c r="BO100" s="104"/>
      <c r="BQ100" s="173">
        <f>IF( OR(ISBLANK($R100:$R104),ISBLANK($AQ100:$AQ104), ISBLANK(X100:X104),ISBLANK(AW100:AW104)), "·", bdRateHermite($R100:$R104,X100:X104, $AQ100:$AQ104,AW100:AW104))</f>
        <v>-0.16165565786507607</v>
      </c>
      <c r="BR100" s="173">
        <f>IF( OR(ISBLANK($R100:$R104),ISBLANK($AQ100:$AQ104), ISBLANK(Y100:Y104),ISBLANK(AX100:AX104)), "·", bdRateHermite($R100:$R104,Y100:Y104, $AQ100:$AQ104,AX100:AX104))</f>
        <v>-0.16165565786507607</v>
      </c>
      <c r="BS100" s="173">
        <f>IF( OR(ISBLANK($R100:$R104),ISBLANK($AQ100:$AQ104), ISBLANK(Z100:Z104),ISBLANK(AY100:AY104)), "·", bdRateHermite($R100:$R104,Z100:Z104, $AQ100:$AQ104,AY100:AY104))</f>
        <v>-0.16165565786507607</v>
      </c>
      <c r="BT100" s="138"/>
      <c r="BV100" s="173">
        <f>IF(OR(ISBLANK($P100:$P104),ISBLANK($AO100:$AO104),ISBLANK(T100:T104),ISBLANK(AS100:AS104)),"·",bdRateHermite($P100:$P104,T100:T104,$AO100:$AO104,AS100:AS104))</f>
        <v>-0.11837771176206435</v>
      </c>
      <c r="BW100" s="173">
        <f>IF(OR(ISBLANK($P100:$P104),ISBLANK($AO100:$AO104),ISBLANK(U100:U104),ISBLANK(AT100:AT104)),"·",bdRateHermite($P100:$P104,U100:U104,$AO100:$AO104,AT100:AT104))</f>
        <v>-0.14694008482887766</v>
      </c>
      <c r="BX100" s="173">
        <f>IF(OR(ISBLANK($P100:$P104),ISBLANK($AO100:$AO104),ISBLANK(V100:V104),ISBLANK(AU100:AU104)),"·",bdRateHermite($P100:$P104,V100:V104,$AO100:$AO104,AU100:AU104))</f>
        <v>-0.16126405738641258</v>
      </c>
      <c r="BY100" s="138"/>
      <c r="CA100" s="173">
        <f>IF( OR(ISBLANK($P100:$P104),ISBLANK($AO100:$AO104), ISBLANK(X100:X104),ISBLANK(AW100:AW104)), "·", bdRateHermite( $P100:$P104,X100:X104, $AO100:$AO104,AW100:AW104))</f>
        <v>-9.982084901602728E-2</v>
      </c>
      <c r="CB100" s="173">
        <f>IF( OR(ISBLANK($P100:$P104),ISBLANK($AO100:$AO104), ISBLANK(Y100:Y104),ISBLANK(AX100:AX104)), "·", bdRateHermite( $P100:$P104,Y100:Y104, $AO100:$AO104,AX100:AX104))</f>
        <v>-9.982084901602728E-2</v>
      </c>
      <c r="CC100" s="173">
        <f>IF( OR(ISBLANK($P100:$P104),ISBLANK($AO100:$AO104), ISBLANK(Z100:Z104),ISBLANK(AY100:AY104)), "·", bdRateHermite( $P100:$P104,Z100:Z104, $AO100:$AO104,AY100:AY104))</f>
        <v>-9.982084901602728E-2</v>
      </c>
      <c r="CD100" s="138"/>
    </row>
    <row r="101" spans="1:82" outlineLevel="1">
      <c r="A101" s="13"/>
      <c r="B101" s="14" t="s">
        <v>874</v>
      </c>
      <c r="C101" s="15" t="s">
        <v>132</v>
      </c>
      <c r="D101" s="14">
        <v>166028718</v>
      </c>
      <c r="E101" s="15">
        <v>11</v>
      </c>
      <c r="F101" s="25">
        <v>64</v>
      </c>
      <c r="G101" s="16">
        <v>30</v>
      </c>
      <c r="I101" s="30">
        <f t="shared" si="0"/>
        <v>206.7255375</v>
      </c>
      <c r="J101" s="31">
        <f t="shared" si="1"/>
        <v>2.6562542029626464</v>
      </c>
      <c r="K101" s="31">
        <f t="shared" si="2"/>
        <v>1.0594718439011255</v>
      </c>
      <c r="L101" s="270">
        <f t="shared" ref="L101:L104" si="25">IF(ISBLANK(R101),"·",R101/D101)</f>
        <v>1.5965605179219657</v>
      </c>
      <c r="M101" s="106"/>
      <c r="N101" s="31">
        <f t="shared" si="4"/>
        <v>2.6562542029626464</v>
      </c>
      <c r="O101" s="521">
        <v>166028718</v>
      </c>
      <c r="P101" s="503">
        <v>441014480</v>
      </c>
      <c r="Q101" s="357">
        <v>175902752</v>
      </c>
      <c r="R101" s="357">
        <v>265074896</v>
      </c>
      <c r="S101" s="258"/>
      <c r="T101" s="357">
        <v>38.139549000000002</v>
      </c>
      <c r="U101" s="357">
        <v>40.935516</v>
      </c>
      <c r="V101" s="373">
        <v>41.138176000000001</v>
      </c>
      <c r="W101" s="258"/>
      <c r="X101" s="357">
        <v>30.068995000000001</v>
      </c>
      <c r="Y101" s="357">
        <v>30.068995000000001</v>
      </c>
      <c r="Z101" s="373">
        <v>30.068995000000001</v>
      </c>
      <c r="AA101" s="258"/>
      <c r="AB101" s="507">
        <v>441.51499999999976</v>
      </c>
      <c r="AC101" s="359">
        <v>280.339</v>
      </c>
      <c r="AD101" s="573">
        <v>0</v>
      </c>
      <c r="AE101" s="573">
        <v>0</v>
      </c>
      <c r="AF101" s="33"/>
      <c r="AH101" s="30">
        <f t="shared" si="5"/>
        <v>175.38448500000001</v>
      </c>
      <c r="AI101" s="31">
        <f t="shared" si="18"/>
        <v>2.2535472929448264</v>
      </c>
      <c r="AJ101" s="31">
        <f t="shared" si="19"/>
        <v>1.0594718439011255</v>
      </c>
      <c r="AK101" s="275">
        <f t="shared" si="20"/>
        <v>1.1938536079041457</v>
      </c>
      <c r="AL101" s="267" t="str">
        <f t="shared" si="21"/>
        <v>·</v>
      </c>
      <c r="AM101" s="31">
        <f t="shared" si="13"/>
        <v>2.2535472929448264</v>
      </c>
      <c r="AN101" s="521">
        <v>166028718</v>
      </c>
      <c r="AO101" s="503">
        <v>374153568</v>
      </c>
      <c r="AP101" s="357">
        <v>175902752</v>
      </c>
      <c r="AQ101" s="357">
        <v>198213984</v>
      </c>
      <c r="AR101" s="258"/>
      <c r="AS101" s="357">
        <v>38.290672000000001</v>
      </c>
      <c r="AT101" s="357">
        <v>41.772537</v>
      </c>
      <c r="AU101" s="373">
        <v>42.344296</v>
      </c>
      <c r="AV101" s="258"/>
      <c r="AW101" s="357">
        <v>30.068995000000001</v>
      </c>
      <c r="AX101" s="357">
        <v>30.068995000000001</v>
      </c>
      <c r="AY101" s="373">
        <v>30.068995000000001</v>
      </c>
      <c r="AZ101" s="258"/>
      <c r="BA101" s="507">
        <v>491.83100000000007</v>
      </c>
      <c r="BB101" s="359">
        <v>389.69900000000001</v>
      </c>
      <c r="BC101" s="573">
        <v>0</v>
      </c>
      <c r="BD101" s="573">
        <v>0</v>
      </c>
      <c r="BE101" s="33"/>
      <c r="BG101" s="122" t="e">
        <f t="shared" si="23"/>
        <v>#DIV/0!</v>
      </c>
      <c r="BH101" s="123" t="e">
        <f t="shared" si="23"/>
        <v>#DIV/0!</v>
      </c>
      <c r="BI101" s="123">
        <f t="shared" si="8"/>
        <v>7.1275814696515116E-2</v>
      </c>
      <c r="BJ101" s="124"/>
      <c r="BL101" s="107"/>
      <c r="BM101" s="107"/>
      <c r="BN101" s="107"/>
      <c r="BO101" s="106"/>
      <c r="BQ101" s="177"/>
      <c r="BR101" s="177"/>
      <c r="BS101" s="177"/>
      <c r="BT101" s="106"/>
      <c r="BV101" s="177"/>
      <c r="BW101" s="177"/>
      <c r="BX101" s="177"/>
      <c r="BY101" s="106"/>
      <c r="CA101" s="177"/>
      <c r="CB101" s="177"/>
      <c r="CC101" s="177"/>
      <c r="CD101" s="106"/>
    </row>
    <row r="102" spans="1:82" outlineLevel="1">
      <c r="A102" s="13"/>
      <c r="B102" s="14" t="s">
        <v>874</v>
      </c>
      <c r="C102" s="15" t="s">
        <v>133</v>
      </c>
      <c r="D102" s="14">
        <v>166028718</v>
      </c>
      <c r="E102" s="15">
        <v>11</v>
      </c>
      <c r="F102" s="25">
        <v>64</v>
      </c>
      <c r="G102" s="16">
        <v>30</v>
      </c>
      <c r="I102" s="30">
        <f t="shared" si="0"/>
        <v>328.23443250000003</v>
      </c>
      <c r="J102" s="31">
        <f t="shared" si="1"/>
        <v>4.2175441961793618</v>
      </c>
      <c r="K102" s="31">
        <f t="shared" si="2"/>
        <v>1.0594718439011255</v>
      </c>
      <c r="L102" s="270">
        <f t="shared" si="25"/>
        <v>3.1578506075075516</v>
      </c>
      <c r="M102" s="106"/>
      <c r="N102" s="31">
        <f t="shared" si="4"/>
        <v>4.2175441961793618</v>
      </c>
      <c r="O102" s="521">
        <v>166028718</v>
      </c>
      <c r="P102" s="503">
        <v>700233456</v>
      </c>
      <c r="Q102" s="357">
        <v>175902752</v>
      </c>
      <c r="R102" s="357">
        <v>524293888</v>
      </c>
      <c r="S102" s="258"/>
      <c r="T102" s="357">
        <v>43.848736000000002</v>
      </c>
      <c r="U102" s="357">
        <v>45.040829000000002</v>
      </c>
      <c r="V102" s="373">
        <v>44.857608999999997</v>
      </c>
      <c r="W102" s="258"/>
      <c r="X102" s="357">
        <v>36.089602999999997</v>
      </c>
      <c r="Y102" s="357">
        <v>36.089602999999997</v>
      </c>
      <c r="Z102" s="373">
        <v>36.089602999999997</v>
      </c>
      <c r="AA102" s="258"/>
      <c r="AB102" s="507">
        <v>444.00800000000004</v>
      </c>
      <c r="AC102" s="359">
        <v>291.75299999999987</v>
      </c>
      <c r="AD102" s="573">
        <v>0</v>
      </c>
      <c r="AE102" s="573">
        <v>0</v>
      </c>
      <c r="AF102" s="33"/>
      <c r="AH102" s="30">
        <f t="shared" si="5"/>
        <v>292.45622250000002</v>
      </c>
      <c r="AI102" s="31">
        <f t="shared" si="18"/>
        <v>3.757823438713777</v>
      </c>
      <c r="AJ102" s="31">
        <f t="shared" si="19"/>
        <v>1.0594718439011255</v>
      </c>
      <c r="AK102" s="275">
        <f t="shared" si="20"/>
        <v>2.6981298500419668</v>
      </c>
      <c r="AL102" s="267" t="str">
        <f t="shared" si="21"/>
        <v>·</v>
      </c>
      <c r="AM102" s="31">
        <f t="shared" si="13"/>
        <v>3.757823438713777</v>
      </c>
      <c r="AN102" s="521">
        <v>166028718</v>
      </c>
      <c r="AO102" s="503">
        <v>623906608</v>
      </c>
      <c r="AP102" s="357">
        <v>175902752</v>
      </c>
      <c r="AQ102" s="357">
        <v>447967040</v>
      </c>
      <c r="AR102" s="258"/>
      <c r="AS102" s="357">
        <v>44.174861999999997</v>
      </c>
      <c r="AT102" s="357">
        <v>45.341861999999999</v>
      </c>
      <c r="AU102" s="373">
        <v>45.280239000000002</v>
      </c>
      <c r="AV102" s="258"/>
      <c r="AW102" s="357">
        <v>36.089602999999997</v>
      </c>
      <c r="AX102" s="357">
        <v>36.089602999999997</v>
      </c>
      <c r="AY102" s="373">
        <v>36.089602999999997</v>
      </c>
      <c r="AZ102" s="258"/>
      <c r="BA102" s="507">
        <v>562.9609999999999</v>
      </c>
      <c r="BB102" s="359">
        <v>392.46799999999996</v>
      </c>
      <c r="BC102" s="573">
        <v>0</v>
      </c>
      <c r="BD102" s="573">
        <v>0</v>
      </c>
      <c r="BE102" s="33"/>
      <c r="BG102" s="122" t="e">
        <f t="shared" si="23"/>
        <v>#DIV/0!</v>
      </c>
      <c r="BH102" s="123" t="e">
        <f t="shared" si="23"/>
        <v>#DIV/0!</v>
      </c>
      <c r="BI102" s="123">
        <f t="shared" si="8"/>
        <v>3.0731766158462848E-2</v>
      </c>
      <c r="BJ102" s="124"/>
      <c r="BL102" s="107"/>
      <c r="BM102" s="107"/>
      <c r="BN102" s="107"/>
      <c r="BO102" s="106"/>
      <c r="BQ102" s="177"/>
      <c r="BR102" s="177"/>
      <c r="BS102" s="177"/>
      <c r="BT102" s="106"/>
      <c r="BV102" s="177"/>
      <c r="BW102" s="177"/>
      <c r="BX102" s="177"/>
      <c r="BY102" s="106"/>
      <c r="CA102" s="177"/>
      <c r="CB102" s="177"/>
      <c r="CC102" s="177"/>
      <c r="CD102" s="106"/>
    </row>
    <row r="103" spans="1:82" outlineLevel="1">
      <c r="A103" s="13"/>
      <c r="B103" s="14" t="s">
        <v>874</v>
      </c>
      <c r="C103" s="15" t="s">
        <v>134</v>
      </c>
      <c r="D103" s="14">
        <v>166028718</v>
      </c>
      <c r="E103" s="15">
        <v>11</v>
      </c>
      <c r="F103" s="25">
        <v>64</v>
      </c>
      <c r="G103" s="16">
        <v>30</v>
      </c>
      <c r="I103" s="30">
        <f t="shared" si="0"/>
        <v>482.70343874999998</v>
      </c>
      <c r="J103" s="31">
        <f t="shared" si="1"/>
        <v>6.2023446811171548</v>
      </c>
      <c r="K103" s="31">
        <f t="shared" si="2"/>
        <v>1.0594718439011255</v>
      </c>
      <c r="L103" s="270">
        <f t="shared" si="25"/>
        <v>5.1426510924453446</v>
      </c>
      <c r="M103" s="106"/>
      <c r="N103" s="31">
        <f t="shared" si="4"/>
        <v>6.2023446811171548</v>
      </c>
      <c r="O103" s="521">
        <v>166028718</v>
      </c>
      <c r="P103" s="503">
        <v>1029767336</v>
      </c>
      <c r="Q103" s="357">
        <v>175902752</v>
      </c>
      <c r="R103" s="357">
        <v>853827768</v>
      </c>
      <c r="S103" s="258"/>
      <c r="T103" s="357">
        <v>49.136299000000001</v>
      </c>
      <c r="U103" s="357">
        <v>48.962364000000001</v>
      </c>
      <c r="V103" s="373">
        <v>48.676234999999998</v>
      </c>
      <c r="W103" s="258"/>
      <c r="X103" s="357">
        <v>42.110194999999997</v>
      </c>
      <c r="Y103" s="357">
        <v>42.110194999999997</v>
      </c>
      <c r="Z103" s="373">
        <v>42.110194999999997</v>
      </c>
      <c r="AA103" s="258"/>
      <c r="AB103" s="507">
        <v>458.262</v>
      </c>
      <c r="AC103" s="359">
        <v>294.18200000000002</v>
      </c>
      <c r="AD103" s="573">
        <v>0</v>
      </c>
      <c r="AE103" s="573">
        <v>0</v>
      </c>
      <c r="AF103" s="33"/>
      <c r="AH103" s="30">
        <f t="shared" si="5"/>
        <v>457.16864249999998</v>
      </c>
      <c r="AI103" s="31">
        <f t="shared" si="18"/>
        <v>5.8742434185391952</v>
      </c>
      <c r="AJ103" s="31">
        <f t="shared" si="19"/>
        <v>1.0594718439011255</v>
      </c>
      <c r="AK103" s="275">
        <f t="shared" si="20"/>
        <v>4.814549829867385</v>
      </c>
      <c r="AL103" s="267" t="str">
        <f t="shared" si="21"/>
        <v>·</v>
      </c>
      <c r="AM103" s="31">
        <f t="shared" si="13"/>
        <v>5.8742434185391952</v>
      </c>
      <c r="AN103" s="521">
        <v>166028718</v>
      </c>
      <c r="AO103" s="503">
        <v>975293104</v>
      </c>
      <c r="AP103" s="357">
        <v>175902752</v>
      </c>
      <c r="AQ103" s="357">
        <v>799353536</v>
      </c>
      <c r="AR103" s="258"/>
      <c r="AS103" s="357">
        <v>49.283431999999998</v>
      </c>
      <c r="AT103" s="357">
        <v>49.041321000000003</v>
      </c>
      <c r="AU103" s="373">
        <v>48.716208999999999</v>
      </c>
      <c r="AV103" s="258"/>
      <c r="AW103" s="357">
        <v>42.110194999999997</v>
      </c>
      <c r="AX103" s="357">
        <v>42.110194999999997</v>
      </c>
      <c r="AY103" s="373">
        <v>42.110194999999997</v>
      </c>
      <c r="AZ103" s="258"/>
      <c r="BA103" s="507">
        <v>544.81200000000013</v>
      </c>
      <c r="BB103" s="359">
        <v>400.93599999999998</v>
      </c>
      <c r="BC103" s="573">
        <v>0</v>
      </c>
      <c r="BD103" s="573">
        <v>0</v>
      </c>
      <c r="BE103" s="33"/>
      <c r="BG103" s="122" t="e">
        <f t="shared" si="23"/>
        <v>#DIV/0!</v>
      </c>
      <c r="BH103" s="123" t="e">
        <f t="shared" si="23"/>
        <v>#DIV/0!</v>
      </c>
      <c r="BI103" s="123">
        <f t="shared" si="8"/>
        <v>9.5409030922781468E-3</v>
      </c>
      <c r="BJ103" s="124"/>
      <c r="BL103" s="107"/>
      <c r="BM103" s="107"/>
      <c r="BN103" s="107"/>
      <c r="BO103" s="106"/>
      <c r="BQ103" s="177"/>
      <c r="BR103" s="177"/>
      <c r="BS103" s="177"/>
      <c r="BT103" s="106"/>
      <c r="BV103" s="177"/>
      <c r="BW103" s="177"/>
      <c r="BX103" s="177"/>
      <c r="BY103" s="106"/>
      <c r="CA103" s="177"/>
      <c r="CB103" s="177"/>
      <c r="CC103" s="177"/>
      <c r="CD103" s="106"/>
    </row>
    <row r="104" spans="1:82" ht="14.25" outlineLevel="1" thickBot="1">
      <c r="A104" s="13"/>
      <c r="B104" s="18" t="s">
        <v>874</v>
      </c>
      <c r="C104" s="19" t="s">
        <v>995</v>
      </c>
      <c r="D104" s="18">
        <v>166028718</v>
      </c>
      <c r="E104" s="19">
        <v>11</v>
      </c>
      <c r="F104" s="189">
        <v>64</v>
      </c>
      <c r="G104" s="20">
        <v>30</v>
      </c>
      <c r="I104" s="38">
        <f t="shared" ref="I104:I114" si="26">IF(OR(ISBLANK(P104),ISBLANK(G104)),"·",P104*G104/F104/1000000)</f>
        <v>649.68175874999997</v>
      </c>
      <c r="J104" s="39">
        <f t="shared" ref="J104:J114" si="27">IF(ISBLANK(P104),"·",P104/D104)</f>
        <v>8.3478796240539541</v>
      </c>
      <c r="K104" s="39">
        <f t="shared" ref="K104:K114" si="28">IF(Q104="","·",Q104/D104)</f>
        <v>1.0594718439011255</v>
      </c>
      <c r="L104" s="271">
        <f t="shared" si="25"/>
        <v>7.2881860353821439</v>
      </c>
      <c r="M104" s="109"/>
      <c r="N104" s="39">
        <f t="shared" ref="N104:N114" si="29">IF(ISBLANK(P104),"·",P104/O104)</f>
        <v>8.3478796240539541</v>
      </c>
      <c r="O104" s="525">
        <v>166028718</v>
      </c>
      <c r="P104" s="505">
        <v>1385987752</v>
      </c>
      <c r="Q104" s="361">
        <v>175902752</v>
      </c>
      <c r="R104" s="361">
        <v>1210048184</v>
      </c>
      <c r="S104" s="259"/>
      <c r="T104" s="361">
        <v>52.606048999999999</v>
      </c>
      <c r="U104" s="361">
        <v>52.046455000000002</v>
      </c>
      <c r="V104" s="375">
        <v>51.913612000000001</v>
      </c>
      <c r="W104" s="259"/>
      <c r="X104" s="361">
        <v>48.130839999999999</v>
      </c>
      <c r="Y104" s="361">
        <v>48.130839999999999</v>
      </c>
      <c r="Z104" s="375">
        <v>48.130839999999999</v>
      </c>
      <c r="AA104" s="259"/>
      <c r="AB104" s="509">
        <v>464.94899999999978</v>
      </c>
      <c r="AC104" s="363">
        <v>319.7519999999999</v>
      </c>
      <c r="AD104" s="575">
        <v>0</v>
      </c>
      <c r="AE104" s="575">
        <v>0</v>
      </c>
      <c r="AF104" s="41"/>
      <c r="AH104" s="34">
        <f t="shared" ref="AH104:AH114" si="30">IF(OR(ISBLANK(AO104),ISBLANK(G104)),"·",AO104*G104/F104/1000000)</f>
        <v>627.00557624999999</v>
      </c>
      <c r="AI104" s="35">
        <f t="shared" si="18"/>
        <v>8.056509211858156</v>
      </c>
      <c r="AJ104" s="35">
        <f t="shared" si="19"/>
        <v>1.0594718439011255</v>
      </c>
      <c r="AK104" s="276">
        <f t="shared" si="20"/>
        <v>6.996815623186345</v>
      </c>
      <c r="AL104" s="268" t="str">
        <f t="shared" si="21"/>
        <v>·</v>
      </c>
      <c r="AM104" s="35">
        <f t="shared" ref="AM104:AM114" si="31">IF(ISBLANK(AO104),"·",AO104/AN104)</f>
        <v>8.056509211858156</v>
      </c>
      <c r="AN104" s="525">
        <v>166028718</v>
      </c>
      <c r="AO104" s="505">
        <v>1337611896</v>
      </c>
      <c r="AP104" s="361">
        <v>175902752</v>
      </c>
      <c r="AQ104" s="361">
        <v>1161672328</v>
      </c>
      <c r="AR104" s="259"/>
      <c r="AS104" s="361">
        <v>52.669970999999997</v>
      </c>
      <c r="AT104" s="361">
        <v>52.060478000000003</v>
      </c>
      <c r="AU104" s="375">
        <v>51.892426</v>
      </c>
      <c r="AV104" s="259"/>
      <c r="AW104" s="361">
        <v>48.130839999999999</v>
      </c>
      <c r="AX104" s="361">
        <v>48.130839999999999</v>
      </c>
      <c r="AY104" s="375">
        <v>48.130839999999999</v>
      </c>
      <c r="AZ104" s="259"/>
      <c r="BA104" s="509">
        <v>619.93100000000004</v>
      </c>
      <c r="BB104" s="363">
        <v>461.42400000000009</v>
      </c>
      <c r="BC104" s="575">
        <v>0</v>
      </c>
      <c r="BD104" s="575">
        <v>0</v>
      </c>
      <c r="BE104" s="37"/>
      <c r="BG104" s="125" t="e">
        <f t="shared" ref="BG104:BH114" si="32">BC104/AD104</f>
        <v>#DIV/0!</v>
      </c>
      <c r="BH104" s="126" t="e">
        <f t="shared" si="32"/>
        <v>#DIV/0!</v>
      </c>
      <c r="BI104" s="126">
        <f t="shared" ref="BI104:BI114" si="33">(AP104/AO104) - (Q104/P104)</f>
        <v>4.5899904503593214E-3</v>
      </c>
      <c r="BJ104" s="127"/>
      <c r="BL104" s="110"/>
      <c r="BM104" s="110"/>
      <c r="BN104" s="110"/>
      <c r="BO104" s="109"/>
      <c r="BQ104" s="181"/>
      <c r="BR104" s="181"/>
      <c r="BS104" s="181"/>
      <c r="BT104" s="109"/>
      <c r="BV104" s="181"/>
      <c r="BW104" s="181"/>
      <c r="BX104" s="181"/>
      <c r="BY104" s="109"/>
      <c r="CA104" s="181"/>
      <c r="CB104" s="181"/>
      <c r="CC104" s="181"/>
      <c r="CD104" s="109"/>
    </row>
    <row r="105" spans="1:82">
      <c r="A105" s="13"/>
      <c r="B105" s="24" t="s">
        <v>880</v>
      </c>
      <c r="C105" s="25" t="s">
        <v>131</v>
      </c>
      <c r="D105" s="27">
        <v>156840910</v>
      </c>
      <c r="E105" s="28">
        <v>11</v>
      </c>
      <c r="F105" s="25">
        <v>64</v>
      </c>
      <c r="G105" s="29">
        <v>30</v>
      </c>
      <c r="I105" s="46">
        <f t="shared" si="26"/>
        <v>111.60039</v>
      </c>
      <c r="J105" s="47">
        <f t="shared" si="27"/>
        <v>1.517976604445868</v>
      </c>
      <c r="K105" s="47">
        <f t="shared" si="28"/>
        <v>1.0042908320284549</v>
      </c>
      <c r="L105" s="269">
        <f>IF(ISBLANK(R105),"·",R105/D105)</f>
        <v>0.51345164982784153</v>
      </c>
      <c r="M105" s="138"/>
      <c r="N105" s="47">
        <f t="shared" si="29"/>
        <v>1.517976604445868</v>
      </c>
      <c r="O105" s="520">
        <v>156840910</v>
      </c>
      <c r="P105" s="519">
        <v>238080832</v>
      </c>
      <c r="Q105" s="365">
        <v>157513888</v>
      </c>
      <c r="R105" s="365">
        <v>80530224</v>
      </c>
      <c r="S105" s="257"/>
      <c r="T105" s="365">
        <v>33.014217000000002</v>
      </c>
      <c r="U105" s="365">
        <v>37.604233000000001</v>
      </c>
      <c r="V105" s="376">
        <v>37.920127999999998</v>
      </c>
      <c r="W105" s="278"/>
      <c r="X105" s="365">
        <v>24.048421999999999</v>
      </c>
      <c r="Y105" s="365">
        <v>24.048421999999999</v>
      </c>
      <c r="Z105" s="376">
        <v>24.048421999999999</v>
      </c>
      <c r="AA105" s="278"/>
      <c r="AB105" s="510">
        <v>401.73299999999995</v>
      </c>
      <c r="AC105" s="367">
        <v>235.15499999999997</v>
      </c>
      <c r="AD105" s="576">
        <v>0</v>
      </c>
      <c r="AE105" s="576">
        <v>0</v>
      </c>
      <c r="AF105" s="49"/>
      <c r="AH105" s="42">
        <f t="shared" si="30"/>
        <v>99.412046250000003</v>
      </c>
      <c r="AI105" s="43">
        <f t="shared" si="18"/>
        <v>1.3521920524434601</v>
      </c>
      <c r="AJ105" s="43">
        <f t="shared" si="19"/>
        <v>1.0042908320284549</v>
      </c>
      <c r="AK105" s="274">
        <f t="shared" si="20"/>
        <v>0.34766709782543342</v>
      </c>
      <c r="AL105" s="266" t="str">
        <f t="shared" si="21"/>
        <v>·</v>
      </c>
      <c r="AM105" s="43">
        <f t="shared" si="31"/>
        <v>1.3521920524434601</v>
      </c>
      <c r="AN105" s="520">
        <v>156840910</v>
      </c>
      <c r="AO105" s="519">
        <v>212079032</v>
      </c>
      <c r="AP105" s="365">
        <v>157513888</v>
      </c>
      <c r="AQ105" s="365">
        <v>54528424</v>
      </c>
      <c r="AR105" s="257"/>
      <c r="AS105" s="365">
        <v>32.897208999999997</v>
      </c>
      <c r="AT105" s="365">
        <v>38.92915</v>
      </c>
      <c r="AU105" s="376">
        <v>40.009926</v>
      </c>
      <c r="AV105" s="278"/>
      <c r="AW105" s="365">
        <v>24.048421999999999</v>
      </c>
      <c r="AX105" s="365">
        <v>24.048421999999999</v>
      </c>
      <c r="AY105" s="376">
        <v>24.048421999999999</v>
      </c>
      <c r="AZ105" s="278"/>
      <c r="BA105" s="510">
        <v>502.42599999999993</v>
      </c>
      <c r="BB105" s="367">
        <v>362.55399999999992</v>
      </c>
      <c r="BC105" s="576">
        <v>0</v>
      </c>
      <c r="BD105" s="576">
        <v>0</v>
      </c>
      <c r="BE105" s="45"/>
      <c r="BG105" s="131" t="e">
        <f t="shared" si="32"/>
        <v>#DIV/0!</v>
      </c>
      <c r="BH105" s="132" t="e">
        <f t="shared" si="32"/>
        <v>#DIV/0!</v>
      </c>
      <c r="BI105" s="132">
        <f t="shared" si="33"/>
        <v>8.1114799869498766E-2</v>
      </c>
      <c r="BJ105" s="133">
        <f t="array" ref="BJ105">AVERAGE(AP105:AP109/AO105:AO109) - AVERAGE(Q105:Q109/P105:P109)</f>
        <v>3.8837859987274514E-2</v>
      </c>
      <c r="BL105" s="279">
        <f>IF( OR(ISBLANK($R105:$R109),ISBLANK($AQ105:$AQ109), ISBLANK(T105:T109),ISBLANK(AS105:AS109)), "·", bdRateHermite($R105:$R109,T105:T109, $AQ105:$AQ109,AS105:AS109))</f>
        <v>-0.20293759183343829</v>
      </c>
      <c r="BM105" s="279">
        <f>IF( OR(ISBLANK($R105:$R109),ISBLANK($AQ105:$AQ109), ISBLANK(U105:U109),ISBLANK(AT105:AT109)), "·", bdRateHermite($R105:$R109,U105:U109, $AQ105:$AQ109,AT105:AT109))</f>
        <v>-0.22796347706432063</v>
      </c>
      <c r="BN105" s="279">
        <f>IF( OR(ISBLANK($R105:$R109),ISBLANK($AQ105:$AQ109), ISBLANK(V105:V109),ISBLANK(AU105:AU109)), "·", bdRateHermite($R105:$R109,V105:V109, $AQ105:$AQ109,AU105:AU109))</f>
        <v>-0.25117847165525409</v>
      </c>
      <c r="BO105" s="104"/>
      <c r="BQ105" s="173">
        <f>IF( OR(ISBLANK($R105:$R109),ISBLANK($AQ105:$AQ109), ISBLANK(X105:X109),ISBLANK(AW105:AW109)), "·", bdRateHermite($R105:$R109,X105:X109, $AQ105:$AQ109,AW105:AW109))</f>
        <v>-0.16380151425410427</v>
      </c>
      <c r="BR105" s="173">
        <f>IF( OR(ISBLANK($R105:$R109),ISBLANK($AQ105:$AQ109), ISBLANK(Y105:Y109),ISBLANK(AX105:AX109)), "·", bdRateHermite($R105:$R109,Y105:Y109, $AQ105:$AQ109,AX105:AX109))</f>
        <v>-0.16380151425410427</v>
      </c>
      <c r="BS105" s="173">
        <f>IF( OR(ISBLANK($R105:$R109),ISBLANK($AQ105:$AQ109), ISBLANK(Z105:Z109),ISBLANK(AY105:AY109)), "·", bdRateHermite($R105:$R109,Z105:Z109, $AQ105:$AQ109,AY105:AY109))</f>
        <v>-0.16380151425410427</v>
      </c>
      <c r="BT105" s="138"/>
      <c r="BV105" s="173">
        <f>IF(OR(ISBLANK($P105:$P109),ISBLANK($AO105:$AO109),ISBLANK(T105:T109),ISBLANK(AS105:AS109)),"·",bdRateHermite($P105:$P109,T105:T109,$AO105:$AO109,AS105:AS109))</f>
        <v>-0.12392586696348351</v>
      </c>
      <c r="BW105" s="173">
        <f>IF(OR(ISBLANK($P105:$P109),ISBLANK($AO105:$AO109),ISBLANK(U105:U109),ISBLANK(AT105:AT109)),"·",bdRateHermite($P105:$P109,U105:U109,$AO105:$AO109,AT105:AT109))</f>
        <v>-0.14020890999561586</v>
      </c>
      <c r="BX105" s="173">
        <f>IF(OR(ISBLANK($P105:$P109),ISBLANK($AO105:$AO109),ISBLANK(V105:V109),ISBLANK(AU105:AU109)),"·",bdRateHermite($P105:$P109,V105:V109,$AO105:$AO109,AU105:AU109))</f>
        <v>-0.15645498023446547</v>
      </c>
      <c r="BY105" s="138"/>
      <c r="CA105" s="173">
        <f>IF( OR(ISBLANK($P105:$P109),ISBLANK($AO105:$AO109), ISBLANK(X105:X109),ISBLANK(AW105:AW109)), "·", bdRateHermite( $P105:$P109,X105:X109, $AO105:$AO109,AW105:AW109))</f>
        <v>-9.8332086346058833E-2</v>
      </c>
      <c r="CB105" s="173">
        <f>IF( OR(ISBLANK($P105:$P109),ISBLANK($AO105:$AO109), ISBLANK(Y105:Y109),ISBLANK(AX105:AX109)), "·", bdRateHermite( $P105:$P109,Y105:Y109, $AO105:$AO109,AX105:AX109))</f>
        <v>-9.8332086346058833E-2</v>
      </c>
      <c r="CC105" s="173">
        <f>IF( OR(ISBLANK($P105:$P109),ISBLANK($AO105:$AO109), ISBLANK(Z105:Z109),ISBLANK(AY105:AY109)), "·", bdRateHermite( $P105:$P109,Z105:Z109, $AO105:$AO109,AY105:AY109))</f>
        <v>-9.8332086346058833E-2</v>
      </c>
      <c r="CD105" s="138"/>
    </row>
    <row r="106" spans="1:82" outlineLevel="1">
      <c r="A106" s="13"/>
      <c r="B106" s="14" t="s">
        <v>880</v>
      </c>
      <c r="C106" s="15" t="s">
        <v>132</v>
      </c>
      <c r="D106" s="14">
        <v>156840910</v>
      </c>
      <c r="E106" s="15">
        <v>11</v>
      </c>
      <c r="F106" s="25">
        <v>64</v>
      </c>
      <c r="G106" s="16">
        <v>30</v>
      </c>
      <c r="I106" s="30">
        <f t="shared" si="26"/>
        <v>186.5331525</v>
      </c>
      <c r="J106" s="31">
        <f t="shared" si="27"/>
        <v>2.5372040496322037</v>
      </c>
      <c r="K106" s="31">
        <f t="shared" si="28"/>
        <v>1.0042908320284549</v>
      </c>
      <c r="L106" s="270">
        <f t="shared" ref="L106:L109" si="34">IF(ISBLANK(R106),"·",R106/D106)</f>
        <v>1.5326790950141771</v>
      </c>
      <c r="M106" s="106"/>
      <c r="N106" s="31">
        <f t="shared" si="29"/>
        <v>2.5372040496322037</v>
      </c>
      <c r="O106" s="521">
        <v>156840910</v>
      </c>
      <c r="P106" s="503">
        <v>397937392</v>
      </c>
      <c r="Q106" s="357">
        <v>157513888</v>
      </c>
      <c r="R106" s="357">
        <v>240386784</v>
      </c>
      <c r="S106" s="258"/>
      <c r="T106" s="357">
        <v>38.309933000000001</v>
      </c>
      <c r="U106" s="357">
        <v>40.887157000000002</v>
      </c>
      <c r="V106" s="373">
        <v>41.225819000000001</v>
      </c>
      <c r="W106" s="258"/>
      <c r="X106" s="357">
        <v>30.068995000000001</v>
      </c>
      <c r="Y106" s="357">
        <v>30.068995000000001</v>
      </c>
      <c r="Z106" s="373">
        <v>30.068995000000001</v>
      </c>
      <c r="AA106" s="258"/>
      <c r="AB106" s="507">
        <v>409.92199999999997</v>
      </c>
      <c r="AC106" s="359">
        <v>264.99299999999999</v>
      </c>
      <c r="AD106" s="573">
        <v>0</v>
      </c>
      <c r="AE106" s="573">
        <v>0</v>
      </c>
      <c r="AF106" s="33"/>
      <c r="AH106" s="30">
        <f t="shared" si="30"/>
        <v>157.02988500000001</v>
      </c>
      <c r="AI106" s="31">
        <f t="shared" si="18"/>
        <v>2.135903751132278</v>
      </c>
      <c r="AJ106" s="31">
        <f t="shared" si="19"/>
        <v>1.0042908320284549</v>
      </c>
      <c r="AK106" s="275">
        <f t="shared" si="20"/>
        <v>1.1313787965142512</v>
      </c>
      <c r="AL106" s="267" t="str">
        <f t="shared" si="21"/>
        <v>·</v>
      </c>
      <c r="AM106" s="31">
        <f t="shared" si="31"/>
        <v>2.135903751132278</v>
      </c>
      <c r="AN106" s="521">
        <v>156840910</v>
      </c>
      <c r="AO106" s="503">
        <v>334997088</v>
      </c>
      <c r="AP106" s="357">
        <v>157513888</v>
      </c>
      <c r="AQ106" s="357">
        <v>177446480</v>
      </c>
      <c r="AR106" s="258"/>
      <c r="AS106" s="357">
        <v>38.64743</v>
      </c>
      <c r="AT106" s="357">
        <v>41.568053999999997</v>
      </c>
      <c r="AU106" s="373">
        <v>42.289073999999999</v>
      </c>
      <c r="AV106" s="258"/>
      <c r="AW106" s="357">
        <v>30.068995000000001</v>
      </c>
      <c r="AX106" s="357">
        <v>30.068995000000001</v>
      </c>
      <c r="AY106" s="373">
        <v>30.068995000000001</v>
      </c>
      <c r="AZ106" s="258"/>
      <c r="BA106" s="507">
        <v>501.88099999999991</v>
      </c>
      <c r="BB106" s="359">
        <v>362.7</v>
      </c>
      <c r="BC106" s="573">
        <v>0</v>
      </c>
      <c r="BD106" s="573">
        <v>0</v>
      </c>
      <c r="BE106" s="33"/>
      <c r="BG106" s="122" t="e">
        <f t="shared" si="32"/>
        <v>#DIV/0!</v>
      </c>
      <c r="BH106" s="123" t="e">
        <f t="shared" si="32"/>
        <v>#DIV/0!</v>
      </c>
      <c r="BI106" s="123">
        <f t="shared" si="33"/>
        <v>7.4368993960427454E-2</v>
      </c>
      <c r="BJ106" s="124"/>
      <c r="BL106" s="107"/>
      <c r="BM106" s="107"/>
      <c r="BN106" s="107"/>
      <c r="BO106" s="106"/>
      <c r="BQ106" s="177"/>
      <c r="BR106" s="177"/>
      <c r="BS106" s="177"/>
      <c r="BT106" s="106"/>
      <c r="BV106" s="177"/>
      <c r="BW106" s="177"/>
      <c r="BX106" s="177"/>
      <c r="BY106" s="106"/>
      <c r="CA106" s="177"/>
      <c r="CB106" s="177"/>
      <c r="CC106" s="177"/>
      <c r="CD106" s="106"/>
    </row>
    <row r="107" spans="1:82" outlineLevel="1">
      <c r="A107" s="13"/>
      <c r="B107" s="14" t="s">
        <v>880</v>
      </c>
      <c r="C107" s="15" t="s">
        <v>133</v>
      </c>
      <c r="D107" s="14">
        <v>156840910</v>
      </c>
      <c r="E107" s="15">
        <v>11</v>
      </c>
      <c r="F107" s="25">
        <v>64</v>
      </c>
      <c r="G107" s="16">
        <v>30</v>
      </c>
      <c r="I107" s="30">
        <f t="shared" si="26"/>
        <v>316.48855500000002</v>
      </c>
      <c r="J107" s="31">
        <f t="shared" si="27"/>
        <v>4.3048435768448421</v>
      </c>
      <c r="K107" s="31">
        <f t="shared" si="28"/>
        <v>1.0042908320284549</v>
      </c>
      <c r="L107" s="270">
        <f t="shared" si="34"/>
        <v>3.3003193873333174</v>
      </c>
      <c r="M107" s="106"/>
      <c r="N107" s="31">
        <f t="shared" si="29"/>
        <v>4.3048435768448421</v>
      </c>
      <c r="O107" s="521">
        <v>156840910</v>
      </c>
      <c r="P107" s="503">
        <v>675175584</v>
      </c>
      <c r="Q107" s="357">
        <v>157513888</v>
      </c>
      <c r="R107" s="357">
        <v>517625096</v>
      </c>
      <c r="S107" s="258"/>
      <c r="T107" s="357">
        <v>43.838031999999998</v>
      </c>
      <c r="U107" s="357">
        <v>44.832599999999999</v>
      </c>
      <c r="V107" s="373">
        <v>44.646102999999997</v>
      </c>
      <c r="W107" s="258"/>
      <c r="X107" s="357">
        <v>36.089602999999997</v>
      </c>
      <c r="Y107" s="357">
        <v>36.089602999999997</v>
      </c>
      <c r="Z107" s="373">
        <v>36.089602999999997</v>
      </c>
      <c r="AA107" s="258"/>
      <c r="AB107" s="507">
        <v>405.90600000000018</v>
      </c>
      <c r="AC107" s="359">
        <v>262.13900000000001</v>
      </c>
      <c r="AD107" s="573">
        <v>0</v>
      </c>
      <c r="AE107" s="573">
        <v>0</v>
      </c>
      <c r="AF107" s="33"/>
      <c r="AH107" s="30">
        <f t="shared" si="30"/>
        <v>284.15802374999998</v>
      </c>
      <c r="AI107" s="31">
        <f t="shared" si="18"/>
        <v>3.8650871382982923</v>
      </c>
      <c r="AJ107" s="31">
        <f t="shared" si="19"/>
        <v>1.0042908320284549</v>
      </c>
      <c r="AK107" s="275">
        <f t="shared" si="20"/>
        <v>2.8605629487867676</v>
      </c>
      <c r="AL107" s="267" t="str">
        <f t="shared" si="21"/>
        <v>·</v>
      </c>
      <c r="AM107" s="31">
        <f t="shared" si="31"/>
        <v>3.8650871382982923</v>
      </c>
      <c r="AN107" s="521">
        <v>156840910</v>
      </c>
      <c r="AO107" s="503">
        <v>606203784</v>
      </c>
      <c r="AP107" s="357">
        <v>157513888</v>
      </c>
      <c r="AQ107" s="357">
        <v>448653296</v>
      </c>
      <c r="AR107" s="258"/>
      <c r="AS107" s="357">
        <v>44.162022</v>
      </c>
      <c r="AT107" s="357">
        <v>45.050750999999998</v>
      </c>
      <c r="AU107" s="373">
        <v>44.992049999999999</v>
      </c>
      <c r="AV107" s="258"/>
      <c r="AW107" s="357">
        <v>36.089602999999997</v>
      </c>
      <c r="AX107" s="357">
        <v>36.089602999999997</v>
      </c>
      <c r="AY107" s="373">
        <v>36.089602999999997</v>
      </c>
      <c r="AZ107" s="258"/>
      <c r="BA107" s="507">
        <v>513.58100000000002</v>
      </c>
      <c r="BB107" s="359">
        <v>372.84199999999987</v>
      </c>
      <c r="BC107" s="573">
        <v>0</v>
      </c>
      <c r="BD107" s="573">
        <v>0</v>
      </c>
      <c r="BE107" s="33"/>
      <c r="BG107" s="122" t="e">
        <f t="shared" si="32"/>
        <v>#DIV/0!</v>
      </c>
      <c r="BH107" s="123" t="e">
        <f t="shared" si="32"/>
        <v>#DIV/0!</v>
      </c>
      <c r="BI107" s="123">
        <f t="shared" si="33"/>
        <v>2.654330760447296E-2</v>
      </c>
      <c r="BJ107" s="124"/>
      <c r="BL107" s="107"/>
      <c r="BM107" s="107"/>
      <c r="BN107" s="107"/>
      <c r="BO107" s="106"/>
      <c r="BQ107" s="177"/>
      <c r="BR107" s="177"/>
      <c r="BS107" s="177"/>
      <c r="BT107" s="106"/>
      <c r="BV107" s="177"/>
      <c r="BW107" s="177"/>
      <c r="BX107" s="177"/>
      <c r="BY107" s="106"/>
      <c r="CA107" s="177"/>
      <c r="CB107" s="177"/>
      <c r="CC107" s="177"/>
      <c r="CD107" s="106"/>
    </row>
    <row r="108" spans="1:82" outlineLevel="1">
      <c r="A108" s="13"/>
      <c r="B108" s="14" t="s">
        <v>880</v>
      </c>
      <c r="C108" s="15" t="s">
        <v>134</v>
      </c>
      <c r="D108" s="14">
        <v>156840910</v>
      </c>
      <c r="E108" s="15">
        <v>11</v>
      </c>
      <c r="F108" s="25">
        <v>64</v>
      </c>
      <c r="G108" s="16">
        <v>30</v>
      </c>
      <c r="I108" s="30">
        <f t="shared" si="26"/>
        <v>465.40878375</v>
      </c>
      <c r="J108" s="31">
        <f t="shared" si="27"/>
        <v>6.3304406484252098</v>
      </c>
      <c r="K108" s="31">
        <f>IF(Q108="","·",Q108/D108)</f>
        <v>1.0042908320284549</v>
      </c>
      <c r="L108" s="270">
        <f t="shared" si="34"/>
        <v>5.3259164589136851</v>
      </c>
      <c r="M108" s="106"/>
      <c r="N108" s="31">
        <f t="shared" si="29"/>
        <v>6.3304406484252098</v>
      </c>
      <c r="O108" s="521">
        <v>156840910</v>
      </c>
      <c r="P108" s="503">
        <v>992872072</v>
      </c>
      <c r="Q108" s="357">
        <v>157513888</v>
      </c>
      <c r="R108" s="357">
        <v>835321584</v>
      </c>
      <c r="S108" s="258"/>
      <c r="T108" s="357">
        <v>48.993957999999999</v>
      </c>
      <c r="U108" s="357">
        <v>48.908268</v>
      </c>
      <c r="V108" s="373">
        <v>48.678649999999998</v>
      </c>
      <c r="W108" s="258"/>
      <c r="X108" s="357">
        <v>42.110194999999997</v>
      </c>
      <c r="Y108" s="357">
        <v>42.110194999999997</v>
      </c>
      <c r="Z108" s="373">
        <v>42.110194999999997</v>
      </c>
      <c r="AA108" s="258"/>
      <c r="AB108" s="507">
        <v>425.26399999999995</v>
      </c>
      <c r="AC108" s="359">
        <v>276.91500000000008</v>
      </c>
      <c r="AD108" s="573">
        <v>0</v>
      </c>
      <c r="AE108" s="573">
        <v>0</v>
      </c>
      <c r="AF108" s="33"/>
      <c r="AH108" s="30">
        <f t="shared" si="30"/>
        <v>442.69245749999999</v>
      </c>
      <c r="AI108" s="31">
        <f t="shared" si="18"/>
        <v>6.0214556010928524</v>
      </c>
      <c r="AJ108" s="31">
        <f t="shared" si="19"/>
        <v>1.0042908320284549</v>
      </c>
      <c r="AK108" s="275">
        <f t="shared" si="20"/>
        <v>5.0169314115813277</v>
      </c>
      <c r="AL108" s="267" t="str">
        <f t="shared" si="21"/>
        <v>·</v>
      </c>
      <c r="AM108" s="31">
        <f t="shared" si="31"/>
        <v>6.0214556010928524</v>
      </c>
      <c r="AN108" s="521">
        <v>156840910</v>
      </c>
      <c r="AO108" s="503">
        <v>944410576</v>
      </c>
      <c r="AP108" s="357">
        <v>157513888</v>
      </c>
      <c r="AQ108" s="357">
        <v>786860088</v>
      </c>
      <c r="AR108" s="258"/>
      <c r="AS108" s="357">
        <v>49.120578999999999</v>
      </c>
      <c r="AT108" s="357">
        <v>48.959778</v>
      </c>
      <c r="AU108" s="373">
        <v>48.719901999999998</v>
      </c>
      <c r="AV108" s="258"/>
      <c r="AW108" s="357">
        <v>42.110194999999997</v>
      </c>
      <c r="AX108" s="357">
        <v>42.110194999999997</v>
      </c>
      <c r="AY108" s="373">
        <v>42.110194999999997</v>
      </c>
      <c r="AZ108" s="258"/>
      <c r="BA108" s="507">
        <v>517.94799999999987</v>
      </c>
      <c r="BB108" s="359">
        <v>380.77200000000005</v>
      </c>
      <c r="BC108" s="573">
        <v>0</v>
      </c>
      <c r="BD108" s="573">
        <v>0</v>
      </c>
      <c r="BE108" s="33"/>
      <c r="BG108" s="122" t="e">
        <f t="shared" si="32"/>
        <v>#DIV/0!</v>
      </c>
      <c r="BH108" s="123" t="e">
        <f t="shared" si="32"/>
        <v>#DIV/0!</v>
      </c>
      <c r="BI108" s="123">
        <f t="shared" si="33"/>
        <v>8.1406958949532537E-3</v>
      </c>
      <c r="BJ108" s="124"/>
      <c r="BL108" s="107"/>
      <c r="BM108" s="107"/>
      <c r="BN108" s="107"/>
      <c r="BO108" s="106"/>
      <c r="BQ108" s="177"/>
      <c r="BR108" s="177"/>
      <c r="BS108" s="177"/>
      <c r="BT108" s="106"/>
      <c r="BV108" s="177"/>
      <c r="BW108" s="177"/>
      <c r="BX108" s="177"/>
      <c r="BY108" s="106"/>
      <c r="CA108" s="177"/>
      <c r="CB108" s="177"/>
      <c r="CC108" s="177"/>
      <c r="CD108" s="106"/>
    </row>
    <row r="109" spans="1:82" ht="14.25" outlineLevel="1" thickBot="1">
      <c r="A109" s="215"/>
      <c r="B109" s="18" t="s">
        <v>880</v>
      </c>
      <c r="C109" s="19" t="s">
        <v>995</v>
      </c>
      <c r="D109" s="18">
        <v>156840910</v>
      </c>
      <c r="E109" s="19">
        <v>11</v>
      </c>
      <c r="F109" s="188">
        <v>64</v>
      </c>
      <c r="G109" s="20">
        <v>30</v>
      </c>
      <c r="I109" s="34">
        <f t="shared" si="26"/>
        <v>629.46663375000003</v>
      </c>
      <c r="J109" s="35">
        <f t="shared" si="27"/>
        <v>8.5619380300713637</v>
      </c>
      <c r="K109" s="35">
        <f t="shared" si="28"/>
        <v>1.0042908320284549</v>
      </c>
      <c r="L109" s="271">
        <f t="shared" si="34"/>
        <v>7.5574147586876412</v>
      </c>
      <c r="M109" s="109"/>
      <c r="N109" s="35">
        <f t="shared" si="29"/>
        <v>8.5619380300713637</v>
      </c>
      <c r="O109" s="525">
        <v>156840910</v>
      </c>
      <c r="P109" s="505">
        <v>1342862152</v>
      </c>
      <c r="Q109" s="361">
        <v>157513888</v>
      </c>
      <c r="R109" s="361">
        <v>1185311808</v>
      </c>
      <c r="S109" s="259"/>
      <c r="T109" s="361">
        <v>52.462349000000003</v>
      </c>
      <c r="U109" s="361">
        <v>51.999091999999997</v>
      </c>
      <c r="V109" s="375">
        <v>51.972248</v>
      </c>
      <c r="W109" s="259"/>
      <c r="X109" s="361">
        <v>48.130839999999999</v>
      </c>
      <c r="Y109" s="361">
        <v>48.130839999999999</v>
      </c>
      <c r="Z109" s="375">
        <v>48.130839999999999</v>
      </c>
      <c r="AA109" s="259"/>
      <c r="AB109" s="509">
        <v>439.87799999999999</v>
      </c>
      <c r="AC109" s="363">
        <v>280.01600000000008</v>
      </c>
      <c r="AD109" s="575">
        <v>0</v>
      </c>
      <c r="AE109" s="575">
        <v>0</v>
      </c>
      <c r="AF109" s="37"/>
      <c r="AH109" s="34">
        <f t="shared" si="30"/>
        <v>608.60090624999998</v>
      </c>
      <c r="AI109" s="35">
        <f t="shared" si="18"/>
        <v>8.278124629600784</v>
      </c>
      <c r="AJ109" s="35">
        <f t="shared" si="19"/>
        <v>1.0042908320284549</v>
      </c>
      <c r="AK109" s="276">
        <f t="shared" si="20"/>
        <v>7.2736013582170624</v>
      </c>
      <c r="AL109" s="268" t="str">
        <f t="shared" si="21"/>
        <v>·</v>
      </c>
      <c r="AM109" s="35">
        <f t="shared" si="31"/>
        <v>8.278124629600784</v>
      </c>
      <c r="AN109" s="525">
        <v>156840910</v>
      </c>
      <c r="AO109" s="505">
        <v>1298348600</v>
      </c>
      <c r="AP109" s="361">
        <v>157513888</v>
      </c>
      <c r="AQ109" s="361">
        <v>1140798256</v>
      </c>
      <c r="AR109" s="259"/>
      <c r="AS109" s="361">
        <v>52.515304999999998</v>
      </c>
      <c r="AT109" s="361">
        <v>51.995868999999999</v>
      </c>
      <c r="AU109" s="375">
        <v>51.958812999999999</v>
      </c>
      <c r="AV109" s="259"/>
      <c r="AW109" s="361">
        <v>48.130839999999999</v>
      </c>
      <c r="AX109" s="361">
        <v>48.130839999999999</v>
      </c>
      <c r="AY109" s="375">
        <v>48.130839999999999</v>
      </c>
      <c r="AZ109" s="259"/>
      <c r="BA109" s="509">
        <v>551.13800000000015</v>
      </c>
      <c r="BB109" s="363">
        <v>446.21300000000008</v>
      </c>
      <c r="BC109" s="575">
        <v>0</v>
      </c>
      <c r="BD109" s="575">
        <v>0</v>
      </c>
      <c r="BE109" s="37"/>
      <c r="BG109" s="125" t="e">
        <f t="shared" si="32"/>
        <v>#DIV/0!</v>
      </c>
      <c r="BH109" s="126" t="e">
        <f t="shared" si="32"/>
        <v>#DIV/0!</v>
      </c>
      <c r="BI109" s="126">
        <f t="shared" si="33"/>
        <v>4.0215026070201804E-3</v>
      </c>
      <c r="BJ109" s="127"/>
      <c r="BL109" s="110"/>
      <c r="BM109" s="110"/>
      <c r="BN109" s="110"/>
      <c r="BO109" s="109"/>
      <c r="BQ109" s="181"/>
      <c r="BR109" s="181"/>
      <c r="BS109" s="181"/>
      <c r="BT109" s="109"/>
      <c r="BV109" s="181"/>
      <c r="BW109" s="181"/>
      <c r="BX109" s="181"/>
      <c r="BY109" s="109"/>
      <c r="CA109" s="181"/>
      <c r="CB109" s="181"/>
      <c r="CC109" s="181"/>
      <c r="CD109" s="109"/>
    </row>
    <row r="110" spans="1:82">
      <c r="A110" s="13"/>
      <c r="B110" s="24" t="s">
        <v>883</v>
      </c>
      <c r="C110" s="25" t="s">
        <v>131</v>
      </c>
      <c r="D110" s="27">
        <v>163936020</v>
      </c>
      <c r="E110" s="28">
        <v>11</v>
      </c>
      <c r="F110" s="28">
        <v>64</v>
      </c>
      <c r="G110" s="29">
        <v>30</v>
      </c>
      <c r="I110" s="46">
        <f t="shared" si="26"/>
        <v>146.24525249999999</v>
      </c>
      <c r="J110" s="47">
        <f t="shared" si="27"/>
        <v>1.9031197170701106</v>
      </c>
      <c r="K110" s="47">
        <f t="shared" si="28"/>
        <v>0.97643853986451545</v>
      </c>
      <c r="L110" s="269">
        <f>IF(ISBLANK(R110),"·",R110/D110)</f>
        <v>0.9264566993879686</v>
      </c>
      <c r="M110" s="104"/>
      <c r="N110" s="47">
        <f t="shared" si="29"/>
        <v>1.9031197170701106</v>
      </c>
      <c r="O110" s="520">
        <v>163936020</v>
      </c>
      <c r="P110" s="502">
        <v>311989872</v>
      </c>
      <c r="Q110" s="353">
        <v>160073448</v>
      </c>
      <c r="R110" s="353">
        <v>151879624</v>
      </c>
      <c r="S110" s="257"/>
      <c r="T110" s="353">
        <v>31.983398000000001</v>
      </c>
      <c r="U110" s="353">
        <v>36.046146</v>
      </c>
      <c r="V110" s="372">
        <v>36.088993000000002</v>
      </c>
      <c r="W110" s="257"/>
      <c r="X110" s="353">
        <v>24.048421999999999</v>
      </c>
      <c r="Y110" s="353">
        <v>24.048421999999999</v>
      </c>
      <c r="Z110" s="372">
        <v>24.048421999999999</v>
      </c>
      <c r="AA110" s="257"/>
      <c r="AB110" s="506">
        <v>471.73199999999997</v>
      </c>
      <c r="AC110" s="355">
        <v>299.01299999999998</v>
      </c>
      <c r="AD110" s="572">
        <v>0</v>
      </c>
      <c r="AE110" s="572">
        <v>0</v>
      </c>
      <c r="AF110" s="49"/>
      <c r="AH110" s="46">
        <f t="shared" si="30"/>
        <v>128.62051124999999</v>
      </c>
      <c r="AI110" s="47">
        <f t="shared" si="18"/>
        <v>1.6737653140536168</v>
      </c>
      <c r="AJ110" s="47">
        <f t="shared" si="19"/>
        <v>0.97643853986451545</v>
      </c>
      <c r="AK110" s="274">
        <f t="shared" si="20"/>
        <v>0.69710229637147469</v>
      </c>
      <c r="AL110" s="266" t="str">
        <f t="shared" si="21"/>
        <v>·</v>
      </c>
      <c r="AM110" s="47">
        <f t="shared" si="31"/>
        <v>1.6737653140536168</v>
      </c>
      <c r="AN110" s="520">
        <v>163936020</v>
      </c>
      <c r="AO110" s="502">
        <v>274390424</v>
      </c>
      <c r="AP110" s="353">
        <v>160073448</v>
      </c>
      <c r="AQ110" s="353">
        <v>114280176</v>
      </c>
      <c r="AR110" s="257"/>
      <c r="AS110" s="353">
        <v>31.471436000000001</v>
      </c>
      <c r="AT110" s="353">
        <v>37.775413999999998</v>
      </c>
      <c r="AU110" s="372">
        <v>38.274009999999997</v>
      </c>
      <c r="AV110" s="257"/>
      <c r="AW110" s="353">
        <v>24.048421999999999</v>
      </c>
      <c r="AX110" s="353">
        <v>24.048421999999999</v>
      </c>
      <c r="AY110" s="372">
        <v>24.048421999999999</v>
      </c>
      <c r="AZ110" s="257"/>
      <c r="BA110" s="506">
        <v>550.93299999999977</v>
      </c>
      <c r="BB110" s="355">
        <v>407.99699999999996</v>
      </c>
      <c r="BC110" s="572">
        <v>0</v>
      </c>
      <c r="BD110" s="572">
        <v>0</v>
      </c>
      <c r="BE110" s="49"/>
      <c r="BG110" s="119" t="e">
        <f t="shared" si="32"/>
        <v>#DIV/0!</v>
      </c>
      <c r="BH110" s="120" t="e">
        <f t="shared" si="32"/>
        <v>#DIV/0!</v>
      </c>
      <c r="BI110" s="120">
        <f t="shared" si="33"/>
        <v>7.0305827160855427E-2</v>
      </c>
      <c r="BJ110" s="121">
        <f t="array" ref="BJ110">AVERAGE(AP110:AP114/AO110:AO114) - AVERAGE(Q110:Q114/P110:P114)</f>
        <v>3.3172930878676288E-2</v>
      </c>
      <c r="BL110" s="279">
        <f>IF( OR(ISBLANK($R110:$R114),ISBLANK($AQ110:$AQ114), ISBLANK(T110:T114),ISBLANK(AS110:AS114)), "·", bdRateHermite($R110:$R114,T110:T114, $AQ110:$AQ114,AS110:AS114))</f>
        <v>-0.16095275909499662</v>
      </c>
      <c r="BM110" s="279">
        <f>IF( OR(ISBLANK($R110:$R114),ISBLANK($AQ110:$AQ114), ISBLANK(U110:U114),ISBLANK(AT110:AT114)), "·", bdRateHermite($R110:$R114,U110:U114, $AQ110:$AQ114,AT110:AT114))</f>
        <v>-0.21586857817779348</v>
      </c>
      <c r="BN110" s="279">
        <f>IF( OR(ISBLANK($R110:$R114),ISBLANK($AQ110:$AQ114), ISBLANK(V110:V114),ISBLANK(AU110:AU114)), "·", bdRateHermite($R110:$R114,V110:V114, $AQ110:$AQ114,AU110:AU114))</f>
        <v>-0.22477342187703775</v>
      </c>
      <c r="BO110" s="104"/>
      <c r="BQ110" s="173">
        <f>IF( OR(ISBLANK($R110:$R114),ISBLANK($AQ110:$AQ114), ISBLANK(X110:X114),ISBLANK(AW110:AW114)), "·", bdRateHermite($R110:$R114,X110:X114, $AQ110:$AQ114,AW110:AW114))</f>
        <v>-0.14266350282571161</v>
      </c>
      <c r="BR110" s="173">
        <f>IF( OR(ISBLANK($R110:$R114),ISBLANK($AQ110:$AQ114), ISBLANK(Y110:Y114),ISBLANK(AX110:AX114)), "·", bdRateHermite($R110:$R114,Y110:Y114, $AQ110:$AQ114,AX110:AX114))</f>
        <v>-0.14266350282571161</v>
      </c>
      <c r="BS110" s="173">
        <f>IF( OR(ISBLANK($R110:$R114),ISBLANK($AQ110:$AQ114), ISBLANK(Z110:Z114),ISBLANK(AY110:AY114)), "·", bdRateHermite($R110:$R114,Z110:Z114, $AQ110:$AQ114,AY110:AY114))</f>
        <v>-0.14266350282571161</v>
      </c>
      <c r="BT110" s="138"/>
      <c r="BV110" s="173">
        <f>IF(OR(ISBLANK($P110:$P114),ISBLANK($AO110:$AO114),ISBLANK(T110:T114),ISBLANK(AS110:AS114)),"·",bdRateHermite($P110:$P114,T110:T114,$AO110:$AO114,AS110:AS114))</f>
        <v>-0.11070712199487542</v>
      </c>
      <c r="BW110" s="173">
        <f>IF(OR(ISBLANK($P110:$P114),ISBLANK($AO110:$AO114),ISBLANK(U110:U114),ISBLANK(AT110:AT114)),"·",bdRateHermite($P110:$P114,U110:U114,$AO110:$AO114,AT110:AT114))</f>
        <v>-0.14690205292055614</v>
      </c>
      <c r="BX110" s="173">
        <f>IF(OR(ISBLANK($P110:$P114),ISBLANK($AO110:$AO114),ISBLANK(V110:V114),ISBLANK(AU110:AU114)),"·",bdRateHermite($P110:$P114,V110:V114,$AO110:$AO114,AU110:AU114))</f>
        <v>-0.1532545909100228</v>
      </c>
      <c r="BY110" s="138"/>
      <c r="CA110" s="173">
        <f>IF( OR(ISBLANK($P110:$P114),ISBLANK($AO110:$AO114), ISBLANK(X110:X114),ISBLANK(AW110:AW114)), "·", bdRateHermite( $P110:$P114,X110:X114, $AO110:$AO114,AW110:AW114))</f>
        <v>-9.6870340100378538E-2</v>
      </c>
      <c r="CB110" s="173">
        <f>IF( OR(ISBLANK($P110:$P114),ISBLANK($AO110:$AO114), ISBLANK(Y110:Y114),ISBLANK(AX110:AX114)), "·", bdRateHermite( $P110:$P114,Y110:Y114, $AO110:$AO114,AX110:AX114))</f>
        <v>-9.6870340100378538E-2</v>
      </c>
      <c r="CC110" s="173">
        <f>IF( OR(ISBLANK($P110:$P114),ISBLANK($AO110:$AO114), ISBLANK(Z110:Z114),ISBLANK(AY110:AY114)), "·", bdRateHermite( $P110:$P114,Z110:Z114, $AO110:$AO114,AY110:AY114))</f>
        <v>-9.6870340100378538E-2</v>
      </c>
      <c r="CD110" s="138"/>
    </row>
    <row r="111" spans="1:82" outlineLevel="1">
      <c r="A111" s="13"/>
      <c r="B111" s="24" t="s">
        <v>883</v>
      </c>
      <c r="C111" s="15" t="s">
        <v>132</v>
      </c>
      <c r="D111" s="14">
        <v>163936020</v>
      </c>
      <c r="E111" s="15">
        <v>11</v>
      </c>
      <c r="F111" s="25">
        <v>64</v>
      </c>
      <c r="G111" s="16">
        <v>30</v>
      </c>
      <c r="I111" s="30">
        <f t="shared" si="26"/>
        <v>214.0874475</v>
      </c>
      <c r="J111" s="31">
        <f t="shared" si="27"/>
        <v>2.7859642316557398</v>
      </c>
      <c r="K111" s="31">
        <f t="shared" si="28"/>
        <v>0.97643853986451545</v>
      </c>
      <c r="L111" s="270">
        <f t="shared" ref="L111:L114" si="35">IF(ISBLANK(R111),"·",R111/D111)</f>
        <v>1.8093012139735978</v>
      </c>
      <c r="M111" s="106"/>
      <c r="N111" s="31">
        <f t="shared" si="29"/>
        <v>2.7859642316557398</v>
      </c>
      <c r="O111" s="521">
        <v>163936020</v>
      </c>
      <c r="P111" s="503">
        <v>456719888</v>
      </c>
      <c r="Q111" s="357">
        <v>160073448</v>
      </c>
      <c r="R111" s="357">
        <v>296609640</v>
      </c>
      <c r="S111" s="258"/>
      <c r="T111" s="357">
        <v>37.922702999999998</v>
      </c>
      <c r="U111" s="357">
        <v>40.780391999999999</v>
      </c>
      <c r="V111" s="373">
        <v>40.828803999999998</v>
      </c>
      <c r="W111" s="258"/>
      <c r="X111" s="357">
        <v>30.068995000000001</v>
      </c>
      <c r="Y111" s="357">
        <v>30.068995000000001</v>
      </c>
      <c r="Z111" s="373">
        <v>30.068995000000001</v>
      </c>
      <c r="AA111" s="258"/>
      <c r="AB111" s="507">
        <v>476.23400000000009</v>
      </c>
      <c r="AC111" s="359">
        <v>297.75499999999988</v>
      </c>
      <c r="AD111" s="573">
        <v>0</v>
      </c>
      <c r="AE111" s="573">
        <v>0</v>
      </c>
      <c r="AF111" s="33"/>
      <c r="AH111" s="30">
        <f t="shared" si="30"/>
        <v>185.98830749999999</v>
      </c>
      <c r="AI111" s="31">
        <f t="shared" si="18"/>
        <v>2.4203043114014844</v>
      </c>
      <c r="AJ111" s="31">
        <f t="shared" si="19"/>
        <v>0.97643853986451545</v>
      </c>
      <c r="AK111" s="275">
        <f t="shared" si="20"/>
        <v>1.4436412937193424</v>
      </c>
      <c r="AL111" s="267" t="str">
        <f t="shared" si="21"/>
        <v>·</v>
      </c>
      <c r="AM111" s="31">
        <f t="shared" si="31"/>
        <v>2.4203043114014844</v>
      </c>
      <c r="AN111" s="521">
        <v>163936020</v>
      </c>
      <c r="AO111" s="503">
        <v>396775056</v>
      </c>
      <c r="AP111" s="357">
        <v>160073448</v>
      </c>
      <c r="AQ111" s="357">
        <v>236664808</v>
      </c>
      <c r="AR111" s="258"/>
      <c r="AS111" s="357">
        <v>37.947257999999998</v>
      </c>
      <c r="AT111" s="357">
        <v>41.646934999999999</v>
      </c>
      <c r="AU111" s="373">
        <v>41.913021000000001</v>
      </c>
      <c r="AV111" s="258"/>
      <c r="AW111" s="357">
        <v>30.068995000000001</v>
      </c>
      <c r="AX111" s="357">
        <v>30.068995000000001</v>
      </c>
      <c r="AY111" s="373">
        <v>30.068995000000001</v>
      </c>
      <c r="AZ111" s="258"/>
      <c r="BA111" s="507">
        <v>556.57600000000025</v>
      </c>
      <c r="BB111" s="359">
        <v>398.54700000000008</v>
      </c>
      <c r="BC111" s="573">
        <v>0</v>
      </c>
      <c r="BD111" s="573">
        <v>0</v>
      </c>
      <c r="BE111" s="33"/>
      <c r="BG111" s="122" t="e">
        <f t="shared" si="32"/>
        <v>#DIV/0!</v>
      </c>
      <c r="BH111" s="123" t="e">
        <f t="shared" si="32"/>
        <v>#DIV/0!</v>
      </c>
      <c r="BI111" s="123">
        <f t="shared" si="33"/>
        <v>5.2951316483798416E-2</v>
      </c>
      <c r="BJ111" s="124"/>
      <c r="BL111" s="107"/>
      <c r="BM111" s="107"/>
      <c r="BN111" s="107"/>
      <c r="BO111" s="106"/>
      <c r="BQ111" s="177"/>
      <c r="BR111" s="177"/>
      <c r="BS111" s="177"/>
      <c r="BT111" s="106"/>
      <c r="BV111" s="177"/>
      <c r="BW111" s="177"/>
      <c r="BX111" s="177"/>
      <c r="BY111" s="106"/>
      <c r="CA111" s="177"/>
      <c r="CB111" s="177"/>
      <c r="CC111" s="177"/>
      <c r="CD111" s="106"/>
    </row>
    <row r="112" spans="1:82" outlineLevel="1">
      <c r="A112" s="13"/>
      <c r="B112" s="24" t="s">
        <v>883</v>
      </c>
      <c r="C112" s="15" t="s">
        <v>133</v>
      </c>
      <c r="D112" s="14">
        <v>163936020</v>
      </c>
      <c r="E112" s="15">
        <v>11</v>
      </c>
      <c r="F112" s="25">
        <v>64</v>
      </c>
      <c r="G112" s="16">
        <v>30</v>
      </c>
      <c r="I112" s="30">
        <f t="shared" si="26"/>
        <v>326.2587375</v>
      </c>
      <c r="J112" s="31">
        <f t="shared" si="27"/>
        <v>4.2456724275726589</v>
      </c>
      <c r="K112" s="31">
        <f t="shared" si="28"/>
        <v>0.97643853986451545</v>
      </c>
      <c r="L112" s="270">
        <f t="shared" si="35"/>
        <v>3.2690103370815029</v>
      </c>
      <c r="M112" s="106"/>
      <c r="N112" s="31">
        <f t="shared" si="29"/>
        <v>4.2456724275726589</v>
      </c>
      <c r="O112" s="521">
        <v>163936020</v>
      </c>
      <c r="P112" s="503">
        <v>696018640</v>
      </c>
      <c r="Q112" s="357">
        <v>160073448</v>
      </c>
      <c r="R112" s="357">
        <v>535908544</v>
      </c>
      <c r="S112" s="258"/>
      <c r="T112" s="357">
        <v>43.757263000000002</v>
      </c>
      <c r="U112" s="357">
        <v>45.221622000000004</v>
      </c>
      <c r="V112" s="373">
        <v>44.926307999999999</v>
      </c>
      <c r="W112" s="258"/>
      <c r="X112" s="357">
        <v>36.089602999999997</v>
      </c>
      <c r="Y112" s="357">
        <v>36.089602999999997</v>
      </c>
      <c r="Z112" s="373">
        <v>36.089602999999997</v>
      </c>
      <c r="AA112" s="258"/>
      <c r="AB112" s="507">
        <v>473.68899999999991</v>
      </c>
      <c r="AC112" s="359">
        <v>302.87799999999999</v>
      </c>
      <c r="AD112" s="573">
        <v>0</v>
      </c>
      <c r="AE112" s="573">
        <v>0</v>
      </c>
      <c r="AF112" s="33"/>
      <c r="AH112" s="30">
        <f t="shared" si="30"/>
        <v>291.30239999999998</v>
      </c>
      <c r="AI112" s="31">
        <f t="shared" si="18"/>
        <v>3.7907783780526088</v>
      </c>
      <c r="AJ112" s="31">
        <f t="shared" si="19"/>
        <v>0.97643853986451545</v>
      </c>
      <c r="AK112" s="275">
        <f t="shared" si="20"/>
        <v>2.8141162875614523</v>
      </c>
      <c r="AL112" s="267" t="str">
        <f t="shared" si="21"/>
        <v>·</v>
      </c>
      <c r="AM112" s="31">
        <f t="shared" si="31"/>
        <v>3.7907783780526088</v>
      </c>
      <c r="AN112" s="521">
        <v>163936020</v>
      </c>
      <c r="AO112" s="503">
        <v>621445120</v>
      </c>
      <c r="AP112" s="357">
        <v>160073448</v>
      </c>
      <c r="AQ112" s="357">
        <v>461335024</v>
      </c>
      <c r="AR112" s="258"/>
      <c r="AS112" s="357">
        <v>44.064632000000003</v>
      </c>
      <c r="AT112" s="357">
        <v>45.602283</v>
      </c>
      <c r="AU112" s="373">
        <v>45.373665000000003</v>
      </c>
      <c r="AV112" s="258"/>
      <c r="AW112" s="357">
        <v>36.089602999999997</v>
      </c>
      <c r="AX112" s="357">
        <v>36.089602999999997</v>
      </c>
      <c r="AY112" s="373">
        <v>36.089602999999997</v>
      </c>
      <c r="AZ112" s="258"/>
      <c r="BA112" s="507">
        <v>559.11900000000014</v>
      </c>
      <c r="BB112" s="359">
        <v>406.54200000000003</v>
      </c>
      <c r="BC112" s="573">
        <v>0</v>
      </c>
      <c r="BD112" s="573">
        <v>0</v>
      </c>
      <c r="BE112" s="33"/>
      <c r="BG112" s="122" t="e">
        <f t="shared" si="32"/>
        <v>#DIV/0!</v>
      </c>
      <c r="BH112" s="123" t="e">
        <f t="shared" si="32"/>
        <v>#DIV/0!</v>
      </c>
      <c r="BI112" s="123">
        <f t="shared" si="33"/>
        <v>2.7598170302913533E-2</v>
      </c>
      <c r="BJ112" s="124"/>
      <c r="BL112" s="107"/>
      <c r="BM112" s="107"/>
      <c r="BN112" s="107"/>
      <c r="BO112" s="106"/>
      <c r="BQ112" s="177"/>
      <c r="BR112" s="177"/>
      <c r="BS112" s="177"/>
      <c r="BT112" s="106"/>
      <c r="BV112" s="177"/>
      <c r="BW112" s="177"/>
      <c r="BX112" s="177"/>
      <c r="BY112" s="106"/>
      <c r="CA112" s="177"/>
      <c r="CB112" s="177"/>
      <c r="CC112" s="177"/>
      <c r="CD112" s="106"/>
    </row>
    <row r="113" spans="1:82" outlineLevel="1">
      <c r="A113" s="13"/>
      <c r="B113" s="24" t="s">
        <v>883</v>
      </c>
      <c r="C113" s="15" t="s">
        <v>134</v>
      </c>
      <c r="D113" s="14">
        <v>163936020</v>
      </c>
      <c r="E113" s="15">
        <v>11</v>
      </c>
      <c r="F113" s="25">
        <v>64</v>
      </c>
      <c r="G113" s="16">
        <v>30</v>
      </c>
      <c r="I113" s="30">
        <f t="shared" si="26"/>
        <v>477.87239249999999</v>
      </c>
      <c r="J113" s="31">
        <f t="shared" si="27"/>
        <v>6.2186522766625663</v>
      </c>
      <c r="K113" s="31">
        <f t="shared" si="28"/>
        <v>0.97643853986451545</v>
      </c>
      <c r="L113" s="270">
        <f t="shared" si="35"/>
        <v>5.2419901861714102</v>
      </c>
      <c r="M113" s="106"/>
      <c r="N113" s="31">
        <f t="shared" si="29"/>
        <v>6.2186522766625663</v>
      </c>
      <c r="O113" s="521">
        <v>163936020</v>
      </c>
      <c r="P113" s="503">
        <v>1019461104</v>
      </c>
      <c r="Q113" s="357">
        <v>160073448</v>
      </c>
      <c r="R113" s="357">
        <v>859351008</v>
      </c>
      <c r="S113" s="258"/>
      <c r="T113" s="357">
        <v>49.168137000000002</v>
      </c>
      <c r="U113" s="357">
        <v>49.150066000000002</v>
      </c>
      <c r="V113" s="373">
        <v>48.872734000000001</v>
      </c>
      <c r="W113" s="258"/>
      <c r="X113" s="357">
        <v>42.110194999999997</v>
      </c>
      <c r="Y113" s="357">
        <v>42.110194999999997</v>
      </c>
      <c r="Z113" s="373">
        <v>42.110194999999997</v>
      </c>
      <c r="AA113" s="258"/>
      <c r="AB113" s="507">
        <v>491.47600000000006</v>
      </c>
      <c r="AC113" s="359">
        <v>285.58600000000001</v>
      </c>
      <c r="AD113" s="573">
        <v>0</v>
      </c>
      <c r="AE113" s="573">
        <v>0</v>
      </c>
      <c r="AF113" s="33"/>
      <c r="AH113" s="30">
        <f t="shared" si="30"/>
        <v>446.89300125</v>
      </c>
      <c r="AI113" s="31">
        <f t="shared" si="18"/>
        <v>5.8155110512015602</v>
      </c>
      <c r="AJ113" s="31">
        <f t="shared" si="19"/>
        <v>0.97643853986451545</v>
      </c>
      <c r="AK113" s="275">
        <f t="shared" si="20"/>
        <v>4.8388489607104042</v>
      </c>
      <c r="AL113" s="267" t="str">
        <f t="shared" si="21"/>
        <v>·</v>
      </c>
      <c r="AM113" s="31">
        <f t="shared" si="31"/>
        <v>5.8155110512015602</v>
      </c>
      <c r="AN113" s="521">
        <v>163936020</v>
      </c>
      <c r="AO113" s="503">
        <v>953371736</v>
      </c>
      <c r="AP113" s="357">
        <v>160073448</v>
      </c>
      <c r="AQ113" s="357">
        <v>793261640</v>
      </c>
      <c r="AR113" s="258"/>
      <c r="AS113" s="357">
        <v>49.368011000000003</v>
      </c>
      <c r="AT113" s="357">
        <v>49.318568999999997</v>
      </c>
      <c r="AU113" s="373">
        <v>48.997425</v>
      </c>
      <c r="AV113" s="258"/>
      <c r="AW113" s="357">
        <v>42.110194999999997</v>
      </c>
      <c r="AX113" s="357">
        <v>42.110194999999997</v>
      </c>
      <c r="AY113" s="373">
        <v>42.110194999999997</v>
      </c>
      <c r="AZ113" s="258"/>
      <c r="BA113" s="507">
        <v>560.279</v>
      </c>
      <c r="BB113" s="359">
        <v>430.75000000000006</v>
      </c>
      <c r="BC113" s="573">
        <v>0</v>
      </c>
      <c r="BD113" s="573">
        <v>0</v>
      </c>
      <c r="BE113" s="33"/>
      <c r="BG113" s="122" t="e">
        <f t="shared" si="32"/>
        <v>#DIV/0!</v>
      </c>
      <c r="BH113" s="123" t="e">
        <f t="shared" si="32"/>
        <v>#DIV/0!</v>
      </c>
      <c r="BI113" s="123">
        <f t="shared" si="33"/>
        <v>1.0884737639982517E-2</v>
      </c>
      <c r="BJ113" s="124"/>
      <c r="BL113" s="107"/>
      <c r="BM113" s="107"/>
      <c r="BN113" s="107"/>
      <c r="BO113" s="106"/>
      <c r="BQ113" s="177"/>
      <c r="BR113" s="177"/>
      <c r="BS113" s="177"/>
      <c r="BT113" s="106"/>
      <c r="BV113" s="177"/>
      <c r="BW113" s="177"/>
      <c r="BX113" s="177"/>
      <c r="BY113" s="106"/>
      <c r="CA113" s="177"/>
      <c r="CB113" s="177"/>
      <c r="CC113" s="177"/>
      <c r="CD113" s="106"/>
    </row>
    <row r="114" spans="1:82" ht="14.25" outlineLevel="1" thickBot="1">
      <c r="A114" s="17"/>
      <c r="B114" s="18" t="s">
        <v>883</v>
      </c>
      <c r="C114" s="19" t="s">
        <v>135</v>
      </c>
      <c r="D114" s="18">
        <v>163936020</v>
      </c>
      <c r="E114" s="19">
        <v>11</v>
      </c>
      <c r="F114" s="19">
        <v>64</v>
      </c>
      <c r="G114" s="20">
        <v>30</v>
      </c>
      <c r="I114" s="34">
        <f t="shared" si="26"/>
        <v>650.21002874999999</v>
      </c>
      <c r="J114" s="35">
        <f t="shared" si="27"/>
        <v>8.4613175798704887</v>
      </c>
      <c r="K114" s="35">
        <f t="shared" si="28"/>
        <v>0.97643853986451545</v>
      </c>
      <c r="L114" s="271">
        <f t="shared" si="35"/>
        <v>7.4846575877589316</v>
      </c>
      <c r="M114" s="109"/>
      <c r="N114" s="35">
        <f t="shared" si="29"/>
        <v>8.4613175798704887</v>
      </c>
      <c r="O114" s="525">
        <v>163936020</v>
      </c>
      <c r="P114" s="505">
        <v>1387114728</v>
      </c>
      <c r="Q114" s="361">
        <v>160073448</v>
      </c>
      <c r="R114" s="361">
        <v>1227004976</v>
      </c>
      <c r="S114" s="259"/>
      <c r="T114" s="361">
        <v>52.703468000000001</v>
      </c>
      <c r="U114" s="361">
        <v>52.117558000000002</v>
      </c>
      <c r="V114" s="375">
        <v>52.040928000000001</v>
      </c>
      <c r="W114" s="259"/>
      <c r="X114" s="361">
        <v>48.130839999999999</v>
      </c>
      <c r="Y114" s="361">
        <v>48.130839999999999</v>
      </c>
      <c r="Z114" s="375">
        <v>48.130839999999999</v>
      </c>
      <c r="AA114" s="259"/>
      <c r="AB114" s="509">
        <v>496.40399999999994</v>
      </c>
      <c r="AC114" s="363">
        <v>345.041</v>
      </c>
      <c r="AD114" s="575">
        <v>0</v>
      </c>
      <c r="AE114" s="575">
        <v>0</v>
      </c>
      <c r="AF114" s="37"/>
      <c r="AH114" s="34">
        <f t="shared" si="30"/>
        <v>627.77237624999998</v>
      </c>
      <c r="AI114" s="35">
        <f t="shared" si="18"/>
        <v>8.1693317673565584</v>
      </c>
      <c r="AJ114" s="35">
        <f t="shared" si="19"/>
        <v>0.97643853986451545</v>
      </c>
      <c r="AK114" s="276">
        <f t="shared" si="20"/>
        <v>7.1926717752450013</v>
      </c>
      <c r="AL114" s="109" t="str">
        <f t="shared" si="21"/>
        <v>·</v>
      </c>
      <c r="AM114" s="35">
        <f t="shared" si="31"/>
        <v>8.1693317673565584</v>
      </c>
      <c r="AN114" s="525">
        <v>163936020</v>
      </c>
      <c r="AO114" s="505">
        <v>1339247736</v>
      </c>
      <c r="AP114" s="361">
        <v>160073448</v>
      </c>
      <c r="AQ114" s="361">
        <v>1179137984</v>
      </c>
      <c r="AR114" s="259"/>
      <c r="AS114" s="361">
        <v>52.785789000000001</v>
      </c>
      <c r="AT114" s="361">
        <v>52.189739000000003</v>
      </c>
      <c r="AU114" s="375">
        <v>52.072792</v>
      </c>
      <c r="AV114" s="259"/>
      <c r="AW114" s="361">
        <v>48.130839999999999</v>
      </c>
      <c r="AX114" s="361">
        <v>48.130839999999999</v>
      </c>
      <c r="AY114" s="375">
        <v>48.130839999999999</v>
      </c>
      <c r="AZ114" s="259"/>
      <c r="BA114" s="509">
        <v>638.26899999999978</v>
      </c>
      <c r="BB114" s="363">
        <v>496.56800000000004</v>
      </c>
      <c r="BC114" s="575">
        <v>0</v>
      </c>
      <c r="BD114" s="575">
        <v>0</v>
      </c>
      <c r="BE114" s="37"/>
      <c r="BG114" s="125" t="e">
        <f t="shared" si="32"/>
        <v>#DIV/0!</v>
      </c>
      <c r="BH114" s="126" t="e">
        <f t="shared" si="32"/>
        <v>#DIV/0!</v>
      </c>
      <c r="BI114" s="126">
        <f t="shared" si="33"/>
        <v>4.1246028058317119E-3</v>
      </c>
      <c r="BJ114" s="127"/>
      <c r="BL114" s="110"/>
      <c r="BM114" s="110"/>
      <c r="BN114" s="110"/>
      <c r="BO114" s="109"/>
      <c r="BQ114" s="181"/>
      <c r="BR114" s="181"/>
      <c r="BS114" s="181"/>
      <c r="BT114" s="109"/>
      <c r="BV114" s="181"/>
      <c r="BW114" s="181"/>
      <c r="BX114" s="181"/>
      <c r="BY114" s="109"/>
      <c r="CA114" s="181"/>
      <c r="CB114" s="181"/>
      <c r="CC114" s="181"/>
      <c r="CD114" s="109"/>
    </row>
    <row r="115" spans="1:82">
      <c r="B115" s="6" t="s">
        <v>1378</v>
      </c>
      <c r="J115" s="7">
        <f>AVERAGE(J5:J34)</f>
        <v>23.019129542650084</v>
      </c>
      <c r="K115" s="7">
        <f>AVERAGE(K5:K34)</f>
        <v>15.747350786695074</v>
      </c>
      <c r="L115" s="5"/>
      <c r="M115" s="7">
        <f>AVERAGE(M5:M34)</f>
        <v>7.2716833753670418</v>
      </c>
      <c r="T115" s="272"/>
      <c r="U115" s="272"/>
      <c r="V115" s="272"/>
      <c r="X115" s="272"/>
      <c r="Y115" s="272"/>
      <c r="Z115" s="272"/>
      <c r="AB115" s="7" t="e">
        <f>AVERAGE(AB5:AB34)</f>
        <v>#DIV/0!</v>
      </c>
      <c r="AC115" s="7" t="e">
        <f>AVERAGE(AC5:AC34)</f>
        <v>#DIV/0!</v>
      </c>
      <c r="AD115" s="571">
        <f t="shared" ref="AD115:AE115" si="36">AVERAGE(AD5:AD34)</f>
        <v>0</v>
      </c>
      <c r="AE115" s="571">
        <f t="shared" si="36"/>
        <v>0</v>
      </c>
      <c r="AI115" s="7">
        <f>AVERAGE(AI5:AI34)</f>
        <v>23.019129542650084</v>
      </c>
      <c r="AJ115" s="7">
        <f>AVERAGE(AJ5:AJ34)</f>
        <v>15.747350786695074</v>
      </c>
      <c r="AK115" s="5"/>
      <c r="AL115" s="7">
        <f>AVERAGE(AL5:AL34)</f>
        <v>7.2716833753670418</v>
      </c>
      <c r="BA115" s="7">
        <f>AVERAGE(BA5:BA34)</f>
        <v>30.682333333333329</v>
      </c>
      <c r="BB115" s="7">
        <f>AVERAGE(BB5:BB34)</f>
        <v>20.782499999999995</v>
      </c>
      <c r="BC115" s="571">
        <f t="shared" ref="BC115:BD115" si="37">AVERAGE(BC5:BC34)</f>
        <v>0</v>
      </c>
      <c r="BD115" s="571">
        <f t="shared" si="37"/>
        <v>0</v>
      </c>
      <c r="BG115" s="2" t="e">
        <f t="shared" ref="BG115:BJ115" si="38">AVERAGE(BG5:BG34)</f>
        <v>#DIV/0!</v>
      </c>
      <c r="BH115" s="2" t="e">
        <f t="shared" si="38"/>
        <v>#DIV/0!</v>
      </c>
      <c r="BI115" s="2">
        <f t="shared" si="38"/>
        <v>0</v>
      </c>
      <c r="BJ115" s="2">
        <f t="shared" si="38"/>
        <v>0</v>
      </c>
      <c r="BK115" s="590"/>
      <c r="BL115" s="5"/>
      <c r="BM115" s="5"/>
      <c r="BN115" s="5"/>
      <c r="BO115" s="2">
        <f>AVERAGE(BO5:BO34)</f>
        <v>0</v>
      </c>
      <c r="BP115" s="590"/>
      <c r="BQ115" s="5"/>
      <c r="BR115" s="5"/>
      <c r="BS115" s="5"/>
      <c r="BT115" s="2">
        <f>AVERAGE(BT5:BT34)</f>
        <v>0</v>
      </c>
      <c r="BU115" s="590"/>
      <c r="BV115" s="5"/>
      <c r="BW115" s="5"/>
      <c r="BX115" s="5"/>
      <c r="BY115" s="2">
        <f>AVERAGE(BY5:BY34)</f>
        <v>0</v>
      </c>
      <c r="BZ115" s="590"/>
      <c r="CA115" s="5"/>
      <c r="CB115" s="5"/>
      <c r="CC115" s="5"/>
      <c r="CD115" s="2">
        <f>AVERAGE(CD5:CD34)</f>
        <v>0</v>
      </c>
    </row>
    <row r="116" spans="1:82">
      <c r="B116" s="6" t="s">
        <v>1138</v>
      </c>
      <c r="J116" s="7">
        <f>AVERAGE(J35:J69)</f>
        <v>20.56059375757274</v>
      </c>
      <c r="K116" s="7">
        <f>AVERAGE(K35:K69)</f>
        <v>14.159026455206439</v>
      </c>
      <c r="L116" s="7">
        <f>AVERAGE(L35:L69)</f>
        <v>6.4014779195625851</v>
      </c>
      <c r="M116" s="5"/>
      <c r="T116" s="272"/>
      <c r="U116" s="272"/>
      <c r="V116" s="272"/>
      <c r="X116" s="272"/>
      <c r="Y116" s="272"/>
      <c r="Z116" s="272"/>
      <c r="AB116" s="7">
        <f>AVERAGE(AB35:AB69)</f>
        <v>123.88308571428573</v>
      </c>
      <c r="AC116" s="7">
        <f>AVERAGE(AC35:AC69)</f>
        <v>82.158714285714268</v>
      </c>
      <c r="AD116" s="571">
        <f t="shared" ref="AD116:AE116" si="39">AVERAGE(AD35:AD69)</f>
        <v>0</v>
      </c>
      <c r="AE116" s="571">
        <f t="shared" si="39"/>
        <v>0</v>
      </c>
      <c r="AI116" s="7">
        <f>AVERAGE(AI35:AI69)</f>
        <v>19.407591822121429</v>
      </c>
      <c r="AJ116" s="7">
        <f>AVERAGE(AJ35:AJ69)</f>
        <v>14.159026455206439</v>
      </c>
      <c r="AK116" s="7">
        <f>AVERAGE(AK35:AK69)</f>
        <v>5.2484759841112725</v>
      </c>
      <c r="AL116" s="5"/>
      <c r="BA116" s="7">
        <f>AVERAGE(BA35:BA69)</f>
        <v>206.12857142857146</v>
      </c>
      <c r="BB116" s="7">
        <f>AVERAGE(BB35:BB69)</f>
        <v>149.94251428571425</v>
      </c>
      <c r="BC116" s="571">
        <f t="shared" ref="BC116:BD116" si="40">AVERAGE(BC35:BC69)</f>
        <v>0</v>
      </c>
      <c r="BD116" s="571">
        <f t="shared" si="40"/>
        <v>0</v>
      </c>
      <c r="BG116" s="2" t="e">
        <f t="shared" ref="BG116:BN116" si="41">AVERAGE(BG35:BG69)</f>
        <v>#DIV/0!</v>
      </c>
      <c r="BH116" s="2" t="e">
        <f t="shared" si="41"/>
        <v>#DIV/0!</v>
      </c>
      <c r="BI116" s="2">
        <f t="shared" si="41"/>
        <v>4.4683192012676703E-2</v>
      </c>
      <c r="BJ116" s="2">
        <f t="shared" si="41"/>
        <v>4.4683192012676683E-2</v>
      </c>
      <c r="BK116" s="590"/>
      <c r="BL116" s="2">
        <f t="shared" si="41"/>
        <v>-0.30181698744207053</v>
      </c>
      <c r="BM116" s="2">
        <f t="shared" si="41"/>
        <v>-0.3115997807925116</v>
      </c>
      <c r="BN116" s="2">
        <f t="shared" si="41"/>
        <v>-0.30977938610191547</v>
      </c>
      <c r="BO116" s="5"/>
      <c r="BP116" s="590"/>
      <c r="BQ116" s="2">
        <f t="shared" ref="BQ116:BS116" si="42">AVERAGE(BQ35:BQ69)</f>
        <v>-0.25508412250632539</v>
      </c>
      <c r="BR116" s="2">
        <f t="shared" si="42"/>
        <v>-0.25508412250632539</v>
      </c>
      <c r="BS116" s="2">
        <f t="shared" si="42"/>
        <v>-0.25508412250632539</v>
      </c>
      <c r="BT116" s="5"/>
      <c r="BU116" s="590"/>
      <c r="BV116" s="2">
        <f t="shared" ref="BV116:BX116" si="43">AVERAGE(BV35:BV69)</f>
        <v>-7.5777315117991559E-2</v>
      </c>
      <c r="BW116" s="2">
        <f t="shared" si="43"/>
        <v>-7.9295441680429721E-2</v>
      </c>
      <c r="BX116" s="2">
        <f t="shared" si="43"/>
        <v>-7.9298961120680619E-2</v>
      </c>
      <c r="BY116" s="5"/>
      <c r="BZ116" s="590"/>
      <c r="CA116" s="2">
        <f t="shared" ref="CA116:CC116" si="44">AVERAGE(CA35:CA69)</f>
        <v>-6.4449571319100674E-2</v>
      </c>
      <c r="CB116" s="2">
        <f t="shared" si="44"/>
        <v>-6.4449571319100674E-2</v>
      </c>
      <c r="CC116" s="2">
        <f t="shared" si="44"/>
        <v>-6.4449571319100674E-2</v>
      </c>
      <c r="CD116" s="5"/>
    </row>
    <row r="117" spans="1:82">
      <c r="B117" s="6" t="s">
        <v>171</v>
      </c>
      <c r="J117" s="7">
        <f>AVERAGE(J70:J94)</f>
        <v>20.073476025954172</v>
      </c>
      <c r="K117" s="7">
        <f>AVERAGE(K70:K94)</f>
        <v>18.014616346544656</v>
      </c>
      <c r="L117" s="5"/>
      <c r="M117" s="7">
        <f>AVERAGE(M70:M94)</f>
        <v>2.0515390879635054</v>
      </c>
      <c r="T117" s="272"/>
      <c r="U117" s="272"/>
      <c r="V117" s="272"/>
      <c r="X117" s="272"/>
      <c r="Y117" s="272"/>
      <c r="Z117" s="272"/>
      <c r="AB117" s="7" t="e">
        <f>AVERAGE(AB70:AB94)</f>
        <v>#DIV/0!</v>
      </c>
      <c r="AC117" s="7" t="e">
        <f>AVERAGE(AC70:AC94)</f>
        <v>#DIV/0!</v>
      </c>
      <c r="AD117" s="571">
        <f t="shared" ref="AD117:AE117" si="45">AVERAGE(AD70:AD94)</f>
        <v>0</v>
      </c>
      <c r="AE117" s="571">
        <f t="shared" si="45"/>
        <v>0</v>
      </c>
      <c r="AI117" s="7">
        <f>AVERAGE(AI70:AI94)</f>
        <v>20.073476025954172</v>
      </c>
      <c r="AJ117" s="7">
        <f>AVERAGE(AJ70:AJ94)</f>
        <v>18.014616346544656</v>
      </c>
      <c r="AK117" s="5"/>
      <c r="AL117" s="7">
        <f>AVERAGE(AL70:AL94)</f>
        <v>2.0515390879635054</v>
      </c>
      <c r="BA117" s="7">
        <f>AVERAGE(BA70:BA94)</f>
        <v>411.38976000000002</v>
      </c>
      <c r="BB117" s="7">
        <f>AVERAGE(BB70:BB94)</f>
        <v>159.34844000000004</v>
      </c>
      <c r="BC117" s="571">
        <f t="shared" ref="BC117:BD117" si="46">AVERAGE(BC70:BC94)</f>
        <v>0</v>
      </c>
      <c r="BD117" s="571">
        <f t="shared" si="46"/>
        <v>0</v>
      </c>
      <c r="BG117" s="2" t="e">
        <f t="shared" ref="BG117:BJ117" si="47">AVERAGE(BG70:BG94)</f>
        <v>#DIV/0!</v>
      </c>
      <c r="BH117" s="2" t="e">
        <f t="shared" si="47"/>
        <v>#DIV/0!</v>
      </c>
      <c r="BI117" s="2">
        <f t="shared" si="47"/>
        <v>0</v>
      </c>
      <c r="BJ117" s="2">
        <f t="shared" si="47"/>
        <v>0</v>
      </c>
      <c r="BK117" s="590"/>
      <c r="BL117" s="5"/>
      <c r="BM117" s="5"/>
      <c r="BN117" s="5"/>
      <c r="BO117" s="2">
        <f>AVERAGE(BO70:BO94)</f>
        <v>0</v>
      </c>
      <c r="BP117" s="590"/>
      <c r="BQ117" s="5"/>
      <c r="BR117" s="5"/>
      <c r="BS117" s="5"/>
      <c r="BT117" s="2">
        <f>AVERAGE(BT70:BT94)</f>
        <v>0</v>
      </c>
      <c r="BU117" s="590"/>
      <c r="BV117" s="5"/>
      <c r="BW117" s="5"/>
      <c r="BX117" s="5"/>
      <c r="BY117" s="2">
        <f>AVERAGE(BY70:BY94)</f>
        <v>0</v>
      </c>
      <c r="BZ117" s="590"/>
      <c r="CA117" s="5"/>
      <c r="CB117" s="5"/>
      <c r="CC117" s="5"/>
      <c r="CD117" s="2">
        <f>AVERAGE(CD70:CD94)</f>
        <v>0</v>
      </c>
    </row>
    <row r="118" spans="1:82">
      <c r="B118" s="6" t="s">
        <v>1097</v>
      </c>
      <c r="J118" s="7">
        <f>AVERAGE(J95:J114)</f>
        <v>4.6383264438381264</v>
      </c>
      <c r="K118" s="7">
        <f>AVERAGE(K95:K114)</f>
        <v>1.0123454238505931</v>
      </c>
      <c r="L118" s="7">
        <f>AVERAGE(L95:L114)</f>
        <v>3.6257620274632805</v>
      </c>
      <c r="M118" s="5"/>
      <c r="T118" s="272"/>
      <c r="U118" s="272"/>
      <c r="V118" s="272"/>
      <c r="X118" s="272"/>
      <c r="Y118" s="272"/>
      <c r="Z118" s="272"/>
      <c r="AB118" s="7">
        <f>AVERAGE(AB95:AB114)</f>
        <v>456.45569999999998</v>
      </c>
      <c r="AC118" s="7">
        <f>AVERAGE(AC95:AC114)</f>
        <v>300.51004999999998</v>
      </c>
      <c r="AD118" s="571">
        <f t="shared" ref="AD118:AE118" si="48">AVERAGE(AD95:AD114)</f>
        <v>0</v>
      </c>
      <c r="AE118" s="571">
        <f t="shared" si="48"/>
        <v>0</v>
      </c>
      <c r="AI118" s="7">
        <f>AVERAGE(AI95:AI114)</f>
        <v>4.3016691530814333</v>
      </c>
      <c r="AJ118" s="7">
        <f>AVERAGE(AJ95:AJ114)</f>
        <v>1.0123454238505931</v>
      </c>
      <c r="AK118" s="7">
        <f>AVERAGE(AK95:AK114)</f>
        <v>3.2891047367065886</v>
      </c>
      <c r="AL118" s="5"/>
      <c r="BA118" s="7">
        <f>AVERAGE(BA95:BA114)</f>
        <v>571.10485000000006</v>
      </c>
      <c r="BB118" s="7">
        <f>AVERAGE(BB95:BB114)</f>
        <v>432.13859999999994</v>
      </c>
      <c r="BC118" s="571">
        <f t="shared" ref="BC118:BD118" si="49">AVERAGE(BC95:BC114)</f>
        <v>0</v>
      </c>
      <c r="BD118" s="571">
        <f t="shared" si="49"/>
        <v>0</v>
      </c>
      <c r="BG118" s="2" t="e">
        <f t="shared" ref="BG118:BJ118" si="50">AVERAGE(BG95:BG114)</f>
        <v>#DIV/0!</v>
      </c>
      <c r="BH118" s="2" t="e">
        <f t="shared" si="50"/>
        <v>#DIV/0!</v>
      </c>
      <c r="BI118" s="2">
        <f t="shared" si="50"/>
        <v>3.7641783419467459E-2</v>
      </c>
      <c r="BJ118" s="2">
        <f t="shared" si="50"/>
        <v>3.7641783419467459E-2</v>
      </c>
      <c r="BK118" s="590"/>
      <c r="BL118" s="2">
        <f>AVERAGE(BL95:BL114)</f>
        <v>-0.18813425279312973</v>
      </c>
      <c r="BM118" s="2">
        <f>AVERAGE(BM95:BM114)</f>
        <v>-0.23142667633817574</v>
      </c>
      <c r="BN118" s="2">
        <f>AVERAGE(BN95:BN114)</f>
        <v>-0.25487117388140312</v>
      </c>
      <c r="BO118" s="5"/>
      <c r="BP118" s="590"/>
      <c r="BQ118" s="2">
        <f>AVERAGE(BQ95:BQ114)</f>
        <v>-0.15924492005377114</v>
      </c>
      <c r="BR118" s="2">
        <f>AVERAGE(BR95:BR114)</f>
        <v>-0.15924492005377114</v>
      </c>
      <c r="BS118" s="2">
        <f>AVERAGE(BS95:BS114)</f>
        <v>-0.15924492005377114</v>
      </c>
      <c r="BT118" s="5"/>
      <c r="BU118" s="590"/>
      <c r="BV118" s="2">
        <f>AVERAGE(BV95:BV114)</f>
        <v>-0.11990559151596011</v>
      </c>
      <c r="BW118" s="2">
        <f>AVERAGE(BW95:BW114)</f>
        <v>-0.14684581817057879</v>
      </c>
      <c r="BX118" s="2">
        <f>AVERAGE(BX95:BX114)</f>
        <v>-0.16261898908344954</v>
      </c>
      <c r="BY118" s="5"/>
      <c r="BZ118" s="590"/>
      <c r="CA118" s="2">
        <f>AVERAGE(CA95:CA114)</f>
        <v>-9.9811081382607497E-2</v>
      </c>
      <c r="CB118" s="2">
        <f>AVERAGE(CB95:CB114)</f>
        <v>-9.9811081382607497E-2</v>
      </c>
      <c r="CC118" s="2">
        <f>AVERAGE(CC95:CC114)</f>
        <v>-9.9811081382607497E-2</v>
      </c>
      <c r="CD118" s="5"/>
    </row>
    <row r="119" spans="1:82">
      <c r="B119" s="595" t="s">
        <v>1126</v>
      </c>
      <c r="J119" s="7">
        <f>AVERAGE(J5:J34,J70:J94)</f>
        <v>21.680196125970124</v>
      </c>
      <c r="K119" s="7">
        <f>AVERAGE(K5:K34,K70:K94)</f>
        <v>16.777926041172151</v>
      </c>
      <c r="L119" s="5"/>
      <c r="M119" s="7">
        <f>AVERAGE(M5:M34,M70:M94)</f>
        <v>4.8988905174563433</v>
      </c>
      <c r="T119" s="272"/>
      <c r="U119" s="272"/>
      <c r="V119" s="272"/>
      <c r="X119" s="272"/>
      <c r="Y119" s="272"/>
      <c r="Z119" s="272"/>
      <c r="AB119" s="7" t="e">
        <f>AVERAGE(AB5:AB34,AB70:AB94)</f>
        <v>#DIV/0!</v>
      </c>
      <c r="AC119" s="7" t="e">
        <f>AVERAGE(AC5:AC34,AC70:AC94)</f>
        <v>#DIV/0!</v>
      </c>
      <c r="AD119" s="571">
        <f t="shared" ref="AD119:AE119" si="51">AVERAGE(AD5:AD34,AD70:AD94)</f>
        <v>0</v>
      </c>
      <c r="AE119" s="571">
        <f t="shared" si="51"/>
        <v>0</v>
      </c>
      <c r="AI119" s="7">
        <f>AVERAGE(AI5:AI34,AI70:AI94)</f>
        <v>21.680196125970124</v>
      </c>
      <c r="AJ119" s="7">
        <f>AVERAGE(AJ5:AJ34,AJ70:AJ94)</f>
        <v>16.777926041172151</v>
      </c>
      <c r="AK119" s="5"/>
      <c r="AL119" s="7">
        <f>AVERAGE(AL5:AL34,AL70:AL94)</f>
        <v>4.8988905174563433</v>
      </c>
      <c r="BA119" s="7">
        <f>AVERAGE(BA5:BA34,BA70:BA94)</f>
        <v>203.73116363636365</v>
      </c>
      <c r="BB119" s="7">
        <f>AVERAGE(BB5:BB34,BB70:BB94)</f>
        <v>83.767018181818187</v>
      </c>
      <c r="BC119" s="571">
        <f t="shared" ref="BC119:BD119" si="52">AVERAGE(BC5:BC34,BC70:BC94)</f>
        <v>0</v>
      </c>
      <c r="BD119" s="571">
        <f t="shared" si="52"/>
        <v>0</v>
      </c>
      <c r="BG119" s="2" t="e">
        <f t="shared" ref="BG119:BJ119" si="53">AVERAGE(BG5:BG34,BG70:BG94)</f>
        <v>#DIV/0!</v>
      </c>
      <c r="BH119" s="2" t="e">
        <f t="shared" si="53"/>
        <v>#DIV/0!</v>
      </c>
      <c r="BI119" s="2">
        <f t="shared" si="53"/>
        <v>0</v>
      </c>
      <c r="BJ119" s="2">
        <f t="shared" si="53"/>
        <v>0</v>
      </c>
      <c r="BK119" s="590"/>
      <c r="BL119" s="5"/>
      <c r="BM119" s="5"/>
      <c r="BN119" s="5"/>
      <c r="BO119" s="2">
        <f t="shared" ref="BO119" si="54">AVERAGE(BO5:BO34,BO70:BO94)</f>
        <v>0</v>
      </c>
      <c r="BP119" s="590"/>
      <c r="BQ119" s="5"/>
      <c r="BR119" s="5"/>
      <c r="BS119" s="5"/>
      <c r="BT119" s="2">
        <f t="shared" ref="BT119" si="55">AVERAGE(BT5:BT34,BT70:BT94)</f>
        <v>0</v>
      </c>
      <c r="BU119" s="590"/>
      <c r="BV119" s="5"/>
      <c r="BW119" s="5"/>
      <c r="BX119" s="5"/>
      <c r="BY119" s="2">
        <f t="shared" ref="BY119" si="56">AVERAGE(BY5:BY34,BY70:BY94)</f>
        <v>0</v>
      </c>
      <c r="BZ119" s="590"/>
      <c r="CA119" s="5"/>
      <c r="CB119" s="5"/>
      <c r="CC119" s="5"/>
      <c r="CD119" s="2">
        <f t="shared" ref="CD119" si="57">AVERAGE(CD5:CD34,CD70:CD94)</f>
        <v>0</v>
      </c>
    </row>
    <row r="120" spans="1:82">
      <c r="B120" s="6" t="s">
        <v>137</v>
      </c>
      <c r="J120" s="7">
        <f>AVERAGE(J5:J114)</f>
        <v>18.225437248365136</v>
      </c>
      <c r="K120" s="7">
        <f>AVERAGE(K5:K114)</f>
        <v>13.078170606124607</v>
      </c>
      <c r="L120" s="7">
        <f>AVERAGE(L5:L114)</f>
        <v>5.3921266860719292</v>
      </c>
      <c r="M120" s="7">
        <f>AVERAGE(M5:M114)</f>
        <v>4.8988905174563433</v>
      </c>
      <c r="T120" s="272"/>
      <c r="U120" s="272"/>
      <c r="V120" s="272"/>
      <c r="X120" s="272"/>
      <c r="Y120" s="272"/>
      <c r="Z120" s="272"/>
      <c r="AB120" s="7">
        <f>AVERAGE(AB5:AB114)</f>
        <v>244.81858181818185</v>
      </c>
      <c r="AC120" s="7">
        <f>AVERAGE(AC5:AC114)</f>
        <v>161.55919999999995</v>
      </c>
      <c r="AD120" s="571">
        <f t="shared" ref="AD120:AE120" si="58">AVERAGE(AD5:AD114)</f>
        <v>0</v>
      </c>
      <c r="AE120" s="571">
        <f t="shared" si="58"/>
        <v>0</v>
      </c>
      <c r="AI120" s="7">
        <f>AVERAGE(AI5:AI114)</f>
        <v>17.797362579674875</v>
      </c>
      <c r="AJ120" s="7">
        <f>AVERAGE(AJ5:AJ114)</f>
        <v>13.078170606124607</v>
      </c>
      <c r="AK120" s="7">
        <f>AVERAGE(AK5:AK114)</f>
        <v>4.5359773486913868</v>
      </c>
      <c r="AL120" s="7">
        <f>AVERAGE(AL5:AL114)</f>
        <v>4.8988905174563433</v>
      </c>
      <c r="BA120" s="7">
        <f>AVERAGE(BA5:BA114)</f>
        <v>271.28919090909096</v>
      </c>
      <c r="BB120" s="7">
        <f>AVERAGE(BB5:BB114)</f>
        <v>168.16314545454551</v>
      </c>
      <c r="BC120" s="571">
        <f t="shared" ref="BC120:BD120" si="59">AVERAGE(BC5:BC114)</f>
        <v>0</v>
      </c>
      <c r="BD120" s="571">
        <f t="shared" si="59"/>
        <v>0</v>
      </c>
      <c r="BG120" s="2" t="e">
        <f t="shared" ref="BG120:BJ120" si="60">AVERAGE(BG5:BG114)</f>
        <v>#DIV/0!</v>
      </c>
      <c r="BH120" s="2" t="e">
        <f t="shared" si="60"/>
        <v>#DIV/0!</v>
      </c>
      <c r="BI120" s="2">
        <f t="shared" si="60"/>
        <v>2.1061339898482117E-2</v>
      </c>
      <c r="BJ120" s="2">
        <f t="shared" si="60"/>
        <v>2.106133989848212E-2</v>
      </c>
      <c r="BK120" s="590"/>
      <c r="BL120" s="2">
        <f>AVERAGE(BL5:BL114)</f>
        <v>-0.26047781120609204</v>
      </c>
      <c r="BM120" s="2">
        <f>AVERAGE(BM5:BM114)</f>
        <v>-0.28244592462729856</v>
      </c>
      <c r="BN120" s="2">
        <f>AVERAGE(BN5:BN114)</f>
        <v>-0.28981276347627466</v>
      </c>
      <c r="BO120" s="2">
        <f>AVERAGE(BO5:BO114)</f>
        <v>0</v>
      </c>
      <c r="BP120" s="590"/>
      <c r="BQ120" s="2">
        <f>AVERAGE(BQ5:BQ114)</f>
        <v>-0.22023350343266931</v>
      </c>
      <c r="BR120" s="2">
        <f>AVERAGE(BR5:BR114)</f>
        <v>-0.22023350343266931</v>
      </c>
      <c r="BS120" s="2">
        <f>AVERAGE(BS5:BS114)</f>
        <v>-0.22023350343266931</v>
      </c>
      <c r="BT120" s="2">
        <f>AVERAGE(BT5:BT114)</f>
        <v>0</v>
      </c>
      <c r="BU120" s="590"/>
      <c r="BV120" s="2">
        <f>AVERAGE(BV5:BV114)</f>
        <v>-9.1823961080889221E-2</v>
      </c>
      <c r="BW120" s="2">
        <f>AVERAGE(BW5:BW114)</f>
        <v>-0.10385921494957483</v>
      </c>
      <c r="BX120" s="2">
        <f>AVERAGE(BX5:BX114)</f>
        <v>-0.10959715310714206</v>
      </c>
      <c r="BY120" s="2">
        <f>AVERAGE(BY5:BY114)</f>
        <v>0</v>
      </c>
      <c r="BZ120" s="590"/>
      <c r="CA120" s="2">
        <f>AVERAGE(CA5:CA114)</f>
        <v>-7.7308302251284974E-2</v>
      </c>
      <c r="CB120" s="2">
        <f>AVERAGE(CB5:CB114)</f>
        <v>-7.7308302251284974E-2</v>
      </c>
      <c r="CC120" s="2">
        <f>AVERAGE(CC5:CC114)</f>
        <v>-7.7308302251284974E-2</v>
      </c>
      <c r="CD120" s="2">
        <f>AVERAGE(CD5:CD114)</f>
        <v>0</v>
      </c>
    </row>
    <row r="121" spans="1:82" outlineLevel="2">
      <c r="A121" s="338" t="s">
        <v>138</v>
      </c>
      <c r="B121" s="6" t="s">
        <v>1127</v>
      </c>
      <c r="AB121" s="8"/>
      <c r="AC121" s="8"/>
      <c r="BA121" s="12" t="e">
        <f>BA115/AB115</f>
        <v>#DIV/0!</v>
      </c>
      <c r="BB121" s="12" t="e">
        <f t="shared" ref="BB121:BD126" si="61">BB115/AC115</f>
        <v>#DIV/0!</v>
      </c>
      <c r="BC121" s="12" t="e">
        <f t="shared" si="61"/>
        <v>#DIV/0!</v>
      </c>
      <c r="BD121" s="12" t="e">
        <f t="shared" si="61"/>
        <v>#DIV/0!</v>
      </c>
    </row>
    <row r="122" spans="1:82" outlineLevel="2">
      <c r="B122" s="6" t="s">
        <v>1128</v>
      </c>
      <c r="BA122" s="12">
        <f t="shared" ref="BA122:BA126" si="62">BA116/AB116</f>
        <v>1.6638960051735416</v>
      </c>
      <c r="BB122" s="12">
        <f t="shared" si="61"/>
        <v>1.8250348193653052</v>
      </c>
      <c r="BC122" s="12" t="e">
        <f t="shared" si="61"/>
        <v>#DIV/0!</v>
      </c>
      <c r="BD122" s="12" t="e">
        <f t="shared" si="61"/>
        <v>#DIV/0!</v>
      </c>
    </row>
    <row r="123" spans="1:82" ht="27" outlineLevel="2">
      <c r="A123" s="6"/>
      <c r="B123" s="6" t="s">
        <v>1130</v>
      </c>
      <c r="AB123" s="8"/>
      <c r="AC123" s="8"/>
      <c r="BA123" s="12" t="e">
        <f t="shared" si="62"/>
        <v>#DIV/0!</v>
      </c>
      <c r="BB123" s="12" t="e">
        <f t="shared" si="61"/>
        <v>#DIV/0!</v>
      </c>
      <c r="BC123" s="12" t="e">
        <f t="shared" si="61"/>
        <v>#DIV/0!</v>
      </c>
      <c r="BD123" s="12" t="e">
        <f t="shared" si="61"/>
        <v>#DIV/0!</v>
      </c>
    </row>
    <row r="124" spans="1:82" outlineLevel="2">
      <c r="B124" s="6" t="s">
        <v>1131</v>
      </c>
      <c r="BA124" s="12">
        <f t="shared" si="62"/>
        <v>1.2511725672392744</v>
      </c>
      <c r="BB124" s="12">
        <f t="shared" si="61"/>
        <v>1.4380171312074255</v>
      </c>
      <c r="BC124" s="12" t="e">
        <f t="shared" si="61"/>
        <v>#DIV/0!</v>
      </c>
      <c r="BD124" s="12" t="e">
        <f t="shared" si="61"/>
        <v>#DIV/0!</v>
      </c>
    </row>
    <row r="125" spans="1:82" ht="27" outlineLevel="2">
      <c r="B125" s="6" t="s">
        <v>1133</v>
      </c>
      <c r="AB125" s="8"/>
      <c r="AC125" s="8"/>
      <c r="BA125" s="12" t="e">
        <f t="shared" si="62"/>
        <v>#DIV/0!</v>
      </c>
      <c r="BB125" s="12" t="e">
        <f t="shared" si="61"/>
        <v>#DIV/0!</v>
      </c>
      <c r="BC125" s="12" t="e">
        <f t="shared" si="61"/>
        <v>#DIV/0!</v>
      </c>
      <c r="BD125" s="12" t="e">
        <f t="shared" si="61"/>
        <v>#DIV/0!</v>
      </c>
    </row>
    <row r="126" spans="1:82" outlineLevel="2" collapsed="1">
      <c r="B126" s="6" t="s">
        <v>1135</v>
      </c>
      <c r="BA126" s="12">
        <f t="shared" si="62"/>
        <v>1.1081233658585927</v>
      </c>
      <c r="BB126" s="12">
        <f t="shared" si="61"/>
        <v>1.0408763193587587</v>
      </c>
      <c r="BC126" s="12" t="e">
        <f t="shared" si="61"/>
        <v>#DIV/0!</v>
      </c>
      <c r="BD126" s="12" t="e">
        <f t="shared" si="61"/>
        <v>#DIV/0!</v>
      </c>
    </row>
  </sheetData>
  <mergeCells count="46">
    <mergeCell ref="A2:A3"/>
    <mergeCell ref="B2:B3"/>
    <mergeCell ref="C2:C3"/>
    <mergeCell ref="D2:D3"/>
    <mergeCell ref="E2:E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BH2:BH3"/>
    <mergeCell ref="BI2:BI3"/>
    <mergeCell ref="BJ2:BJ3"/>
    <mergeCell ref="AW2:AZ2"/>
    <mergeCell ref="BA2:BA3"/>
    <mergeCell ref="BB2:BB3"/>
    <mergeCell ref="BC2:BC3"/>
    <mergeCell ref="BD2:BD3"/>
    <mergeCell ref="A1:G1"/>
    <mergeCell ref="I1:AF1"/>
    <mergeCell ref="AH1:BE1"/>
    <mergeCell ref="BE2:BE3"/>
    <mergeCell ref="BG2:BG3"/>
    <mergeCell ref="AI2:AL2"/>
    <mergeCell ref="AM2:AM3"/>
    <mergeCell ref="AN2:AN3"/>
    <mergeCell ref="AO2:AR2"/>
    <mergeCell ref="AS2:AV2"/>
    <mergeCell ref="AC2:AC3"/>
    <mergeCell ref="AD2:AD3"/>
    <mergeCell ref="AE2:AE3"/>
    <mergeCell ref="AF2:AF3"/>
    <mergeCell ref="AH2:AH3"/>
    <mergeCell ref="O2:O3"/>
    <mergeCell ref="BL1:BO1"/>
    <mergeCell ref="BQ1:BT1"/>
    <mergeCell ref="BV1:BY1"/>
    <mergeCell ref="CA1:CD1"/>
    <mergeCell ref="BL2:BO2"/>
    <mergeCell ref="BQ2:BT2"/>
    <mergeCell ref="BV2:BY2"/>
    <mergeCell ref="CA2:CD2"/>
  </mergeCells>
  <phoneticPr fontId="2" type="noConversion"/>
  <conditionalFormatting sqref="BL70:BN84 BQ71:BS74 BV71:BX74 CA71:CC74 CA81:CC84 BV81:BX84 BQ81:BS84 CA76:CC79 BV76:BX79 BQ76:BS79">
    <cfRule type="cellIs" dxfId="3447" priority="2097" operator="greaterThanOrEqual">
      <formula>0.03</formula>
    </cfRule>
    <cfRule type="cellIs" dxfId="3446" priority="2098" operator="lessThanOrEqual">
      <formula>-0.03</formula>
    </cfRule>
  </conditionalFormatting>
  <conditionalFormatting sqref="BO71:BO74 BO81:BO84 BO76:BO79">
    <cfRule type="cellIs" dxfId="3445" priority="2091" operator="greaterThanOrEqual">
      <formula>0.03</formula>
    </cfRule>
    <cfRule type="cellIs" dxfId="3444" priority="2092" operator="lessThanOrEqual">
      <formula>-0.03</formula>
    </cfRule>
  </conditionalFormatting>
  <conditionalFormatting sqref="BT71:BT74 BT81:BT84 BT76:BT79">
    <cfRule type="cellIs" dxfId="3443" priority="2099" operator="greaterThanOrEqual">
      <formula>0.03</formula>
    </cfRule>
    <cfRule type="cellIs" dxfId="3442" priority="2100" operator="lessThanOrEqual">
      <formula>-0.03</formula>
    </cfRule>
  </conditionalFormatting>
  <conditionalFormatting sqref="BY71:BY74 BY81:BY84 BY76:BY79">
    <cfRule type="cellIs" dxfId="3441" priority="2095" operator="greaterThanOrEqual">
      <formula>0.03</formula>
    </cfRule>
    <cfRule type="cellIs" dxfId="3440" priority="2096" operator="lessThanOrEqual">
      <formula>-0.03</formula>
    </cfRule>
  </conditionalFormatting>
  <conditionalFormatting sqref="CD71:CD74 CD81:CD84 CD76:CD79">
    <cfRule type="cellIs" dxfId="3439" priority="2093" operator="greaterThanOrEqual">
      <formula>0.03</formula>
    </cfRule>
    <cfRule type="cellIs" dxfId="3438" priority="2094" operator="lessThanOrEqual">
      <formula>-0.03</formula>
    </cfRule>
  </conditionalFormatting>
  <conditionalFormatting sqref="CD90">
    <cfRule type="cellIs" dxfId="3437" priority="2029" operator="greaterThanOrEqual">
      <formula>0.03</formula>
    </cfRule>
    <cfRule type="cellIs" dxfId="3436" priority="2030" operator="lessThanOrEqual">
      <formula>-0.03</formula>
    </cfRule>
  </conditionalFormatting>
  <conditionalFormatting sqref="BO90">
    <cfRule type="cellIs" dxfId="3435" priority="2027" operator="greaterThanOrEqual">
      <formula>0.03</formula>
    </cfRule>
    <cfRule type="cellIs" dxfId="3434" priority="2028" operator="lessThanOrEqual">
      <formula>-0.03</formula>
    </cfRule>
  </conditionalFormatting>
  <conditionalFormatting sqref="BT85">
    <cfRule type="cellIs" dxfId="3433" priority="2025" operator="greaterThanOrEqual">
      <formula>0.03</formula>
    </cfRule>
    <cfRule type="cellIs" dxfId="3432" priority="2026" operator="lessThanOrEqual">
      <formula>-0.03</formula>
    </cfRule>
  </conditionalFormatting>
  <conditionalFormatting sqref="AK70:AK84">
    <cfRule type="cellIs" dxfId="3431" priority="2083" operator="greaterThanOrEqual">
      <formula>0.03</formula>
    </cfRule>
    <cfRule type="cellIs" dxfId="3430" priority="2084" operator="lessThanOrEqual">
      <formula>-0.03</formula>
    </cfRule>
  </conditionalFormatting>
  <conditionalFormatting sqref="T117:V118 T120:V120">
    <cfRule type="cellIs" dxfId="3429" priority="2081" operator="greaterThanOrEqual">
      <formula>0.03</formula>
    </cfRule>
    <cfRule type="cellIs" dxfId="3428" priority="2082" operator="lessThanOrEqual">
      <formula>-0.03</formula>
    </cfRule>
  </conditionalFormatting>
  <conditionalFormatting sqref="X117:Z118 X120:Z120">
    <cfRule type="cellIs" dxfId="3427" priority="2079" operator="greaterThanOrEqual">
      <formula>0.03</formula>
    </cfRule>
    <cfRule type="cellIs" dxfId="3426" priority="2080" operator="lessThanOrEqual">
      <formula>-0.03</formula>
    </cfRule>
  </conditionalFormatting>
  <conditionalFormatting sqref="L70:L84 L117">
    <cfRule type="cellIs" dxfId="3425" priority="2077" operator="greaterThanOrEqual">
      <formula>0.03</formula>
    </cfRule>
    <cfRule type="cellIs" dxfId="3424" priority="2078" operator="lessThanOrEqual">
      <formula>-0.03</formula>
    </cfRule>
  </conditionalFormatting>
  <conditionalFormatting sqref="BL85:BN89 BQ86:BS89 BV86:BX89 CA86:CC89">
    <cfRule type="cellIs" dxfId="3423" priority="2073" operator="greaterThanOrEqual">
      <formula>0.03</formula>
    </cfRule>
    <cfRule type="cellIs" dxfId="3422" priority="2074" operator="lessThanOrEqual">
      <formula>-0.03</formula>
    </cfRule>
  </conditionalFormatting>
  <conditionalFormatting sqref="BO86:BO89">
    <cfRule type="cellIs" dxfId="3421" priority="2067" operator="greaterThanOrEqual">
      <formula>0.03</formula>
    </cfRule>
    <cfRule type="cellIs" dxfId="3420" priority="2068" operator="lessThanOrEqual">
      <formula>-0.03</formula>
    </cfRule>
  </conditionalFormatting>
  <conditionalFormatting sqref="BT86:BT89">
    <cfRule type="cellIs" dxfId="3419" priority="2075" operator="greaterThanOrEqual">
      <formula>0.03</formula>
    </cfRule>
    <cfRule type="cellIs" dxfId="3418" priority="2076" operator="lessThanOrEqual">
      <formula>-0.03</formula>
    </cfRule>
  </conditionalFormatting>
  <conditionalFormatting sqref="BY86:BY89">
    <cfRule type="cellIs" dxfId="3417" priority="2071" operator="greaterThanOrEqual">
      <formula>0.03</formula>
    </cfRule>
    <cfRule type="cellIs" dxfId="3416" priority="2072" operator="lessThanOrEqual">
      <formula>-0.03</formula>
    </cfRule>
  </conditionalFormatting>
  <conditionalFormatting sqref="CD86:CD89">
    <cfRule type="cellIs" dxfId="3415" priority="2069" operator="greaterThanOrEqual">
      <formula>0.03</formula>
    </cfRule>
    <cfRule type="cellIs" dxfId="3414" priority="2070" operator="lessThanOrEqual">
      <formula>-0.03</formula>
    </cfRule>
  </conditionalFormatting>
  <conditionalFormatting sqref="BT75">
    <cfRule type="cellIs" dxfId="3413" priority="2005" operator="greaterThanOrEqual">
      <formula>0.03</formula>
    </cfRule>
    <cfRule type="cellIs" dxfId="3412" priority="2006" operator="lessThanOrEqual">
      <formula>-0.03</formula>
    </cfRule>
  </conditionalFormatting>
  <conditionalFormatting sqref="CA75:CC75 BV75:BX75 BQ75:BS75">
    <cfRule type="cellIs" dxfId="3411" priority="2003" operator="greaterThanOrEqual">
      <formula>0.03</formula>
    </cfRule>
    <cfRule type="cellIs" dxfId="3410" priority="2004" operator="lessThanOrEqual">
      <formula>-0.03</formula>
    </cfRule>
  </conditionalFormatting>
  <conditionalFormatting sqref="BY75">
    <cfRule type="cellIs" dxfId="3409" priority="2001" operator="greaterThanOrEqual">
      <formula>0.03</formula>
    </cfRule>
    <cfRule type="cellIs" dxfId="3408" priority="2002" operator="lessThanOrEqual">
      <formula>-0.03</formula>
    </cfRule>
  </conditionalFormatting>
  <conditionalFormatting sqref="AK85:AK89">
    <cfRule type="cellIs" dxfId="3407" priority="2059" operator="greaterThanOrEqual">
      <formula>0.03</formula>
    </cfRule>
    <cfRule type="cellIs" dxfId="3406" priority="2060" operator="lessThanOrEqual">
      <formula>-0.03</formula>
    </cfRule>
  </conditionalFormatting>
  <conditionalFormatting sqref="L85:L89">
    <cfRule type="cellIs" dxfId="3405" priority="2057" operator="greaterThanOrEqual">
      <formula>0.03</formula>
    </cfRule>
    <cfRule type="cellIs" dxfId="3404" priority="2058" operator="lessThanOrEqual">
      <formula>-0.03</formula>
    </cfRule>
  </conditionalFormatting>
  <conditionalFormatting sqref="BL90:BN94 BQ91:BS94 BV91:BX94 CA91:CC94">
    <cfRule type="cellIs" dxfId="3403" priority="2053" operator="greaterThanOrEqual">
      <formula>0.03</formula>
    </cfRule>
    <cfRule type="cellIs" dxfId="3402" priority="2054" operator="lessThanOrEqual">
      <formula>-0.03</formula>
    </cfRule>
  </conditionalFormatting>
  <conditionalFormatting sqref="BO91:BO94">
    <cfRule type="cellIs" dxfId="3401" priority="2047" operator="greaterThanOrEqual">
      <formula>0.03</formula>
    </cfRule>
    <cfRule type="cellIs" dxfId="3400" priority="2048" operator="lessThanOrEqual">
      <formula>-0.03</formula>
    </cfRule>
  </conditionalFormatting>
  <conditionalFormatting sqref="BT91:BT94">
    <cfRule type="cellIs" dxfId="3399" priority="2055" operator="greaterThanOrEqual">
      <formula>0.03</formula>
    </cfRule>
    <cfRule type="cellIs" dxfId="3398" priority="2056" operator="lessThanOrEqual">
      <formula>-0.03</formula>
    </cfRule>
  </conditionalFormatting>
  <conditionalFormatting sqref="BY91:BY94">
    <cfRule type="cellIs" dxfId="3397" priority="2051" operator="greaterThanOrEqual">
      <formula>0.03</formula>
    </cfRule>
    <cfRule type="cellIs" dxfId="3396" priority="2052" operator="lessThanOrEqual">
      <formula>-0.03</formula>
    </cfRule>
  </conditionalFormatting>
  <conditionalFormatting sqref="CD91:CD94">
    <cfRule type="cellIs" dxfId="3395" priority="2049" operator="greaterThanOrEqual">
      <formula>0.03</formula>
    </cfRule>
    <cfRule type="cellIs" dxfId="3394" priority="2050" operator="lessThanOrEqual">
      <formula>-0.03</formula>
    </cfRule>
  </conditionalFormatting>
  <conditionalFormatting sqref="BQ96:BS99">
    <cfRule type="cellIs" dxfId="3393" priority="1985" operator="greaterThanOrEqual">
      <formula>0.03</formula>
    </cfRule>
    <cfRule type="cellIs" dxfId="3392" priority="1986" operator="lessThanOrEqual">
      <formula>-0.03</formula>
    </cfRule>
  </conditionalFormatting>
  <conditionalFormatting sqref="BV96:BX99">
    <cfRule type="cellIs" dxfId="3391" priority="1983" operator="greaterThanOrEqual">
      <formula>0.03</formula>
    </cfRule>
    <cfRule type="cellIs" dxfId="3390" priority="1984" operator="lessThanOrEqual">
      <formula>-0.03</formula>
    </cfRule>
  </conditionalFormatting>
  <conditionalFormatting sqref="CA101:CC104">
    <cfRule type="cellIs" dxfId="3389" priority="1981" operator="greaterThanOrEqual">
      <formula>0.03</formula>
    </cfRule>
    <cfRule type="cellIs" dxfId="3388" priority="1982" operator="lessThanOrEqual">
      <formula>-0.03</formula>
    </cfRule>
  </conditionalFormatting>
  <conditionalFormatting sqref="AK90:AK94">
    <cfRule type="cellIs" dxfId="3387" priority="2039" operator="greaterThanOrEqual">
      <formula>0.03</formula>
    </cfRule>
    <cfRule type="cellIs" dxfId="3386" priority="2040" operator="lessThanOrEqual">
      <formula>-0.03</formula>
    </cfRule>
  </conditionalFormatting>
  <conditionalFormatting sqref="L90:L94">
    <cfRule type="cellIs" dxfId="3385" priority="2037" operator="greaterThanOrEqual">
      <formula>0.03</formula>
    </cfRule>
    <cfRule type="cellIs" dxfId="3384" priority="2038" operator="lessThanOrEqual">
      <formula>-0.03</formula>
    </cfRule>
  </conditionalFormatting>
  <conditionalFormatting sqref="CA90:CC90 BV90:BX90 BQ90:BS90">
    <cfRule type="cellIs" dxfId="3383" priority="2033" operator="greaterThanOrEqual">
      <formula>0.03</formula>
    </cfRule>
    <cfRule type="cellIs" dxfId="3382" priority="2034" operator="lessThanOrEqual">
      <formula>-0.03</formula>
    </cfRule>
  </conditionalFormatting>
  <conditionalFormatting sqref="BT90">
    <cfRule type="cellIs" dxfId="3381" priority="2035" operator="greaterThanOrEqual">
      <formula>0.03</formula>
    </cfRule>
    <cfRule type="cellIs" dxfId="3380" priority="2036" operator="lessThanOrEqual">
      <formula>-0.03</formula>
    </cfRule>
  </conditionalFormatting>
  <conditionalFormatting sqref="BY90">
    <cfRule type="cellIs" dxfId="3379" priority="2031" operator="greaterThanOrEqual">
      <formula>0.03</formula>
    </cfRule>
    <cfRule type="cellIs" dxfId="3378" priority="2032" operator="lessThanOrEqual">
      <formula>-0.03</formula>
    </cfRule>
  </conditionalFormatting>
  <conditionalFormatting sqref="CA85:CC85 BV85:BX85 BQ85:BS85">
    <cfRule type="cellIs" dxfId="3377" priority="2023" operator="greaterThanOrEqual">
      <formula>0.03</formula>
    </cfRule>
    <cfRule type="cellIs" dxfId="3376" priority="2024" operator="lessThanOrEqual">
      <formula>-0.03</formula>
    </cfRule>
  </conditionalFormatting>
  <conditionalFormatting sqref="BO85">
    <cfRule type="cellIs" dxfId="3375" priority="2017" operator="greaterThanOrEqual">
      <formula>0.03</formula>
    </cfRule>
    <cfRule type="cellIs" dxfId="3374" priority="2018" operator="lessThanOrEqual">
      <formula>-0.03</formula>
    </cfRule>
  </conditionalFormatting>
  <conditionalFormatting sqref="BY85">
    <cfRule type="cellIs" dxfId="3373" priority="2021" operator="greaterThanOrEqual">
      <formula>0.03</formula>
    </cfRule>
    <cfRule type="cellIs" dxfId="3372" priority="2022" operator="lessThanOrEqual">
      <formula>-0.03</formula>
    </cfRule>
  </conditionalFormatting>
  <conditionalFormatting sqref="CD85">
    <cfRule type="cellIs" dxfId="3371" priority="2019" operator="greaterThanOrEqual">
      <formula>0.03</formula>
    </cfRule>
    <cfRule type="cellIs" dxfId="3370" priority="2020" operator="lessThanOrEqual">
      <formula>-0.03</formula>
    </cfRule>
  </conditionalFormatting>
  <conditionalFormatting sqref="CA80:CC80 BV80:BX80 BQ80:BS80">
    <cfRule type="cellIs" dxfId="3369" priority="2013" operator="greaterThanOrEqual">
      <formula>0.03</formula>
    </cfRule>
    <cfRule type="cellIs" dxfId="3368" priority="2014" operator="lessThanOrEqual">
      <formula>-0.03</formula>
    </cfRule>
  </conditionalFormatting>
  <conditionalFormatting sqref="BO80">
    <cfRule type="cellIs" dxfId="3367" priority="2007" operator="greaterThanOrEqual">
      <formula>0.03</formula>
    </cfRule>
    <cfRule type="cellIs" dxfId="3366" priority="2008" operator="lessThanOrEqual">
      <formula>-0.03</formula>
    </cfRule>
  </conditionalFormatting>
  <conditionalFormatting sqref="BT80">
    <cfRule type="cellIs" dxfId="3365" priority="2015" operator="greaterThanOrEqual">
      <formula>0.03</formula>
    </cfRule>
    <cfRule type="cellIs" dxfId="3364" priority="2016" operator="lessThanOrEqual">
      <formula>-0.03</formula>
    </cfRule>
  </conditionalFormatting>
  <conditionalFormatting sqref="BY80">
    <cfRule type="cellIs" dxfId="3363" priority="2011" operator="greaterThanOrEqual">
      <formula>0.03</formula>
    </cfRule>
    <cfRule type="cellIs" dxfId="3362" priority="2012" operator="lessThanOrEqual">
      <formula>-0.03</formula>
    </cfRule>
  </conditionalFormatting>
  <conditionalFormatting sqref="CD80">
    <cfRule type="cellIs" dxfId="3361" priority="2009" operator="greaterThanOrEqual">
      <formula>0.03</formula>
    </cfRule>
    <cfRule type="cellIs" dxfId="3360" priority="2010" operator="lessThanOrEqual">
      <formula>-0.03</formula>
    </cfRule>
  </conditionalFormatting>
  <conditionalFormatting sqref="BO75">
    <cfRule type="cellIs" dxfId="3359" priority="1997" operator="greaterThanOrEqual">
      <formula>0.03</formula>
    </cfRule>
    <cfRule type="cellIs" dxfId="3358" priority="1998" operator="lessThanOrEqual">
      <formula>-0.03</formula>
    </cfRule>
  </conditionalFormatting>
  <conditionalFormatting sqref="CD75">
    <cfRule type="cellIs" dxfId="3357" priority="1999" operator="greaterThanOrEqual">
      <formula>0.03</formula>
    </cfRule>
    <cfRule type="cellIs" dxfId="3356" priority="2000" operator="lessThanOrEqual">
      <formula>-0.03</formula>
    </cfRule>
  </conditionalFormatting>
  <conditionalFormatting sqref="CA70:CC70 BV70:BX70 BQ70:BS70">
    <cfRule type="cellIs" dxfId="3355" priority="1993" operator="greaterThanOrEqual">
      <formula>0.03</formula>
    </cfRule>
    <cfRule type="cellIs" dxfId="3354" priority="1994" operator="lessThanOrEqual">
      <formula>-0.03</formula>
    </cfRule>
  </conditionalFormatting>
  <conditionalFormatting sqref="BO70">
    <cfRule type="cellIs" dxfId="3353" priority="1987" operator="greaterThanOrEqual">
      <formula>0.03</formula>
    </cfRule>
    <cfRule type="cellIs" dxfId="3352" priority="1988" operator="lessThanOrEqual">
      <formula>-0.03</formula>
    </cfRule>
  </conditionalFormatting>
  <conditionalFormatting sqref="BT70">
    <cfRule type="cellIs" dxfId="3351" priority="1995" operator="greaterThanOrEqual">
      <formula>0.03</formula>
    </cfRule>
    <cfRule type="cellIs" dxfId="3350" priority="1996" operator="lessThanOrEqual">
      <formula>-0.03</formula>
    </cfRule>
  </conditionalFormatting>
  <conditionalFormatting sqref="BY70">
    <cfRule type="cellIs" dxfId="3349" priority="1991" operator="greaterThanOrEqual">
      <formula>0.03</formula>
    </cfRule>
    <cfRule type="cellIs" dxfId="3348" priority="1992" operator="lessThanOrEqual">
      <formula>-0.03</formula>
    </cfRule>
  </conditionalFormatting>
  <conditionalFormatting sqref="CD70">
    <cfRule type="cellIs" dxfId="3347" priority="1989" operator="greaterThanOrEqual">
      <formula>0.03</formula>
    </cfRule>
    <cfRule type="cellIs" dxfId="3346" priority="1990" operator="lessThanOrEqual">
      <formula>-0.03</formula>
    </cfRule>
  </conditionalFormatting>
  <conditionalFormatting sqref="BL96:BN99">
    <cfRule type="cellIs" dxfId="3345" priority="1979" operator="greaterThanOrEqual">
      <formula>0.03</formula>
    </cfRule>
    <cfRule type="cellIs" dxfId="3344" priority="1980" operator="lessThanOrEqual">
      <formula>-0.03</formula>
    </cfRule>
  </conditionalFormatting>
  <conditionalFormatting sqref="BT110">
    <cfRule type="cellIs" dxfId="3343" priority="1887" operator="greaterThanOrEqual">
      <formula>0.03</formula>
    </cfRule>
    <cfRule type="cellIs" dxfId="3342" priority="1888" operator="lessThanOrEqual">
      <formula>-0.03</formula>
    </cfRule>
  </conditionalFormatting>
  <conditionalFormatting sqref="BY101:BY104">
    <cfRule type="cellIs" dxfId="3341" priority="1877" operator="greaterThanOrEqual">
      <formula>0.03</formula>
    </cfRule>
    <cfRule type="cellIs" dxfId="3340" priority="1878" operator="lessThanOrEqual">
      <formula>-0.03</formula>
    </cfRule>
  </conditionalFormatting>
  <conditionalFormatting sqref="BL101:BN104">
    <cfRule type="cellIs" dxfId="3339" priority="1929" operator="greaterThanOrEqual">
      <formula>0.03</formula>
    </cfRule>
    <cfRule type="cellIs" dxfId="3338" priority="1930" operator="lessThanOrEqual">
      <formula>-0.03</formula>
    </cfRule>
  </conditionalFormatting>
  <conditionalFormatting sqref="BT96:BT99">
    <cfRule type="cellIs" dxfId="3337" priority="1913" operator="greaterThanOrEqual">
      <formula>0.03</formula>
    </cfRule>
    <cfRule type="cellIs" dxfId="3336" priority="1914" operator="lessThanOrEqual">
      <formula>-0.03</formula>
    </cfRule>
  </conditionalFormatting>
  <conditionalFormatting sqref="BY96:BY99">
    <cfRule type="cellIs" dxfId="3335" priority="1885" operator="greaterThanOrEqual">
      <formula>0.03</formula>
    </cfRule>
    <cfRule type="cellIs" dxfId="3334" priority="1886" operator="lessThanOrEqual">
      <formula>-0.03</formula>
    </cfRule>
  </conditionalFormatting>
  <conditionalFormatting sqref="BL95:BN95">
    <cfRule type="cellIs" dxfId="3333" priority="1967" operator="greaterThanOrEqual">
      <formula>0.03</formula>
    </cfRule>
    <cfRule type="cellIs" dxfId="3332" priority="1968" operator="lessThanOrEqual">
      <formula>-0.03</formula>
    </cfRule>
  </conditionalFormatting>
  <conditionalFormatting sqref="BL111:BN114">
    <cfRule type="cellIs" dxfId="3331" priority="1921" operator="greaterThanOrEqual">
      <formula>0.03</formula>
    </cfRule>
    <cfRule type="cellIs" dxfId="3330" priority="1922" operator="lessThanOrEqual">
      <formula>-0.03</formula>
    </cfRule>
  </conditionalFormatting>
  <conditionalFormatting sqref="BQ105:BS105">
    <cfRule type="cellIs" dxfId="3329" priority="1899" operator="greaterThanOrEqual">
      <formula>0.03</formula>
    </cfRule>
    <cfRule type="cellIs" dxfId="3328" priority="1900" operator="lessThanOrEqual">
      <formula>-0.03</formula>
    </cfRule>
  </conditionalFormatting>
  <conditionalFormatting sqref="BQ111:BS114">
    <cfRule type="cellIs" dxfId="3327" priority="1893" operator="greaterThanOrEqual">
      <formula>0.03</formula>
    </cfRule>
    <cfRule type="cellIs" dxfId="3326" priority="1894" operator="lessThanOrEqual">
      <formula>-0.03</formula>
    </cfRule>
  </conditionalFormatting>
  <conditionalFormatting sqref="BO105:BO109">
    <cfRule type="cellIs" dxfId="3325" priority="1923" operator="greaterThanOrEqual">
      <formula>0.03</formula>
    </cfRule>
    <cfRule type="cellIs" dxfId="3324" priority="1924" operator="lessThanOrEqual">
      <formula>-0.03</formula>
    </cfRule>
  </conditionalFormatting>
  <conditionalFormatting sqref="M118">
    <cfRule type="cellIs" dxfId="3323" priority="1965" operator="greaterThanOrEqual">
      <formula>0.03</formula>
    </cfRule>
    <cfRule type="cellIs" dxfId="3322" priority="1966" operator="lessThanOrEqual">
      <formula>-0.03</formula>
    </cfRule>
  </conditionalFormatting>
  <conditionalFormatting sqref="BT106:BT109">
    <cfRule type="cellIs" dxfId="3321" priority="1897" operator="greaterThanOrEqual">
      <formula>0.03</formula>
    </cfRule>
    <cfRule type="cellIs" dxfId="3320" priority="1898" operator="lessThanOrEqual">
      <formula>-0.03</formula>
    </cfRule>
  </conditionalFormatting>
  <conditionalFormatting sqref="M95:M109">
    <cfRule type="cellIs" dxfId="3319" priority="1963" operator="greaterThanOrEqual">
      <formula>0.03</formula>
    </cfRule>
    <cfRule type="cellIs" dxfId="3318" priority="1964" operator="lessThanOrEqual">
      <formula>-0.03</formula>
    </cfRule>
  </conditionalFormatting>
  <conditionalFormatting sqref="AL95:AL99">
    <cfRule type="cellIs" dxfId="3317" priority="1959" operator="greaterThanOrEqual">
      <formula>0.03</formula>
    </cfRule>
    <cfRule type="cellIs" dxfId="3316" priority="1960" operator="lessThanOrEqual">
      <formula>-0.03</formula>
    </cfRule>
  </conditionalFormatting>
  <conditionalFormatting sqref="CA100:CC100">
    <cfRule type="cellIs" dxfId="3315" priority="1973" operator="greaterThanOrEqual">
      <formula>0.03</formula>
    </cfRule>
    <cfRule type="cellIs" dxfId="3314" priority="1974" operator="lessThanOrEqual">
      <formula>-0.03</formula>
    </cfRule>
  </conditionalFormatting>
  <conditionalFormatting sqref="BQ95:BS95">
    <cfRule type="cellIs" dxfId="3313" priority="1971" operator="greaterThanOrEqual">
      <formula>0.03</formula>
    </cfRule>
    <cfRule type="cellIs" dxfId="3312" priority="1972" operator="lessThanOrEqual">
      <formula>-0.03</formula>
    </cfRule>
  </conditionalFormatting>
  <conditionalFormatting sqref="BV95:BX95">
    <cfRule type="cellIs" dxfId="3311" priority="1969" operator="greaterThanOrEqual">
      <formula>0.03</formula>
    </cfRule>
    <cfRule type="cellIs" dxfId="3310" priority="1970" operator="lessThanOrEqual">
      <formula>-0.03</formula>
    </cfRule>
  </conditionalFormatting>
  <conditionalFormatting sqref="M110:M114">
    <cfRule type="cellIs" dxfId="3309" priority="1961" operator="greaterThanOrEqual">
      <formula>0.03</formula>
    </cfRule>
    <cfRule type="cellIs" dxfId="3308" priority="1962" operator="lessThanOrEqual">
      <formula>-0.03</formula>
    </cfRule>
  </conditionalFormatting>
  <conditionalFormatting sqref="BT105">
    <cfRule type="cellIs" dxfId="3307" priority="1895" operator="greaterThanOrEqual">
      <formula>0.03</formula>
    </cfRule>
    <cfRule type="cellIs" dxfId="3306" priority="1896" operator="lessThanOrEqual">
      <formula>-0.03</formula>
    </cfRule>
  </conditionalFormatting>
  <conditionalFormatting sqref="AL100:AL104">
    <cfRule type="cellIs" dxfId="3305" priority="1953" operator="greaterThanOrEqual">
      <formula>0.03</formula>
    </cfRule>
    <cfRule type="cellIs" dxfId="3304" priority="1954" operator="lessThanOrEqual">
      <formula>-0.03</formula>
    </cfRule>
  </conditionalFormatting>
  <conditionalFormatting sqref="AL105:AL109">
    <cfRule type="cellIs" dxfId="3303" priority="1951" operator="greaterThanOrEqual">
      <formula>0.03</formula>
    </cfRule>
    <cfRule type="cellIs" dxfId="3302" priority="1952" operator="lessThanOrEqual">
      <formula>-0.03</formula>
    </cfRule>
  </conditionalFormatting>
  <conditionalFormatting sqref="AL110:AL114">
    <cfRule type="cellIs" dxfId="3301" priority="1949" operator="greaterThanOrEqual">
      <formula>0.03</formula>
    </cfRule>
    <cfRule type="cellIs" dxfId="3300" priority="1950" operator="lessThanOrEqual">
      <formula>-0.03</formula>
    </cfRule>
  </conditionalFormatting>
  <conditionalFormatting sqref="BY95">
    <cfRule type="cellIs" dxfId="3299" priority="1883" operator="greaterThanOrEqual">
      <formula>0.03</formula>
    </cfRule>
    <cfRule type="cellIs" dxfId="3298" priority="1884" operator="lessThanOrEqual">
      <formula>-0.03</formula>
    </cfRule>
  </conditionalFormatting>
  <conditionalFormatting sqref="BV101:BX104">
    <cfRule type="cellIs" dxfId="3297" priority="1881" operator="greaterThanOrEqual">
      <formula>0.03</formula>
    </cfRule>
    <cfRule type="cellIs" dxfId="3296" priority="1882" operator="lessThanOrEqual">
      <formula>-0.03</formula>
    </cfRule>
  </conditionalFormatting>
  <conditionalFormatting sqref="BV100:BX100">
    <cfRule type="cellIs" dxfId="3295" priority="1879" operator="greaterThanOrEqual">
      <formula>0.03</formula>
    </cfRule>
    <cfRule type="cellIs" dxfId="3294" priority="1880" operator="lessThanOrEqual">
      <formula>-0.03</formula>
    </cfRule>
  </conditionalFormatting>
  <conditionalFormatting sqref="BY100">
    <cfRule type="cellIs" dxfId="3293" priority="1875" operator="greaterThanOrEqual">
      <formula>0.03</formula>
    </cfRule>
    <cfRule type="cellIs" dxfId="3292" priority="1876" operator="lessThanOrEqual">
      <formula>-0.03</formula>
    </cfRule>
  </conditionalFormatting>
  <conditionalFormatting sqref="BV106:BX109">
    <cfRule type="cellIs" dxfId="3291" priority="1873" operator="greaterThanOrEqual">
      <formula>0.03</formula>
    </cfRule>
    <cfRule type="cellIs" dxfId="3290" priority="1874" operator="lessThanOrEqual">
      <formula>-0.03</formula>
    </cfRule>
  </conditionalFormatting>
  <conditionalFormatting sqref="BO95:BO99">
    <cfRule type="cellIs" dxfId="3289" priority="1931" operator="greaterThanOrEqual">
      <formula>0.03</formula>
    </cfRule>
    <cfRule type="cellIs" dxfId="3288" priority="1932" operator="lessThanOrEqual">
      <formula>-0.03</formula>
    </cfRule>
  </conditionalFormatting>
  <conditionalFormatting sqref="BO100:BO104">
    <cfRule type="cellIs" dxfId="3287" priority="1927" operator="greaterThanOrEqual">
      <formula>0.03</formula>
    </cfRule>
    <cfRule type="cellIs" dxfId="3286" priority="1928" operator="lessThanOrEqual">
      <formula>-0.03</formula>
    </cfRule>
  </conditionalFormatting>
  <conditionalFormatting sqref="BL106:BN109">
    <cfRule type="cellIs" dxfId="3285" priority="1925" operator="greaterThanOrEqual">
      <formula>0.03</formula>
    </cfRule>
    <cfRule type="cellIs" dxfId="3284" priority="1926" operator="lessThanOrEqual">
      <formula>-0.03</formula>
    </cfRule>
  </conditionalFormatting>
  <conditionalFormatting sqref="BO110:BO114">
    <cfRule type="cellIs" dxfId="3283" priority="1919" operator="greaterThanOrEqual">
      <formula>0.03</formula>
    </cfRule>
    <cfRule type="cellIs" dxfId="3282" priority="1920" operator="lessThanOrEqual">
      <formula>-0.03</formula>
    </cfRule>
  </conditionalFormatting>
  <conditionalFormatting sqref="CD111:CD114">
    <cfRule type="cellIs" dxfId="3281" priority="1841" operator="greaterThanOrEqual">
      <formula>0.03</formula>
    </cfRule>
    <cfRule type="cellIs" dxfId="3280" priority="1842" operator="lessThanOrEqual">
      <formula>-0.03</formula>
    </cfRule>
  </conditionalFormatting>
  <conditionalFormatting sqref="BT95">
    <cfRule type="cellIs" dxfId="3279" priority="1911" operator="greaterThanOrEqual">
      <formula>0.03</formula>
    </cfRule>
    <cfRule type="cellIs" dxfId="3278" priority="1912" operator="lessThanOrEqual">
      <formula>-0.03</formula>
    </cfRule>
  </conditionalFormatting>
  <conditionalFormatting sqref="BQ101:BS104">
    <cfRule type="cellIs" dxfId="3277" priority="1909" operator="greaterThanOrEqual">
      <formula>0.03</formula>
    </cfRule>
    <cfRule type="cellIs" dxfId="3276" priority="1910" operator="lessThanOrEqual">
      <formula>-0.03</formula>
    </cfRule>
  </conditionalFormatting>
  <conditionalFormatting sqref="BQ100:BS100">
    <cfRule type="cellIs" dxfId="3275" priority="1907" operator="greaterThanOrEqual">
      <formula>0.03</formula>
    </cfRule>
    <cfRule type="cellIs" dxfId="3274" priority="1908" operator="lessThanOrEqual">
      <formula>-0.03</formula>
    </cfRule>
  </conditionalFormatting>
  <conditionalFormatting sqref="BT101:BT104">
    <cfRule type="cellIs" dxfId="3273" priority="1905" operator="greaterThanOrEqual">
      <formula>0.03</formula>
    </cfRule>
    <cfRule type="cellIs" dxfId="3272" priority="1906" operator="lessThanOrEqual">
      <formula>-0.03</formula>
    </cfRule>
  </conditionalFormatting>
  <conditionalFormatting sqref="BT100">
    <cfRule type="cellIs" dxfId="3271" priority="1903" operator="greaterThanOrEqual">
      <formula>0.03</formula>
    </cfRule>
    <cfRule type="cellIs" dxfId="3270" priority="1904" operator="lessThanOrEqual">
      <formula>-0.03</formula>
    </cfRule>
  </conditionalFormatting>
  <conditionalFormatting sqref="BQ106:BS109">
    <cfRule type="cellIs" dxfId="3269" priority="1901" operator="greaterThanOrEqual">
      <formula>0.03</formula>
    </cfRule>
    <cfRule type="cellIs" dxfId="3268" priority="1902" operator="lessThanOrEqual">
      <formula>-0.03</formula>
    </cfRule>
  </conditionalFormatting>
  <conditionalFormatting sqref="BQ110:BS110">
    <cfRule type="cellIs" dxfId="3267" priority="1891" operator="greaterThanOrEqual">
      <formula>0.03</formula>
    </cfRule>
    <cfRule type="cellIs" dxfId="3266" priority="1892" operator="lessThanOrEqual">
      <formula>-0.03</formula>
    </cfRule>
  </conditionalFormatting>
  <conditionalFormatting sqref="BT111:BT114">
    <cfRule type="cellIs" dxfId="3265" priority="1889" operator="greaterThanOrEqual">
      <formula>0.03</formula>
    </cfRule>
    <cfRule type="cellIs" dxfId="3264" priority="1890" operator="lessThanOrEqual">
      <formula>-0.03</formula>
    </cfRule>
  </conditionalFormatting>
  <conditionalFormatting sqref="BV105:BX105">
    <cfRule type="cellIs" dxfId="3263" priority="1871" operator="greaterThanOrEqual">
      <formula>0.03</formula>
    </cfRule>
    <cfRule type="cellIs" dxfId="3262" priority="1872" operator="lessThanOrEqual">
      <formula>-0.03</formula>
    </cfRule>
  </conditionalFormatting>
  <conditionalFormatting sqref="BY106:BY109">
    <cfRule type="cellIs" dxfId="3261" priority="1869" operator="greaterThanOrEqual">
      <formula>0.03</formula>
    </cfRule>
    <cfRule type="cellIs" dxfId="3260" priority="1870" operator="lessThanOrEqual">
      <formula>-0.03</formula>
    </cfRule>
  </conditionalFormatting>
  <conditionalFormatting sqref="BY105">
    <cfRule type="cellIs" dxfId="3259" priority="1867" operator="greaterThanOrEqual">
      <formula>0.03</formula>
    </cfRule>
    <cfRule type="cellIs" dxfId="3258" priority="1868" operator="lessThanOrEqual">
      <formula>-0.03</formula>
    </cfRule>
  </conditionalFormatting>
  <conditionalFormatting sqref="BV111:BX114">
    <cfRule type="cellIs" dxfId="3257" priority="1865" operator="greaterThanOrEqual">
      <formula>0.03</formula>
    </cfRule>
    <cfRule type="cellIs" dxfId="3256" priority="1866" operator="lessThanOrEqual">
      <formula>-0.03</formula>
    </cfRule>
  </conditionalFormatting>
  <conditionalFormatting sqref="BV110:BX110">
    <cfRule type="cellIs" dxfId="3255" priority="1863" operator="greaterThanOrEqual">
      <formula>0.03</formula>
    </cfRule>
    <cfRule type="cellIs" dxfId="3254" priority="1864" operator="lessThanOrEqual">
      <formula>-0.03</formula>
    </cfRule>
  </conditionalFormatting>
  <conditionalFormatting sqref="BY111:BY114">
    <cfRule type="cellIs" dxfId="3253" priority="1861" operator="greaterThanOrEqual">
      <formula>0.03</formula>
    </cfRule>
    <cfRule type="cellIs" dxfId="3252" priority="1862" operator="lessThanOrEqual">
      <formula>-0.03</formula>
    </cfRule>
  </conditionalFormatting>
  <conditionalFormatting sqref="BY110">
    <cfRule type="cellIs" dxfId="3251" priority="1859" operator="greaterThanOrEqual">
      <formula>0.03</formula>
    </cfRule>
    <cfRule type="cellIs" dxfId="3250" priority="1860" operator="lessThanOrEqual">
      <formula>-0.03</formula>
    </cfRule>
  </conditionalFormatting>
  <conditionalFormatting sqref="CD101:CD104">
    <cfRule type="cellIs" dxfId="3249" priority="1857" operator="greaterThanOrEqual">
      <formula>0.03</formula>
    </cfRule>
    <cfRule type="cellIs" dxfId="3248" priority="1858" operator="lessThanOrEqual">
      <formula>-0.03</formula>
    </cfRule>
  </conditionalFormatting>
  <conditionalFormatting sqref="CD100">
    <cfRule type="cellIs" dxfId="3247" priority="1855" operator="greaterThanOrEqual">
      <formula>0.03</formula>
    </cfRule>
    <cfRule type="cellIs" dxfId="3246" priority="1856" operator="lessThanOrEqual">
      <formula>-0.03</formula>
    </cfRule>
  </conditionalFormatting>
  <conditionalFormatting sqref="CA106:CC109">
    <cfRule type="cellIs" dxfId="3245" priority="1853" operator="greaterThanOrEqual">
      <formula>0.03</formula>
    </cfRule>
    <cfRule type="cellIs" dxfId="3244" priority="1854" operator="lessThanOrEqual">
      <formula>-0.03</formula>
    </cfRule>
  </conditionalFormatting>
  <conditionalFormatting sqref="CA105:CC105">
    <cfRule type="cellIs" dxfId="3243" priority="1851" operator="greaterThanOrEqual">
      <formula>0.03</formula>
    </cfRule>
    <cfRule type="cellIs" dxfId="3242" priority="1852" operator="lessThanOrEqual">
      <formula>-0.03</formula>
    </cfRule>
  </conditionalFormatting>
  <conditionalFormatting sqref="CD106:CD109">
    <cfRule type="cellIs" dxfId="3241" priority="1849" operator="greaterThanOrEqual">
      <formula>0.03</formula>
    </cfRule>
    <cfRule type="cellIs" dxfId="3240" priority="1850" operator="lessThanOrEqual">
      <formula>-0.03</formula>
    </cfRule>
  </conditionalFormatting>
  <conditionalFormatting sqref="CD105">
    <cfRule type="cellIs" dxfId="3239" priority="1847" operator="greaterThanOrEqual">
      <formula>0.03</formula>
    </cfRule>
    <cfRule type="cellIs" dxfId="3238" priority="1848" operator="lessThanOrEqual">
      <formula>-0.03</formula>
    </cfRule>
  </conditionalFormatting>
  <conditionalFormatting sqref="CA111:CC114">
    <cfRule type="cellIs" dxfId="3237" priority="1845" operator="greaterThanOrEqual">
      <formula>0.03</formula>
    </cfRule>
    <cfRule type="cellIs" dxfId="3236" priority="1846" operator="lessThanOrEqual">
      <formula>-0.03</formula>
    </cfRule>
  </conditionalFormatting>
  <conditionalFormatting sqref="CA110:CC110">
    <cfRule type="cellIs" dxfId="3235" priority="1843" operator="greaterThanOrEqual">
      <formula>0.03</formula>
    </cfRule>
    <cfRule type="cellIs" dxfId="3234" priority="1844" operator="lessThanOrEqual">
      <formula>-0.03</formula>
    </cfRule>
  </conditionalFormatting>
  <conditionalFormatting sqref="CD110">
    <cfRule type="cellIs" dxfId="3233" priority="1839" operator="greaterThanOrEqual">
      <formula>0.03</formula>
    </cfRule>
    <cfRule type="cellIs" dxfId="3232" priority="1840" operator="lessThanOrEqual">
      <formula>-0.03</formula>
    </cfRule>
  </conditionalFormatting>
  <conditionalFormatting sqref="CA96:CC99">
    <cfRule type="cellIs" dxfId="3231" priority="1837" operator="greaterThanOrEqual">
      <formula>0.03</formula>
    </cfRule>
    <cfRule type="cellIs" dxfId="3230" priority="1838" operator="lessThanOrEqual">
      <formula>-0.03</formula>
    </cfRule>
  </conditionalFormatting>
  <conditionalFormatting sqref="CA95:CC95">
    <cfRule type="cellIs" dxfId="3229" priority="1835" operator="greaterThanOrEqual">
      <formula>0.03</formula>
    </cfRule>
    <cfRule type="cellIs" dxfId="3228" priority="1836" operator="lessThanOrEqual">
      <formula>-0.03</formula>
    </cfRule>
  </conditionalFormatting>
  <conditionalFormatting sqref="CD96:CD99">
    <cfRule type="cellIs" dxfId="3227" priority="1833" operator="greaterThanOrEqual">
      <formula>0.03</formula>
    </cfRule>
    <cfRule type="cellIs" dxfId="3226" priority="1834" operator="lessThanOrEqual">
      <formula>-0.03</formula>
    </cfRule>
  </conditionalFormatting>
  <conditionalFormatting sqref="CD95">
    <cfRule type="cellIs" dxfId="3225" priority="1831" operator="greaterThanOrEqual">
      <formula>0.03</formula>
    </cfRule>
    <cfRule type="cellIs" dxfId="3224" priority="1832" operator="lessThanOrEqual">
      <formula>-0.03</formula>
    </cfRule>
  </conditionalFormatting>
  <conditionalFormatting sqref="BL100:BN100">
    <cfRule type="cellIs" dxfId="3223" priority="1829" operator="greaterThanOrEqual">
      <formula>0.03</formula>
    </cfRule>
    <cfRule type="cellIs" dxfId="3222" priority="1830" operator="lessThanOrEqual">
      <formula>-0.03</formula>
    </cfRule>
  </conditionalFormatting>
  <conditionalFormatting sqref="BL105:BN105">
    <cfRule type="cellIs" dxfId="3221" priority="1827" operator="greaterThanOrEqual">
      <formula>0.03</formula>
    </cfRule>
    <cfRule type="cellIs" dxfId="3220" priority="1828" operator="lessThanOrEqual">
      <formula>-0.03</formula>
    </cfRule>
  </conditionalFormatting>
  <conditionalFormatting sqref="BL110:BN110">
    <cfRule type="cellIs" dxfId="3219" priority="1825" operator="greaterThanOrEqual">
      <formula>0.03</formula>
    </cfRule>
    <cfRule type="cellIs" dxfId="3218" priority="1826" operator="lessThanOrEqual">
      <formula>-0.03</formula>
    </cfRule>
  </conditionalFormatting>
  <conditionalFormatting sqref="BL20:BN34 BQ21:BS24 BV21:BX24 CA21:CC24 CA31:CC34 BV31:BX34 BQ31:BS34 CA26:CC29 BV26:BX29 BQ26:BS29">
    <cfRule type="cellIs" dxfId="3217" priority="1821" operator="greaterThanOrEqual">
      <formula>0.03</formula>
    </cfRule>
    <cfRule type="cellIs" dxfId="3216" priority="1822" operator="lessThanOrEqual">
      <formula>-0.03</formula>
    </cfRule>
  </conditionalFormatting>
  <conditionalFormatting sqref="BO21:BO24 BO31:BO34 BO26:BO29">
    <cfRule type="cellIs" dxfId="3215" priority="1815" operator="greaterThanOrEqual">
      <formula>0.03</formula>
    </cfRule>
    <cfRule type="cellIs" dxfId="3214" priority="1816" operator="lessThanOrEqual">
      <formula>-0.03</formula>
    </cfRule>
  </conditionalFormatting>
  <conditionalFormatting sqref="BT21:BT24 BT31:BT34 BT26:BT29">
    <cfRule type="cellIs" dxfId="3213" priority="1823" operator="greaterThanOrEqual">
      <formula>0.03</formula>
    </cfRule>
    <cfRule type="cellIs" dxfId="3212" priority="1824" operator="lessThanOrEqual">
      <formula>-0.03</formula>
    </cfRule>
  </conditionalFormatting>
  <conditionalFormatting sqref="BY21:BY24 BY31:BY34 BY26:BY29">
    <cfRule type="cellIs" dxfId="3211" priority="1819" operator="greaterThanOrEqual">
      <formula>0.03</formula>
    </cfRule>
    <cfRule type="cellIs" dxfId="3210" priority="1820" operator="lessThanOrEqual">
      <formula>-0.03</formula>
    </cfRule>
  </conditionalFormatting>
  <conditionalFormatting sqref="CD21:CD24 CD31:CD34 CD26:CD29">
    <cfRule type="cellIs" dxfId="3209" priority="1817" operator="greaterThanOrEqual">
      <formula>0.03</formula>
    </cfRule>
    <cfRule type="cellIs" dxfId="3208" priority="1818" operator="lessThanOrEqual">
      <formula>-0.03</formula>
    </cfRule>
  </conditionalFormatting>
  <conditionalFormatting sqref="AK5:AK19">
    <cfRule type="cellIs" dxfId="3207" priority="1751" operator="greaterThanOrEqual">
      <formula>0.03</formula>
    </cfRule>
    <cfRule type="cellIs" dxfId="3206" priority="1752" operator="lessThanOrEqual">
      <formula>-0.03</formula>
    </cfRule>
  </conditionalFormatting>
  <conditionalFormatting sqref="AK20:AK34">
    <cfRule type="cellIs" dxfId="3205" priority="1807" operator="greaterThanOrEqual">
      <formula>0.03</formula>
    </cfRule>
    <cfRule type="cellIs" dxfId="3204" priority="1808" operator="lessThanOrEqual">
      <formula>-0.03</formula>
    </cfRule>
  </conditionalFormatting>
  <conditionalFormatting sqref="L20:L34">
    <cfRule type="cellIs" dxfId="3203" priority="1799" operator="greaterThanOrEqual">
      <formula>0.03</formula>
    </cfRule>
    <cfRule type="cellIs" dxfId="3202" priority="1800" operator="lessThanOrEqual">
      <formula>-0.03</formula>
    </cfRule>
  </conditionalFormatting>
  <conditionalFormatting sqref="CA30:CC30 BV30:BX30 BQ30:BS30">
    <cfRule type="cellIs" dxfId="3201" priority="1795" operator="greaterThanOrEqual">
      <formula>0.03</formula>
    </cfRule>
    <cfRule type="cellIs" dxfId="3200" priority="1796" operator="lessThanOrEqual">
      <formula>-0.03</formula>
    </cfRule>
  </conditionalFormatting>
  <conditionalFormatting sqref="BO30">
    <cfRule type="cellIs" dxfId="3199" priority="1789" operator="greaterThanOrEqual">
      <formula>0.03</formula>
    </cfRule>
    <cfRule type="cellIs" dxfId="3198" priority="1790" operator="lessThanOrEqual">
      <formula>-0.03</formula>
    </cfRule>
  </conditionalFormatting>
  <conditionalFormatting sqref="BT30">
    <cfRule type="cellIs" dxfId="3197" priority="1797" operator="greaterThanOrEqual">
      <formula>0.03</formula>
    </cfRule>
    <cfRule type="cellIs" dxfId="3196" priority="1798" operator="lessThanOrEqual">
      <formula>-0.03</formula>
    </cfRule>
  </conditionalFormatting>
  <conditionalFormatting sqref="BY30">
    <cfRule type="cellIs" dxfId="3195" priority="1793" operator="greaterThanOrEqual">
      <formula>0.03</formula>
    </cfRule>
    <cfRule type="cellIs" dxfId="3194" priority="1794" operator="lessThanOrEqual">
      <formula>-0.03</formula>
    </cfRule>
  </conditionalFormatting>
  <conditionalFormatting sqref="CD30">
    <cfRule type="cellIs" dxfId="3193" priority="1791" operator="greaterThanOrEqual">
      <formula>0.03</formula>
    </cfRule>
    <cfRule type="cellIs" dxfId="3192" priority="1792" operator="lessThanOrEqual">
      <formula>-0.03</formula>
    </cfRule>
  </conditionalFormatting>
  <conditionalFormatting sqref="CA25:CC25 BV25:BX25 BQ25:BS25">
    <cfRule type="cellIs" dxfId="3191" priority="1785" operator="greaterThanOrEqual">
      <formula>0.03</formula>
    </cfRule>
    <cfRule type="cellIs" dxfId="3190" priority="1786" operator="lessThanOrEqual">
      <formula>-0.03</formula>
    </cfRule>
  </conditionalFormatting>
  <conditionalFormatting sqref="BO25">
    <cfRule type="cellIs" dxfId="3189" priority="1779" operator="greaterThanOrEqual">
      <formula>0.03</formula>
    </cfRule>
    <cfRule type="cellIs" dxfId="3188" priority="1780" operator="lessThanOrEqual">
      <formula>-0.03</formula>
    </cfRule>
  </conditionalFormatting>
  <conditionalFormatting sqref="BT25">
    <cfRule type="cellIs" dxfId="3187" priority="1787" operator="greaterThanOrEqual">
      <formula>0.03</formula>
    </cfRule>
    <cfRule type="cellIs" dxfId="3186" priority="1788" operator="lessThanOrEqual">
      <formula>-0.03</formula>
    </cfRule>
  </conditionalFormatting>
  <conditionalFormatting sqref="BY25">
    <cfRule type="cellIs" dxfId="3185" priority="1783" operator="greaterThanOrEqual">
      <formula>0.03</formula>
    </cfRule>
    <cfRule type="cellIs" dxfId="3184" priority="1784" operator="lessThanOrEqual">
      <formula>-0.03</formula>
    </cfRule>
  </conditionalFormatting>
  <conditionalFormatting sqref="CD25">
    <cfRule type="cellIs" dxfId="3183" priority="1781" operator="greaterThanOrEqual">
      <formula>0.03</formula>
    </cfRule>
    <cfRule type="cellIs" dxfId="3182" priority="1782" operator="lessThanOrEqual">
      <formula>-0.03</formula>
    </cfRule>
  </conditionalFormatting>
  <conditionalFormatting sqref="CA20:CC20 BV20:BX20 BQ20:BS20">
    <cfRule type="cellIs" dxfId="3181" priority="1775" operator="greaterThanOrEqual">
      <formula>0.03</formula>
    </cfRule>
    <cfRule type="cellIs" dxfId="3180" priority="1776" operator="lessThanOrEqual">
      <formula>-0.03</formula>
    </cfRule>
  </conditionalFormatting>
  <conditionalFormatting sqref="BO20">
    <cfRule type="cellIs" dxfId="3179" priority="1769" operator="greaterThanOrEqual">
      <formula>0.03</formula>
    </cfRule>
    <cfRule type="cellIs" dxfId="3178" priority="1770" operator="lessThanOrEqual">
      <formula>-0.03</formula>
    </cfRule>
  </conditionalFormatting>
  <conditionalFormatting sqref="BT20">
    <cfRule type="cellIs" dxfId="3177" priority="1777" operator="greaterThanOrEqual">
      <formula>0.03</formula>
    </cfRule>
    <cfRule type="cellIs" dxfId="3176" priority="1778" operator="lessThanOrEqual">
      <formula>-0.03</formula>
    </cfRule>
  </conditionalFormatting>
  <conditionalFormatting sqref="BY20">
    <cfRule type="cellIs" dxfId="3175" priority="1773" operator="greaterThanOrEqual">
      <formula>0.03</formula>
    </cfRule>
    <cfRule type="cellIs" dxfId="3174" priority="1774" operator="lessThanOrEqual">
      <formula>-0.03</formula>
    </cfRule>
  </conditionalFormatting>
  <conditionalFormatting sqref="CD20">
    <cfRule type="cellIs" dxfId="3173" priority="1771" operator="greaterThanOrEqual">
      <formula>0.03</formula>
    </cfRule>
    <cfRule type="cellIs" dxfId="3172" priority="1772" operator="lessThanOrEqual">
      <formula>-0.03</formula>
    </cfRule>
  </conditionalFormatting>
  <conditionalFormatting sqref="BL5:BN19 BQ6:BS9 BV6:BX9 CA6:CC9 CA16:CC19 BV16:BX19 BQ16:BS19 CA11:CC14 BV11:BX14 BQ11:BS14">
    <cfRule type="cellIs" dxfId="3171" priority="1765" operator="greaterThanOrEqual">
      <formula>0.03</formula>
    </cfRule>
    <cfRule type="cellIs" dxfId="3170" priority="1766" operator="lessThanOrEqual">
      <formula>-0.03</formula>
    </cfRule>
  </conditionalFormatting>
  <conditionalFormatting sqref="BO6:BO9 BO16:BO19 BO11:BO14">
    <cfRule type="cellIs" dxfId="3169" priority="1759" operator="greaterThanOrEqual">
      <formula>0.03</formula>
    </cfRule>
    <cfRule type="cellIs" dxfId="3168" priority="1760" operator="lessThanOrEqual">
      <formula>-0.03</formula>
    </cfRule>
  </conditionalFormatting>
  <conditionalFormatting sqref="BT6:BT9 BT16:BT19 BT11:BT14">
    <cfRule type="cellIs" dxfId="3167" priority="1767" operator="greaterThanOrEqual">
      <formula>0.03</formula>
    </cfRule>
    <cfRule type="cellIs" dxfId="3166" priority="1768" operator="lessThanOrEqual">
      <formula>-0.03</formula>
    </cfRule>
  </conditionalFormatting>
  <conditionalFormatting sqref="BY6:BY9 BY16:BY19 BY11:BY14">
    <cfRule type="cellIs" dxfId="3165" priority="1763" operator="greaterThanOrEqual">
      <formula>0.03</formula>
    </cfRule>
    <cfRule type="cellIs" dxfId="3164" priority="1764" operator="lessThanOrEqual">
      <formula>-0.03</formula>
    </cfRule>
  </conditionalFormatting>
  <conditionalFormatting sqref="CD6:CD9 CD16:CD19 CD11:CD14">
    <cfRule type="cellIs" dxfId="3163" priority="1761" operator="greaterThanOrEqual">
      <formula>0.03</formula>
    </cfRule>
    <cfRule type="cellIs" dxfId="3162" priority="1762" operator="lessThanOrEqual">
      <formula>-0.03</formula>
    </cfRule>
  </conditionalFormatting>
  <conditionalFormatting sqref="L5:L19">
    <cfRule type="cellIs" dxfId="3161" priority="1743" operator="greaterThanOrEqual">
      <formula>0.03</formula>
    </cfRule>
    <cfRule type="cellIs" dxfId="3160" priority="1744" operator="lessThanOrEqual">
      <formula>-0.03</formula>
    </cfRule>
  </conditionalFormatting>
  <conditionalFormatting sqref="CA15:CC15 BV15:BX15 BQ15:BS15">
    <cfRule type="cellIs" dxfId="3159" priority="1739" operator="greaterThanOrEqual">
      <formula>0.03</formula>
    </cfRule>
    <cfRule type="cellIs" dxfId="3158" priority="1740" operator="lessThanOrEqual">
      <formula>-0.03</formula>
    </cfRule>
  </conditionalFormatting>
  <conditionalFormatting sqref="BO15">
    <cfRule type="cellIs" dxfId="3157" priority="1733" operator="greaterThanOrEqual">
      <formula>0.03</formula>
    </cfRule>
    <cfRule type="cellIs" dxfId="3156" priority="1734" operator="lessThanOrEqual">
      <formula>-0.03</formula>
    </cfRule>
  </conditionalFormatting>
  <conditionalFormatting sqref="BT15">
    <cfRule type="cellIs" dxfId="3155" priority="1741" operator="greaterThanOrEqual">
      <formula>0.03</formula>
    </cfRule>
    <cfRule type="cellIs" dxfId="3154" priority="1742" operator="lessThanOrEqual">
      <formula>-0.03</formula>
    </cfRule>
  </conditionalFormatting>
  <conditionalFormatting sqref="BY15">
    <cfRule type="cellIs" dxfId="3153" priority="1737" operator="greaterThanOrEqual">
      <formula>0.03</formula>
    </cfRule>
    <cfRule type="cellIs" dxfId="3152" priority="1738" operator="lessThanOrEqual">
      <formula>-0.03</formula>
    </cfRule>
  </conditionalFormatting>
  <conditionalFormatting sqref="CD15">
    <cfRule type="cellIs" dxfId="3151" priority="1735" operator="greaterThanOrEqual">
      <formula>0.03</formula>
    </cfRule>
    <cfRule type="cellIs" dxfId="3150" priority="1736" operator="lessThanOrEqual">
      <formula>-0.03</formula>
    </cfRule>
  </conditionalFormatting>
  <conditionalFormatting sqref="CA10:CC10 BV10:BX10 BQ10:BS10">
    <cfRule type="cellIs" dxfId="3149" priority="1729" operator="greaterThanOrEqual">
      <formula>0.03</formula>
    </cfRule>
    <cfRule type="cellIs" dxfId="3148" priority="1730" operator="lessThanOrEqual">
      <formula>-0.03</formula>
    </cfRule>
  </conditionalFormatting>
  <conditionalFormatting sqref="BO10">
    <cfRule type="cellIs" dxfId="3147" priority="1723" operator="greaterThanOrEqual">
      <formula>0.03</formula>
    </cfRule>
    <cfRule type="cellIs" dxfId="3146" priority="1724" operator="lessThanOrEqual">
      <formula>-0.03</formula>
    </cfRule>
  </conditionalFormatting>
  <conditionalFormatting sqref="BT10">
    <cfRule type="cellIs" dxfId="3145" priority="1731" operator="greaterThanOrEqual">
      <formula>0.03</formula>
    </cfRule>
    <cfRule type="cellIs" dxfId="3144" priority="1732" operator="lessThanOrEqual">
      <formula>-0.03</formula>
    </cfRule>
  </conditionalFormatting>
  <conditionalFormatting sqref="BY10">
    <cfRule type="cellIs" dxfId="3143" priority="1727" operator="greaterThanOrEqual">
      <formula>0.03</formula>
    </cfRule>
    <cfRule type="cellIs" dxfId="3142" priority="1728" operator="lessThanOrEqual">
      <formula>-0.03</formula>
    </cfRule>
  </conditionalFormatting>
  <conditionalFormatting sqref="CD10">
    <cfRule type="cellIs" dxfId="3141" priority="1725" operator="greaterThanOrEqual">
      <formula>0.03</formula>
    </cfRule>
    <cfRule type="cellIs" dxfId="3140" priority="1726" operator="lessThanOrEqual">
      <formula>-0.03</formula>
    </cfRule>
  </conditionalFormatting>
  <conditionalFormatting sqref="CA5:CC5 BV5:BX5 BQ5:BS5">
    <cfRule type="cellIs" dxfId="3139" priority="1719" operator="greaterThanOrEqual">
      <formula>0.03</formula>
    </cfRule>
    <cfRule type="cellIs" dxfId="3138" priority="1720" operator="lessThanOrEqual">
      <formula>-0.03</formula>
    </cfRule>
  </conditionalFormatting>
  <conditionalFormatting sqref="BO5">
    <cfRule type="cellIs" dxfId="3137" priority="1713" operator="greaterThanOrEqual">
      <formula>0.03</formula>
    </cfRule>
    <cfRule type="cellIs" dxfId="3136" priority="1714" operator="lessThanOrEqual">
      <formula>-0.03</formula>
    </cfRule>
  </conditionalFormatting>
  <conditionalFormatting sqref="BT5">
    <cfRule type="cellIs" dxfId="3135" priority="1721" operator="greaterThanOrEqual">
      <formula>0.03</formula>
    </cfRule>
    <cfRule type="cellIs" dxfId="3134" priority="1722" operator="lessThanOrEqual">
      <formula>-0.03</formula>
    </cfRule>
  </conditionalFormatting>
  <conditionalFormatting sqref="BY5">
    <cfRule type="cellIs" dxfId="3133" priority="1717" operator="greaterThanOrEqual">
      <formula>0.03</formula>
    </cfRule>
    <cfRule type="cellIs" dxfId="3132" priority="1718" operator="lessThanOrEqual">
      <formula>-0.03</formula>
    </cfRule>
  </conditionalFormatting>
  <conditionalFormatting sqref="CD5">
    <cfRule type="cellIs" dxfId="3131" priority="1715" operator="greaterThanOrEqual">
      <formula>0.03</formula>
    </cfRule>
    <cfRule type="cellIs" dxfId="3130" priority="1716" operator="lessThanOrEqual">
      <formula>-0.03</formula>
    </cfRule>
  </conditionalFormatting>
  <conditionalFormatting sqref="T115:V115">
    <cfRule type="cellIs" dxfId="3129" priority="1711" operator="greaterThanOrEqual">
      <formula>0.03</formula>
    </cfRule>
    <cfRule type="cellIs" dxfId="3128" priority="1712" operator="lessThanOrEqual">
      <formula>-0.03</formula>
    </cfRule>
  </conditionalFormatting>
  <conditionalFormatting sqref="X115:Z115">
    <cfRule type="cellIs" dxfId="3127" priority="1709" operator="greaterThanOrEqual">
      <formula>0.03</formula>
    </cfRule>
    <cfRule type="cellIs" dxfId="3126" priority="1710" operator="lessThanOrEqual">
      <formula>-0.03</formula>
    </cfRule>
  </conditionalFormatting>
  <conditionalFormatting sqref="L115">
    <cfRule type="cellIs" dxfId="3125" priority="1707" operator="greaterThanOrEqual">
      <formula>0.03</formula>
    </cfRule>
    <cfRule type="cellIs" dxfId="3124" priority="1708" operator="lessThanOrEqual">
      <formula>-0.03</formula>
    </cfRule>
  </conditionalFormatting>
  <conditionalFormatting sqref="AK115">
    <cfRule type="cellIs" dxfId="3123" priority="1699" operator="greaterThanOrEqual">
      <formula>0.03</formula>
    </cfRule>
    <cfRule type="cellIs" dxfId="3122" priority="1700" operator="lessThanOrEqual">
      <formula>-0.03</formula>
    </cfRule>
  </conditionalFormatting>
  <conditionalFormatting sqref="T119:V119">
    <cfRule type="cellIs" dxfId="3121" priority="1637" operator="greaterThanOrEqual">
      <formula>0.03</formula>
    </cfRule>
    <cfRule type="cellIs" dxfId="3120" priority="1638" operator="lessThanOrEqual">
      <formula>-0.03</formula>
    </cfRule>
  </conditionalFormatting>
  <conditionalFormatting sqref="X119:Z119">
    <cfRule type="cellIs" dxfId="3119" priority="1635" operator="greaterThanOrEqual">
      <formula>0.03</formula>
    </cfRule>
    <cfRule type="cellIs" dxfId="3118" priority="1636" operator="lessThanOrEqual">
      <formula>-0.03</formula>
    </cfRule>
  </conditionalFormatting>
  <conditionalFormatting sqref="L119">
    <cfRule type="cellIs" dxfId="3117" priority="1633" operator="greaterThanOrEqual">
      <formula>0.03</formula>
    </cfRule>
    <cfRule type="cellIs" dxfId="3116" priority="1634" operator="lessThanOrEqual">
      <formula>-0.03</formula>
    </cfRule>
  </conditionalFormatting>
  <conditionalFormatting sqref="M35:M39 M45:M54">
    <cfRule type="cellIs" dxfId="3115" priority="1495" operator="greaterThanOrEqual">
      <formula>0.03</formula>
    </cfRule>
    <cfRule type="cellIs" dxfId="3114" priority="1496" operator="lessThanOrEqual">
      <formula>-0.03</formula>
    </cfRule>
  </conditionalFormatting>
  <conditionalFormatting sqref="AL35:AL39">
    <cfRule type="cellIs" dxfId="3113" priority="1491" operator="greaterThanOrEqual">
      <formula>0.03</formula>
    </cfRule>
    <cfRule type="cellIs" dxfId="3112" priority="1492" operator="lessThanOrEqual">
      <formula>-0.03</formula>
    </cfRule>
  </conditionalFormatting>
  <conditionalFormatting sqref="AL45:AL49">
    <cfRule type="cellIs" dxfId="3111" priority="1489" operator="greaterThanOrEqual">
      <formula>0.03</formula>
    </cfRule>
    <cfRule type="cellIs" dxfId="3110" priority="1490" operator="lessThanOrEqual">
      <formula>-0.03</formula>
    </cfRule>
  </conditionalFormatting>
  <conditionalFormatting sqref="AL50:AL54">
    <cfRule type="cellIs" dxfId="3109" priority="1487" operator="greaterThanOrEqual">
      <formula>0.03</formula>
    </cfRule>
    <cfRule type="cellIs" dxfId="3108" priority="1488" operator="lessThanOrEqual">
      <formula>-0.03</formula>
    </cfRule>
  </conditionalFormatting>
  <conditionalFormatting sqref="BO35:BO39">
    <cfRule type="cellIs" dxfId="3107" priority="1483" operator="greaterThanOrEqual">
      <formula>0.03</formula>
    </cfRule>
    <cfRule type="cellIs" dxfId="3106" priority="1484" operator="lessThanOrEqual">
      <formula>-0.03</formula>
    </cfRule>
  </conditionalFormatting>
  <conditionalFormatting sqref="BL46:BN49">
    <cfRule type="cellIs" dxfId="3105" priority="1481" operator="greaterThanOrEqual">
      <formula>0.03</formula>
    </cfRule>
    <cfRule type="cellIs" dxfId="3104" priority="1482" operator="lessThanOrEqual">
      <formula>-0.03</formula>
    </cfRule>
  </conditionalFormatting>
  <conditionalFormatting sqref="BO45:BO49">
    <cfRule type="cellIs" dxfId="3103" priority="1479" operator="greaterThanOrEqual">
      <formula>0.03</formula>
    </cfRule>
    <cfRule type="cellIs" dxfId="3102" priority="1480" operator="lessThanOrEqual">
      <formula>-0.03</formula>
    </cfRule>
  </conditionalFormatting>
  <conditionalFormatting sqref="BL51:BN54">
    <cfRule type="cellIs" dxfId="3101" priority="1477" operator="greaterThanOrEqual">
      <formula>0.03</formula>
    </cfRule>
    <cfRule type="cellIs" dxfId="3100" priority="1478" operator="lessThanOrEqual">
      <formula>-0.03</formula>
    </cfRule>
  </conditionalFormatting>
  <conditionalFormatting sqref="BO50:BO54">
    <cfRule type="cellIs" dxfId="3099" priority="1475" operator="greaterThanOrEqual">
      <formula>0.03</formula>
    </cfRule>
    <cfRule type="cellIs" dxfId="3098" priority="1476" operator="lessThanOrEqual">
      <formula>-0.03</formula>
    </cfRule>
  </conditionalFormatting>
  <conditionalFormatting sqref="BT36:BT39">
    <cfRule type="cellIs" dxfId="3097" priority="1469" operator="greaterThanOrEqual">
      <formula>0.03</formula>
    </cfRule>
    <cfRule type="cellIs" dxfId="3096" priority="1470" operator="lessThanOrEqual">
      <formula>-0.03</formula>
    </cfRule>
  </conditionalFormatting>
  <conditionalFormatting sqref="BT35">
    <cfRule type="cellIs" dxfId="3095" priority="1467" operator="greaterThanOrEqual">
      <formula>0.03</formula>
    </cfRule>
    <cfRule type="cellIs" dxfId="3094" priority="1468" operator="lessThanOrEqual">
      <formula>-0.03</formula>
    </cfRule>
  </conditionalFormatting>
  <conditionalFormatting sqref="BQ46:BS49">
    <cfRule type="cellIs" dxfId="3093" priority="1465" operator="greaterThanOrEqual">
      <formula>0.03</formula>
    </cfRule>
    <cfRule type="cellIs" dxfId="3092" priority="1466" operator="lessThanOrEqual">
      <formula>-0.03</formula>
    </cfRule>
  </conditionalFormatting>
  <conditionalFormatting sqref="BQ45:BS45">
    <cfRule type="cellIs" dxfId="3091" priority="1463" operator="greaterThanOrEqual">
      <formula>0.03</formula>
    </cfRule>
    <cfRule type="cellIs" dxfId="3090" priority="1464" operator="lessThanOrEqual">
      <formula>-0.03</formula>
    </cfRule>
  </conditionalFormatting>
  <conditionalFormatting sqref="BT46:BT49">
    <cfRule type="cellIs" dxfId="3089" priority="1461" operator="greaterThanOrEqual">
      <formula>0.03</formula>
    </cfRule>
    <cfRule type="cellIs" dxfId="3088" priority="1462" operator="lessThanOrEqual">
      <formula>-0.03</formula>
    </cfRule>
  </conditionalFormatting>
  <conditionalFormatting sqref="BT45">
    <cfRule type="cellIs" dxfId="3087" priority="1459" operator="greaterThanOrEqual">
      <formula>0.03</formula>
    </cfRule>
    <cfRule type="cellIs" dxfId="3086" priority="1460" operator="lessThanOrEqual">
      <formula>-0.03</formula>
    </cfRule>
  </conditionalFormatting>
  <conditionalFormatting sqref="BQ51:BS54">
    <cfRule type="cellIs" dxfId="3085" priority="1457" operator="greaterThanOrEqual">
      <formula>0.03</formula>
    </cfRule>
    <cfRule type="cellIs" dxfId="3084" priority="1458" operator="lessThanOrEqual">
      <formula>-0.03</formula>
    </cfRule>
  </conditionalFormatting>
  <conditionalFormatting sqref="BQ50:BS50">
    <cfRule type="cellIs" dxfId="3083" priority="1455" operator="greaterThanOrEqual">
      <formula>0.03</formula>
    </cfRule>
    <cfRule type="cellIs" dxfId="3082" priority="1456" operator="lessThanOrEqual">
      <formula>-0.03</formula>
    </cfRule>
  </conditionalFormatting>
  <conditionalFormatting sqref="BT51:BT54">
    <cfRule type="cellIs" dxfId="3081" priority="1453" operator="greaterThanOrEqual">
      <formula>0.03</formula>
    </cfRule>
    <cfRule type="cellIs" dxfId="3080" priority="1454" operator="lessThanOrEqual">
      <formula>-0.03</formula>
    </cfRule>
  </conditionalFormatting>
  <conditionalFormatting sqref="BT50">
    <cfRule type="cellIs" dxfId="3079" priority="1451" operator="greaterThanOrEqual">
      <formula>0.03</formula>
    </cfRule>
    <cfRule type="cellIs" dxfId="3078" priority="1452" operator="lessThanOrEqual">
      <formula>-0.03</formula>
    </cfRule>
  </conditionalFormatting>
  <conditionalFormatting sqref="M55:M64">
    <cfRule type="cellIs" dxfId="3077" priority="1513" operator="greaterThanOrEqual">
      <formula>0.03</formula>
    </cfRule>
    <cfRule type="cellIs" dxfId="3076" priority="1514" operator="lessThanOrEqual">
      <formula>-0.03</formula>
    </cfRule>
  </conditionalFormatting>
  <conditionalFormatting sqref="BQ36:BS39">
    <cfRule type="cellIs" dxfId="3075" priority="1511" operator="greaterThanOrEqual">
      <formula>0.03</formula>
    </cfRule>
    <cfRule type="cellIs" dxfId="3074" priority="1512" operator="lessThanOrEqual">
      <formula>-0.03</formula>
    </cfRule>
  </conditionalFormatting>
  <conditionalFormatting sqref="BV36:BX39">
    <cfRule type="cellIs" dxfId="3073" priority="1509" operator="greaterThanOrEqual">
      <formula>0.03</formula>
    </cfRule>
    <cfRule type="cellIs" dxfId="3072" priority="1510" operator="lessThanOrEqual">
      <formula>-0.03</formula>
    </cfRule>
  </conditionalFormatting>
  <conditionalFormatting sqref="CA46:CC49">
    <cfRule type="cellIs" dxfId="3071" priority="1507" operator="greaterThanOrEqual">
      <formula>0.03</formula>
    </cfRule>
    <cfRule type="cellIs" dxfId="3070" priority="1508" operator="lessThanOrEqual">
      <formula>-0.03</formula>
    </cfRule>
  </conditionalFormatting>
  <conditionalFormatting sqref="BL36:BN39">
    <cfRule type="cellIs" dxfId="3069" priority="1505" operator="greaterThanOrEqual">
      <formula>0.03</formula>
    </cfRule>
    <cfRule type="cellIs" dxfId="3068" priority="1506" operator="lessThanOrEqual">
      <formula>-0.03</formula>
    </cfRule>
  </conditionalFormatting>
  <conditionalFormatting sqref="CA35:CC35">
    <cfRule type="cellIs" dxfId="3067" priority="1391" operator="greaterThanOrEqual">
      <formula>0.03</formula>
    </cfRule>
    <cfRule type="cellIs" dxfId="3066" priority="1392" operator="lessThanOrEqual">
      <formula>-0.03</formula>
    </cfRule>
  </conditionalFormatting>
  <conditionalFormatting sqref="BY46:BY49">
    <cfRule type="cellIs" dxfId="3065" priority="1433" operator="greaterThanOrEqual">
      <formula>0.03</formula>
    </cfRule>
    <cfRule type="cellIs" dxfId="3064" priority="1434" operator="lessThanOrEqual">
      <formula>-0.03</formula>
    </cfRule>
  </conditionalFormatting>
  <conditionalFormatting sqref="BY36:BY39">
    <cfRule type="cellIs" dxfId="3063" priority="1441" operator="greaterThanOrEqual">
      <formula>0.03</formula>
    </cfRule>
    <cfRule type="cellIs" dxfId="3062" priority="1442" operator="lessThanOrEqual">
      <formula>-0.03</formula>
    </cfRule>
  </conditionalFormatting>
  <conditionalFormatting sqref="BL35:BN35">
    <cfRule type="cellIs" dxfId="3061" priority="1497" operator="greaterThanOrEqual">
      <formula>0.03</formula>
    </cfRule>
    <cfRule type="cellIs" dxfId="3060" priority="1498" operator="lessThanOrEqual">
      <formula>-0.03</formula>
    </cfRule>
  </conditionalFormatting>
  <conditionalFormatting sqref="CA45:CC45">
    <cfRule type="cellIs" dxfId="3059" priority="1503" operator="greaterThanOrEqual">
      <formula>0.03</formula>
    </cfRule>
    <cfRule type="cellIs" dxfId="3058" priority="1504" operator="lessThanOrEqual">
      <formula>-0.03</formula>
    </cfRule>
  </conditionalFormatting>
  <conditionalFormatting sqref="BQ35:BS35">
    <cfRule type="cellIs" dxfId="3057" priority="1501" operator="greaterThanOrEqual">
      <formula>0.03</formula>
    </cfRule>
    <cfRule type="cellIs" dxfId="3056" priority="1502" operator="lessThanOrEqual">
      <formula>-0.03</formula>
    </cfRule>
  </conditionalFormatting>
  <conditionalFormatting sqref="BV35:BX35">
    <cfRule type="cellIs" dxfId="3055" priority="1499" operator="greaterThanOrEqual">
      <formula>0.03</formula>
    </cfRule>
    <cfRule type="cellIs" dxfId="3054" priority="1500" operator="lessThanOrEqual">
      <formula>-0.03</formula>
    </cfRule>
  </conditionalFormatting>
  <conditionalFormatting sqref="BY35">
    <cfRule type="cellIs" dxfId="3053" priority="1439" operator="greaterThanOrEqual">
      <formula>0.03</formula>
    </cfRule>
    <cfRule type="cellIs" dxfId="3052" priority="1440" operator="lessThanOrEqual">
      <formula>-0.03</formula>
    </cfRule>
  </conditionalFormatting>
  <conditionalFormatting sqref="BV46:BX49">
    <cfRule type="cellIs" dxfId="3051" priority="1437" operator="greaterThanOrEqual">
      <formula>0.03</formula>
    </cfRule>
    <cfRule type="cellIs" dxfId="3050" priority="1438" operator="lessThanOrEqual">
      <formula>-0.03</formula>
    </cfRule>
  </conditionalFormatting>
  <conditionalFormatting sqref="BV45:BX45">
    <cfRule type="cellIs" dxfId="3049" priority="1435" operator="greaterThanOrEqual">
      <formula>0.03</formula>
    </cfRule>
    <cfRule type="cellIs" dxfId="3048" priority="1436" operator="lessThanOrEqual">
      <formula>-0.03</formula>
    </cfRule>
  </conditionalFormatting>
  <conditionalFormatting sqref="BY45">
    <cfRule type="cellIs" dxfId="3047" priority="1431" operator="greaterThanOrEqual">
      <formula>0.03</formula>
    </cfRule>
    <cfRule type="cellIs" dxfId="3046" priority="1432" operator="lessThanOrEqual">
      <formula>-0.03</formula>
    </cfRule>
  </conditionalFormatting>
  <conditionalFormatting sqref="BV51:BX54">
    <cfRule type="cellIs" dxfId="3045" priority="1429" operator="greaterThanOrEqual">
      <formula>0.03</formula>
    </cfRule>
    <cfRule type="cellIs" dxfId="3044" priority="1430" operator="lessThanOrEqual">
      <formula>-0.03</formula>
    </cfRule>
  </conditionalFormatting>
  <conditionalFormatting sqref="AL65:AL69">
    <cfRule type="cellIs" dxfId="3043" priority="1345" operator="greaterThanOrEqual">
      <formula>0.03</formula>
    </cfRule>
    <cfRule type="cellIs" dxfId="3042" priority="1346" operator="lessThanOrEqual">
      <formula>-0.03</formula>
    </cfRule>
  </conditionalFormatting>
  <conditionalFormatting sqref="CA36:CC39">
    <cfRule type="cellIs" dxfId="3041" priority="1393" operator="greaterThanOrEqual">
      <formula>0.03</formula>
    </cfRule>
    <cfRule type="cellIs" dxfId="3040" priority="1394" operator="lessThanOrEqual">
      <formula>-0.03</formula>
    </cfRule>
  </conditionalFormatting>
  <conditionalFormatting sqref="BV50:BX50">
    <cfRule type="cellIs" dxfId="3039" priority="1427" operator="greaterThanOrEqual">
      <formula>0.03</formula>
    </cfRule>
    <cfRule type="cellIs" dxfId="3038" priority="1428" operator="lessThanOrEqual">
      <formula>-0.03</formula>
    </cfRule>
  </conditionalFormatting>
  <conditionalFormatting sqref="BY51:BY54">
    <cfRule type="cellIs" dxfId="3037" priority="1425" operator="greaterThanOrEqual">
      <formula>0.03</formula>
    </cfRule>
    <cfRule type="cellIs" dxfId="3036" priority="1426" operator="lessThanOrEqual">
      <formula>-0.03</formula>
    </cfRule>
  </conditionalFormatting>
  <conditionalFormatting sqref="BY50">
    <cfRule type="cellIs" dxfId="3035" priority="1423" operator="greaterThanOrEqual">
      <formula>0.03</formula>
    </cfRule>
    <cfRule type="cellIs" dxfId="3034" priority="1424" operator="lessThanOrEqual">
      <formula>-0.03</formula>
    </cfRule>
  </conditionalFormatting>
  <conditionalFormatting sqref="BY55">
    <cfRule type="cellIs" dxfId="3033" priority="1301" operator="greaterThanOrEqual">
      <formula>0.03</formula>
    </cfRule>
    <cfRule type="cellIs" dxfId="3032" priority="1302" operator="lessThanOrEqual">
      <formula>-0.03</formula>
    </cfRule>
  </conditionalFormatting>
  <conditionalFormatting sqref="BV60:BX60">
    <cfRule type="cellIs" dxfId="3031" priority="1297" operator="greaterThanOrEqual">
      <formula>0.03</formula>
    </cfRule>
    <cfRule type="cellIs" dxfId="3030" priority="1298" operator="lessThanOrEqual">
      <formula>-0.03</formula>
    </cfRule>
  </conditionalFormatting>
  <conditionalFormatting sqref="CD46:CD49">
    <cfRule type="cellIs" dxfId="3029" priority="1413" operator="greaterThanOrEqual">
      <formula>0.03</formula>
    </cfRule>
    <cfRule type="cellIs" dxfId="3028" priority="1414" operator="lessThanOrEqual">
      <formula>-0.03</formula>
    </cfRule>
  </conditionalFormatting>
  <conditionalFormatting sqref="CD45">
    <cfRule type="cellIs" dxfId="3027" priority="1411" operator="greaterThanOrEqual">
      <formula>0.03</formula>
    </cfRule>
    <cfRule type="cellIs" dxfId="3026" priority="1412" operator="lessThanOrEqual">
      <formula>-0.03</formula>
    </cfRule>
  </conditionalFormatting>
  <conditionalFormatting sqref="CA51:CC54">
    <cfRule type="cellIs" dxfId="3025" priority="1409" operator="greaterThanOrEqual">
      <formula>0.03</formula>
    </cfRule>
    <cfRule type="cellIs" dxfId="3024" priority="1410" operator="lessThanOrEqual">
      <formula>-0.03</formula>
    </cfRule>
  </conditionalFormatting>
  <conditionalFormatting sqref="CA50:CC50">
    <cfRule type="cellIs" dxfId="3023" priority="1407" operator="greaterThanOrEqual">
      <formula>0.03</formula>
    </cfRule>
    <cfRule type="cellIs" dxfId="3022" priority="1408" operator="lessThanOrEqual">
      <formula>-0.03</formula>
    </cfRule>
  </conditionalFormatting>
  <conditionalFormatting sqref="CD51:CD54">
    <cfRule type="cellIs" dxfId="3021" priority="1405" operator="greaterThanOrEqual">
      <formula>0.03</formula>
    </cfRule>
    <cfRule type="cellIs" dxfId="3020" priority="1406" operator="lessThanOrEqual">
      <formula>-0.03</formula>
    </cfRule>
  </conditionalFormatting>
  <conditionalFormatting sqref="CD50">
    <cfRule type="cellIs" dxfId="3019" priority="1403" operator="greaterThanOrEqual">
      <formula>0.03</formula>
    </cfRule>
    <cfRule type="cellIs" dxfId="3018" priority="1404" operator="lessThanOrEqual">
      <formula>-0.03</formula>
    </cfRule>
  </conditionalFormatting>
  <conditionalFormatting sqref="AL55:AL59">
    <cfRule type="cellIs" dxfId="3017" priority="1349" operator="greaterThanOrEqual">
      <formula>0.03</formula>
    </cfRule>
    <cfRule type="cellIs" dxfId="3016" priority="1350" operator="lessThanOrEqual">
      <formula>-0.03</formula>
    </cfRule>
  </conditionalFormatting>
  <conditionalFormatting sqref="AL60:AL64">
    <cfRule type="cellIs" dxfId="3015" priority="1347" operator="greaterThanOrEqual">
      <formula>0.03</formula>
    </cfRule>
    <cfRule type="cellIs" dxfId="3014" priority="1348" operator="lessThanOrEqual">
      <formula>-0.03</formula>
    </cfRule>
  </conditionalFormatting>
  <conditionalFormatting sqref="BL56:BN59">
    <cfRule type="cellIs" dxfId="3013" priority="1343" operator="greaterThanOrEqual">
      <formula>0.03</formula>
    </cfRule>
    <cfRule type="cellIs" dxfId="3012" priority="1344" operator="lessThanOrEqual">
      <formula>-0.03</formula>
    </cfRule>
  </conditionalFormatting>
  <conditionalFormatting sqref="CD36:CD39">
    <cfRule type="cellIs" dxfId="3011" priority="1389" operator="greaterThanOrEqual">
      <formula>0.03</formula>
    </cfRule>
    <cfRule type="cellIs" dxfId="3010" priority="1390" operator="lessThanOrEqual">
      <formula>-0.03</formula>
    </cfRule>
  </conditionalFormatting>
  <conditionalFormatting sqref="CD35">
    <cfRule type="cellIs" dxfId="3009" priority="1387" operator="greaterThanOrEqual">
      <formula>0.03</formula>
    </cfRule>
    <cfRule type="cellIs" dxfId="3008" priority="1388" operator="lessThanOrEqual">
      <formula>-0.03</formula>
    </cfRule>
  </conditionalFormatting>
  <conditionalFormatting sqref="BL45:BN45">
    <cfRule type="cellIs" dxfId="3007" priority="1385" operator="greaterThanOrEqual">
      <formula>0.03</formula>
    </cfRule>
    <cfRule type="cellIs" dxfId="3006" priority="1386" operator="lessThanOrEqual">
      <formula>-0.03</formula>
    </cfRule>
  </conditionalFormatting>
  <conditionalFormatting sqref="BL50:BN50">
    <cfRule type="cellIs" dxfId="3005" priority="1383" operator="greaterThanOrEqual">
      <formula>0.03</formula>
    </cfRule>
    <cfRule type="cellIs" dxfId="3004" priority="1384" operator="lessThanOrEqual">
      <formula>-0.03</formula>
    </cfRule>
  </conditionalFormatting>
  <conditionalFormatting sqref="BQ55:BS55">
    <cfRule type="cellIs" dxfId="3003" priority="1329" operator="greaterThanOrEqual">
      <formula>0.03</formula>
    </cfRule>
    <cfRule type="cellIs" dxfId="3002" priority="1330" operator="lessThanOrEqual">
      <formula>-0.03</formula>
    </cfRule>
  </conditionalFormatting>
  <conditionalFormatting sqref="BT55">
    <cfRule type="cellIs" dxfId="3001" priority="1325" operator="greaterThanOrEqual">
      <formula>0.03</formula>
    </cfRule>
    <cfRule type="cellIs" dxfId="3000" priority="1326" operator="lessThanOrEqual">
      <formula>-0.03</formula>
    </cfRule>
  </conditionalFormatting>
  <conditionalFormatting sqref="BY60">
    <cfRule type="cellIs" dxfId="2999" priority="1293" operator="greaterThanOrEqual">
      <formula>0.03</formula>
    </cfRule>
    <cfRule type="cellIs" dxfId="2998" priority="1294" operator="lessThanOrEqual">
      <formula>-0.03</formula>
    </cfRule>
  </conditionalFormatting>
  <conditionalFormatting sqref="BQ60:BS60">
    <cfRule type="cellIs" dxfId="2997" priority="1321" operator="greaterThanOrEqual">
      <formula>0.03</formula>
    </cfRule>
    <cfRule type="cellIs" dxfId="2996" priority="1322" operator="lessThanOrEqual">
      <formula>-0.03</formula>
    </cfRule>
  </conditionalFormatting>
  <conditionalFormatting sqref="BV65:BX65">
    <cfRule type="cellIs" dxfId="2995" priority="1289" operator="greaterThanOrEqual">
      <formula>0.03</formula>
    </cfRule>
    <cfRule type="cellIs" dxfId="2994" priority="1290" operator="lessThanOrEqual">
      <formula>-0.03</formula>
    </cfRule>
  </conditionalFormatting>
  <conditionalFormatting sqref="BT60">
    <cfRule type="cellIs" dxfId="2993" priority="1317" operator="greaterThanOrEqual">
      <formula>0.03</formula>
    </cfRule>
    <cfRule type="cellIs" dxfId="2992" priority="1318" operator="lessThanOrEqual">
      <formula>-0.03</formula>
    </cfRule>
  </conditionalFormatting>
  <conditionalFormatting sqref="BQ65:BS65">
    <cfRule type="cellIs" dxfId="2991" priority="1313" operator="greaterThanOrEqual">
      <formula>0.03</formula>
    </cfRule>
    <cfRule type="cellIs" dxfId="2990" priority="1314" operator="lessThanOrEqual">
      <formula>-0.03</formula>
    </cfRule>
  </conditionalFormatting>
  <conditionalFormatting sqref="BT65">
    <cfRule type="cellIs" dxfId="2989" priority="1309" operator="greaterThanOrEqual">
      <formula>0.03</formula>
    </cfRule>
    <cfRule type="cellIs" dxfId="2988" priority="1310" operator="lessThanOrEqual">
      <formula>-0.03</formula>
    </cfRule>
  </conditionalFormatting>
  <conditionalFormatting sqref="BV55:BX55">
    <cfRule type="cellIs" dxfId="2987" priority="1305" operator="greaterThanOrEqual">
      <formula>0.03</formula>
    </cfRule>
    <cfRule type="cellIs" dxfId="2986" priority="1306" operator="lessThanOrEqual">
      <formula>-0.03</formula>
    </cfRule>
  </conditionalFormatting>
  <conditionalFormatting sqref="CA56:CC59">
    <cfRule type="cellIs" dxfId="2985" priority="1355" operator="greaterThanOrEqual">
      <formula>0.03</formula>
    </cfRule>
    <cfRule type="cellIs" dxfId="2984" priority="1356" operator="lessThanOrEqual">
      <formula>-0.03</formula>
    </cfRule>
  </conditionalFormatting>
  <conditionalFormatting sqref="BY56:BY59">
    <cfRule type="cellIs" dxfId="2983" priority="1303" operator="greaterThanOrEqual">
      <formula>0.03</formula>
    </cfRule>
    <cfRule type="cellIs" dxfId="2982" priority="1304" operator="lessThanOrEqual">
      <formula>-0.03</formula>
    </cfRule>
  </conditionalFormatting>
  <conditionalFormatting sqref="BL66:BN69">
    <cfRule type="cellIs" dxfId="2981" priority="1335" operator="greaterThanOrEqual">
      <formula>0.03</formula>
    </cfRule>
    <cfRule type="cellIs" dxfId="2980" priority="1336" operator="lessThanOrEqual">
      <formula>-0.03</formula>
    </cfRule>
  </conditionalFormatting>
  <conditionalFormatting sqref="BQ66:BS69">
    <cfRule type="cellIs" dxfId="2979" priority="1315" operator="greaterThanOrEqual">
      <formula>0.03</formula>
    </cfRule>
    <cfRule type="cellIs" dxfId="2978" priority="1316" operator="lessThanOrEqual">
      <formula>-0.03</formula>
    </cfRule>
  </conditionalFormatting>
  <conditionalFormatting sqref="BO60:BO64">
    <cfRule type="cellIs" dxfId="2977" priority="1337" operator="greaterThanOrEqual">
      <formula>0.03</formula>
    </cfRule>
    <cfRule type="cellIs" dxfId="2976" priority="1338" operator="lessThanOrEqual">
      <formula>-0.03</formula>
    </cfRule>
  </conditionalFormatting>
  <conditionalFormatting sqref="BT61:BT64">
    <cfRule type="cellIs" dxfId="2975" priority="1319" operator="greaterThanOrEqual">
      <formula>0.03</formula>
    </cfRule>
    <cfRule type="cellIs" dxfId="2974" priority="1320" operator="lessThanOrEqual">
      <formula>-0.03</formula>
    </cfRule>
  </conditionalFormatting>
  <conditionalFormatting sqref="CA55:CC55">
    <cfRule type="cellIs" dxfId="2973" priority="1353" operator="greaterThanOrEqual">
      <formula>0.03</formula>
    </cfRule>
    <cfRule type="cellIs" dxfId="2972" priority="1354" operator="lessThanOrEqual">
      <formula>-0.03</formula>
    </cfRule>
  </conditionalFormatting>
  <conditionalFormatting sqref="M65:M69">
    <cfRule type="cellIs" dxfId="2971" priority="1351" operator="greaterThanOrEqual">
      <formula>0.03</formula>
    </cfRule>
    <cfRule type="cellIs" dxfId="2970" priority="1352" operator="lessThanOrEqual">
      <formula>-0.03</formula>
    </cfRule>
  </conditionalFormatting>
  <conditionalFormatting sqref="BV56:BX59">
    <cfRule type="cellIs" dxfId="2969" priority="1307" operator="greaterThanOrEqual">
      <formula>0.03</formula>
    </cfRule>
    <cfRule type="cellIs" dxfId="2968" priority="1308" operator="lessThanOrEqual">
      <formula>-0.03</formula>
    </cfRule>
  </conditionalFormatting>
  <conditionalFormatting sqref="BV61:BX64">
    <cfRule type="cellIs" dxfId="2967" priority="1299" operator="greaterThanOrEqual">
      <formula>0.03</formula>
    </cfRule>
    <cfRule type="cellIs" dxfId="2966" priority="1300" operator="lessThanOrEqual">
      <formula>-0.03</formula>
    </cfRule>
  </conditionalFormatting>
  <conditionalFormatting sqref="BO55:BO59">
    <cfRule type="cellIs" dxfId="2965" priority="1341" operator="greaterThanOrEqual">
      <formula>0.03</formula>
    </cfRule>
    <cfRule type="cellIs" dxfId="2964" priority="1342" operator="lessThanOrEqual">
      <formula>-0.03</formula>
    </cfRule>
  </conditionalFormatting>
  <conditionalFormatting sqref="BL61:BN64">
    <cfRule type="cellIs" dxfId="2963" priority="1339" operator="greaterThanOrEqual">
      <formula>0.03</formula>
    </cfRule>
    <cfRule type="cellIs" dxfId="2962" priority="1340" operator="lessThanOrEqual">
      <formula>-0.03</formula>
    </cfRule>
  </conditionalFormatting>
  <conditionalFormatting sqref="BO65:BO69">
    <cfRule type="cellIs" dxfId="2961" priority="1333" operator="greaterThanOrEqual">
      <formula>0.03</formula>
    </cfRule>
    <cfRule type="cellIs" dxfId="2960" priority="1334" operator="lessThanOrEqual">
      <formula>-0.03</formula>
    </cfRule>
  </conditionalFormatting>
  <conditionalFormatting sqref="CD66:CD69">
    <cfRule type="cellIs" dxfId="2959" priority="1267" operator="greaterThanOrEqual">
      <formula>0.03</formula>
    </cfRule>
    <cfRule type="cellIs" dxfId="2958" priority="1268" operator="lessThanOrEqual">
      <formula>-0.03</formula>
    </cfRule>
  </conditionalFormatting>
  <conditionalFormatting sqref="BQ56:BS59">
    <cfRule type="cellIs" dxfId="2957" priority="1331" operator="greaterThanOrEqual">
      <formula>0.03</formula>
    </cfRule>
    <cfRule type="cellIs" dxfId="2956" priority="1332" operator="lessThanOrEqual">
      <formula>-0.03</formula>
    </cfRule>
  </conditionalFormatting>
  <conditionalFormatting sqref="BT56:BT59">
    <cfRule type="cellIs" dxfId="2955" priority="1327" operator="greaterThanOrEqual">
      <formula>0.03</formula>
    </cfRule>
    <cfRule type="cellIs" dxfId="2954" priority="1328" operator="lessThanOrEqual">
      <formula>-0.03</formula>
    </cfRule>
  </conditionalFormatting>
  <conditionalFormatting sqref="BQ61:BS64">
    <cfRule type="cellIs" dxfId="2953" priority="1323" operator="greaterThanOrEqual">
      <formula>0.03</formula>
    </cfRule>
    <cfRule type="cellIs" dxfId="2952" priority="1324" operator="lessThanOrEqual">
      <formula>-0.03</formula>
    </cfRule>
  </conditionalFormatting>
  <conditionalFormatting sqref="BT66:BT69">
    <cfRule type="cellIs" dxfId="2951" priority="1311" operator="greaterThanOrEqual">
      <formula>0.03</formula>
    </cfRule>
    <cfRule type="cellIs" dxfId="2950" priority="1312" operator="lessThanOrEqual">
      <formula>-0.03</formula>
    </cfRule>
  </conditionalFormatting>
  <conditionalFormatting sqref="BY61:BY64">
    <cfRule type="cellIs" dxfId="2949" priority="1295" operator="greaterThanOrEqual">
      <formula>0.03</formula>
    </cfRule>
    <cfRule type="cellIs" dxfId="2948" priority="1296" operator="lessThanOrEqual">
      <formula>-0.03</formula>
    </cfRule>
  </conditionalFormatting>
  <conditionalFormatting sqref="BV66:BX69">
    <cfRule type="cellIs" dxfId="2947" priority="1291" operator="greaterThanOrEqual">
      <formula>0.03</formula>
    </cfRule>
    <cfRule type="cellIs" dxfId="2946" priority="1292" operator="lessThanOrEqual">
      <formula>-0.03</formula>
    </cfRule>
  </conditionalFormatting>
  <conditionalFormatting sqref="BY66:BY69">
    <cfRule type="cellIs" dxfId="2945" priority="1287" operator="greaterThanOrEqual">
      <formula>0.03</formula>
    </cfRule>
    <cfRule type="cellIs" dxfId="2944" priority="1288" operator="lessThanOrEqual">
      <formula>-0.03</formula>
    </cfRule>
  </conditionalFormatting>
  <conditionalFormatting sqref="BY65">
    <cfRule type="cellIs" dxfId="2943" priority="1285" operator="greaterThanOrEqual">
      <formula>0.03</formula>
    </cfRule>
    <cfRule type="cellIs" dxfId="2942" priority="1286" operator="lessThanOrEqual">
      <formula>-0.03</formula>
    </cfRule>
  </conditionalFormatting>
  <conditionalFormatting sqref="CD56:CD59">
    <cfRule type="cellIs" dxfId="2941" priority="1283" operator="greaterThanOrEqual">
      <formula>0.03</formula>
    </cfRule>
    <cfRule type="cellIs" dxfId="2940" priority="1284" operator="lessThanOrEqual">
      <formula>-0.03</formula>
    </cfRule>
  </conditionalFormatting>
  <conditionalFormatting sqref="CD55">
    <cfRule type="cellIs" dxfId="2939" priority="1281" operator="greaterThanOrEqual">
      <formula>0.03</formula>
    </cfRule>
    <cfRule type="cellIs" dxfId="2938" priority="1282" operator="lessThanOrEqual">
      <formula>-0.03</formula>
    </cfRule>
  </conditionalFormatting>
  <conditionalFormatting sqref="CA61:CC64">
    <cfRule type="cellIs" dxfId="2937" priority="1279" operator="greaterThanOrEqual">
      <formula>0.03</formula>
    </cfRule>
    <cfRule type="cellIs" dxfId="2936" priority="1280" operator="lessThanOrEqual">
      <formula>-0.03</formula>
    </cfRule>
  </conditionalFormatting>
  <conditionalFormatting sqref="CA60:CC60">
    <cfRule type="cellIs" dxfId="2935" priority="1277" operator="greaterThanOrEqual">
      <formula>0.03</formula>
    </cfRule>
    <cfRule type="cellIs" dxfId="2934" priority="1278" operator="lessThanOrEqual">
      <formula>-0.03</formula>
    </cfRule>
  </conditionalFormatting>
  <conditionalFormatting sqref="CD61:CD64">
    <cfRule type="cellIs" dxfId="2933" priority="1275" operator="greaterThanOrEqual">
      <formula>0.03</formula>
    </cfRule>
    <cfRule type="cellIs" dxfId="2932" priority="1276" operator="lessThanOrEqual">
      <formula>-0.03</formula>
    </cfRule>
  </conditionalFormatting>
  <conditionalFormatting sqref="CD60">
    <cfRule type="cellIs" dxfId="2931" priority="1273" operator="greaterThanOrEqual">
      <formula>0.03</formula>
    </cfRule>
    <cfRule type="cellIs" dxfId="2930" priority="1274" operator="lessThanOrEqual">
      <formula>-0.03</formula>
    </cfRule>
  </conditionalFormatting>
  <conditionalFormatting sqref="CA66:CC69">
    <cfRule type="cellIs" dxfId="2929" priority="1271" operator="greaterThanOrEqual">
      <formula>0.03</formula>
    </cfRule>
    <cfRule type="cellIs" dxfId="2928" priority="1272" operator="lessThanOrEqual">
      <formula>-0.03</formula>
    </cfRule>
  </conditionalFormatting>
  <conditionalFormatting sqref="CA65:CC65">
    <cfRule type="cellIs" dxfId="2927" priority="1269" operator="greaterThanOrEqual">
      <formula>0.03</formula>
    </cfRule>
    <cfRule type="cellIs" dxfId="2926" priority="1270" operator="lessThanOrEqual">
      <formula>-0.03</formula>
    </cfRule>
  </conditionalFormatting>
  <conditionalFormatting sqref="CD65">
    <cfRule type="cellIs" dxfId="2925" priority="1265" operator="greaterThanOrEqual">
      <formula>0.03</formula>
    </cfRule>
    <cfRule type="cellIs" dxfId="2924" priority="1266" operator="lessThanOrEqual">
      <formula>-0.03</formula>
    </cfRule>
  </conditionalFormatting>
  <conditionalFormatting sqref="BL55:BN55">
    <cfRule type="cellIs" dxfId="2923" priority="1263" operator="greaterThanOrEqual">
      <formula>0.03</formula>
    </cfRule>
    <cfRule type="cellIs" dxfId="2922" priority="1264" operator="lessThanOrEqual">
      <formula>-0.03</formula>
    </cfRule>
  </conditionalFormatting>
  <conditionalFormatting sqref="BL60:BN60">
    <cfRule type="cellIs" dxfId="2921" priority="1261" operator="greaterThanOrEqual">
      <formula>0.03</formula>
    </cfRule>
    <cfRule type="cellIs" dxfId="2920" priority="1262" operator="lessThanOrEqual">
      <formula>-0.03</formula>
    </cfRule>
  </conditionalFormatting>
  <conditionalFormatting sqref="BL65:BN65">
    <cfRule type="cellIs" dxfId="2919" priority="1259" operator="greaterThanOrEqual">
      <formula>0.03</formula>
    </cfRule>
    <cfRule type="cellIs" dxfId="2918" priority="1260" operator="lessThanOrEqual">
      <formula>-0.03</formula>
    </cfRule>
  </conditionalFormatting>
  <conditionalFormatting sqref="AK117">
    <cfRule type="cellIs" dxfId="2917" priority="1181" operator="greaterThanOrEqual">
      <formula>0.03</formula>
    </cfRule>
    <cfRule type="cellIs" dxfId="2916" priority="1182" operator="lessThanOrEqual">
      <formula>-0.03</formula>
    </cfRule>
  </conditionalFormatting>
  <conditionalFormatting sqref="AL118">
    <cfRule type="cellIs" dxfId="2915" priority="1179" operator="greaterThanOrEqual">
      <formula>0.03</formula>
    </cfRule>
    <cfRule type="cellIs" dxfId="2914" priority="1180" operator="lessThanOrEqual">
      <formula>-0.03</formula>
    </cfRule>
  </conditionalFormatting>
  <conditionalFormatting sqref="AK119">
    <cfRule type="cellIs" dxfId="2913" priority="1177" operator="greaterThanOrEqual">
      <formula>0.03</formula>
    </cfRule>
    <cfRule type="cellIs" dxfId="2912" priority="1178" operator="lessThanOrEqual">
      <formula>-0.03</formula>
    </cfRule>
  </conditionalFormatting>
  <conditionalFormatting sqref="M116">
    <cfRule type="cellIs" dxfId="2911" priority="1183" operator="greaterThanOrEqual">
      <formula>0.03</formula>
    </cfRule>
    <cfRule type="cellIs" dxfId="2910" priority="1184" operator="lessThanOrEqual">
      <formula>-0.03</formula>
    </cfRule>
  </conditionalFormatting>
  <conditionalFormatting sqref="BQ41:BS44">
    <cfRule type="cellIs" dxfId="2909" priority="1245" operator="greaterThanOrEqual">
      <formula>0.03</formula>
    </cfRule>
    <cfRule type="cellIs" dxfId="2908" priority="1246" operator="lessThanOrEqual">
      <formula>-0.03</formula>
    </cfRule>
  </conditionalFormatting>
  <conditionalFormatting sqref="BV41:BX44">
    <cfRule type="cellIs" dxfId="2907" priority="1243" operator="greaterThanOrEqual">
      <formula>0.03</formula>
    </cfRule>
    <cfRule type="cellIs" dxfId="2906" priority="1244" operator="lessThanOrEqual">
      <formula>-0.03</formula>
    </cfRule>
  </conditionalFormatting>
  <conditionalFormatting sqref="BL41:BN44">
    <cfRule type="cellIs" dxfId="2905" priority="1241" operator="greaterThanOrEqual">
      <formula>0.03</formula>
    </cfRule>
    <cfRule type="cellIs" dxfId="2904" priority="1242" operator="lessThanOrEqual">
      <formula>-0.03</formula>
    </cfRule>
  </conditionalFormatting>
  <conditionalFormatting sqref="BT41:BT44">
    <cfRule type="cellIs" dxfId="2903" priority="1227" operator="greaterThanOrEqual">
      <formula>0.03</formula>
    </cfRule>
    <cfRule type="cellIs" dxfId="2902" priority="1228" operator="lessThanOrEqual">
      <formula>-0.03</formula>
    </cfRule>
  </conditionalFormatting>
  <conditionalFormatting sqref="BY41:BY44">
    <cfRule type="cellIs" dxfId="2901" priority="1223" operator="greaterThanOrEqual">
      <formula>0.03</formula>
    </cfRule>
    <cfRule type="cellIs" dxfId="2900" priority="1224" operator="lessThanOrEqual">
      <formula>-0.03</formula>
    </cfRule>
  </conditionalFormatting>
  <conditionalFormatting sqref="BL40:BN40">
    <cfRule type="cellIs" dxfId="2899" priority="1235" operator="greaterThanOrEqual">
      <formula>0.03</formula>
    </cfRule>
    <cfRule type="cellIs" dxfId="2898" priority="1236" operator="lessThanOrEqual">
      <formula>-0.03</formula>
    </cfRule>
  </conditionalFormatting>
  <conditionalFormatting sqref="M40:M44">
    <cfRule type="cellIs" dxfId="2897" priority="1233" operator="greaterThanOrEqual">
      <formula>0.03</formula>
    </cfRule>
    <cfRule type="cellIs" dxfId="2896" priority="1234" operator="lessThanOrEqual">
      <formula>-0.03</formula>
    </cfRule>
  </conditionalFormatting>
  <conditionalFormatting sqref="AL40:AL44">
    <cfRule type="cellIs" dxfId="2895" priority="1231" operator="greaterThanOrEqual">
      <formula>0.03</formula>
    </cfRule>
    <cfRule type="cellIs" dxfId="2894" priority="1232" operator="lessThanOrEqual">
      <formula>-0.03</formula>
    </cfRule>
  </conditionalFormatting>
  <conditionalFormatting sqref="BQ40:BS40">
    <cfRule type="cellIs" dxfId="2893" priority="1239" operator="greaterThanOrEqual">
      <formula>0.03</formula>
    </cfRule>
    <cfRule type="cellIs" dxfId="2892" priority="1240" operator="lessThanOrEqual">
      <formula>-0.03</formula>
    </cfRule>
  </conditionalFormatting>
  <conditionalFormatting sqref="BV40:BX40">
    <cfRule type="cellIs" dxfId="2891" priority="1237" operator="greaterThanOrEqual">
      <formula>0.03</formula>
    </cfRule>
    <cfRule type="cellIs" dxfId="2890" priority="1238" operator="lessThanOrEqual">
      <formula>-0.03</formula>
    </cfRule>
  </conditionalFormatting>
  <conditionalFormatting sqref="BY40">
    <cfRule type="cellIs" dxfId="2889" priority="1221" operator="greaterThanOrEqual">
      <formula>0.03</formula>
    </cfRule>
    <cfRule type="cellIs" dxfId="2888" priority="1222" operator="lessThanOrEqual">
      <formula>-0.03</formula>
    </cfRule>
  </conditionalFormatting>
  <conditionalFormatting sqref="BO40:BO44">
    <cfRule type="cellIs" dxfId="2887" priority="1229" operator="greaterThanOrEqual">
      <formula>0.03</formula>
    </cfRule>
    <cfRule type="cellIs" dxfId="2886" priority="1230" operator="lessThanOrEqual">
      <formula>-0.03</formula>
    </cfRule>
  </conditionalFormatting>
  <conditionalFormatting sqref="BT40">
    <cfRule type="cellIs" dxfId="2885" priority="1225" operator="greaterThanOrEqual">
      <formula>0.03</formula>
    </cfRule>
    <cfRule type="cellIs" dxfId="2884" priority="1226" operator="lessThanOrEqual">
      <formula>-0.03</formula>
    </cfRule>
  </conditionalFormatting>
  <conditionalFormatting sqref="CA41:CC44">
    <cfRule type="cellIs" dxfId="2883" priority="1219" operator="greaterThanOrEqual">
      <formula>0.03</formula>
    </cfRule>
    <cfRule type="cellIs" dxfId="2882" priority="1220" operator="lessThanOrEqual">
      <formula>-0.03</formula>
    </cfRule>
  </conditionalFormatting>
  <conditionalFormatting sqref="CA40:CC40">
    <cfRule type="cellIs" dxfId="2881" priority="1217" operator="greaterThanOrEqual">
      <formula>0.03</formula>
    </cfRule>
    <cfRule type="cellIs" dxfId="2880" priority="1218" operator="lessThanOrEqual">
      <formula>-0.03</formula>
    </cfRule>
  </conditionalFormatting>
  <conditionalFormatting sqref="CD41:CD44">
    <cfRule type="cellIs" dxfId="2879" priority="1215" operator="greaterThanOrEqual">
      <formula>0.03</formula>
    </cfRule>
    <cfRule type="cellIs" dxfId="2878" priority="1216" operator="lessThanOrEqual">
      <formula>-0.03</formula>
    </cfRule>
  </conditionalFormatting>
  <conditionalFormatting sqref="CD40">
    <cfRule type="cellIs" dxfId="2877" priority="1213" operator="greaterThanOrEqual">
      <formula>0.03</formula>
    </cfRule>
    <cfRule type="cellIs" dxfId="2876" priority="1214" operator="lessThanOrEqual">
      <formula>-0.03</formula>
    </cfRule>
  </conditionalFormatting>
  <conditionalFormatting sqref="T116:V116">
    <cfRule type="cellIs" dxfId="2875" priority="1199" operator="greaterThanOrEqual">
      <formula>0.03</formula>
    </cfRule>
    <cfRule type="cellIs" dxfId="2874" priority="1200" operator="lessThanOrEqual">
      <formula>-0.03</formula>
    </cfRule>
  </conditionalFormatting>
  <conditionalFormatting sqref="X116:Z116">
    <cfRule type="cellIs" dxfId="2873" priority="1197" operator="greaterThanOrEqual">
      <formula>0.03</formula>
    </cfRule>
    <cfRule type="cellIs" dxfId="2872" priority="1198" operator="lessThanOrEqual">
      <formula>-0.03</formula>
    </cfRule>
  </conditionalFormatting>
  <conditionalFormatting sqref="AL116">
    <cfRule type="cellIs" dxfId="2871" priority="1175" operator="greaterThanOrEqual">
      <formula>0.03</formula>
    </cfRule>
    <cfRule type="cellIs" dxfId="2870" priority="1176" operator="lessThanOrEqual">
      <formula>-0.03</formula>
    </cfRule>
  </conditionalFormatting>
  <conditionalFormatting sqref="BI115:CD120">
    <cfRule type="cellIs" dxfId="2869" priority="729" operator="greaterThanOrEqual">
      <formula>0.03</formula>
    </cfRule>
    <cfRule type="cellIs" dxfId="2868" priority="730" operator="lessThanOrEqual">
      <formula>-0.03</formula>
    </cfRule>
  </conditionalFormatting>
  <conditionalFormatting sqref="BG115:BH120">
    <cfRule type="cellIs" dxfId="2867" priority="727" operator="greaterThanOrEqual">
      <formula>1.03</formula>
    </cfRule>
    <cfRule type="cellIs" dxfId="2866" priority="728" operator="lessThanOrEqual">
      <formula>0.97</formula>
    </cfRule>
  </conditionalFormatting>
  <conditionalFormatting sqref="X90:Z94">
    <cfRule type="cellIs" dxfId="2865" priority="119" operator="greaterThanOrEqual">
      <formula>0.03</formula>
    </cfRule>
    <cfRule type="cellIs" dxfId="2864" priority="120" operator="lessThanOrEqual">
      <formula>-0.03</formula>
    </cfRule>
  </conditionalFormatting>
  <conditionalFormatting sqref="X85:Z89">
    <cfRule type="cellIs" dxfId="2863" priority="125" operator="greaterThanOrEqual">
      <formula>0.03</formula>
    </cfRule>
    <cfRule type="cellIs" dxfId="2862" priority="126" operator="lessThanOrEqual">
      <formula>-0.03</formula>
    </cfRule>
  </conditionalFormatting>
  <conditionalFormatting sqref="X70:Z84">
    <cfRule type="cellIs" dxfId="2861" priority="131" operator="greaterThanOrEqual">
      <formula>0.03</formula>
    </cfRule>
    <cfRule type="cellIs" dxfId="2860" priority="132" operator="lessThanOrEqual">
      <formula>-0.03</formula>
    </cfRule>
  </conditionalFormatting>
  <conditionalFormatting sqref="T70:V84">
    <cfRule type="cellIs" dxfId="2859" priority="129" operator="greaterThanOrEqual">
      <formula>0.03</formula>
    </cfRule>
    <cfRule type="cellIs" dxfId="2858" priority="130" operator="lessThanOrEqual">
      <formula>-0.03</formula>
    </cfRule>
  </conditionalFormatting>
  <conditionalFormatting sqref="R70:R84">
    <cfRule type="cellIs" dxfId="2857" priority="127" operator="greaterThanOrEqual">
      <formula>0.03</formula>
    </cfRule>
    <cfRule type="cellIs" dxfId="2856" priority="128" operator="lessThanOrEqual">
      <formula>-0.03</formula>
    </cfRule>
  </conditionalFormatting>
  <conditionalFormatting sqref="T85:V89">
    <cfRule type="cellIs" dxfId="2855" priority="123" operator="greaterThanOrEqual">
      <formula>0.03</formula>
    </cfRule>
    <cfRule type="cellIs" dxfId="2854" priority="124" operator="lessThanOrEqual">
      <formula>-0.03</formula>
    </cfRule>
  </conditionalFormatting>
  <conditionalFormatting sqref="R85:R89">
    <cfRule type="cellIs" dxfId="2853" priority="121" operator="greaterThanOrEqual">
      <formula>0.03</formula>
    </cfRule>
    <cfRule type="cellIs" dxfId="2852" priority="122" operator="lessThanOrEqual">
      <formula>-0.03</formula>
    </cfRule>
  </conditionalFormatting>
  <conditionalFormatting sqref="T90:V94">
    <cfRule type="cellIs" dxfId="2851" priority="117" operator="greaterThanOrEqual">
      <formula>0.03</formula>
    </cfRule>
    <cfRule type="cellIs" dxfId="2850" priority="118" operator="lessThanOrEqual">
      <formula>-0.03</formula>
    </cfRule>
  </conditionalFormatting>
  <conditionalFormatting sqref="R90:R94">
    <cfRule type="cellIs" dxfId="2849" priority="115" operator="greaterThanOrEqual">
      <formula>0.03</formula>
    </cfRule>
    <cfRule type="cellIs" dxfId="2848" priority="116" operator="lessThanOrEqual">
      <formula>-0.03</formula>
    </cfRule>
  </conditionalFormatting>
  <conditionalFormatting sqref="W95:W109">
    <cfRule type="cellIs" dxfId="2847" priority="113" operator="greaterThanOrEqual">
      <formula>0.03</formula>
    </cfRule>
    <cfRule type="cellIs" dxfId="2846" priority="114" operator="lessThanOrEqual">
      <formula>-0.03</formula>
    </cfRule>
  </conditionalFormatting>
  <conditionalFormatting sqref="W110:W114">
    <cfRule type="cellIs" dxfId="2845" priority="111" operator="greaterThanOrEqual">
      <formula>0.03</formula>
    </cfRule>
    <cfRule type="cellIs" dxfId="2844" priority="112" operator="lessThanOrEqual">
      <formula>-0.03</formula>
    </cfRule>
  </conditionalFormatting>
  <conditionalFormatting sqref="AA95:AA109">
    <cfRule type="cellIs" dxfId="2843" priority="109" operator="greaterThanOrEqual">
      <formula>0.03</formula>
    </cfRule>
    <cfRule type="cellIs" dxfId="2842" priority="110" operator="lessThanOrEqual">
      <formula>-0.03</formula>
    </cfRule>
  </conditionalFormatting>
  <conditionalFormatting sqref="AA110:AA114">
    <cfRule type="cellIs" dxfId="2841" priority="107" operator="greaterThanOrEqual">
      <formula>0.03</formula>
    </cfRule>
    <cfRule type="cellIs" dxfId="2840" priority="108" operator="lessThanOrEqual">
      <formula>-0.03</formula>
    </cfRule>
  </conditionalFormatting>
  <conditionalFormatting sqref="X25:Z34">
    <cfRule type="cellIs" dxfId="2839" priority="105" operator="greaterThanOrEqual">
      <formula>0.03</formula>
    </cfRule>
    <cfRule type="cellIs" dxfId="2838" priority="106" operator="lessThanOrEqual">
      <formula>-0.03</formula>
    </cfRule>
  </conditionalFormatting>
  <conditionalFormatting sqref="T25:V34">
    <cfRule type="cellIs" dxfId="2837" priority="103" operator="greaterThanOrEqual">
      <formula>0.03</formula>
    </cfRule>
    <cfRule type="cellIs" dxfId="2836" priority="104" operator="lessThanOrEqual">
      <formula>-0.03</formula>
    </cfRule>
  </conditionalFormatting>
  <conditionalFormatting sqref="R25:R34">
    <cfRule type="cellIs" dxfId="2835" priority="101" operator="greaterThanOrEqual">
      <formula>0.03</formula>
    </cfRule>
    <cfRule type="cellIs" dxfId="2834" priority="102" operator="lessThanOrEqual">
      <formula>-0.03</formula>
    </cfRule>
  </conditionalFormatting>
  <conditionalFormatting sqref="X5:Z19">
    <cfRule type="cellIs" dxfId="2833" priority="99" operator="greaterThanOrEqual">
      <formula>0.03</formula>
    </cfRule>
    <cfRule type="cellIs" dxfId="2832" priority="100" operator="lessThanOrEqual">
      <formula>-0.03</formula>
    </cfRule>
  </conditionalFormatting>
  <conditionalFormatting sqref="T5:V19">
    <cfRule type="cellIs" dxfId="2831" priority="97" operator="greaterThanOrEqual">
      <formula>0.03</formula>
    </cfRule>
    <cfRule type="cellIs" dxfId="2830" priority="98" operator="lessThanOrEqual">
      <formula>-0.03</formula>
    </cfRule>
  </conditionalFormatting>
  <conditionalFormatting sqref="R5:R19">
    <cfRule type="cellIs" dxfId="2829" priority="95" operator="greaterThanOrEqual">
      <formula>0.03</formula>
    </cfRule>
    <cfRule type="cellIs" dxfId="2828" priority="96" operator="lessThanOrEqual">
      <formula>-0.03</formula>
    </cfRule>
  </conditionalFormatting>
  <conditionalFormatting sqref="X20:Z24">
    <cfRule type="cellIs" dxfId="2827" priority="93" operator="greaterThanOrEqual">
      <formula>0.03</formula>
    </cfRule>
    <cfRule type="cellIs" dxfId="2826" priority="94" operator="lessThanOrEqual">
      <formula>-0.03</formula>
    </cfRule>
  </conditionalFormatting>
  <conditionalFormatting sqref="T20:V24">
    <cfRule type="cellIs" dxfId="2825" priority="91" operator="greaterThanOrEqual">
      <formula>0.03</formula>
    </cfRule>
    <cfRule type="cellIs" dxfId="2824" priority="92" operator="lessThanOrEqual">
      <formula>-0.03</formula>
    </cfRule>
  </conditionalFormatting>
  <conditionalFormatting sqref="R20:R24">
    <cfRule type="cellIs" dxfId="2823" priority="89" operator="greaterThanOrEqual">
      <formula>0.03</formula>
    </cfRule>
    <cfRule type="cellIs" dxfId="2822" priority="90" operator="lessThanOrEqual">
      <formula>-0.03</formula>
    </cfRule>
  </conditionalFormatting>
  <conditionalFormatting sqref="S95:S99">
    <cfRule type="cellIs" dxfId="2821" priority="69" operator="greaterThanOrEqual">
      <formula>0.03</formula>
    </cfRule>
    <cfRule type="cellIs" dxfId="2820" priority="70" operator="lessThanOrEqual">
      <formula>-0.03</formula>
    </cfRule>
  </conditionalFormatting>
  <conditionalFormatting sqref="S100:S114">
    <cfRule type="cellIs" dxfId="2819" priority="67" operator="greaterThanOrEqual">
      <formula>0.03</formula>
    </cfRule>
    <cfRule type="cellIs" dxfId="2818" priority="68" operator="lessThanOrEqual">
      <formula>-0.03</formula>
    </cfRule>
  </conditionalFormatting>
  <conditionalFormatting sqref="W40:W64">
    <cfRule type="cellIs" dxfId="2817" priority="79" operator="greaterThanOrEqual">
      <formula>0.03</formula>
    </cfRule>
    <cfRule type="cellIs" dxfId="2816" priority="80" operator="lessThanOrEqual">
      <formula>-0.03</formula>
    </cfRule>
  </conditionalFormatting>
  <conditionalFormatting sqref="AA40:AA64">
    <cfRule type="cellIs" dxfId="2815" priority="77" operator="greaterThanOrEqual">
      <formula>0.03</formula>
    </cfRule>
    <cfRule type="cellIs" dxfId="2814" priority="78" operator="lessThanOrEqual">
      <formula>-0.03</formula>
    </cfRule>
  </conditionalFormatting>
  <conditionalFormatting sqref="S65:S69">
    <cfRule type="cellIs" dxfId="2813" priority="75" operator="greaterThanOrEqual">
      <formula>0.03</formula>
    </cfRule>
    <cfRule type="cellIs" dxfId="2812" priority="76" operator="lessThanOrEqual">
      <formula>-0.03</formula>
    </cfRule>
  </conditionalFormatting>
  <conditionalFormatting sqref="S35:S39">
    <cfRule type="cellIs" dxfId="2811" priority="87" operator="greaterThanOrEqual">
      <formula>0.03</formula>
    </cfRule>
    <cfRule type="cellIs" dxfId="2810" priority="88" operator="lessThanOrEqual">
      <formula>-0.03</formula>
    </cfRule>
  </conditionalFormatting>
  <conditionalFormatting sqref="W35:W39">
    <cfRule type="cellIs" dxfId="2809" priority="85" operator="greaterThanOrEqual">
      <formula>0.03</formula>
    </cfRule>
    <cfRule type="cellIs" dxfId="2808" priority="86" operator="lessThanOrEqual">
      <formula>-0.03</formula>
    </cfRule>
  </conditionalFormatting>
  <conditionalFormatting sqref="AA35:AA39">
    <cfRule type="cellIs" dxfId="2807" priority="83" operator="greaterThanOrEqual">
      <formula>0.03</formula>
    </cfRule>
    <cfRule type="cellIs" dxfId="2806" priority="84" operator="lessThanOrEqual">
      <formula>-0.03</formula>
    </cfRule>
  </conditionalFormatting>
  <conditionalFormatting sqref="S40:S64">
    <cfRule type="cellIs" dxfId="2805" priority="81" operator="greaterThanOrEqual">
      <formula>0.03</formula>
    </cfRule>
    <cfRule type="cellIs" dxfId="2804" priority="82" operator="lessThanOrEqual">
      <formula>-0.03</formula>
    </cfRule>
  </conditionalFormatting>
  <conditionalFormatting sqref="W65:W69">
    <cfRule type="cellIs" dxfId="2803" priority="73" operator="greaterThanOrEqual">
      <formula>0.03</formula>
    </cfRule>
    <cfRule type="cellIs" dxfId="2802" priority="74" operator="lessThanOrEqual">
      <formula>-0.03</formula>
    </cfRule>
  </conditionalFormatting>
  <conditionalFormatting sqref="AA65:AA69">
    <cfRule type="cellIs" dxfId="2801" priority="71" operator="greaterThanOrEqual">
      <formula>0.03</formula>
    </cfRule>
    <cfRule type="cellIs" dxfId="2800" priority="72" operator="lessThanOrEqual">
      <formula>-0.03</formula>
    </cfRule>
  </conditionalFormatting>
  <conditionalFormatting sqref="AW90:AY94">
    <cfRule type="cellIs" dxfId="2799" priority="53" operator="greaterThanOrEqual">
      <formula>0.03</formula>
    </cfRule>
    <cfRule type="cellIs" dxfId="2798" priority="54" operator="lessThanOrEqual">
      <formula>-0.03</formula>
    </cfRule>
  </conditionalFormatting>
  <conditionalFormatting sqref="AW85:AY89">
    <cfRule type="cellIs" dxfId="2797" priority="59" operator="greaterThanOrEqual">
      <formula>0.03</formula>
    </cfRule>
    <cfRule type="cellIs" dxfId="2796" priority="60" operator="lessThanOrEqual">
      <formula>-0.03</formula>
    </cfRule>
  </conditionalFormatting>
  <conditionalFormatting sqref="AW70:AY84">
    <cfRule type="cellIs" dxfId="2795" priority="65" operator="greaterThanOrEqual">
      <formula>0.03</formula>
    </cfRule>
    <cfRule type="cellIs" dxfId="2794" priority="66" operator="lessThanOrEqual">
      <formula>-0.03</formula>
    </cfRule>
  </conditionalFormatting>
  <conditionalFormatting sqref="AS70:AU84">
    <cfRule type="cellIs" dxfId="2793" priority="63" operator="greaterThanOrEqual">
      <formula>0.03</formula>
    </cfRule>
    <cfRule type="cellIs" dxfId="2792" priority="64" operator="lessThanOrEqual">
      <formula>-0.03</formula>
    </cfRule>
  </conditionalFormatting>
  <conditionalFormatting sqref="AQ70:AQ84">
    <cfRule type="cellIs" dxfId="2791" priority="61" operator="greaterThanOrEqual">
      <formula>0.03</formula>
    </cfRule>
    <cfRule type="cellIs" dxfId="2790" priority="62" operator="lessThanOrEqual">
      <formula>-0.03</formula>
    </cfRule>
  </conditionalFormatting>
  <conditionalFormatting sqref="AS85:AU89">
    <cfRule type="cellIs" dxfId="2789" priority="57" operator="greaterThanOrEqual">
      <formula>0.03</formula>
    </cfRule>
    <cfRule type="cellIs" dxfId="2788" priority="58" operator="lessThanOrEqual">
      <formula>-0.03</formula>
    </cfRule>
  </conditionalFormatting>
  <conditionalFormatting sqref="AQ85:AQ89">
    <cfRule type="cellIs" dxfId="2787" priority="55" operator="greaterThanOrEqual">
      <formula>0.03</formula>
    </cfRule>
    <cfRule type="cellIs" dxfId="2786" priority="56" operator="lessThanOrEqual">
      <formula>-0.03</formula>
    </cfRule>
  </conditionalFormatting>
  <conditionalFormatting sqref="AS90:AU94">
    <cfRule type="cellIs" dxfId="2785" priority="51" operator="greaterThanOrEqual">
      <formula>0.03</formula>
    </cfRule>
    <cfRule type="cellIs" dxfId="2784" priority="52" operator="lessThanOrEqual">
      <formula>-0.03</formula>
    </cfRule>
  </conditionalFormatting>
  <conditionalFormatting sqref="AQ90:AQ94">
    <cfRule type="cellIs" dxfId="2783" priority="49" operator="greaterThanOrEqual">
      <formula>0.03</formula>
    </cfRule>
    <cfRule type="cellIs" dxfId="2782" priority="50" operator="lessThanOrEqual">
      <formula>-0.03</formula>
    </cfRule>
  </conditionalFormatting>
  <conditionalFormatting sqref="AV95:AV109">
    <cfRule type="cellIs" dxfId="2781" priority="47" operator="greaterThanOrEqual">
      <formula>0.03</formula>
    </cfRule>
    <cfRule type="cellIs" dxfId="2780" priority="48" operator="lessThanOrEqual">
      <formula>-0.03</formula>
    </cfRule>
  </conditionalFormatting>
  <conditionalFormatting sqref="AV110:AV114">
    <cfRule type="cellIs" dxfId="2779" priority="45" operator="greaterThanOrEqual">
      <formula>0.03</formula>
    </cfRule>
    <cfRule type="cellIs" dxfId="2778" priority="46" operator="lessThanOrEqual">
      <formula>-0.03</formula>
    </cfRule>
  </conditionalFormatting>
  <conditionalFormatting sqref="AZ95:AZ109">
    <cfRule type="cellIs" dxfId="2777" priority="43" operator="greaterThanOrEqual">
      <formula>0.03</formula>
    </cfRule>
    <cfRule type="cellIs" dxfId="2776" priority="44" operator="lessThanOrEqual">
      <formula>-0.03</formula>
    </cfRule>
  </conditionalFormatting>
  <conditionalFormatting sqref="AZ110:AZ114">
    <cfRule type="cellIs" dxfId="2775" priority="41" operator="greaterThanOrEqual">
      <formula>0.03</formula>
    </cfRule>
    <cfRule type="cellIs" dxfId="2774" priority="42" operator="lessThanOrEqual">
      <formula>-0.03</formula>
    </cfRule>
  </conditionalFormatting>
  <conditionalFormatting sqref="AW25:AY34">
    <cfRule type="cellIs" dxfId="2773" priority="39" operator="greaterThanOrEqual">
      <formula>0.03</formula>
    </cfRule>
    <cfRule type="cellIs" dxfId="2772" priority="40" operator="lessThanOrEqual">
      <formula>-0.03</formula>
    </cfRule>
  </conditionalFormatting>
  <conditionalFormatting sqref="AS25:AU34">
    <cfRule type="cellIs" dxfId="2771" priority="37" operator="greaterThanOrEqual">
      <formula>0.03</formula>
    </cfRule>
    <cfRule type="cellIs" dxfId="2770" priority="38" operator="lessThanOrEqual">
      <formula>-0.03</formula>
    </cfRule>
  </conditionalFormatting>
  <conditionalFormatting sqref="AQ25:AQ34">
    <cfRule type="cellIs" dxfId="2769" priority="35" operator="greaterThanOrEqual">
      <formula>0.03</formula>
    </cfRule>
    <cfRule type="cellIs" dxfId="2768" priority="36" operator="lessThanOrEqual">
      <formula>-0.03</formula>
    </cfRule>
  </conditionalFormatting>
  <conditionalFormatting sqref="AW5:AY19">
    <cfRule type="cellIs" dxfId="2767" priority="33" operator="greaterThanOrEqual">
      <formula>0.03</formula>
    </cfRule>
    <cfRule type="cellIs" dxfId="2766" priority="34" operator="lessThanOrEqual">
      <formula>-0.03</formula>
    </cfRule>
  </conditionalFormatting>
  <conditionalFormatting sqref="AS5:AU19">
    <cfRule type="cellIs" dxfId="2765" priority="31" operator="greaterThanOrEqual">
      <formula>0.03</formula>
    </cfRule>
    <cfRule type="cellIs" dxfId="2764" priority="32" operator="lessThanOrEqual">
      <formula>-0.03</formula>
    </cfRule>
  </conditionalFormatting>
  <conditionalFormatting sqref="AQ5:AQ19">
    <cfRule type="cellIs" dxfId="2763" priority="29" operator="greaterThanOrEqual">
      <formula>0.03</formula>
    </cfRule>
    <cfRule type="cellIs" dxfId="2762" priority="30" operator="lessThanOrEqual">
      <formula>-0.03</formula>
    </cfRule>
  </conditionalFormatting>
  <conditionalFormatting sqref="AW20:AY24">
    <cfRule type="cellIs" dxfId="2761" priority="27" operator="greaterThanOrEqual">
      <formula>0.03</formula>
    </cfRule>
    <cfRule type="cellIs" dxfId="2760" priority="28" operator="lessThanOrEqual">
      <formula>-0.03</formula>
    </cfRule>
  </conditionalFormatting>
  <conditionalFormatting sqref="AS20:AU24">
    <cfRule type="cellIs" dxfId="2759" priority="25" operator="greaterThanOrEqual">
      <formula>0.03</formula>
    </cfRule>
    <cfRule type="cellIs" dxfId="2758" priority="26" operator="lessThanOrEqual">
      <formula>-0.03</formula>
    </cfRule>
  </conditionalFormatting>
  <conditionalFormatting sqref="AQ20:AQ24">
    <cfRule type="cellIs" dxfId="2757" priority="23" operator="greaterThanOrEqual">
      <formula>0.03</formula>
    </cfRule>
    <cfRule type="cellIs" dxfId="2756" priority="24" operator="lessThanOrEqual">
      <formula>-0.03</formula>
    </cfRule>
  </conditionalFormatting>
  <conditionalFormatting sqref="AR95:AR99">
    <cfRule type="cellIs" dxfId="2755" priority="3" operator="greaterThanOrEqual">
      <formula>0.03</formula>
    </cfRule>
    <cfRule type="cellIs" dxfId="2754" priority="4" operator="lessThanOrEqual">
      <formula>-0.03</formula>
    </cfRule>
  </conditionalFormatting>
  <conditionalFormatting sqref="AR100:AR114">
    <cfRule type="cellIs" dxfId="2753" priority="1" operator="greaterThanOrEqual">
      <formula>0.03</formula>
    </cfRule>
    <cfRule type="cellIs" dxfId="2752" priority="2" operator="lessThanOrEqual">
      <formula>-0.03</formula>
    </cfRule>
  </conditionalFormatting>
  <conditionalFormatting sqref="AV40:AV64">
    <cfRule type="cellIs" dxfId="2751" priority="13" operator="greaterThanOrEqual">
      <formula>0.03</formula>
    </cfRule>
    <cfRule type="cellIs" dxfId="2750" priority="14" operator="lessThanOrEqual">
      <formula>-0.03</formula>
    </cfRule>
  </conditionalFormatting>
  <conditionalFormatting sqref="AZ40:AZ64">
    <cfRule type="cellIs" dxfId="2749" priority="11" operator="greaterThanOrEqual">
      <formula>0.03</formula>
    </cfRule>
    <cfRule type="cellIs" dxfId="2748" priority="12" operator="lessThanOrEqual">
      <formula>-0.03</formula>
    </cfRule>
  </conditionalFormatting>
  <conditionalFormatting sqref="AR65:AR69">
    <cfRule type="cellIs" dxfId="2747" priority="9" operator="greaterThanOrEqual">
      <formula>0.03</formula>
    </cfRule>
    <cfRule type="cellIs" dxfId="2746" priority="10" operator="lessThanOrEqual">
      <formula>-0.03</formula>
    </cfRule>
  </conditionalFormatting>
  <conditionalFormatting sqref="AR35:AR39">
    <cfRule type="cellIs" dxfId="2745" priority="21" operator="greaterThanOrEqual">
      <formula>0.03</formula>
    </cfRule>
    <cfRule type="cellIs" dxfId="2744" priority="22" operator="lessThanOrEqual">
      <formula>-0.03</formula>
    </cfRule>
  </conditionalFormatting>
  <conditionalFormatting sqref="AV35:AV39">
    <cfRule type="cellIs" dxfId="2743" priority="19" operator="greaterThanOrEqual">
      <formula>0.03</formula>
    </cfRule>
    <cfRule type="cellIs" dxfId="2742" priority="20" operator="lessThanOrEqual">
      <formula>-0.03</formula>
    </cfRule>
  </conditionalFormatting>
  <conditionalFormatting sqref="AZ35:AZ39">
    <cfRule type="cellIs" dxfId="2741" priority="17" operator="greaterThanOrEqual">
      <formula>0.03</formula>
    </cfRule>
    <cfRule type="cellIs" dxfId="2740" priority="18" operator="lessThanOrEqual">
      <formula>-0.03</formula>
    </cfRule>
  </conditionalFormatting>
  <conditionalFormatting sqref="AR40:AR64">
    <cfRule type="cellIs" dxfId="2739" priority="15" operator="greaterThanOrEqual">
      <formula>0.03</formula>
    </cfRule>
    <cfRule type="cellIs" dxfId="2738" priority="16" operator="lessThanOrEqual">
      <formula>-0.03</formula>
    </cfRule>
  </conditionalFormatting>
  <conditionalFormatting sqref="AV65:AV69">
    <cfRule type="cellIs" dxfId="2737" priority="7" operator="greaterThanOrEqual">
      <formula>0.03</formula>
    </cfRule>
    <cfRule type="cellIs" dxfId="2736" priority="8" operator="lessThanOrEqual">
      <formula>-0.03</formula>
    </cfRule>
  </conditionalFormatting>
  <conditionalFormatting sqref="AZ65:AZ69">
    <cfRule type="cellIs" dxfId="2735" priority="5" operator="greaterThanOrEqual">
      <formula>0.03</formula>
    </cfRule>
    <cfRule type="cellIs" dxfId="2734" priority="6" operator="lessThanOrEqual">
      <formula>-0.03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/>
  </sheetPr>
  <dimension ref="A1:AY39"/>
  <sheetViews>
    <sheetView zoomScaleNormal="100" workbookViewId="0">
      <pane xSplit="2" ySplit="4" topLeftCell="O5" activePane="bottomRight" state="frozen"/>
      <selection pane="topRight" activeCell="C1" sqref="C1"/>
      <selection pane="bottomLeft" activeCell="A5" sqref="A5"/>
      <selection pane="bottomRight" activeCell="AR41" sqref="AR41"/>
    </sheetView>
  </sheetViews>
  <sheetFormatPr defaultColWidth="8.875" defaultRowHeight="13.5" outlineLevelRow="2"/>
  <cols>
    <col min="2" max="2" width="23.625" bestFit="1" customWidth="1"/>
    <col min="3" max="4" width="10.875" customWidth="1"/>
    <col min="7" max="7" width="1.875" customWidth="1"/>
    <col min="10" max="12" width="10.875" customWidth="1"/>
    <col min="13" max="13" width="11.875" customWidth="1"/>
    <col min="14" max="14" width="12.875" customWidth="1"/>
    <col min="15" max="15" width="10.875" customWidth="1"/>
    <col min="16" max="19" width="12.875" customWidth="1"/>
    <col min="25" max="25" width="1.875" customWidth="1"/>
    <col min="28" max="30" width="10.875" customWidth="1"/>
    <col min="31" max="31" width="11.875" customWidth="1"/>
    <col min="32" max="32" width="12.875" customWidth="1"/>
    <col min="33" max="33" width="10.875" customWidth="1"/>
    <col min="34" max="37" width="12.875" customWidth="1"/>
    <col min="43" max="43" width="1.875" customWidth="1"/>
    <col min="45" max="45" width="9.875" customWidth="1"/>
    <col min="52" max="52" width="1.875" customWidth="1"/>
  </cols>
  <sheetData>
    <row r="1" spans="1:51" ht="14.25" thickBot="1">
      <c r="A1" s="702" t="s">
        <v>185</v>
      </c>
      <c r="B1" s="703"/>
      <c r="C1" s="703"/>
      <c r="D1" s="703"/>
      <c r="E1" s="703"/>
      <c r="F1" s="704"/>
      <c r="H1" s="757" t="str">
        <f>Summary!C1</f>
        <v>pcrm-dev-3.2-attr-ccp</v>
      </c>
      <c r="I1" s="758"/>
      <c r="J1" s="758"/>
      <c r="K1" s="758"/>
      <c r="L1" s="758"/>
      <c r="M1" s="758"/>
      <c r="N1" s="758"/>
      <c r="O1" s="758"/>
      <c r="P1" s="758"/>
      <c r="Q1" s="758"/>
      <c r="R1" s="758"/>
      <c r="S1" s="758"/>
      <c r="T1" s="758"/>
      <c r="U1" s="758"/>
      <c r="V1" s="758"/>
      <c r="W1" s="758"/>
      <c r="X1" s="759"/>
      <c r="Z1" s="708" t="str">
        <f>Summary!C2</f>
        <v>pcrm-dev-3.3-attr-cache-impr</v>
      </c>
      <c r="AA1" s="623"/>
      <c r="AB1" s="623"/>
      <c r="AC1" s="623"/>
      <c r="AD1" s="623"/>
      <c r="AE1" s="623"/>
      <c r="AF1" s="623"/>
      <c r="AG1" s="623"/>
      <c r="AH1" s="623"/>
      <c r="AI1" s="623"/>
      <c r="AJ1" s="623"/>
      <c r="AK1" s="623"/>
      <c r="AL1" s="623"/>
      <c r="AM1" s="623"/>
      <c r="AN1" s="623"/>
      <c r="AO1" s="623"/>
      <c r="AP1" s="624"/>
    </row>
    <row r="2" spans="1:51" ht="30" customHeight="1">
      <c r="A2" s="727" t="s">
        <v>48</v>
      </c>
      <c r="B2" s="721" t="s">
        <v>50</v>
      </c>
      <c r="C2" s="721" t="s">
        <v>54</v>
      </c>
      <c r="D2" s="721" t="s">
        <v>56</v>
      </c>
      <c r="E2" s="721" t="s">
        <v>58</v>
      </c>
      <c r="F2" s="723" t="s">
        <v>60</v>
      </c>
      <c r="H2" s="764" t="s">
        <v>143</v>
      </c>
      <c r="I2" s="760" t="s">
        <v>62</v>
      </c>
      <c r="J2" s="760" t="s">
        <v>64</v>
      </c>
      <c r="K2" s="760"/>
      <c r="L2" s="760"/>
      <c r="M2" s="760"/>
      <c r="N2" s="760" t="s">
        <v>498</v>
      </c>
      <c r="O2" s="760" t="s">
        <v>14</v>
      </c>
      <c r="P2" s="760" t="s">
        <v>75</v>
      </c>
      <c r="Q2" s="760"/>
      <c r="R2" s="760"/>
      <c r="S2" s="760"/>
      <c r="T2" s="760" t="s">
        <v>486</v>
      </c>
      <c r="U2" s="760" t="s">
        <v>499</v>
      </c>
      <c r="V2" s="760" t="s">
        <v>92</v>
      </c>
      <c r="W2" s="760" t="s">
        <v>94</v>
      </c>
      <c r="X2" s="761" t="s">
        <v>11</v>
      </c>
      <c r="Z2" s="719" t="s">
        <v>143</v>
      </c>
      <c r="AA2" s="713" t="s">
        <v>62</v>
      </c>
      <c r="AB2" s="713" t="s">
        <v>64</v>
      </c>
      <c r="AC2" s="713"/>
      <c r="AD2" s="713"/>
      <c r="AE2" s="713"/>
      <c r="AF2" s="713" t="s">
        <v>485</v>
      </c>
      <c r="AG2" s="713" t="s">
        <v>14</v>
      </c>
      <c r="AH2" s="713" t="s">
        <v>75</v>
      </c>
      <c r="AI2" s="713"/>
      <c r="AJ2" s="713"/>
      <c r="AK2" s="713"/>
      <c r="AL2" s="713" t="s">
        <v>911</v>
      </c>
      <c r="AM2" s="713" t="s">
        <v>910</v>
      </c>
      <c r="AN2" s="713" t="s">
        <v>92</v>
      </c>
      <c r="AO2" s="713" t="s">
        <v>94</v>
      </c>
      <c r="AP2" s="709" t="s">
        <v>11</v>
      </c>
      <c r="AR2" s="741" t="s">
        <v>146</v>
      </c>
      <c r="AS2" s="742"/>
      <c r="AT2" s="742"/>
      <c r="AU2" s="742"/>
      <c r="AV2" s="742" t="s">
        <v>117</v>
      </c>
      <c r="AW2" s="742" t="s">
        <v>119</v>
      </c>
      <c r="AX2" s="742" t="s">
        <v>500</v>
      </c>
      <c r="AY2" s="743" t="s">
        <v>501</v>
      </c>
    </row>
    <row r="3" spans="1:51" ht="27.75" thickBot="1">
      <c r="A3" s="766"/>
      <c r="B3" s="762"/>
      <c r="C3" s="762"/>
      <c r="D3" s="762"/>
      <c r="E3" s="762"/>
      <c r="F3" s="763"/>
      <c r="H3" s="765"/>
      <c r="I3" s="625"/>
      <c r="J3" s="223" t="s">
        <v>65</v>
      </c>
      <c r="K3" s="223" t="s">
        <v>67</v>
      </c>
      <c r="L3" s="223" t="s">
        <v>69</v>
      </c>
      <c r="M3" s="223" t="s">
        <v>71</v>
      </c>
      <c r="N3" s="625"/>
      <c r="O3" s="625"/>
      <c r="P3" s="223" t="s">
        <v>65</v>
      </c>
      <c r="Q3" s="223" t="s">
        <v>67</v>
      </c>
      <c r="R3" s="223" t="s">
        <v>78</v>
      </c>
      <c r="S3" s="223" t="s">
        <v>71</v>
      </c>
      <c r="T3" s="625"/>
      <c r="U3" s="625"/>
      <c r="V3" s="625"/>
      <c r="W3" s="625"/>
      <c r="X3" s="626"/>
      <c r="Z3" s="720"/>
      <c r="AA3" s="714"/>
      <c r="AB3" s="230" t="s">
        <v>65</v>
      </c>
      <c r="AC3" s="230" t="s">
        <v>67</v>
      </c>
      <c r="AD3" s="230" t="s">
        <v>69</v>
      </c>
      <c r="AE3" s="230" t="s">
        <v>71</v>
      </c>
      <c r="AF3" s="714"/>
      <c r="AG3" s="714"/>
      <c r="AH3" s="230" t="s">
        <v>65</v>
      </c>
      <c r="AI3" s="230" t="s">
        <v>67</v>
      </c>
      <c r="AJ3" s="230" t="s">
        <v>78</v>
      </c>
      <c r="AK3" s="230" t="s">
        <v>71</v>
      </c>
      <c r="AL3" s="714"/>
      <c r="AM3" s="714"/>
      <c r="AN3" s="714"/>
      <c r="AO3" s="714"/>
      <c r="AP3" s="710"/>
      <c r="AR3" s="71" t="s">
        <v>65</v>
      </c>
      <c r="AS3" s="72" t="s">
        <v>67</v>
      </c>
      <c r="AT3" s="72" t="s">
        <v>78</v>
      </c>
      <c r="AU3" s="72" t="s">
        <v>71</v>
      </c>
      <c r="AV3" s="691"/>
      <c r="AW3" s="691"/>
      <c r="AX3" s="691"/>
      <c r="AY3" s="693"/>
    </row>
    <row r="4" spans="1:51" ht="12.6" hidden="1" customHeight="1" thickBot="1">
      <c r="A4" s="97" t="s">
        <v>49</v>
      </c>
      <c r="B4" s="98" t="s">
        <v>51</v>
      </c>
      <c r="C4" s="98" t="s">
        <v>55</v>
      </c>
      <c r="D4" s="98" t="s">
        <v>57</v>
      </c>
      <c r="E4" s="98" t="s">
        <v>59</v>
      </c>
      <c r="F4" s="99" t="s">
        <v>61</v>
      </c>
      <c r="H4" s="97" t="s">
        <v>144</v>
      </c>
      <c r="I4" s="98" t="s">
        <v>63</v>
      </c>
      <c r="J4" s="98" t="s">
        <v>66</v>
      </c>
      <c r="K4" s="98" t="s">
        <v>68</v>
      </c>
      <c r="L4" s="98" t="s">
        <v>70</v>
      </c>
      <c r="M4" s="98" t="s">
        <v>72</v>
      </c>
      <c r="N4" s="98" t="s">
        <v>73</v>
      </c>
      <c r="O4" s="98" t="s">
        <v>74</v>
      </c>
      <c r="P4" s="98" t="s">
        <v>76</v>
      </c>
      <c r="Q4" s="98" t="s">
        <v>77</v>
      </c>
      <c r="R4" s="98" t="s">
        <v>79</v>
      </c>
      <c r="S4" s="98" t="s">
        <v>80</v>
      </c>
      <c r="T4" s="98" t="s">
        <v>89</v>
      </c>
      <c r="U4" s="98" t="s">
        <v>91</v>
      </c>
      <c r="V4" s="98" t="s">
        <v>93</v>
      </c>
      <c r="W4" s="98" t="s">
        <v>95</v>
      </c>
      <c r="X4" s="99" t="s">
        <v>96</v>
      </c>
      <c r="Z4" s="97" t="s">
        <v>145</v>
      </c>
      <c r="AA4" s="98" t="s">
        <v>97</v>
      </c>
      <c r="AB4" s="98" t="s">
        <v>98</v>
      </c>
      <c r="AC4" s="98" t="s">
        <v>99</v>
      </c>
      <c r="AD4" s="98" t="s">
        <v>100</v>
      </c>
      <c r="AE4" s="98" t="s">
        <v>101</v>
      </c>
      <c r="AF4" s="98" t="s">
        <v>102</v>
      </c>
      <c r="AG4" s="98" t="s">
        <v>103</v>
      </c>
      <c r="AH4" s="98" t="s">
        <v>104</v>
      </c>
      <c r="AI4" s="98" t="s">
        <v>105</v>
      </c>
      <c r="AJ4" s="98" t="s">
        <v>106</v>
      </c>
      <c r="AK4" s="98" t="s">
        <v>107</v>
      </c>
      <c r="AL4" s="98" t="s">
        <v>112</v>
      </c>
      <c r="AM4" s="98" t="s">
        <v>113</v>
      </c>
      <c r="AN4" s="98" t="s">
        <v>114</v>
      </c>
      <c r="AO4" s="98" t="s">
        <v>115</v>
      </c>
      <c r="AP4" s="99" t="s">
        <v>116</v>
      </c>
      <c r="AR4" s="97" t="s">
        <v>147</v>
      </c>
      <c r="AS4" s="98" t="s">
        <v>148</v>
      </c>
      <c r="AT4" s="98" t="s">
        <v>149</v>
      </c>
      <c r="AU4" s="98" t="s">
        <v>150</v>
      </c>
      <c r="AV4" s="98" t="s">
        <v>118</v>
      </c>
      <c r="AW4" s="98" t="s">
        <v>120</v>
      </c>
      <c r="AX4" s="98" t="s">
        <v>505</v>
      </c>
      <c r="AY4" s="99" t="s">
        <v>509</v>
      </c>
    </row>
    <row r="5" spans="1:51" s="144" customFormat="1" collapsed="1">
      <c r="A5" s="140" t="s">
        <v>1140</v>
      </c>
      <c r="B5" s="290" t="s">
        <v>983</v>
      </c>
      <c r="C5" s="300">
        <v>9378695</v>
      </c>
      <c r="D5" s="299">
        <v>17</v>
      </c>
      <c r="E5" s="299">
        <v>1</v>
      </c>
      <c r="F5" s="309"/>
      <c r="H5" s="151">
        <f>IF(ISBLANK(P5),"·",P5/(C5*D5*3))</f>
        <v>0.51278550198395534</v>
      </c>
      <c r="I5" s="152" t="str">
        <f t="shared" ref="I5:I7" si="0">IF(OR(ISBLANK(P5),ISBLANK(F5)),"·",P5*F5/E5/1000000)</f>
        <v>·</v>
      </c>
      <c r="J5" s="153">
        <f t="shared" ref="J5:J7" si="1">IF(ISBLANK(P5),"·",P5/C5)</f>
        <v>26.15206060118172</v>
      </c>
      <c r="K5" s="153">
        <f t="shared" ref="K5:K7" si="2">IF(Q5="","·",Q5/C5)</f>
        <v>15.231585204551379</v>
      </c>
      <c r="L5" s="154"/>
      <c r="M5" s="153">
        <f t="shared" ref="M5:M7" si="3">IF(ISBLANK(Q5),"·",S5/C5)</f>
        <v>10.92040289187355</v>
      </c>
      <c r="N5" s="153">
        <f t="shared" ref="N5:N7" si="4">IF(ISBLANK(P5),"·",P5/O5)</f>
        <v>26.15206060118172</v>
      </c>
      <c r="O5" s="352">
        <v>9378695</v>
      </c>
      <c r="P5" s="142">
        <v>245272200</v>
      </c>
      <c r="Q5" s="142">
        <v>142852392</v>
      </c>
      <c r="R5" s="104"/>
      <c r="S5" s="142">
        <v>102419128</v>
      </c>
      <c r="T5" s="155"/>
      <c r="U5" s="155"/>
      <c r="V5" s="156">
        <v>0</v>
      </c>
      <c r="W5" s="156">
        <v>0</v>
      </c>
      <c r="X5" s="157"/>
      <c r="Z5" s="151">
        <f>IF(ISBLANK(AH5),"·",AH5/(C5*D5*3))</f>
        <v>0.51278550198395534</v>
      </c>
      <c r="AA5" s="152" t="str">
        <f t="shared" ref="AA5:AA7" si="5">IF(OR(ISBLANK(AH5),ISBLANK(F5)),"·",AH5*F5/E5/1000000)</f>
        <v>·</v>
      </c>
      <c r="AB5" s="153">
        <f t="shared" ref="AB5:AB7" si="6">IF(ISBLANK(AH5),"·",AH5/C5)</f>
        <v>26.15206060118172</v>
      </c>
      <c r="AC5" s="153">
        <f t="shared" ref="AC5:AC7" si="7">IF(AI5="","·",AI5/$C5)</f>
        <v>15.231585204551379</v>
      </c>
      <c r="AD5" s="104"/>
      <c r="AE5" s="153">
        <f t="shared" ref="AE5:AE7" si="8">IF(ISBLANK(AI5),"·",AK5/C5)</f>
        <v>10.92040289187355</v>
      </c>
      <c r="AF5" s="153">
        <f t="shared" ref="AF5:AF7" si="9">IF(ISBLANK(AH5),"·",AH5/AG5)</f>
        <v>26.15206060118172</v>
      </c>
      <c r="AG5" s="352">
        <v>9378695</v>
      </c>
      <c r="AH5" s="142">
        <v>245272200</v>
      </c>
      <c r="AI5" s="142">
        <v>142852392</v>
      </c>
      <c r="AJ5" s="104"/>
      <c r="AK5" s="142">
        <v>102419128</v>
      </c>
      <c r="AL5" s="155">
        <v>37.94</v>
      </c>
      <c r="AM5" s="155">
        <v>25.707999999999998</v>
      </c>
      <c r="AN5" s="156">
        <v>0</v>
      </c>
      <c r="AO5" s="156">
        <v>0</v>
      </c>
      <c r="AP5" s="157"/>
      <c r="AR5" s="172">
        <f t="shared" ref="AR5:AR7" si="10">AB5/J5</f>
        <v>1</v>
      </c>
      <c r="AS5" s="173">
        <f t="shared" ref="AS5:AS7" si="11">AC5/K5</f>
        <v>1</v>
      </c>
      <c r="AT5" s="104"/>
      <c r="AU5" s="173">
        <f t="shared" ref="AU5:AU7" si="12">AE5/M5</f>
        <v>1</v>
      </c>
      <c r="AV5" s="174" t="e">
        <f t="shared" ref="AV5:AV7" si="13">AN5/V5</f>
        <v>#DIV/0!</v>
      </c>
      <c r="AW5" s="174" t="e">
        <f t="shared" ref="AW5:AW7" si="14">AO5/W5</f>
        <v>#DIV/0!</v>
      </c>
      <c r="AX5" s="174">
        <f t="shared" ref="AX5:AX7" si="15">(AI5/AH5) - (Q5/P5)</f>
        <v>0</v>
      </c>
      <c r="AY5" s="175">
        <f t="array" ref="AY5">AVERAGE(AI5:AI5/AH5:AH5) - AVERAGE(Q5:Q5/P5:P5)</f>
        <v>0</v>
      </c>
    </row>
    <row r="6" spans="1:51" s="144" customFormat="1" collapsed="1">
      <c r="A6" s="145"/>
      <c r="B6" s="295" t="s">
        <v>984</v>
      </c>
      <c r="C6" s="300">
        <v>9477876</v>
      </c>
      <c r="D6" s="299">
        <v>19</v>
      </c>
      <c r="E6" s="299">
        <v>1</v>
      </c>
      <c r="F6" s="310"/>
      <c r="H6" s="158">
        <f t="shared" ref="H6:H7" si="16">IF(ISBLANK(P6),"·",P6/(C6*D6*3))</f>
        <v>0.49011065348396626</v>
      </c>
      <c r="I6" s="159" t="str">
        <f t="shared" si="0"/>
        <v>·</v>
      </c>
      <c r="J6" s="160">
        <f t="shared" si="1"/>
        <v>27.936307248586076</v>
      </c>
      <c r="K6" s="160">
        <f t="shared" si="2"/>
        <v>16.495123590981777</v>
      </c>
      <c r="L6" s="161"/>
      <c r="M6" s="160">
        <f t="shared" si="3"/>
        <v>11.441106003074951</v>
      </c>
      <c r="N6" s="160">
        <f t="shared" si="4"/>
        <v>27.936307248586076</v>
      </c>
      <c r="O6" s="356">
        <v>9477876</v>
      </c>
      <c r="P6" s="147">
        <v>264776856</v>
      </c>
      <c r="Q6" s="147">
        <v>156338736</v>
      </c>
      <c r="R6" s="106"/>
      <c r="S6" s="147">
        <v>108437384</v>
      </c>
      <c r="T6" s="162"/>
      <c r="U6" s="162"/>
      <c r="V6" s="163">
        <v>0</v>
      </c>
      <c r="W6" s="163">
        <v>0</v>
      </c>
      <c r="X6" s="164"/>
      <c r="Z6" s="158">
        <f t="shared" ref="Z6:Z26" si="17">IF(ISBLANK(AH6),"·",AH6/(C6*D6*3))</f>
        <v>0.49011065348396626</v>
      </c>
      <c r="AA6" s="159" t="str">
        <f t="shared" si="5"/>
        <v>·</v>
      </c>
      <c r="AB6" s="160">
        <f t="shared" si="6"/>
        <v>27.936307248586076</v>
      </c>
      <c r="AC6" s="160">
        <f t="shared" si="7"/>
        <v>16.495123590981777</v>
      </c>
      <c r="AD6" s="106"/>
      <c r="AE6" s="160">
        <f t="shared" si="8"/>
        <v>11.441106003074951</v>
      </c>
      <c r="AF6" s="160">
        <f t="shared" si="9"/>
        <v>27.936307248586076</v>
      </c>
      <c r="AG6" s="356">
        <v>9477876</v>
      </c>
      <c r="AH6" s="147">
        <v>264776856</v>
      </c>
      <c r="AI6" s="147">
        <v>156338736</v>
      </c>
      <c r="AJ6" s="106"/>
      <c r="AK6" s="147">
        <v>108437384</v>
      </c>
      <c r="AL6" s="162">
        <v>38.392000000000003</v>
      </c>
      <c r="AM6" s="162">
        <v>26.471</v>
      </c>
      <c r="AN6" s="163">
        <v>0</v>
      </c>
      <c r="AO6" s="163">
        <v>0</v>
      </c>
      <c r="AP6" s="164"/>
      <c r="AR6" s="176">
        <f t="shared" si="10"/>
        <v>1</v>
      </c>
      <c r="AS6" s="177">
        <f t="shared" si="11"/>
        <v>1</v>
      </c>
      <c r="AT6" s="106"/>
      <c r="AU6" s="177">
        <f t="shared" si="12"/>
        <v>1</v>
      </c>
      <c r="AV6" s="178" t="e">
        <f t="shared" si="13"/>
        <v>#DIV/0!</v>
      </c>
      <c r="AW6" s="178" t="e">
        <f t="shared" si="14"/>
        <v>#DIV/0!</v>
      </c>
      <c r="AX6" s="178">
        <f t="shared" si="15"/>
        <v>0</v>
      </c>
      <c r="AY6" s="179">
        <f t="array" ref="AY6">AVERAGE(AI6:AI6/AH6:AH6) - AVERAGE(Q6:Q6/P6:P6)</f>
        <v>0</v>
      </c>
    </row>
    <row r="7" spans="1:51" s="114" customFormat="1" ht="14.25" collapsed="1" thickBot="1">
      <c r="A7" s="145"/>
      <c r="B7" s="291" t="s">
        <v>985</v>
      </c>
      <c r="C7" s="300">
        <v>9740660</v>
      </c>
      <c r="D7" s="299">
        <v>20</v>
      </c>
      <c r="E7" s="299">
        <v>1</v>
      </c>
      <c r="F7" s="310"/>
      <c r="G7" s="219"/>
      <c r="H7" s="158">
        <f t="shared" si="16"/>
        <v>0.43149077509463768</v>
      </c>
      <c r="I7" s="159" t="str">
        <f t="shared" si="0"/>
        <v>·</v>
      </c>
      <c r="J7" s="160">
        <f t="shared" si="1"/>
        <v>25.889446505678261</v>
      </c>
      <c r="K7" s="160">
        <f t="shared" si="2"/>
        <v>15.062052879373677</v>
      </c>
      <c r="L7" s="161"/>
      <c r="M7" s="160">
        <f t="shared" si="3"/>
        <v>10.82731806674291</v>
      </c>
      <c r="N7" s="160">
        <f t="shared" si="4"/>
        <v>25.889446505678261</v>
      </c>
      <c r="O7" s="356">
        <v>9740660</v>
      </c>
      <c r="P7" s="147">
        <v>252180296</v>
      </c>
      <c r="Q7" s="147">
        <v>146714336</v>
      </c>
      <c r="R7" s="106"/>
      <c r="S7" s="147">
        <v>105465224</v>
      </c>
      <c r="T7" s="162"/>
      <c r="U7" s="162"/>
      <c r="V7" s="163">
        <v>0</v>
      </c>
      <c r="W7" s="163">
        <v>0</v>
      </c>
      <c r="X7" s="164"/>
      <c r="Y7" s="219"/>
      <c r="Z7" s="158">
        <f t="shared" si="17"/>
        <v>0.43149077509463768</v>
      </c>
      <c r="AA7" s="159" t="str">
        <f t="shared" si="5"/>
        <v>·</v>
      </c>
      <c r="AB7" s="160">
        <f t="shared" si="6"/>
        <v>25.889446505678261</v>
      </c>
      <c r="AC7" s="160">
        <f t="shared" si="7"/>
        <v>15.062052879373677</v>
      </c>
      <c r="AD7" s="106"/>
      <c r="AE7" s="160">
        <f t="shared" si="8"/>
        <v>10.82731806674291</v>
      </c>
      <c r="AF7" s="160">
        <f t="shared" si="9"/>
        <v>25.889446505678261</v>
      </c>
      <c r="AG7" s="356">
        <v>9740660</v>
      </c>
      <c r="AH7" s="147">
        <v>252180296</v>
      </c>
      <c r="AI7" s="147">
        <v>146714336</v>
      </c>
      <c r="AJ7" s="106"/>
      <c r="AK7" s="147">
        <v>105465224</v>
      </c>
      <c r="AL7" s="162">
        <v>46.627000000000002</v>
      </c>
      <c r="AM7" s="162">
        <v>31.352</v>
      </c>
      <c r="AN7" s="163">
        <v>0</v>
      </c>
      <c r="AO7" s="163">
        <v>0</v>
      </c>
      <c r="AP7" s="164"/>
      <c r="AQ7" s="219"/>
      <c r="AR7" s="176">
        <f t="shared" si="10"/>
        <v>1</v>
      </c>
      <c r="AS7" s="177">
        <f t="shared" si="11"/>
        <v>1</v>
      </c>
      <c r="AT7" s="106"/>
      <c r="AU7" s="177">
        <f t="shared" si="12"/>
        <v>1</v>
      </c>
      <c r="AV7" s="182" t="e">
        <f t="shared" si="13"/>
        <v>#DIV/0!</v>
      </c>
      <c r="AW7" s="182" t="e">
        <f t="shared" si="14"/>
        <v>#DIV/0!</v>
      </c>
      <c r="AX7" s="182">
        <f t="shared" si="15"/>
        <v>0</v>
      </c>
      <c r="AY7" s="183">
        <f t="array" ref="AY7">AVERAGE(AI7:AI7/AH7:AH7) - AVERAGE(Q7:Q7/P7:P7)</f>
        <v>0</v>
      </c>
    </row>
    <row r="8" spans="1:51" s="144" customFormat="1" collapsed="1">
      <c r="A8" s="145"/>
      <c r="B8" s="295" t="s">
        <v>986</v>
      </c>
      <c r="C8" s="307">
        <v>5865647</v>
      </c>
      <c r="D8" s="299">
        <v>19</v>
      </c>
      <c r="E8" s="299">
        <v>1</v>
      </c>
      <c r="F8" s="310"/>
      <c r="H8" s="526">
        <f t="shared" ref="H8:H17" si="18">IF(ISBLANK(P8),"·",P8/(C8*D8*3))</f>
        <v>0.46373174806497991</v>
      </c>
      <c r="I8" s="527" t="str">
        <f t="shared" ref="I8:I17" si="19">IF(OR(ISBLANK(P8),ISBLANK(F8)),"·",P8*F8/E8/1000000)</f>
        <v>·</v>
      </c>
      <c r="J8" s="528">
        <f t="shared" ref="J8:J17" si="20">IF(ISBLANK(P8),"·",P8/C8)</f>
        <v>26.432709639703855</v>
      </c>
      <c r="K8" s="528">
        <f t="shared" ref="K8:K17" si="21">IF(Q8="","·",Q8/C8)</f>
        <v>15.243402134495989</v>
      </c>
      <c r="L8" s="529"/>
      <c r="M8" s="528">
        <f t="shared" ref="M8:M10" si="22">IF(ISBLANK(Q8),"·",S8/C8)</f>
        <v>11.189191575967664</v>
      </c>
      <c r="N8" s="528">
        <f t="shared" ref="N8:N17" si="23">IF(ISBLANK(P8),"·",P8/O8)</f>
        <v>26.432709639703855</v>
      </c>
      <c r="O8" s="364">
        <v>5865647</v>
      </c>
      <c r="P8" s="530">
        <v>155044944</v>
      </c>
      <c r="Q8" s="530">
        <v>89412416</v>
      </c>
      <c r="R8" s="138"/>
      <c r="S8" s="530">
        <v>65631848</v>
      </c>
      <c r="T8" s="531"/>
      <c r="U8" s="531"/>
      <c r="V8" s="532">
        <v>0</v>
      </c>
      <c r="W8" s="532">
        <v>0</v>
      </c>
      <c r="X8" s="533"/>
      <c r="Z8" s="526">
        <f t="shared" si="17"/>
        <v>0.46373174806497991</v>
      </c>
      <c r="AA8" s="527" t="str">
        <f t="shared" ref="AA8:AA17" si="24">IF(OR(ISBLANK(AH8),ISBLANK(F8)),"·",AH8*F8/E8/1000000)</f>
        <v>·</v>
      </c>
      <c r="AB8" s="528">
        <f t="shared" ref="AB8:AB17" si="25">IF(ISBLANK(AH8),"·",AH8/C8)</f>
        <v>26.432709639703855</v>
      </c>
      <c r="AC8" s="528">
        <f t="shared" ref="AC8:AD17" si="26">IF(AI8="","·",AI8/$C8)</f>
        <v>15.243402134495989</v>
      </c>
      <c r="AD8" s="138"/>
      <c r="AE8" s="528">
        <f t="shared" ref="AE8:AE10" si="27">IF(ISBLANK(AI8),"·",AK8/C8)</f>
        <v>11.189191575967664</v>
      </c>
      <c r="AF8" s="528">
        <f t="shared" ref="AF8:AF17" si="28">IF(ISBLANK(AH8),"·",AH8/AG8)</f>
        <v>26.432709639703855</v>
      </c>
      <c r="AG8" s="364">
        <v>5865647</v>
      </c>
      <c r="AH8" s="530">
        <v>155044944</v>
      </c>
      <c r="AI8" s="530">
        <v>89412416</v>
      </c>
      <c r="AJ8" s="138"/>
      <c r="AK8" s="530">
        <v>65631848</v>
      </c>
      <c r="AL8" s="531">
        <v>25.523</v>
      </c>
      <c r="AM8" s="531">
        <v>19.396999999999998</v>
      </c>
      <c r="AN8" s="532">
        <v>0</v>
      </c>
      <c r="AO8" s="532">
        <v>0</v>
      </c>
      <c r="AP8" s="533"/>
      <c r="AR8" s="240">
        <f t="shared" ref="AR8:AR17" si="29">AB8/J8</f>
        <v>1</v>
      </c>
      <c r="AS8" s="241">
        <f t="shared" ref="AS8:AT17" si="30">AC8/K8</f>
        <v>1</v>
      </c>
      <c r="AT8" s="138"/>
      <c r="AU8" s="241">
        <f t="shared" ref="AU8:AU10" si="31">AE8/M8</f>
        <v>1</v>
      </c>
      <c r="AV8" s="174" t="e">
        <f t="shared" ref="AV8:AV17" si="32">AN8/V8</f>
        <v>#DIV/0!</v>
      </c>
      <c r="AW8" s="174" t="e">
        <f t="shared" ref="AW8:AW17" si="33">AO8/W8</f>
        <v>#DIV/0!</v>
      </c>
      <c r="AX8" s="174">
        <f t="shared" ref="AX8:AX17" si="34">(AI8/AH8) - (Q8/P8)</f>
        <v>0</v>
      </c>
      <c r="AY8" s="175">
        <f t="array" ref="AY8">AVERAGE(AI8:AI8/AH8:AH8) - AVERAGE(Q8:Q8/P8:P8)</f>
        <v>0</v>
      </c>
    </row>
    <row r="9" spans="1:51" s="144" customFormat="1" collapsed="1">
      <c r="A9" s="145"/>
      <c r="B9" s="291" t="s">
        <v>987</v>
      </c>
      <c r="C9" s="300">
        <v>5538380</v>
      </c>
      <c r="D9" s="299">
        <v>19</v>
      </c>
      <c r="E9" s="299">
        <v>1</v>
      </c>
      <c r="F9" s="310"/>
      <c r="H9" s="158">
        <f t="shared" si="18"/>
        <v>0.49557778723438223</v>
      </c>
      <c r="I9" s="159" t="str">
        <f t="shared" si="19"/>
        <v>·</v>
      </c>
      <c r="J9" s="160">
        <f t="shared" si="20"/>
        <v>28.247933872359788</v>
      </c>
      <c r="K9" s="160">
        <f t="shared" si="21"/>
        <v>16.990158132883622</v>
      </c>
      <c r="L9" s="161"/>
      <c r="M9" s="160">
        <f t="shared" si="22"/>
        <v>11.257644293096538</v>
      </c>
      <c r="N9" s="160">
        <f t="shared" si="23"/>
        <v>28.247933872359788</v>
      </c>
      <c r="O9" s="356">
        <v>5538380</v>
      </c>
      <c r="P9" s="147">
        <v>156447792</v>
      </c>
      <c r="Q9" s="147">
        <v>94097952</v>
      </c>
      <c r="R9" s="106"/>
      <c r="S9" s="147">
        <v>62349112</v>
      </c>
      <c r="T9" s="162"/>
      <c r="U9" s="162"/>
      <c r="V9" s="163">
        <v>0</v>
      </c>
      <c r="W9" s="163">
        <v>0</v>
      </c>
      <c r="X9" s="164"/>
      <c r="Z9" s="158">
        <f t="shared" si="17"/>
        <v>0.49557778723438223</v>
      </c>
      <c r="AA9" s="159" t="str">
        <f t="shared" si="24"/>
        <v>·</v>
      </c>
      <c r="AB9" s="160">
        <f t="shared" si="25"/>
        <v>28.247933872359788</v>
      </c>
      <c r="AC9" s="160">
        <f t="shared" si="26"/>
        <v>16.990158132883622</v>
      </c>
      <c r="AD9" s="106"/>
      <c r="AE9" s="160">
        <f t="shared" si="27"/>
        <v>11.257644293096538</v>
      </c>
      <c r="AF9" s="160">
        <f t="shared" si="28"/>
        <v>28.247933872359788</v>
      </c>
      <c r="AG9" s="356">
        <v>5538380</v>
      </c>
      <c r="AH9" s="147">
        <v>156447792</v>
      </c>
      <c r="AI9" s="147">
        <v>94097952</v>
      </c>
      <c r="AJ9" s="106"/>
      <c r="AK9" s="147">
        <v>62349112</v>
      </c>
      <c r="AL9" s="162">
        <v>22.917999999999999</v>
      </c>
      <c r="AM9" s="162">
        <v>15.731</v>
      </c>
      <c r="AN9" s="163">
        <v>0</v>
      </c>
      <c r="AO9" s="163">
        <v>0</v>
      </c>
      <c r="AP9" s="164"/>
      <c r="AR9" s="176">
        <f t="shared" si="29"/>
        <v>1</v>
      </c>
      <c r="AS9" s="177">
        <f t="shared" si="30"/>
        <v>1</v>
      </c>
      <c r="AT9" s="106"/>
      <c r="AU9" s="177">
        <f t="shared" si="31"/>
        <v>1</v>
      </c>
      <c r="AV9" s="178" t="e">
        <f t="shared" si="32"/>
        <v>#DIV/0!</v>
      </c>
      <c r="AW9" s="178" t="e">
        <f t="shared" si="33"/>
        <v>#DIV/0!</v>
      </c>
      <c r="AX9" s="178">
        <f t="shared" si="34"/>
        <v>0</v>
      </c>
      <c r="AY9" s="179">
        <f t="array" ref="AY9">AVERAGE(AI9:AI9/AH9:AH9) - AVERAGE(Q9:Q9/P9:P9)</f>
        <v>0</v>
      </c>
    </row>
    <row r="10" spans="1:51" s="114" customFormat="1" ht="14.25" collapsed="1" thickBot="1">
      <c r="A10" s="220"/>
      <c r="B10" s="292" t="s">
        <v>989</v>
      </c>
      <c r="C10" s="301">
        <v>7740280</v>
      </c>
      <c r="D10" s="302">
        <v>19</v>
      </c>
      <c r="E10" s="302">
        <v>1</v>
      </c>
      <c r="F10" s="312"/>
      <c r="G10" s="219"/>
      <c r="H10" s="165">
        <f t="shared" si="18"/>
        <v>0.46457237731732631</v>
      </c>
      <c r="I10" s="166" t="str">
        <f t="shared" si="19"/>
        <v>·</v>
      </c>
      <c r="J10" s="167">
        <f t="shared" si="20"/>
        <v>26.480625507087598</v>
      </c>
      <c r="K10" s="167">
        <f t="shared" si="21"/>
        <v>15.461782777884004</v>
      </c>
      <c r="L10" s="168"/>
      <c r="M10" s="167">
        <f t="shared" si="22"/>
        <v>11.018750742867184</v>
      </c>
      <c r="N10" s="167">
        <f t="shared" si="23"/>
        <v>26.480625507087598</v>
      </c>
      <c r="O10" s="360">
        <v>7740280</v>
      </c>
      <c r="P10" s="150">
        <v>204967456</v>
      </c>
      <c r="Q10" s="150">
        <v>119678528</v>
      </c>
      <c r="R10" s="109"/>
      <c r="S10" s="150">
        <v>85288216</v>
      </c>
      <c r="T10" s="169"/>
      <c r="U10" s="169"/>
      <c r="V10" s="170">
        <v>0</v>
      </c>
      <c r="W10" s="170">
        <v>0</v>
      </c>
      <c r="X10" s="171"/>
      <c r="Y10" s="219"/>
      <c r="Z10" s="165">
        <f t="shared" si="17"/>
        <v>0.46457237731732631</v>
      </c>
      <c r="AA10" s="166" t="str">
        <f t="shared" si="24"/>
        <v>·</v>
      </c>
      <c r="AB10" s="167">
        <f t="shared" si="25"/>
        <v>26.480625507087598</v>
      </c>
      <c r="AC10" s="167">
        <f t="shared" si="26"/>
        <v>15.461782777884004</v>
      </c>
      <c r="AD10" s="109"/>
      <c r="AE10" s="167">
        <f t="shared" si="27"/>
        <v>11.018750742867184</v>
      </c>
      <c r="AF10" s="167">
        <f t="shared" si="28"/>
        <v>26.480625507087598</v>
      </c>
      <c r="AG10" s="360">
        <v>7740280</v>
      </c>
      <c r="AH10" s="150">
        <v>204967456</v>
      </c>
      <c r="AI10" s="150">
        <v>119678528</v>
      </c>
      <c r="AJ10" s="109"/>
      <c r="AK10" s="150">
        <v>85288216</v>
      </c>
      <c r="AL10" s="169">
        <v>35.439</v>
      </c>
      <c r="AM10" s="169">
        <v>23.181000000000001</v>
      </c>
      <c r="AN10" s="170">
        <v>0</v>
      </c>
      <c r="AO10" s="170">
        <v>0</v>
      </c>
      <c r="AP10" s="171"/>
      <c r="AQ10" s="219"/>
      <c r="AR10" s="180">
        <f t="shared" si="29"/>
        <v>1</v>
      </c>
      <c r="AS10" s="181">
        <f t="shared" si="30"/>
        <v>1</v>
      </c>
      <c r="AT10" s="109"/>
      <c r="AU10" s="181">
        <f t="shared" si="31"/>
        <v>1</v>
      </c>
      <c r="AV10" s="182" t="e">
        <f t="shared" si="32"/>
        <v>#DIV/0!</v>
      </c>
      <c r="AW10" s="182" t="e">
        <f t="shared" si="33"/>
        <v>#DIV/0!</v>
      </c>
      <c r="AX10" s="182">
        <f t="shared" si="34"/>
        <v>0</v>
      </c>
      <c r="AY10" s="183">
        <f t="array" ref="AY10">AVERAGE(AI10:AI10/AH10:AH10) - AVERAGE(Q10:Q10/P10:P10)</f>
        <v>0</v>
      </c>
    </row>
    <row r="11" spans="1:51" s="144" customFormat="1" collapsed="1">
      <c r="A11" s="96" t="s">
        <v>1123</v>
      </c>
      <c r="B11" s="496" t="s">
        <v>1145</v>
      </c>
      <c r="C11" s="478">
        <v>47062018</v>
      </c>
      <c r="D11" s="28">
        <v>20</v>
      </c>
      <c r="E11" s="28">
        <v>1</v>
      </c>
      <c r="F11" s="29"/>
      <c r="H11" s="151">
        <f t="shared" si="18"/>
        <v>0.57560626774086343</v>
      </c>
      <c r="I11" s="152" t="str">
        <f t="shared" si="19"/>
        <v>·</v>
      </c>
      <c r="J11" s="153">
        <f t="shared" si="20"/>
        <v>34.536376064451808</v>
      </c>
      <c r="K11" s="153">
        <f t="shared" si="21"/>
        <v>24.375181191762749</v>
      </c>
      <c r="L11" s="153">
        <f>IF(R11="","·",R11/C11)</f>
        <v>10.161183313473723</v>
      </c>
      <c r="M11" s="154"/>
      <c r="N11" s="153">
        <f t="shared" si="23"/>
        <v>34.536376064451808</v>
      </c>
      <c r="O11" s="364">
        <v>47062018</v>
      </c>
      <c r="P11" s="142">
        <v>1625351552</v>
      </c>
      <c r="Q11" s="142">
        <v>1147145216</v>
      </c>
      <c r="R11" s="142">
        <v>478205792</v>
      </c>
      <c r="S11" s="104"/>
      <c r="T11" s="155">
        <v>175.44200000000001</v>
      </c>
      <c r="U11" s="155">
        <v>117.99299999999999</v>
      </c>
      <c r="V11" s="156">
        <v>0</v>
      </c>
      <c r="W11" s="156">
        <v>0</v>
      </c>
      <c r="X11" s="157"/>
      <c r="Y11" s="221"/>
      <c r="Z11" s="151">
        <f t="shared" si="17"/>
        <v>0.57476343095473159</v>
      </c>
      <c r="AA11" s="152" t="str">
        <f t="shared" si="24"/>
        <v>·</v>
      </c>
      <c r="AB11" s="153">
        <f t="shared" si="25"/>
        <v>34.485805857283893</v>
      </c>
      <c r="AC11" s="153">
        <f t="shared" si="26"/>
        <v>24.375181191762749</v>
      </c>
      <c r="AD11" s="160">
        <f t="shared" si="26"/>
        <v>10.110613106305811</v>
      </c>
      <c r="AE11" s="104"/>
      <c r="AF11" s="153">
        <f t="shared" si="28"/>
        <v>34.485805857283893</v>
      </c>
      <c r="AG11" s="364">
        <v>47062018</v>
      </c>
      <c r="AH11" s="142">
        <v>1622971616</v>
      </c>
      <c r="AI11" s="142">
        <v>1147145216</v>
      </c>
      <c r="AJ11" s="142">
        <v>475825856</v>
      </c>
      <c r="AK11" s="104"/>
      <c r="AL11" s="155">
        <v>289.48</v>
      </c>
      <c r="AM11" s="155">
        <v>231.32400000000001</v>
      </c>
      <c r="AN11" s="156">
        <v>0</v>
      </c>
      <c r="AO11" s="156">
        <v>0</v>
      </c>
      <c r="AP11" s="157"/>
      <c r="AR11" s="172">
        <f t="shared" si="29"/>
        <v>0.9985357407773896</v>
      </c>
      <c r="AS11" s="173">
        <f t="shared" si="30"/>
        <v>1</v>
      </c>
      <c r="AT11" s="173">
        <f t="shared" si="30"/>
        <v>0.99502319704233111</v>
      </c>
      <c r="AU11" s="104"/>
      <c r="AV11" s="174" t="e">
        <f t="shared" si="32"/>
        <v>#DIV/0!</v>
      </c>
      <c r="AW11" s="174" t="e">
        <f t="shared" si="33"/>
        <v>#DIV/0!</v>
      </c>
      <c r="AX11" s="174">
        <f t="shared" si="34"/>
        <v>1.0349644723554041E-3</v>
      </c>
      <c r="AY11" s="175">
        <f t="array" ref="AY11">AVERAGE(AI11:AI11/AH11:AH11) - AVERAGE(Q11:Q11/P11:P11)</f>
        <v>1.0349644723554041E-3</v>
      </c>
    </row>
    <row r="12" spans="1:51" s="144" customFormat="1" collapsed="1">
      <c r="A12" s="145"/>
      <c r="B12" s="497" t="s">
        <v>1146</v>
      </c>
      <c r="C12" s="479">
        <v>43399207</v>
      </c>
      <c r="D12" s="15">
        <v>20</v>
      </c>
      <c r="E12" s="15">
        <v>1</v>
      </c>
      <c r="F12" s="16"/>
      <c r="H12" s="158">
        <f t="shared" si="18"/>
        <v>0.60299769686267923</v>
      </c>
      <c r="I12" s="159" t="str">
        <f t="shared" si="19"/>
        <v>·</v>
      </c>
      <c r="J12" s="160">
        <f t="shared" si="20"/>
        <v>36.179861811760752</v>
      </c>
      <c r="K12" s="160">
        <f t="shared" si="21"/>
        <v>25.480300043270375</v>
      </c>
      <c r="L12" s="160">
        <f t="shared" ref="L12:L14" si="35">IF(R12="","·",R12/C12)</f>
        <v>10.699548680693635</v>
      </c>
      <c r="M12" s="161"/>
      <c r="N12" s="160">
        <f t="shared" si="23"/>
        <v>36.179861811760752</v>
      </c>
      <c r="O12" s="356">
        <v>43399207</v>
      </c>
      <c r="P12" s="147">
        <v>1570177312</v>
      </c>
      <c r="Q12" s="147">
        <v>1105824816</v>
      </c>
      <c r="R12" s="147">
        <v>464351928</v>
      </c>
      <c r="S12" s="106"/>
      <c r="T12" s="162">
        <v>169.75399999999999</v>
      </c>
      <c r="U12" s="162">
        <v>109.43899999999999</v>
      </c>
      <c r="V12" s="163">
        <v>0</v>
      </c>
      <c r="W12" s="163">
        <v>0</v>
      </c>
      <c r="X12" s="164"/>
      <c r="Y12" s="221"/>
      <c r="Z12" s="158">
        <f t="shared" si="17"/>
        <v>0.60169408471756947</v>
      </c>
      <c r="AA12" s="159" t="str">
        <f t="shared" si="24"/>
        <v>·</v>
      </c>
      <c r="AB12" s="160">
        <f t="shared" si="25"/>
        <v>36.101645083054166</v>
      </c>
      <c r="AC12" s="160">
        <f t="shared" si="26"/>
        <v>25.480300043270375</v>
      </c>
      <c r="AD12" s="160">
        <f t="shared" si="26"/>
        <v>10.621331951987049</v>
      </c>
      <c r="AE12" s="106"/>
      <c r="AF12" s="160">
        <f t="shared" si="28"/>
        <v>36.101645083054166</v>
      </c>
      <c r="AG12" s="356">
        <v>43399207</v>
      </c>
      <c r="AH12" s="147">
        <v>1566782768</v>
      </c>
      <c r="AI12" s="147">
        <v>1105824816</v>
      </c>
      <c r="AJ12" s="147">
        <v>460957384</v>
      </c>
      <c r="AK12" s="106"/>
      <c r="AL12" s="162">
        <v>264.01299999999998</v>
      </c>
      <c r="AM12" s="162">
        <v>238.27099999999999</v>
      </c>
      <c r="AN12" s="163">
        <v>0</v>
      </c>
      <c r="AO12" s="163">
        <v>0</v>
      </c>
      <c r="AP12" s="164"/>
      <c r="AR12" s="176">
        <f t="shared" si="29"/>
        <v>0.99783811422184143</v>
      </c>
      <c r="AS12" s="177">
        <f t="shared" si="30"/>
        <v>1</v>
      </c>
      <c r="AT12" s="177">
        <f t="shared" si="30"/>
        <v>0.99268971701136133</v>
      </c>
      <c r="AU12" s="138"/>
      <c r="AV12" s="178" t="e">
        <f t="shared" si="32"/>
        <v>#DIV/0!</v>
      </c>
      <c r="AW12" s="178" t="e">
        <f t="shared" si="33"/>
        <v>#DIV/0!</v>
      </c>
      <c r="AX12" s="178">
        <f t="shared" si="34"/>
        <v>1.525844546973687E-3</v>
      </c>
      <c r="AY12" s="179">
        <f t="array" ref="AY12">AVERAGE(AI12:AI12/AH12:AH12) - AVERAGE(Q12:Q12/P12:P12)</f>
        <v>1.525844546973687E-3</v>
      </c>
    </row>
    <row r="13" spans="1:51" s="114" customFormat="1" ht="14.25" collapsed="1" thickBot="1">
      <c r="A13" s="220"/>
      <c r="B13" s="497" t="s">
        <v>1147</v>
      </c>
      <c r="C13" s="479">
        <v>67599953</v>
      </c>
      <c r="D13" s="15">
        <v>16</v>
      </c>
      <c r="E13" s="15">
        <v>1</v>
      </c>
      <c r="F13" s="16"/>
      <c r="G13" s="219"/>
      <c r="H13" s="158">
        <f t="shared" si="18"/>
        <v>0.53086425962455919</v>
      </c>
      <c r="I13" s="159" t="str">
        <f t="shared" si="19"/>
        <v>·</v>
      </c>
      <c r="J13" s="160">
        <f t="shared" si="20"/>
        <v>25.481484461978841</v>
      </c>
      <c r="K13" s="160">
        <f t="shared" si="21"/>
        <v>10.797644785344747</v>
      </c>
      <c r="L13" s="160">
        <f t="shared" si="35"/>
        <v>14.683828315679451</v>
      </c>
      <c r="M13" s="161"/>
      <c r="N13" s="160">
        <f t="shared" si="23"/>
        <v>25.481484461978841</v>
      </c>
      <c r="O13" s="356">
        <v>67599953</v>
      </c>
      <c r="P13" s="147">
        <v>1722547152</v>
      </c>
      <c r="Q13" s="147">
        <v>729920280</v>
      </c>
      <c r="R13" s="147">
        <v>992626104</v>
      </c>
      <c r="S13" s="106"/>
      <c r="T13" s="162">
        <v>298.733</v>
      </c>
      <c r="U13" s="162">
        <v>185.83500000000001</v>
      </c>
      <c r="V13" s="234">
        <v>0</v>
      </c>
      <c r="W13" s="234">
        <v>0</v>
      </c>
      <c r="X13" s="235"/>
      <c r="Y13" s="221"/>
      <c r="Z13" s="158">
        <f t="shared" si="17"/>
        <v>0.50464049139205758</v>
      </c>
      <c r="AA13" s="159" t="str">
        <f t="shared" si="24"/>
        <v>·</v>
      </c>
      <c r="AB13" s="160">
        <f t="shared" si="25"/>
        <v>24.222743586818765</v>
      </c>
      <c r="AC13" s="160">
        <f t="shared" si="26"/>
        <v>10.797644785344747</v>
      </c>
      <c r="AD13" s="231">
        <f t="shared" si="26"/>
        <v>13.425087440519375</v>
      </c>
      <c r="AE13" s="135"/>
      <c r="AF13" s="231">
        <f t="shared" si="28"/>
        <v>24.222743586818765</v>
      </c>
      <c r="AG13" s="356">
        <v>67599953</v>
      </c>
      <c r="AH13" s="147">
        <v>1637456328</v>
      </c>
      <c r="AI13" s="147">
        <v>729920280</v>
      </c>
      <c r="AJ13" s="147">
        <v>907535280</v>
      </c>
      <c r="AK13" s="106"/>
      <c r="AL13" s="162">
        <v>500.589</v>
      </c>
      <c r="AM13" s="162">
        <v>343.06700000000001</v>
      </c>
      <c r="AN13" s="234">
        <v>0</v>
      </c>
      <c r="AO13" s="234">
        <v>0</v>
      </c>
      <c r="AP13" s="235"/>
      <c r="AQ13" s="219"/>
      <c r="AR13" s="236">
        <f t="shared" si="29"/>
        <v>0.9506017446888444</v>
      </c>
      <c r="AS13" s="237">
        <f t="shared" si="30"/>
        <v>1</v>
      </c>
      <c r="AT13" s="237">
        <f t="shared" si="30"/>
        <v>0.91427706398501085</v>
      </c>
      <c r="AU13" s="138"/>
      <c r="AV13" s="238" t="e">
        <f t="shared" si="32"/>
        <v>#DIV/0!</v>
      </c>
      <c r="AW13" s="238" t="e">
        <f t="shared" si="33"/>
        <v>#DIV/0!</v>
      </c>
      <c r="AX13" s="238">
        <f t="shared" si="34"/>
        <v>2.202000000346277E-2</v>
      </c>
      <c r="AY13" s="239">
        <f t="array" ref="AY13">AVERAGE(AI13:AI13/AH13:AH13) - AVERAGE(Q13:Q13/P13:P13)</f>
        <v>2.202000000346277E-2</v>
      </c>
    </row>
    <row r="14" spans="1:51" s="144" customFormat="1" collapsed="1">
      <c r="A14" s="145"/>
      <c r="B14" s="497" t="s">
        <v>1148</v>
      </c>
      <c r="C14" s="479">
        <v>59136574</v>
      </c>
      <c r="D14" s="15">
        <v>16</v>
      </c>
      <c r="E14" s="15">
        <v>1</v>
      </c>
      <c r="F14" s="16"/>
      <c r="G14" s="221"/>
      <c r="H14" s="158">
        <f t="shared" si="18"/>
        <v>0.52777521966919039</v>
      </c>
      <c r="I14" s="159" t="str">
        <f t="shared" si="19"/>
        <v>·</v>
      </c>
      <c r="J14" s="160">
        <f t="shared" si="20"/>
        <v>25.33321054412114</v>
      </c>
      <c r="K14" s="160">
        <f t="shared" si="21"/>
        <v>11.745490159778278</v>
      </c>
      <c r="L14" s="160">
        <f t="shared" si="35"/>
        <v>13.587708073856291</v>
      </c>
      <c r="M14" s="161"/>
      <c r="N14" s="160">
        <f t="shared" si="23"/>
        <v>25.33321054412114</v>
      </c>
      <c r="O14" s="356">
        <v>59136574</v>
      </c>
      <c r="P14" s="147">
        <v>1498119280</v>
      </c>
      <c r="Q14" s="147">
        <v>694588048</v>
      </c>
      <c r="R14" s="147">
        <v>803530504</v>
      </c>
      <c r="S14" s="106"/>
      <c r="T14" s="162">
        <v>211.21600000000001</v>
      </c>
      <c r="U14" s="162">
        <v>135.97399999999999</v>
      </c>
      <c r="V14" s="163">
        <v>0</v>
      </c>
      <c r="W14" s="163">
        <v>0</v>
      </c>
      <c r="X14" s="164"/>
      <c r="Z14" s="158">
        <f t="shared" si="17"/>
        <v>0.50404390183306869</v>
      </c>
      <c r="AA14" s="159" t="str">
        <f t="shared" si="24"/>
        <v>·</v>
      </c>
      <c r="AB14" s="160">
        <f t="shared" si="25"/>
        <v>24.194107287987297</v>
      </c>
      <c r="AC14" s="160">
        <f t="shared" si="26"/>
        <v>11.745490159778278</v>
      </c>
      <c r="AD14" s="160">
        <f t="shared" si="26"/>
        <v>12.448604817722448</v>
      </c>
      <c r="AE14" s="106"/>
      <c r="AF14" s="160">
        <f t="shared" si="28"/>
        <v>24.194107287987297</v>
      </c>
      <c r="AG14" s="356">
        <v>59136574</v>
      </c>
      <c r="AH14" s="147">
        <v>1430756616</v>
      </c>
      <c r="AI14" s="147">
        <v>694588048</v>
      </c>
      <c r="AJ14" s="147">
        <v>736167840</v>
      </c>
      <c r="AK14" s="106"/>
      <c r="AL14" s="162">
        <v>398.471</v>
      </c>
      <c r="AM14" s="162">
        <v>249.57499999999999</v>
      </c>
      <c r="AN14" s="163">
        <v>0</v>
      </c>
      <c r="AO14" s="163">
        <v>0</v>
      </c>
      <c r="AP14" s="164"/>
      <c r="AQ14" s="221"/>
      <c r="AR14" s="236">
        <f t="shared" si="29"/>
        <v>0.9550351798422887</v>
      </c>
      <c r="AS14" s="237">
        <f t="shared" si="30"/>
        <v>1</v>
      </c>
      <c r="AT14" s="237">
        <f t="shared" si="30"/>
        <v>0.91616663752693084</v>
      </c>
      <c r="AU14" s="138"/>
      <c r="AV14" s="238" t="e">
        <f t="shared" si="32"/>
        <v>#DIV/0!</v>
      </c>
      <c r="AW14" s="238" t="e">
        <f t="shared" si="33"/>
        <v>#DIV/0!</v>
      </c>
      <c r="AX14" s="238">
        <f t="shared" si="34"/>
        <v>2.1829028300656694E-2</v>
      </c>
      <c r="AY14" s="494">
        <f t="array" ref="AY14">AVERAGE(AI14:AI14/AH14:AH14) - AVERAGE(Q14:Q14/P14:P14)</f>
        <v>2.1829028300656694E-2</v>
      </c>
    </row>
    <row r="15" spans="1:51" s="144" customFormat="1" collapsed="1">
      <c r="A15" s="495"/>
      <c r="B15" s="497" t="s">
        <v>1120</v>
      </c>
      <c r="C15" s="479">
        <v>4649702</v>
      </c>
      <c r="D15" s="15">
        <v>11</v>
      </c>
      <c r="E15" s="15">
        <v>1</v>
      </c>
      <c r="F15" s="16"/>
      <c r="H15" s="158">
        <f t="shared" si="18"/>
        <v>0.55203777608009108</v>
      </c>
      <c r="I15" s="159" t="str">
        <f t="shared" si="19"/>
        <v>·</v>
      </c>
      <c r="J15" s="160">
        <f t="shared" si="20"/>
        <v>18.217246610643006</v>
      </c>
      <c r="K15" s="160">
        <f t="shared" si="21"/>
        <v>3.0196911544008627</v>
      </c>
      <c r="L15" s="160">
        <f t="shared" ref="L15:L17" si="36">IF(R15="","·",R15/C15)</f>
        <v>15.197438459496974</v>
      </c>
      <c r="M15" s="161"/>
      <c r="N15" s="160">
        <f t="shared" si="23"/>
        <v>18.217246610643006</v>
      </c>
      <c r="O15" s="364">
        <v>4649702</v>
      </c>
      <c r="P15" s="530">
        <v>84704768</v>
      </c>
      <c r="Q15" s="530">
        <v>14040664</v>
      </c>
      <c r="R15" s="530">
        <v>70663560</v>
      </c>
      <c r="S15" s="138"/>
      <c r="T15" s="531">
        <v>7.3529999999999998</v>
      </c>
      <c r="U15" s="531">
        <v>5.3049999999999997</v>
      </c>
      <c r="V15" s="532">
        <v>0</v>
      </c>
      <c r="W15" s="532">
        <v>0</v>
      </c>
      <c r="X15" s="533"/>
      <c r="Y15" s="221"/>
      <c r="Z15" s="526">
        <f t="shared" si="17"/>
        <v>0.53180171872337523</v>
      </c>
      <c r="AA15" s="527" t="str">
        <f t="shared" si="24"/>
        <v>·</v>
      </c>
      <c r="AB15" s="528">
        <f t="shared" si="25"/>
        <v>17.549456717871383</v>
      </c>
      <c r="AC15" s="528">
        <f t="shared" si="26"/>
        <v>3.0196911544008627</v>
      </c>
      <c r="AD15" s="528">
        <f t="shared" si="26"/>
        <v>14.529648566725351</v>
      </c>
      <c r="AE15" s="138"/>
      <c r="AF15" s="528">
        <f t="shared" si="28"/>
        <v>17.549456717871383</v>
      </c>
      <c r="AG15" s="364">
        <v>4649702</v>
      </c>
      <c r="AH15" s="530">
        <v>81599744</v>
      </c>
      <c r="AI15" s="530">
        <v>14040664</v>
      </c>
      <c r="AJ15" s="530">
        <v>67558536</v>
      </c>
      <c r="AK15" s="138"/>
      <c r="AL15" s="531">
        <v>13.504</v>
      </c>
      <c r="AM15" s="531">
        <v>10.935</v>
      </c>
      <c r="AN15" s="532">
        <v>0</v>
      </c>
      <c r="AO15" s="532">
        <v>0</v>
      </c>
      <c r="AP15" s="533"/>
      <c r="AR15" s="176">
        <f t="shared" si="29"/>
        <v>0.96334298442326172</v>
      </c>
      <c r="AS15" s="177">
        <f t="shared" si="30"/>
        <v>1</v>
      </c>
      <c r="AT15" s="177">
        <f t="shared" si="30"/>
        <v>0.95605904938839759</v>
      </c>
      <c r="AU15" s="138"/>
      <c r="AV15" s="178" t="e">
        <f t="shared" si="32"/>
        <v>#DIV/0!</v>
      </c>
      <c r="AW15" s="178" t="e">
        <f t="shared" si="33"/>
        <v>#DIV/0!</v>
      </c>
      <c r="AX15" s="178">
        <f t="shared" si="34"/>
        <v>6.3074810498884304E-3</v>
      </c>
      <c r="AY15" s="179">
        <f t="array" ref="AY15">AVERAGE(AI15:AI15/AH15:AH15) - AVERAGE(Q15:Q15/P15:P15)</f>
        <v>6.3074810498884304E-3</v>
      </c>
    </row>
    <row r="16" spans="1:51" s="114" customFormat="1" ht="14.25" collapsed="1" thickBot="1">
      <c r="A16" s="220"/>
      <c r="B16" s="497" t="s">
        <v>1121</v>
      </c>
      <c r="C16" s="479">
        <v>2096385</v>
      </c>
      <c r="D16" s="15">
        <v>15</v>
      </c>
      <c r="E16" s="15">
        <v>1</v>
      </c>
      <c r="F16" s="16"/>
      <c r="G16" s="219"/>
      <c r="H16" s="158">
        <f t="shared" si="18"/>
        <v>0.54331470602966536</v>
      </c>
      <c r="I16" s="159" t="str">
        <f t="shared" si="19"/>
        <v>·</v>
      </c>
      <c r="J16" s="160">
        <f t="shared" si="20"/>
        <v>24.449161771334939</v>
      </c>
      <c r="K16" s="160">
        <f t="shared" si="21"/>
        <v>16.30251695180036</v>
      </c>
      <c r="L16" s="160">
        <f t="shared" si="36"/>
        <v>8.1462861067981311</v>
      </c>
      <c r="M16" s="161"/>
      <c r="N16" s="160">
        <f t="shared" si="23"/>
        <v>24.449161771334939</v>
      </c>
      <c r="O16" s="356">
        <v>2096385</v>
      </c>
      <c r="P16" s="147">
        <v>51254856</v>
      </c>
      <c r="Q16" s="147">
        <v>34176352</v>
      </c>
      <c r="R16" s="147">
        <v>17077752</v>
      </c>
      <c r="S16" s="106"/>
      <c r="T16" s="162">
        <v>5.5960000000000001</v>
      </c>
      <c r="U16" s="162">
        <v>3.9489999999999998</v>
      </c>
      <c r="V16" s="234">
        <v>0</v>
      </c>
      <c r="W16" s="234">
        <v>0</v>
      </c>
      <c r="X16" s="235"/>
      <c r="Y16" s="221"/>
      <c r="Z16" s="158">
        <f t="shared" si="17"/>
        <v>0.53974971200423583</v>
      </c>
      <c r="AA16" s="159" t="str">
        <f t="shared" si="24"/>
        <v>·</v>
      </c>
      <c r="AB16" s="160">
        <f t="shared" si="25"/>
        <v>24.288737040190615</v>
      </c>
      <c r="AC16" s="160">
        <f t="shared" si="26"/>
        <v>16.30251695180036</v>
      </c>
      <c r="AD16" s="231">
        <f t="shared" si="26"/>
        <v>7.9858613756538039</v>
      </c>
      <c r="AE16" s="135"/>
      <c r="AF16" s="231">
        <f t="shared" si="28"/>
        <v>24.288737040190615</v>
      </c>
      <c r="AG16" s="356">
        <v>2096385</v>
      </c>
      <c r="AH16" s="147">
        <v>50918544</v>
      </c>
      <c r="AI16" s="147">
        <v>34176352</v>
      </c>
      <c r="AJ16" s="147">
        <v>16741440</v>
      </c>
      <c r="AK16" s="106"/>
      <c r="AL16" s="162">
        <v>9.407</v>
      </c>
      <c r="AM16" s="162">
        <v>7.6390000000000002</v>
      </c>
      <c r="AN16" s="234">
        <v>0</v>
      </c>
      <c r="AO16" s="234">
        <v>0</v>
      </c>
      <c r="AP16" s="235"/>
      <c r="AQ16" s="219"/>
      <c r="AR16" s="236">
        <f t="shared" si="29"/>
        <v>0.99343843635030415</v>
      </c>
      <c r="AS16" s="237">
        <f t="shared" si="30"/>
        <v>1</v>
      </c>
      <c r="AT16" s="237">
        <f t="shared" si="30"/>
        <v>0.98030700996243536</v>
      </c>
      <c r="AU16" s="138"/>
      <c r="AV16" s="238" t="e">
        <f t="shared" si="32"/>
        <v>#DIV/0!</v>
      </c>
      <c r="AW16" s="238" t="e">
        <f t="shared" si="33"/>
        <v>#DIV/0!</v>
      </c>
      <c r="AX16" s="238">
        <f t="shared" si="34"/>
        <v>4.4040990049206696E-3</v>
      </c>
      <c r="AY16" s="239">
        <f t="array" ref="AY16">AVERAGE(AI16:AI16/AH16:AH16) - AVERAGE(Q16:Q16/P16:P16)</f>
        <v>4.4040990049206696E-3</v>
      </c>
    </row>
    <row r="17" spans="1:51" s="144" customFormat="1" ht="14.25" collapsed="1" thickBot="1">
      <c r="A17" s="149"/>
      <c r="B17" s="498" t="s">
        <v>1149</v>
      </c>
      <c r="C17" s="480">
        <v>8046105</v>
      </c>
      <c r="D17" s="19">
        <v>15</v>
      </c>
      <c r="E17" s="19">
        <v>1</v>
      </c>
      <c r="F17" s="20"/>
      <c r="G17" s="221"/>
      <c r="H17" s="165">
        <f t="shared" si="18"/>
        <v>0.55802752870971595</v>
      </c>
      <c r="I17" s="166" t="str">
        <f t="shared" si="19"/>
        <v>·</v>
      </c>
      <c r="J17" s="167">
        <f t="shared" si="20"/>
        <v>25.111238791937218</v>
      </c>
      <c r="K17" s="167">
        <f t="shared" si="21"/>
        <v>7.3923609000876818</v>
      </c>
      <c r="L17" s="167">
        <f t="shared" si="36"/>
        <v>17.718784430479094</v>
      </c>
      <c r="M17" s="168"/>
      <c r="N17" s="167">
        <f t="shared" si="23"/>
        <v>25.111238791937218</v>
      </c>
      <c r="O17" s="360">
        <v>8046105</v>
      </c>
      <c r="P17" s="150">
        <v>202047664</v>
      </c>
      <c r="Q17" s="150">
        <v>59479712</v>
      </c>
      <c r="R17" s="150">
        <v>142567200</v>
      </c>
      <c r="S17" s="109"/>
      <c r="T17" s="169">
        <v>25.388000000000002</v>
      </c>
      <c r="U17" s="169">
        <v>19.315999999999999</v>
      </c>
      <c r="V17" s="170">
        <v>0</v>
      </c>
      <c r="W17" s="170">
        <v>0</v>
      </c>
      <c r="X17" s="171"/>
      <c r="Z17" s="165">
        <f t="shared" si="17"/>
        <v>0.53562808616370561</v>
      </c>
      <c r="AA17" s="166" t="str">
        <f t="shared" si="24"/>
        <v>·</v>
      </c>
      <c r="AB17" s="167">
        <f t="shared" si="25"/>
        <v>24.10326387736675</v>
      </c>
      <c r="AC17" s="167">
        <f t="shared" si="26"/>
        <v>7.3923609000876818</v>
      </c>
      <c r="AD17" s="167">
        <f t="shared" si="26"/>
        <v>16.710809515908629</v>
      </c>
      <c r="AE17" s="109"/>
      <c r="AF17" s="167">
        <f t="shared" si="28"/>
        <v>24.10326387736675</v>
      </c>
      <c r="AG17" s="360">
        <v>8046105</v>
      </c>
      <c r="AH17" s="150">
        <v>193937392</v>
      </c>
      <c r="AI17" s="150">
        <v>59479712</v>
      </c>
      <c r="AJ17" s="150">
        <v>134456928</v>
      </c>
      <c r="AK17" s="109"/>
      <c r="AL17" s="169">
        <v>42.709000000000003</v>
      </c>
      <c r="AM17" s="169">
        <v>33.966000000000001</v>
      </c>
      <c r="AN17" s="170">
        <v>0</v>
      </c>
      <c r="AO17" s="170">
        <v>0</v>
      </c>
      <c r="AP17" s="171"/>
      <c r="AQ17" s="221"/>
      <c r="AR17" s="236">
        <f t="shared" si="29"/>
        <v>0.95985961015614607</v>
      </c>
      <c r="AS17" s="237">
        <f t="shared" si="30"/>
        <v>1</v>
      </c>
      <c r="AT17" s="237">
        <f t="shared" si="30"/>
        <v>0.94311263740888518</v>
      </c>
      <c r="AU17" s="487"/>
      <c r="AV17" s="238" t="e">
        <f t="shared" si="32"/>
        <v>#DIV/0!</v>
      </c>
      <c r="AW17" s="238" t="e">
        <f t="shared" si="33"/>
        <v>#DIV/0!</v>
      </c>
      <c r="AX17" s="238">
        <f t="shared" si="34"/>
        <v>1.2310874158193041E-2</v>
      </c>
      <c r="AY17" s="494">
        <f t="array" ref="AY17">AVERAGE(AI17:AI17/AH17:AH17) - AVERAGE(Q17:Q17/P17:P17)</f>
        <v>1.2310874158193041E-2</v>
      </c>
    </row>
    <row r="18" spans="1:51" s="144" customFormat="1" collapsed="1">
      <c r="A18" s="140" t="s">
        <v>180</v>
      </c>
      <c r="B18" s="141" t="s">
        <v>471</v>
      </c>
      <c r="C18" s="27">
        <f>'AVSC1 limit-lossyG,lossyA,intra'!$D$83</f>
        <v>59931072</v>
      </c>
      <c r="D18" s="142">
        <v>18</v>
      </c>
      <c r="E18" s="190">
        <f>'AVSC1 limit-lossyG,lossyA,intra'!$F$83</f>
        <v>600</v>
      </c>
      <c r="F18" s="143">
        <v>10</v>
      </c>
      <c r="H18" s="151">
        <f t="shared" ref="H18:H20" si="37">IF(ISBLANK(P18),"·",P18/(C18*D18*3))</f>
        <v>0.43426568689023531</v>
      </c>
      <c r="I18" s="152">
        <f t="shared" ref="I18:I20" si="38">IF(OR(ISBLANK(P18),ISBLANK(F18)),"·",P18*F18/E18/1000000)</f>
        <v>23.423407333333333</v>
      </c>
      <c r="J18" s="153">
        <f t="shared" ref="J18:J20" si="39">IF(ISBLANK(P18),"·",P18/C18)</f>
        <v>23.450347092072708</v>
      </c>
      <c r="K18" s="153">
        <f t="shared" ref="K18:K20" si="40">IF(Q18="","·",Q18/C18)</f>
        <v>18.604441182029916</v>
      </c>
      <c r="L18" s="154"/>
      <c r="M18" s="153">
        <f t="shared" ref="M18:M20" si="41">IF(ISBLANK(Q18),"·",S18/C18)</f>
        <v>4.8385499928985087</v>
      </c>
      <c r="N18" s="153">
        <f t="shared" ref="N18:N20" si="42">IF(ISBLANK(P18),"·",P18/O18)</f>
        <v>23.450347092072708</v>
      </c>
      <c r="O18" s="352">
        <v>59931072</v>
      </c>
      <c r="P18" s="142">
        <v>1405404440</v>
      </c>
      <c r="Q18" s="142">
        <v>1114984104</v>
      </c>
      <c r="R18" s="104"/>
      <c r="S18" s="142">
        <v>289979488</v>
      </c>
      <c r="T18" s="155"/>
      <c r="U18" s="155"/>
      <c r="V18" s="156">
        <v>0</v>
      </c>
      <c r="W18" s="156">
        <v>0</v>
      </c>
      <c r="X18" s="157"/>
      <c r="Z18" s="151">
        <f t="shared" si="17"/>
        <v>0.43426568689023531</v>
      </c>
      <c r="AA18" s="152">
        <f t="shared" ref="AA18:AA20" si="43">IF(OR(ISBLANK(AH18),ISBLANK(F18)),"·",AH18*F18/E18/1000000)</f>
        <v>23.423407333333333</v>
      </c>
      <c r="AB18" s="153">
        <f t="shared" ref="AB18:AB20" si="44">IF(ISBLANK(AH18),"·",AH18/C18)</f>
        <v>23.450347092072708</v>
      </c>
      <c r="AC18" s="153">
        <f t="shared" ref="AC18:AC22" si="45">IF(AI18="","·",AI18/$C18)</f>
        <v>18.604441182029916</v>
      </c>
      <c r="AD18" s="104"/>
      <c r="AE18" s="153">
        <f t="shared" ref="AE18:AE20" si="46">IF(ISBLANK(AI18),"·",AK18/C18)</f>
        <v>4.8385499928985087</v>
      </c>
      <c r="AF18" s="153">
        <f t="shared" ref="AF18:AF20" si="47">IF(ISBLANK(AH18),"·",AH18/AG18)</f>
        <v>23.450347092072708</v>
      </c>
      <c r="AG18" s="352">
        <v>59931072</v>
      </c>
      <c r="AH18" s="142">
        <v>1405404440</v>
      </c>
      <c r="AI18" s="142">
        <v>1114984104</v>
      </c>
      <c r="AJ18" s="104"/>
      <c r="AK18" s="142">
        <v>289979488</v>
      </c>
      <c r="AL18" s="155">
        <v>465.78599999999966</v>
      </c>
      <c r="AM18" s="155">
        <v>175.56400000000033</v>
      </c>
      <c r="AN18" s="156">
        <v>0</v>
      </c>
      <c r="AO18" s="156">
        <v>0</v>
      </c>
      <c r="AP18" s="157"/>
      <c r="AR18" s="172">
        <f t="shared" ref="AR18:AR29" si="48">AB18/J18</f>
        <v>1</v>
      </c>
      <c r="AS18" s="173">
        <f t="shared" ref="AS18:AT32" si="49">AC18/K18</f>
        <v>1</v>
      </c>
      <c r="AT18" s="104"/>
      <c r="AU18" s="173">
        <f t="shared" ref="AU18:AU20" si="50">AE18/M18</f>
        <v>1</v>
      </c>
      <c r="AV18" s="174" t="e">
        <f t="shared" ref="AV18:AV20" si="51">AN18/V18</f>
        <v>#DIV/0!</v>
      </c>
      <c r="AW18" s="174" t="e">
        <f t="shared" ref="AW18:AW20" si="52">AO18/W18</f>
        <v>#DIV/0!</v>
      </c>
      <c r="AX18" s="174">
        <f t="shared" ref="AX18:AX20" si="53">(AI18/AH18) - (Q18/P18)</f>
        <v>0</v>
      </c>
      <c r="AY18" s="175">
        <f t="array" ref="AY18">AVERAGE(AI18:AI18/AH18:AH18) - AVERAGE(Q18:Q18/P18:P18)</f>
        <v>0</v>
      </c>
    </row>
    <row r="19" spans="1:51" s="144" customFormat="1" collapsed="1">
      <c r="A19" s="145"/>
      <c r="B19" s="146" t="s">
        <v>472</v>
      </c>
      <c r="C19" s="14">
        <f>'AVSC1 limit-lossyG,lossyA,intra'!$D$89</f>
        <v>59935680</v>
      </c>
      <c r="D19" s="147">
        <v>18</v>
      </c>
      <c r="E19" s="15">
        <f>'AVSC1 limit-lossyG,lossyA,intra'!$F$83</f>
        <v>600</v>
      </c>
      <c r="F19" s="148">
        <v>10</v>
      </c>
      <c r="H19" s="158">
        <f t="shared" si="37"/>
        <v>0.44753209761852358</v>
      </c>
      <c r="I19" s="159">
        <f t="shared" si="38"/>
        <v>24.140826533333335</v>
      </c>
      <c r="J19" s="160">
        <f t="shared" si="39"/>
        <v>24.166733271400275</v>
      </c>
      <c r="K19" s="160">
        <f t="shared" si="40"/>
        <v>18.942545208463471</v>
      </c>
      <c r="L19" s="161"/>
      <c r="M19" s="160">
        <f t="shared" si="41"/>
        <v>5.2168437898760809</v>
      </c>
      <c r="N19" s="160">
        <f t="shared" si="42"/>
        <v>24.166733271400275</v>
      </c>
      <c r="O19" s="356">
        <v>59935680</v>
      </c>
      <c r="P19" s="147">
        <v>1448449592</v>
      </c>
      <c r="Q19" s="147">
        <v>1135334328</v>
      </c>
      <c r="R19" s="106"/>
      <c r="S19" s="147">
        <v>312675080</v>
      </c>
      <c r="T19" s="162"/>
      <c r="U19" s="162"/>
      <c r="V19" s="163">
        <v>0</v>
      </c>
      <c r="W19" s="163">
        <v>0</v>
      </c>
      <c r="X19" s="164"/>
      <c r="Z19" s="158">
        <f t="shared" si="17"/>
        <v>0.44753209761852358</v>
      </c>
      <c r="AA19" s="159">
        <f t="shared" si="43"/>
        <v>24.140826533333335</v>
      </c>
      <c r="AB19" s="160">
        <f t="shared" si="44"/>
        <v>24.166733271400275</v>
      </c>
      <c r="AC19" s="160">
        <f t="shared" si="45"/>
        <v>18.942545208463471</v>
      </c>
      <c r="AD19" s="106"/>
      <c r="AE19" s="160">
        <f t="shared" si="46"/>
        <v>5.2168437898760809</v>
      </c>
      <c r="AF19" s="160">
        <f t="shared" si="47"/>
        <v>24.166733271400275</v>
      </c>
      <c r="AG19" s="356">
        <v>59935680</v>
      </c>
      <c r="AH19" s="147">
        <v>1448449592</v>
      </c>
      <c r="AI19" s="147">
        <v>1135334328</v>
      </c>
      <c r="AJ19" s="106"/>
      <c r="AK19" s="147">
        <v>312675080</v>
      </c>
      <c r="AL19" s="162">
        <v>430.66200000000009</v>
      </c>
      <c r="AM19" s="162">
        <v>181.06300000000005</v>
      </c>
      <c r="AN19" s="163">
        <v>0</v>
      </c>
      <c r="AO19" s="163">
        <v>0</v>
      </c>
      <c r="AP19" s="164"/>
      <c r="AR19" s="176">
        <f t="shared" si="48"/>
        <v>1</v>
      </c>
      <c r="AS19" s="177">
        <f t="shared" si="49"/>
        <v>1</v>
      </c>
      <c r="AT19" s="106"/>
      <c r="AU19" s="177">
        <f t="shared" si="50"/>
        <v>1</v>
      </c>
      <c r="AV19" s="178" t="e">
        <f t="shared" si="51"/>
        <v>#DIV/0!</v>
      </c>
      <c r="AW19" s="178" t="e">
        <f t="shared" si="52"/>
        <v>#DIV/0!</v>
      </c>
      <c r="AX19" s="178">
        <f t="shared" si="53"/>
        <v>0</v>
      </c>
      <c r="AY19" s="179">
        <f t="array" ref="AY19">AVERAGE(AI19:AI19/AH19:AH19) - AVERAGE(Q19:Q19/P19:P19)</f>
        <v>0</v>
      </c>
    </row>
    <row r="20" spans="1:51" s="114" customFormat="1" ht="14.25" collapsed="1" thickBot="1">
      <c r="A20" s="220"/>
      <c r="B20" s="146" t="s">
        <v>473</v>
      </c>
      <c r="C20" s="14">
        <f>'AVSC1 limit-lossyG,lossyA,intra'!$D$95</f>
        <v>59948032</v>
      </c>
      <c r="D20" s="147">
        <v>18</v>
      </c>
      <c r="E20" s="15">
        <f>'AVSC1 limit-lossyG,lossyA,intra'!$F$83</f>
        <v>600</v>
      </c>
      <c r="F20" s="148">
        <v>10</v>
      </c>
      <c r="G20" s="219"/>
      <c r="H20" s="158">
        <f t="shared" si="37"/>
        <v>0.47234782236671874</v>
      </c>
      <c r="I20" s="159">
        <f t="shared" si="38"/>
        <v>25.484690133333334</v>
      </c>
      <c r="J20" s="160">
        <f t="shared" si="39"/>
        <v>25.506782407802813</v>
      </c>
      <c r="K20" s="160">
        <f t="shared" si="40"/>
        <v>20.032813087175239</v>
      </c>
      <c r="L20" s="161"/>
      <c r="M20" s="160">
        <f t="shared" si="41"/>
        <v>5.4666217566574993</v>
      </c>
      <c r="N20" s="160">
        <f t="shared" si="42"/>
        <v>25.506782407802813</v>
      </c>
      <c r="O20" s="356">
        <v>59948032</v>
      </c>
      <c r="P20" s="147">
        <v>1529081408</v>
      </c>
      <c r="Q20" s="147">
        <v>1200927720</v>
      </c>
      <c r="R20" s="106"/>
      <c r="S20" s="147">
        <v>327713216</v>
      </c>
      <c r="T20" s="162"/>
      <c r="U20" s="162"/>
      <c r="V20" s="163">
        <v>0</v>
      </c>
      <c r="W20" s="163">
        <v>0</v>
      </c>
      <c r="X20" s="164"/>
      <c r="Y20" s="219"/>
      <c r="Z20" s="158">
        <f t="shared" si="17"/>
        <v>0.47234782236671874</v>
      </c>
      <c r="AA20" s="159">
        <f t="shared" si="43"/>
        <v>25.484690133333334</v>
      </c>
      <c r="AB20" s="160">
        <f t="shared" si="44"/>
        <v>25.506782407802813</v>
      </c>
      <c r="AC20" s="160">
        <f t="shared" si="45"/>
        <v>20.032813087175239</v>
      </c>
      <c r="AD20" s="106"/>
      <c r="AE20" s="160">
        <f t="shared" si="46"/>
        <v>5.4666217566574993</v>
      </c>
      <c r="AF20" s="160">
        <f t="shared" si="47"/>
        <v>25.506782407802813</v>
      </c>
      <c r="AG20" s="356">
        <v>59948032</v>
      </c>
      <c r="AH20" s="147">
        <v>1529081408</v>
      </c>
      <c r="AI20" s="147">
        <v>1200927720</v>
      </c>
      <c r="AJ20" s="106"/>
      <c r="AK20" s="147">
        <v>327713216</v>
      </c>
      <c r="AL20" s="162">
        <v>480.18399999999986</v>
      </c>
      <c r="AM20" s="162">
        <v>209.43299999999979</v>
      </c>
      <c r="AN20" s="163">
        <v>0</v>
      </c>
      <c r="AO20" s="163">
        <v>0</v>
      </c>
      <c r="AP20" s="164"/>
      <c r="AQ20" s="219"/>
      <c r="AR20" s="176">
        <f t="shared" si="48"/>
        <v>1</v>
      </c>
      <c r="AS20" s="177">
        <f t="shared" si="49"/>
        <v>1</v>
      </c>
      <c r="AT20" s="106"/>
      <c r="AU20" s="177">
        <f t="shared" si="50"/>
        <v>1</v>
      </c>
      <c r="AV20" s="182" t="e">
        <f t="shared" si="51"/>
        <v>#DIV/0!</v>
      </c>
      <c r="AW20" s="182" t="e">
        <f t="shared" si="52"/>
        <v>#DIV/0!</v>
      </c>
      <c r="AX20" s="182">
        <f t="shared" si="53"/>
        <v>0</v>
      </c>
      <c r="AY20" s="183">
        <f t="array" ref="AY20">AVERAGE(AI20:AI20/AH20:AH20) - AVERAGE(Q20:Q20/P20:P20)</f>
        <v>0</v>
      </c>
    </row>
    <row r="21" spans="1:51" s="144" customFormat="1" collapsed="1">
      <c r="A21" s="220"/>
      <c r="B21" s="217" t="s">
        <v>814</v>
      </c>
      <c r="C21" s="217">
        <v>40386600</v>
      </c>
      <c r="D21" s="538">
        <v>20</v>
      </c>
      <c r="E21" s="188">
        <v>387</v>
      </c>
      <c r="F21" s="216">
        <v>20</v>
      </c>
      <c r="G21" s="221"/>
      <c r="H21" s="534">
        <f t="shared" ref="H21" si="54">IF(ISBLANK(P21),"·",P21/(C21*D21*3))</f>
        <v>0.30029277037433211</v>
      </c>
      <c r="I21" s="535">
        <f t="shared" ref="I21" si="55">IF(OR(ISBLANK(P21),ISBLANK(F21)),"·",P21*F21/E21/1000000)</f>
        <v>37.605593798449611</v>
      </c>
      <c r="J21" s="536">
        <f t="shared" ref="J21" si="56">IF(ISBLANK(P21),"·",P21/C21)</f>
        <v>18.017566222459926</v>
      </c>
      <c r="K21" s="536">
        <f t="shared" ref="K21" si="57">IF(Q21="","·",Q21/C21)</f>
        <v>14.81315248126854</v>
      </c>
      <c r="L21" s="542"/>
      <c r="M21" s="536">
        <f t="shared" ref="M21" si="58">IF(ISBLANK(Q21),"·",S21/C21)</f>
        <v>3.1973337691214412</v>
      </c>
      <c r="N21" s="536">
        <f t="shared" ref="N21" si="59">IF(ISBLANK(P21),"·",P21/O21)</f>
        <v>18.017566222459926</v>
      </c>
      <c r="O21" s="537">
        <v>40386600</v>
      </c>
      <c r="P21" s="538">
        <v>727668240</v>
      </c>
      <c r="Q21" s="538">
        <v>598252864</v>
      </c>
      <c r="R21" s="487"/>
      <c r="S21" s="538">
        <v>129129440</v>
      </c>
      <c r="T21" s="539"/>
      <c r="U21" s="539"/>
      <c r="V21" s="540">
        <v>0</v>
      </c>
      <c r="W21" s="540">
        <v>0</v>
      </c>
      <c r="X21" s="543"/>
      <c r="Y21" s="221"/>
      <c r="Z21" s="534">
        <f t="shared" si="17"/>
        <v>0.30029277037433211</v>
      </c>
      <c r="AA21" s="535">
        <f t="shared" ref="AA21" si="60">IF(OR(ISBLANK(AH21),ISBLANK(F21)),"·",AH21*F21/E21/1000000)</f>
        <v>37.605593798449611</v>
      </c>
      <c r="AB21" s="536">
        <f t="shared" ref="AB21" si="61">IF(ISBLANK(AH21),"·",AH21/C21)</f>
        <v>18.017566222459926</v>
      </c>
      <c r="AC21" s="536">
        <f t="shared" si="45"/>
        <v>14.81315248126854</v>
      </c>
      <c r="AD21" s="487"/>
      <c r="AE21" s="536">
        <f t="shared" ref="AE21" si="62">IF(ISBLANK(AI21),"·",AK21/C21)</f>
        <v>3.1973337691214412</v>
      </c>
      <c r="AF21" s="536">
        <f t="shared" ref="AF21" si="63">IF(ISBLANK(AH21),"·",AH21/AG21)</f>
        <v>18.017566222459926</v>
      </c>
      <c r="AG21" s="537">
        <v>40386600</v>
      </c>
      <c r="AH21" s="538">
        <v>727668240</v>
      </c>
      <c r="AI21" s="538">
        <v>598252864</v>
      </c>
      <c r="AJ21" s="487"/>
      <c r="AK21" s="538">
        <v>129129440</v>
      </c>
      <c r="AL21" s="539">
        <v>314.08200000000005</v>
      </c>
      <c r="AM21" s="539">
        <v>103.44799999999999</v>
      </c>
      <c r="AN21" s="540">
        <v>0</v>
      </c>
      <c r="AO21" s="540">
        <v>0</v>
      </c>
      <c r="AP21" s="541"/>
      <c r="AQ21" s="221"/>
      <c r="AR21" s="240">
        <f t="shared" ref="AR21" si="64">AB21/J21</f>
        <v>1</v>
      </c>
      <c r="AS21" s="241">
        <f t="shared" ref="AS21" si="65">AC21/K21</f>
        <v>1</v>
      </c>
      <c r="AT21" s="138"/>
      <c r="AU21" s="241">
        <f t="shared" ref="AU21" si="66">AE21/M21</f>
        <v>1</v>
      </c>
      <c r="AV21" s="174" t="e">
        <f t="shared" ref="AV21" si="67">AN21/V21</f>
        <v>#DIV/0!</v>
      </c>
      <c r="AW21" s="174" t="e">
        <f t="shared" ref="AW21" si="68">AO21/W21</f>
        <v>#DIV/0!</v>
      </c>
      <c r="AX21" s="174">
        <f t="shared" ref="AX21" si="69">(AI21/AH21) - (Q21/P21)</f>
        <v>0</v>
      </c>
      <c r="AY21" s="175">
        <f t="array" ref="AY21">AVERAGE(AI21:AI21/AH21:AH21) - AVERAGE(Q21:Q21/P21:P21)</f>
        <v>0</v>
      </c>
    </row>
    <row r="22" spans="1:51" s="144" customFormat="1" ht="14.25" collapsed="1" thickBot="1">
      <c r="A22" s="149"/>
      <c r="B22" s="18" t="s">
        <v>815</v>
      </c>
      <c r="C22" s="18">
        <v>40439600</v>
      </c>
      <c r="D22" s="150">
        <v>20</v>
      </c>
      <c r="E22" s="19">
        <v>387</v>
      </c>
      <c r="F22" s="20">
        <v>20</v>
      </c>
      <c r="G22" s="221"/>
      <c r="H22" s="165">
        <f t="shared" ref="H22" si="70">IF(ISBLANK(P22),"·",P22/(C22*D22*3))</f>
        <v>0.35934081444920324</v>
      </c>
      <c r="I22" s="166">
        <f t="shared" ref="I22" si="71">IF(OR(ISBLANK(P22),ISBLANK(F22)),"·",P22*F22/E22/1000000)</f>
        <v>45.059221085271318</v>
      </c>
      <c r="J22" s="167">
        <f t="shared" ref="J22" si="72">IF(ISBLANK(P22),"·",P22/C22)</f>
        <v>21.560448866952196</v>
      </c>
      <c r="K22" s="167">
        <f t="shared" ref="K22" si="73">IF(Q22="","·",Q22/C22)</f>
        <v>17.680129773786092</v>
      </c>
      <c r="L22" s="168"/>
      <c r="M22" s="167">
        <f t="shared" ref="M22" si="74">IF(ISBLANK(Q22),"·",S22/C22)</f>
        <v>3.8732480044313</v>
      </c>
      <c r="N22" s="167">
        <f t="shared" ref="N22:N26" si="75">IF(ISBLANK(P22),"·",P22/O22)</f>
        <v>21.560448866952196</v>
      </c>
      <c r="O22" s="360">
        <v>40439600</v>
      </c>
      <c r="P22" s="150">
        <v>871895928</v>
      </c>
      <c r="Q22" s="150">
        <v>714977376</v>
      </c>
      <c r="R22" s="109"/>
      <c r="S22" s="150">
        <v>156632600</v>
      </c>
      <c r="T22" s="169"/>
      <c r="U22" s="169"/>
      <c r="V22" s="170">
        <v>0</v>
      </c>
      <c r="W22" s="170">
        <v>0</v>
      </c>
      <c r="X22" s="171"/>
      <c r="Y22" s="221"/>
      <c r="Z22" s="165">
        <f t="shared" si="17"/>
        <v>0.35934081444920324</v>
      </c>
      <c r="AA22" s="166">
        <f t="shared" ref="AA22" si="76">IF(OR(ISBLANK(AH22),ISBLANK(F22)),"·",AH22*F22/E22/1000000)</f>
        <v>45.059221085271318</v>
      </c>
      <c r="AB22" s="167">
        <f t="shared" ref="AB22" si="77">IF(ISBLANK(AH22),"·",AH22/C22)</f>
        <v>21.560448866952196</v>
      </c>
      <c r="AC22" s="167">
        <f t="shared" si="45"/>
        <v>17.680129773786092</v>
      </c>
      <c r="AD22" s="109"/>
      <c r="AE22" s="167">
        <f t="shared" ref="AE22" si="78">IF(ISBLANK(AI22),"·",AK22/C22)</f>
        <v>3.8732480044313</v>
      </c>
      <c r="AF22" s="167">
        <f t="shared" ref="AF22:AF26" si="79">IF(ISBLANK(AH22),"·",AH22/AG22)</f>
        <v>21.560448866952196</v>
      </c>
      <c r="AG22" s="360">
        <v>40439600</v>
      </c>
      <c r="AH22" s="150">
        <v>871895928</v>
      </c>
      <c r="AI22" s="150">
        <v>714977376</v>
      </c>
      <c r="AJ22" s="109"/>
      <c r="AK22" s="150">
        <v>156632600</v>
      </c>
      <c r="AL22" s="169">
        <v>327.69500000000022</v>
      </c>
      <c r="AM22" s="169">
        <v>131.02799999999991</v>
      </c>
      <c r="AN22" s="170">
        <v>0</v>
      </c>
      <c r="AO22" s="170">
        <v>0</v>
      </c>
      <c r="AP22" s="171"/>
      <c r="AR22" s="240">
        <f t="shared" ref="AR22:AR27" si="80">AB22/J22</f>
        <v>1</v>
      </c>
      <c r="AS22" s="241">
        <f t="shared" ref="AS22:AS28" si="81">AC22/K22</f>
        <v>1</v>
      </c>
      <c r="AT22" s="138"/>
      <c r="AU22" s="241">
        <f t="shared" ref="AU22" si="82">AE22/M22</f>
        <v>1</v>
      </c>
      <c r="AV22" s="242" t="e">
        <f t="shared" ref="AV22:AV26" si="83">AN22/V22</f>
        <v>#DIV/0!</v>
      </c>
      <c r="AW22" s="242" t="e">
        <f t="shared" ref="AW22:AW26" si="84">AO22/W22</f>
        <v>#DIV/0!</v>
      </c>
      <c r="AX22" s="242">
        <f t="shared" ref="AX22:AX26" si="85">(AI22/AH22) - (Q22/P22)</f>
        <v>0</v>
      </c>
      <c r="AY22" s="243">
        <f t="array" ref="AY22">AVERAGE(AI22:AI22/AH22:AH22) - AVERAGE(Q22:Q22/P22:P22)</f>
        <v>0</v>
      </c>
    </row>
    <row r="23" spans="1:51" s="144" customFormat="1" collapsed="1">
      <c r="A23" s="96" t="s">
        <v>877</v>
      </c>
      <c r="B23" s="27" t="s">
        <v>872</v>
      </c>
      <c r="C23" s="24">
        <v>186907991</v>
      </c>
      <c r="D23" s="25">
        <v>11</v>
      </c>
      <c r="E23" s="25">
        <v>64</v>
      </c>
      <c r="F23" s="26">
        <v>30</v>
      </c>
      <c r="H23" s="151">
        <f t="shared" ref="H23:H26" si="86">IF(ISBLANK(P23),"·",P23/(C23*D23*3))</f>
        <v>0.27950550084487097</v>
      </c>
      <c r="I23" s="152">
        <f t="shared" ref="I23:I26" si="87">IF(OR(ISBLANK(P23),ISBLANK(F23)),"·",P23*F23/E23/1000000)</f>
        <v>808.11552374999997</v>
      </c>
      <c r="J23" s="153">
        <f t="shared" ref="J23:J26" si="88">IF(ISBLANK(P23),"·",P23/C23)</f>
        <v>9.2236815278807427</v>
      </c>
      <c r="K23" s="153">
        <f t="shared" ref="K23:K26" si="89">IF(Q23="","·",Q23/C23)</f>
        <v>1.0091804796082795</v>
      </c>
      <c r="L23" s="153">
        <f>IF(R23="","·",R23/C23)</f>
        <v>8.2143068136664095</v>
      </c>
      <c r="M23" s="154"/>
      <c r="N23" s="153">
        <f t="shared" si="75"/>
        <v>9.2236815278807427</v>
      </c>
      <c r="O23" s="364">
        <v>186907991</v>
      </c>
      <c r="P23" s="142">
        <v>1723979784</v>
      </c>
      <c r="Q23" s="142">
        <v>188623896</v>
      </c>
      <c r="R23" s="142">
        <v>1535319584</v>
      </c>
      <c r="S23" s="104"/>
      <c r="T23" s="155">
        <v>476.46899999999994</v>
      </c>
      <c r="U23" s="155">
        <v>365.78700000000009</v>
      </c>
      <c r="V23" s="156">
        <v>0</v>
      </c>
      <c r="W23" s="156">
        <v>0</v>
      </c>
      <c r="X23" s="157"/>
      <c r="Y23" s="221"/>
      <c r="Z23" s="151">
        <f t="shared" si="17"/>
        <v>0.27281145496714998</v>
      </c>
      <c r="AA23" s="152">
        <f t="shared" ref="AA23:AA26" si="90">IF(OR(ISBLANK(AH23),ISBLANK(F23)),"·",AH23*F23/E23/1000000)</f>
        <v>788.76147749999996</v>
      </c>
      <c r="AB23" s="153">
        <f t="shared" ref="AB23:AB26" si="91">IF(ISBLANK(AH23),"·",AH23/C23)</f>
        <v>9.0027780139159486</v>
      </c>
      <c r="AC23" s="153">
        <f t="shared" ref="AC23:AC26" si="92">IF(AI23="","·",AI23/$C23)</f>
        <v>1.0091804796082795</v>
      </c>
      <c r="AD23" s="160">
        <f>IF(AJ23="","·",AJ23/$C23)</f>
        <v>7.9934032997016162</v>
      </c>
      <c r="AE23" s="104"/>
      <c r="AF23" s="153">
        <f t="shared" si="79"/>
        <v>9.0027780139159486</v>
      </c>
      <c r="AG23" s="364">
        <v>186907991</v>
      </c>
      <c r="AH23" s="142">
        <v>1682691152</v>
      </c>
      <c r="AI23" s="142">
        <v>188623896</v>
      </c>
      <c r="AJ23" s="142">
        <v>1494030952</v>
      </c>
      <c r="AK23" s="104"/>
      <c r="AL23" s="155">
        <v>604.74099999999999</v>
      </c>
      <c r="AM23" s="155">
        <v>552.32500000000005</v>
      </c>
      <c r="AN23" s="156">
        <v>0</v>
      </c>
      <c r="AO23" s="156">
        <v>0</v>
      </c>
      <c r="AP23" s="157"/>
      <c r="AR23" s="172">
        <f t="shared" si="80"/>
        <v>0.9760503966559273</v>
      </c>
      <c r="AS23" s="173">
        <f t="shared" si="81"/>
        <v>1</v>
      </c>
      <c r="AT23" s="173">
        <f t="shared" ref="AT23:AT26" si="93">AD23/L23</f>
        <v>0.97310746737664233</v>
      </c>
      <c r="AU23" s="104"/>
      <c r="AV23" s="174" t="e">
        <f t="shared" si="83"/>
        <v>#DIV/0!</v>
      </c>
      <c r="AW23" s="174" t="e">
        <f t="shared" si="84"/>
        <v>#DIV/0!</v>
      </c>
      <c r="AX23" s="174">
        <f t="shared" si="85"/>
        <v>2.6846682381637677E-3</v>
      </c>
      <c r="AY23" s="175">
        <f t="array" ref="AY23">AVERAGE(AI23:AI23/AH23:AH23) - AVERAGE(Q23:Q23/P23:P23)</f>
        <v>2.6846682381637677E-3</v>
      </c>
    </row>
    <row r="24" spans="1:51" s="144" customFormat="1" collapsed="1">
      <c r="A24" s="145"/>
      <c r="B24" s="14" t="s">
        <v>874</v>
      </c>
      <c r="C24" s="14">
        <v>166028718</v>
      </c>
      <c r="D24" s="15">
        <v>11</v>
      </c>
      <c r="E24" s="25">
        <v>64</v>
      </c>
      <c r="F24" s="16">
        <v>30</v>
      </c>
      <c r="H24" s="158">
        <f t="shared" si="86"/>
        <v>0.27958861839063215</v>
      </c>
      <c r="I24" s="159">
        <f t="shared" si="87"/>
        <v>718.05535124999994</v>
      </c>
      <c r="J24" s="160">
        <f t="shared" si="88"/>
        <v>9.2264244068908603</v>
      </c>
      <c r="K24" s="160">
        <f t="shared" si="89"/>
        <v>1.0594718439011255</v>
      </c>
      <c r="L24" s="160">
        <f t="shared" ref="L24:L26" si="94">IF(R24="","·",R24/C24)</f>
        <v>8.1667339020229015</v>
      </c>
      <c r="M24" s="161"/>
      <c r="N24" s="160">
        <f t="shared" si="75"/>
        <v>9.2264244068908603</v>
      </c>
      <c r="O24" s="356">
        <v>166028718</v>
      </c>
      <c r="P24" s="147">
        <v>1531851416</v>
      </c>
      <c r="Q24" s="147">
        <v>175902752</v>
      </c>
      <c r="R24" s="147">
        <v>1355912360</v>
      </c>
      <c r="S24" s="106"/>
      <c r="T24" s="162">
        <v>461.24400000000009</v>
      </c>
      <c r="U24" s="162">
        <v>324.87499999999989</v>
      </c>
      <c r="V24" s="163">
        <v>0</v>
      </c>
      <c r="W24" s="163">
        <v>0</v>
      </c>
      <c r="X24" s="164"/>
      <c r="Y24" s="221"/>
      <c r="Z24" s="158">
        <f t="shared" si="17"/>
        <v>0.27301196425694513</v>
      </c>
      <c r="AA24" s="159">
        <f t="shared" si="90"/>
        <v>701.16481499999998</v>
      </c>
      <c r="AB24" s="160">
        <f t="shared" si="91"/>
        <v>9.0093948204791889</v>
      </c>
      <c r="AC24" s="160">
        <f t="shared" si="92"/>
        <v>1.0594718439011255</v>
      </c>
      <c r="AD24" s="160">
        <f>IF(AJ24="","·",AJ24/$C24)</f>
        <v>7.9497043156112301</v>
      </c>
      <c r="AE24" s="106"/>
      <c r="AF24" s="160">
        <f t="shared" si="79"/>
        <v>9.0093948204791889</v>
      </c>
      <c r="AG24" s="356">
        <v>166028718</v>
      </c>
      <c r="AH24" s="147">
        <v>1495818272</v>
      </c>
      <c r="AI24" s="147">
        <v>175902752</v>
      </c>
      <c r="AJ24" s="147">
        <v>1319879216</v>
      </c>
      <c r="AK24" s="106"/>
      <c r="AL24" s="162">
        <v>612.18299999999999</v>
      </c>
      <c r="AM24" s="162">
        <v>477.02100000000007</v>
      </c>
      <c r="AN24" s="163">
        <v>0</v>
      </c>
      <c r="AO24" s="163">
        <v>0</v>
      </c>
      <c r="AP24" s="164"/>
      <c r="AR24" s="176">
        <f t="shared" si="80"/>
        <v>0.9764773896321548</v>
      </c>
      <c r="AS24" s="177">
        <f t="shared" si="81"/>
        <v>1</v>
      </c>
      <c r="AT24" s="177">
        <f t="shared" si="93"/>
        <v>0.97342516739061213</v>
      </c>
      <c r="AU24" s="106"/>
      <c r="AV24" s="178" t="e">
        <f t="shared" si="83"/>
        <v>#DIV/0!</v>
      </c>
      <c r="AW24" s="178" t="e">
        <f t="shared" si="84"/>
        <v>#DIV/0!</v>
      </c>
      <c r="AX24" s="178">
        <f t="shared" si="85"/>
        <v>2.7661728536016311E-3</v>
      </c>
      <c r="AY24" s="179">
        <f t="array" ref="AY24">AVERAGE(AI24:AI24/AH24:AH24) - AVERAGE(Q24:Q24/P24:P24)</f>
        <v>2.7661728536016311E-3</v>
      </c>
    </row>
    <row r="25" spans="1:51" s="114" customFormat="1" ht="14.25" collapsed="1" thickBot="1">
      <c r="A25" s="220"/>
      <c r="B25" s="21" t="s">
        <v>882</v>
      </c>
      <c r="C25" s="14">
        <v>156840910</v>
      </c>
      <c r="D25" s="15">
        <v>11</v>
      </c>
      <c r="E25" s="25">
        <v>64</v>
      </c>
      <c r="F25" s="16">
        <v>30</v>
      </c>
      <c r="G25" s="219"/>
      <c r="H25" s="158">
        <f t="shared" si="86"/>
        <v>0.29851574265459646</v>
      </c>
      <c r="I25" s="159">
        <f t="shared" si="87"/>
        <v>724.23884250000003</v>
      </c>
      <c r="J25" s="160">
        <f t="shared" si="88"/>
        <v>9.8510195076016842</v>
      </c>
      <c r="K25" s="160">
        <f t="shared" si="89"/>
        <v>1.0042908320284549</v>
      </c>
      <c r="L25" s="160">
        <f t="shared" si="94"/>
        <v>8.8464985825445677</v>
      </c>
      <c r="M25" s="232"/>
      <c r="N25" s="231">
        <f t="shared" si="75"/>
        <v>9.8510195076016842</v>
      </c>
      <c r="O25" s="356">
        <v>156840910</v>
      </c>
      <c r="P25" s="222">
        <v>1545042864</v>
      </c>
      <c r="Q25" s="222">
        <v>157513888</v>
      </c>
      <c r="R25" s="222">
        <v>1387492888</v>
      </c>
      <c r="S25" s="135"/>
      <c r="T25" s="233">
        <v>439.11799999999988</v>
      </c>
      <c r="U25" s="233">
        <v>274.976</v>
      </c>
      <c r="V25" s="234">
        <v>0</v>
      </c>
      <c r="W25" s="234">
        <v>0</v>
      </c>
      <c r="X25" s="235"/>
      <c r="Y25" s="221"/>
      <c r="Z25" s="158">
        <f t="shared" si="17"/>
        <v>0.2917956144029622</v>
      </c>
      <c r="AA25" s="159">
        <f t="shared" si="90"/>
        <v>707.93491874999995</v>
      </c>
      <c r="AB25" s="160">
        <f t="shared" si="91"/>
        <v>9.6292552752977532</v>
      </c>
      <c r="AC25" s="160">
        <f t="shared" si="92"/>
        <v>1.0042908320284549</v>
      </c>
      <c r="AD25" s="231">
        <f>IF(AJ25="","·",AJ25/$C25)</f>
        <v>8.6247343502406348</v>
      </c>
      <c r="AE25" s="135"/>
      <c r="AF25" s="231">
        <f t="shared" si="79"/>
        <v>9.6292552752977532</v>
      </c>
      <c r="AG25" s="356">
        <v>156840910</v>
      </c>
      <c r="AH25" s="222">
        <v>1510261160</v>
      </c>
      <c r="AI25" s="222">
        <v>157513888</v>
      </c>
      <c r="AJ25" s="222">
        <v>1352711184</v>
      </c>
      <c r="AK25" s="135"/>
      <c r="AL25" s="233">
        <v>570.69999999999993</v>
      </c>
      <c r="AM25" s="233">
        <v>437.63200000000006</v>
      </c>
      <c r="AN25" s="234">
        <v>0</v>
      </c>
      <c r="AO25" s="234">
        <v>0</v>
      </c>
      <c r="AP25" s="235"/>
      <c r="AQ25" s="219"/>
      <c r="AR25" s="236">
        <f t="shared" si="80"/>
        <v>0.97748819478706717</v>
      </c>
      <c r="AS25" s="237">
        <f t="shared" si="81"/>
        <v>1</v>
      </c>
      <c r="AT25" s="237">
        <f t="shared" si="93"/>
        <v>0.97493197673240961</v>
      </c>
      <c r="AU25" s="106"/>
      <c r="AV25" s="238" t="e">
        <f t="shared" si="83"/>
        <v>#DIV/0!</v>
      </c>
      <c r="AW25" s="238" t="e">
        <f t="shared" si="84"/>
        <v>#DIV/0!</v>
      </c>
      <c r="AX25" s="238">
        <f t="shared" si="85"/>
        <v>2.3478866165026202E-3</v>
      </c>
      <c r="AY25" s="239">
        <f t="array" ref="AY25">AVERAGE(AI25:AI25/AH25:AH25) - AVERAGE(Q25:Q25/P25:P25)</f>
        <v>2.3478866165026202E-3</v>
      </c>
    </row>
    <row r="26" spans="1:51" s="144" customFormat="1" ht="14.25" collapsed="1" thickBot="1">
      <c r="A26" s="149"/>
      <c r="B26" s="18" t="s">
        <v>883</v>
      </c>
      <c r="C26" s="18">
        <v>163936020</v>
      </c>
      <c r="D26" s="19">
        <v>11</v>
      </c>
      <c r="E26" s="19">
        <v>64</v>
      </c>
      <c r="F26" s="20">
        <v>30</v>
      </c>
      <c r="G26" s="221"/>
      <c r="H26" s="165">
        <f t="shared" si="86"/>
        <v>0.27566205179535064</v>
      </c>
      <c r="I26" s="166">
        <f t="shared" si="87"/>
        <v>699.0473475</v>
      </c>
      <c r="J26" s="167">
        <f t="shared" si="88"/>
        <v>9.0968477092465712</v>
      </c>
      <c r="K26" s="167">
        <f t="shared" si="89"/>
        <v>0.97643853986451545</v>
      </c>
      <c r="L26" s="167">
        <f t="shared" si="94"/>
        <v>8.1201887419250518</v>
      </c>
      <c r="M26" s="168"/>
      <c r="N26" s="167">
        <f t="shared" si="75"/>
        <v>9.0968477092465712</v>
      </c>
      <c r="O26" s="360">
        <v>163936020</v>
      </c>
      <c r="P26" s="150">
        <v>1491301008</v>
      </c>
      <c r="Q26" s="150">
        <v>160073448</v>
      </c>
      <c r="R26" s="150">
        <v>1331191424</v>
      </c>
      <c r="S26" s="109"/>
      <c r="T26" s="169">
        <v>491.68799999999999</v>
      </c>
      <c r="U26" s="169">
        <v>354.50700000000012</v>
      </c>
      <c r="V26" s="170">
        <v>0</v>
      </c>
      <c r="W26" s="170">
        <v>0</v>
      </c>
      <c r="X26" s="171"/>
      <c r="Z26" s="165">
        <f t="shared" si="17"/>
        <v>0.26961301196169163</v>
      </c>
      <c r="AA26" s="166">
        <f t="shared" si="90"/>
        <v>683.70767624999996</v>
      </c>
      <c r="AB26" s="167">
        <f t="shared" si="91"/>
        <v>8.8972293947358239</v>
      </c>
      <c r="AC26" s="167">
        <f t="shared" si="92"/>
        <v>0.97643853986451545</v>
      </c>
      <c r="AD26" s="167">
        <f>IF(AJ26="","·",AJ26/$C26)</f>
        <v>7.9205704274143045</v>
      </c>
      <c r="AE26" s="109"/>
      <c r="AF26" s="167">
        <f t="shared" si="79"/>
        <v>8.8972293947358239</v>
      </c>
      <c r="AG26" s="360">
        <v>163936020</v>
      </c>
      <c r="AH26" s="150">
        <v>1458576376</v>
      </c>
      <c r="AI26" s="150">
        <v>160073448</v>
      </c>
      <c r="AJ26" s="150">
        <v>1298466792</v>
      </c>
      <c r="AK26" s="109"/>
      <c r="AL26" s="169">
        <v>652.15599999999995</v>
      </c>
      <c r="AM26" s="169">
        <v>505.74999999999983</v>
      </c>
      <c r="AN26" s="170">
        <v>0</v>
      </c>
      <c r="AO26" s="170">
        <v>0</v>
      </c>
      <c r="AP26" s="171"/>
      <c r="AQ26" s="221"/>
      <c r="AR26" s="180">
        <f t="shared" si="80"/>
        <v>0.97805632006922094</v>
      </c>
      <c r="AS26" s="181">
        <f t="shared" si="81"/>
        <v>1</v>
      </c>
      <c r="AT26" s="181">
        <f t="shared" si="93"/>
        <v>0.97541703513859168</v>
      </c>
      <c r="AU26" s="109"/>
      <c r="AV26" s="182" t="e">
        <f t="shared" si="83"/>
        <v>#DIV/0!</v>
      </c>
      <c r="AW26" s="182" t="e">
        <f t="shared" si="84"/>
        <v>#DIV/0!</v>
      </c>
      <c r="AX26" s="182">
        <f t="shared" si="85"/>
        <v>2.4082389966860324E-3</v>
      </c>
      <c r="AY26" s="183">
        <f t="array" ref="AY26">AVERAGE(AI26:AI26/AH26:AH26) - AVERAGE(Q26:Q26/P26:P26)</f>
        <v>2.4082389966860324E-3</v>
      </c>
    </row>
    <row r="27" spans="1:51" s="1" customFormat="1">
      <c r="B27" s="6" t="s">
        <v>1125</v>
      </c>
      <c r="J27" s="7">
        <f>AVERAGE(J5:J10)</f>
        <v>26.856513895766216</v>
      </c>
      <c r="K27" s="7">
        <f>AVERAGE(K5:K10)</f>
        <v>15.747350786695074</v>
      </c>
      <c r="L27" s="4"/>
      <c r="M27" s="7">
        <f>AVERAGE(M5:M10)</f>
        <v>11.109068928937134</v>
      </c>
      <c r="T27" s="7" t="e">
        <f>AVERAGE(T5:T10)</f>
        <v>#DIV/0!</v>
      </c>
      <c r="U27" s="7" t="e">
        <f>AVERAGE(U5:U10)</f>
        <v>#DIV/0!</v>
      </c>
      <c r="V27" s="571">
        <f t="shared" ref="V27:W27" si="95">AVERAGE(V5:V10)</f>
        <v>0</v>
      </c>
      <c r="W27" s="571">
        <f t="shared" si="95"/>
        <v>0</v>
      </c>
      <c r="AB27" s="7">
        <f>AVERAGE(AB5:AB10)</f>
        <v>26.856513895766216</v>
      </c>
      <c r="AC27" s="7">
        <f>AVERAGE(AC5:AC10)</f>
        <v>15.747350786695074</v>
      </c>
      <c r="AD27" s="4"/>
      <c r="AE27" s="7">
        <f>AVERAGE(AE5:AE10)</f>
        <v>11.109068928937134</v>
      </c>
      <c r="AL27" s="7">
        <f>AVERAGE(AL5:AL10)</f>
        <v>34.473166666666664</v>
      </c>
      <c r="AM27" s="7">
        <f>AVERAGE(AM5:AM10)</f>
        <v>23.64</v>
      </c>
      <c r="AN27" s="571">
        <f t="shared" ref="AN27:AO27" si="96">AVERAGE(AN5:AN10)</f>
        <v>0</v>
      </c>
      <c r="AO27" s="571">
        <f t="shared" si="96"/>
        <v>0</v>
      </c>
      <c r="AR27" s="2">
        <f t="shared" si="80"/>
        <v>1</v>
      </c>
      <c r="AS27" s="2">
        <f t="shared" si="81"/>
        <v>1</v>
      </c>
      <c r="AT27" s="5"/>
      <c r="AU27" s="2">
        <f>AE27/M27</f>
        <v>1</v>
      </c>
      <c r="AV27" s="2" t="e">
        <f>AN27/V27</f>
        <v>#DIV/0!</v>
      </c>
      <c r="AW27" s="2" t="e">
        <f>AO27/W27</f>
        <v>#DIV/0!</v>
      </c>
      <c r="AX27" s="2">
        <f>AVERAGE(AX5:AX10)</f>
        <v>0</v>
      </c>
      <c r="AY27" s="2">
        <f>AVERAGE(AY5:AY10)</f>
        <v>0</v>
      </c>
    </row>
    <row r="28" spans="1:51" s="1" customFormat="1">
      <c r="B28" s="6" t="s">
        <v>1150</v>
      </c>
      <c r="J28" s="7">
        <f>AVERAGE(J11:J17)</f>
        <v>27.044082865175387</v>
      </c>
      <c r="K28" s="7">
        <f>AVERAGE(K11:K17)</f>
        <v>14.159026455206435</v>
      </c>
      <c r="L28" s="7">
        <f>AVERAGE(L11:L17)</f>
        <v>12.884968197211041</v>
      </c>
      <c r="M28" s="4"/>
      <c r="T28" s="7">
        <f>AVERAGE(T11:T17)</f>
        <v>127.64028571428572</v>
      </c>
      <c r="U28" s="7">
        <f>AVERAGE(U11:U17)</f>
        <v>82.544428571428554</v>
      </c>
      <c r="V28" s="571">
        <f t="shared" ref="V28:W28" si="97">AVERAGE(V11:V17)</f>
        <v>0</v>
      </c>
      <c r="W28" s="571">
        <f t="shared" si="97"/>
        <v>0</v>
      </c>
      <c r="AB28" s="7">
        <f>AVERAGE(AB11:AB17)</f>
        <v>26.420822778653267</v>
      </c>
      <c r="AC28" s="7">
        <f>AVERAGE(AC11:AC17)</f>
        <v>14.159026455206435</v>
      </c>
      <c r="AD28" s="7">
        <f>AVERAGE(AD11:AD17)</f>
        <v>12.261708110688923</v>
      </c>
      <c r="AE28" s="4"/>
      <c r="AL28" s="7">
        <f>AVERAGE(AL11:AL17)</f>
        <v>216.88185714285711</v>
      </c>
      <c r="AM28" s="7">
        <f>AVERAGE(AM11:AM17)</f>
        <v>159.25385714285713</v>
      </c>
      <c r="AN28" s="571">
        <f t="shared" ref="AN28:AO28" si="98">AVERAGE(AN11:AN17)</f>
        <v>0</v>
      </c>
      <c r="AO28" s="571">
        <f t="shared" si="98"/>
        <v>0</v>
      </c>
      <c r="AR28" s="2">
        <f>AB28/J28</f>
        <v>0.97695392039621765</v>
      </c>
      <c r="AS28" s="2">
        <f t="shared" si="81"/>
        <v>1</v>
      </c>
      <c r="AT28" s="2">
        <f t="shared" ref="AT28" si="99">AD28/L28</f>
        <v>0.95162889989460564</v>
      </c>
      <c r="AU28" s="5"/>
      <c r="AV28" s="2" t="e">
        <f t="shared" ref="AV28:AV32" si="100">AN28/V28</f>
        <v>#DIV/0!</v>
      </c>
      <c r="AW28" s="2" t="e">
        <f t="shared" ref="AW28:AW32" si="101">AO28/W28</f>
        <v>#DIV/0!</v>
      </c>
      <c r="AX28" s="2">
        <f>AVERAGE(AX11:AX17)</f>
        <v>9.9188987909215286E-3</v>
      </c>
      <c r="AY28" s="2">
        <f>AVERAGE(AY11:AY17)</f>
        <v>9.9188987909215286E-3</v>
      </c>
    </row>
    <row r="29" spans="1:51" ht="27">
      <c r="B29" s="6" t="s">
        <v>177</v>
      </c>
      <c r="J29" s="7">
        <f>AVERAGE(J18:J22)</f>
        <v>22.540375572137584</v>
      </c>
      <c r="K29" s="7">
        <f>AVERAGE(K18:K22)</f>
        <v>18.014616346544653</v>
      </c>
      <c r="L29" s="4"/>
      <c r="M29" s="7">
        <f>AVERAGE(M18:M22)</f>
        <v>4.5185194625969665</v>
      </c>
      <c r="R29" s="1"/>
      <c r="S29" s="1"/>
      <c r="T29" s="7" t="e">
        <f>AVERAGE(T18:T22)</f>
        <v>#DIV/0!</v>
      </c>
      <c r="U29" s="7" t="e">
        <f>AVERAGE(U18:U22)</f>
        <v>#DIV/0!</v>
      </c>
      <c r="V29" s="571">
        <f t="shared" ref="V29:W29" si="102">AVERAGE(V18:V22)</f>
        <v>0</v>
      </c>
      <c r="W29" s="571">
        <f t="shared" si="102"/>
        <v>0</v>
      </c>
      <c r="AB29" s="7">
        <f>AVERAGE(AB18:AB22)</f>
        <v>22.540375572137584</v>
      </c>
      <c r="AC29" s="7">
        <f>AVERAGE(AC18:AC22)</f>
        <v>18.014616346544653</v>
      </c>
      <c r="AD29" s="4"/>
      <c r="AE29" s="7">
        <f>AVERAGE(AE18:AE22)</f>
        <v>4.5185194625969665</v>
      </c>
      <c r="AG29" s="1"/>
      <c r="AH29" s="1"/>
      <c r="AI29" s="1"/>
      <c r="AJ29" s="1"/>
      <c r="AK29" s="1"/>
      <c r="AL29" s="7">
        <f>AVERAGE(AL18:AL22)</f>
        <v>403.68179999999995</v>
      </c>
      <c r="AM29" s="7">
        <f>AVERAGE(AM18:AM22)</f>
        <v>160.10720000000001</v>
      </c>
      <c r="AN29" s="571">
        <f t="shared" ref="AN29:AO29" si="103">AVERAGE(AN18:AN22)</f>
        <v>0</v>
      </c>
      <c r="AO29" s="571">
        <f t="shared" si="103"/>
        <v>0</v>
      </c>
      <c r="AR29" s="2">
        <f t="shared" si="48"/>
        <v>1</v>
      </c>
      <c r="AS29" s="2">
        <f t="shared" si="49"/>
        <v>1</v>
      </c>
      <c r="AT29" s="5"/>
      <c r="AU29" s="2">
        <f>AE29/M29</f>
        <v>1</v>
      </c>
      <c r="AV29" s="2" t="e">
        <f t="shared" si="100"/>
        <v>#DIV/0!</v>
      </c>
      <c r="AW29" s="2" t="e">
        <f t="shared" si="101"/>
        <v>#DIV/0!</v>
      </c>
      <c r="AX29" s="2">
        <f>AVERAGE(AX18:AX22)</f>
        <v>0</v>
      </c>
      <c r="AY29" s="2">
        <f>AVERAGE(AY18:AY22)</f>
        <v>0</v>
      </c>
    </row>
    <row r="30" spans="1:51" s="1" customFormat="1">
      <c r="B30" s="6" t="s">
        <v>907</v>
      </c>
      <c r="J30" s="7">
        <f>AVERAGE(J23:J26)</f>
        <v>9.3494932879049646</v>
      </c>
      <c r="K30" s="7">
        <f>AVERAGE(K23:K26)</f>
        <v>1.012345423850594</v>
      </c>
      <c r="L30" s="7">
        <f>AVERAGE(L23:L26)</f>
        <v>8.3369320100397317</v>
      </c>
      <c r="M30" s="4"/>
      <c r="T30" s="7">
        <f>AVERAGE(T23:T26)</f>
        <v>467.12974999999994</v>
      </c>
      <c r="U30" s="7">
        <f>AVERAGE(U23:U26)</f>
        <v>330.03625000000005</v>
      </c>
      <c r="V30" s="571">
        <f t="shared" ref="V30:W30" si="104">AVERAGE(V23:V26)</f>
        <v>0</v>
      </c>
      <c r="W30" s="571">
        <f t="shared" si="104"/>
        <v>0</v>
      </c>
      <c r="AB30" s="7">
        <f>AVERAGE(AB23:AB26)</f>
        <v>9.1346643761071782</v>
      </c>
      <c r="AC30" s="7">
        <f>AVERAGE(AC23:AC26)</f>
        <v>1.012345423850594</v>
      </c>
      <c r="AD30" s="7">
        <f>AVERAGE(AD23:AD26)</f>
        <v>8.1221030982419471</v>
      </c>
      <c r="AE30" s="4"/>
      <c r="AL30" s="7">
        <f>AVERAGE(AL23:AL26)</f>
        <v>609.94499999999994</v>
      </c>
      <c r="AM30" s="7">
        <f>AVERAGE(AM23:AM26)</f>
        <v>493.18199999999996</v>
      </c>
      <c r="AN30" s="571">
        <f t="shared" ref="AN30:AO30" si="105">AVERAGE(AN23:AN26)</f>
        <v>0</v>
      </c>
      <c r="AO30" s="571">
        <f t="shared" si="105"/>
        <v>0</v>
      </c>
      <c r="AR30" s="2">
        <f>AB30/J30</f>
        <v>0.97702240055343947</v>
      </c>
      <c r="AS30" s="2">
        <f t="shared" si="49"/>
        <v>1</v>
      </c>
      <c r="AT30" s="2">
        <f t="shared" si="49"/>
        <v>0.97423165841594039</v>
      </c>
      <c r="AU30" s="5"/>
      <c r="AV30" s="2" t="e">
        <f t="shared" si="100"/>
        <v>#DIV/0!</v>
      </c>
      <c r="AW30" s="2" t="e">
        <f t="shared" si="101"/>
        <v>#DIV/0!</v>
      </c>
      <c r="AX30" s="2">
        <f>AVERAGE(AX23:AX26)</f>
        <v>2.5517416762385128E-3</v>
      </c>
      <c r="AY30" s="2">
        <f>AVERAGE(AY23:AY26)</f>
        <v>2.5517416762385128E-3</v>
      </c>
    </row>
    <row r="31" spans="1:51" s="1" customFormat="1" ht="27">
      <c r="B31" s="6" t="s">
        <v>1126</v>
      </c>
      <c r="J31" s="7">
        <f>AVERAGE(J5:J10,J18:J22)</f>
        <v>24.894632839571386</v>
      </c>
      <c r="K31" s="7">
        <f>AVERAGE(K5:K10,K18:K22)</f>
        <v>16.777926041172154</v>
      </c>
      <c r="L31" s="4"/>
      <c r="M31" s="7">
        <f>AVERAGE(M5:M10,M18:M22)</f>
        <v>8.1133646260552403</v>
      </c>
      <c r="T31" s="7" t="e">
        <f>AVERAGE(T5:T10,T18:T22)</f>
        <v>#DIV/0!</v>
      </c>
      <c r="U31" s="7" t="e">
        <f>AVERAGE(U5:U10,U18:U22)</f>
        <v>#DIV/0!</v>
      </c>
      <c r="V31" s="571">
        <f t="shared" ref="V31:W31" si="106">AVERAGE(V5:V10,V18:V22)</f>
        <v>0</v>
      </c>
      <c r="W31" s="571">
        <f t="shared" si="106"/>
        <v>0</v>
      </c>
      <c r="AB31" s="7">
        <f>AVERAGE(AB5:AB10,AB18:AB22)</f>
        <v>24.894632839571386</v>
      </c>
      <c r="AC31" s="7">
        <f>AVERAGE(AC5:AC10,AC18:AC22)</f>
        <v>16.777926041172154</v>
      </c>
      <c r="AD31" s="4"/>
      <c r="AE31" s="7">
        <f>AVERAGE(AE5:AE10,AE18:AE22)</f>
        <v>8.1133646260552403</v>
      </c>
      <c r="AL31" s="7">
        <f>AVERAGE(AL5:AL10,AL18:AL22)</f>
        <v>202.29527272727273</v>
      </c>
      <c r="AM31" s="7">
        <f>AVERAGE(AM5:AM10,AM18:AM22)</f>
        <v>85.670545454545461</v>
      </c>
      <c r="AN31" s="571">
        <f t="shared" ref="AN31:AO31" si="107">AVERAGE(AN5:AN10,AN18:AN22)</f>
        <v>0</v>
      </c>
      <c r="AO31" s="571">
        <f t="shared" si="107"/>
        <v>0</v>
      </c>
      <c r="AR31" s="2">
        <f>AB31/J31</f>
        <v>1</v>
      </c>
      <c r="AS31" s="2">
        <f t="shared" ref="AS31" si="108">AC31/K31</f>
        <v>1</v>
      </c>
      <c r="AT31" s="5"/>
      <c r="AU31" s="2">
        <f>AE31/M31</f>
        <v>1</v>
      </c>
      <c r="AV31" s="2" t="e">
        <f t="shared" si="100"/>
        <v>#DIV/0!</v>
      </c>
      <c r="AW31" s="2" t="e">
        <f t="shared" si="101"/>
        <v>#DIV/0!</v>
      </c>
      <c r="AX31" s="2">
        <f>AVERAGE(AX5:AX10,AX18:AX22)</f>
        <v>0</v>
      </c>
      <c r="AY31" s="2">
        <f>AVERAGE(AY5:AY10,AY18:AY22)</f>
        <v>0</v>
      </c>
    </row>
    <row r="32" spans="1:51">
      <c r="B32" s="6" t="s">
        <v>137</v>
      </c>
      <c r="J32" s="7">
        <f>AVERAGE(J5:J26)</f>
        <v>22.752159747415131</v>
      </c>
      <c r="K32" s="7">
        <f>AVERAGE(K5:K26)</f>
        <v>13.078170606124598</v>
      </c>
      <c r="L32" s="7">
        <f>AVERAGE(L5:L26)</f>
        <v>11.231136856421474</v>
      </c>
      <c r="M32" s="7">
        <f>AVERAGE(M5:M26)</f>
        <v>8.1133646260552403</v>
      </c>
      <c r="R32" s="1"/>
      <c r="S32" s="1"/>
      <c r="T32" s="7">
        <f>AVERAGE(T5:T26)</f>
        <v>251.09100000000001</v>
      </c>
      <c r="U32" s="7">
        <f>AVERAGE(U5:U26)</f>
        <v>172.54145454545457</v>
      </c>
      <c r="V32" s="571">
        <f t="shared" ref="V32:W32" si="109">AVERAGE(V5:V26)</f>
        <v>0</v>
      </c>
      <c r="W32" s="571">
        <f t="shared" si="109"/>
        <v>0</v>
      </c>
      <c r="AB32" s="7">
        <f>AVERAGE(AB5:AB26)</f>
        <v>22.514789917740309</v>
      </c>
      <c r="AC32" s="7">
        <f>AVERAGE(AC5:AC26)</f>
        <v>13.078170606124598</v>
      </c>
      <c r="AD32" s="7">
        <f>AVERAGE(AD5:AD26)</f>
        <v>10.756397197071839</v>
      </c>
      <c r="AE32" s="7">
        <f>AVERAGE(AE5:AE26)</f>
        <v>8.1133646260552403</v>
      </c>
      <c r="AG32" s="1"/>
      <c r="AH32" s="1"/>
      <c r="AI32" s="1"/>
      <c r="AJ32" s="1"/>
      <c r="AK32" s="1"/>
      <c r="AL32" s="7">
        <f>AVERAGE(AL5:AL26)</f>
        <v>281.0545909090909</v>
      </c>
      <c r="AM32" s="7">
        <f>AVERAGE(AM5:AM26)</f>
        <v>183.17640909090912</v>
      </c>
      <c r="AN32" s="571">
        <f t="shared" ref="AN32:AO32" si="110">AVERAGE(AN5:AN26)</f>
        <v>0</v>
      </c>
      <c r="AO32" s="571">
        <f t="shared" si="110"/>
        <v>0</v>
      </c>
      <c r="AR32" s="2">
        <f>AB32/J32</f>
        <v>0.98956715176449173</v>
      </c>
      <c r="AS32" s="2">
        <f t="shared" si="49"/>
        <v>1</v>
      </c>
      <c r="AT32" s="2">
        <f t="shared" si="49"/>
        <v>0.95773004412476737</v>
      </c>
      <c r="AU32" s="2">
        <f>AE32/M32</f>
        <v>1</v>
      </c>
      <c r="AV32" s="2" t="e">
        <f t="shared" si="100"/>
        <v>#DIV/0!</v>
      </c>
      <c r="AW32" s="2" t="e">
        <f t="shared" si="101"/>
        <v>#DIV/0!</v>
      </c>
      <c r="AX32" s="2">
        <f>AVERAGE(AX5:AX26)</f>
        <v>3.6199662837002157E-3</v>
      </c>
      <c r="AY32" s="2">
        <f>AVERAGE(AY5:AY26)</f>
        <v>3.6199662837002157E-3</v>
      </c>
    </row>
    <row r="33" spans="1:41" s="1" customFormat="1" outlineLevel="2">
      <c r="A33" s="338" t="s">
        <v>138</v>
      </c>
      <c r="B33" s="6" t="s">
        <v>1127</v>
      </c>
      <c r="T33" s="8"/>
      <c r="U33" s="8"/>
      <c r="AL33" s="12" t="e">
        <f>AL27/T27</f>
        <v>#DIV/0!</v>
      </c>
      <c r="AM33" s="12" t="e">
        <f>AM27/U27</f>
        <v>#DIV/0!</v>
      </c>
      <c r="AN33" s="12"/>
      <c r="AO33" s="12"/>
    </row>
    <row r="34" spans="1:41" s="1" customFormat="1" outlineLevel="2">
      <c r="B34" s="6" t="s">
        <v>1128</v>
      </c>
      <c r="AL34" s="12">
        <f t="shared" ref="AL34:AM34" si="111">AL28/T28</f>
        <v>1.6991646166346941</v>
      </c>
      <c r="AM34" s="12">
        <f t="shared" si="111"/>
        <v>1.9293107953984956</v>
      </c>
      <c r="AN34" s="12"/>
      <c r="AO34" s="12"/>
    </row>
    <row r="35" spans="1:41" ht="27" outlineLevel="2">
      <c r="A35" s="6"/>
      <c r="B35" s="6" t="s">
        <v>1130</v>
      </c>
      <c r="S35" s="1"/>
      <c r="T35" s="8"/>
      <c r="U35" s="8"/>
      <c r="AG35" s="1"/>
      <c r="AH35" s="1"/>
      <c r="AI35" s="1"/>
      <c r="AJ35" s="1"/>
      <c r="AK35" s="1"/>
      <c r="AL35" s="12" t="e">
        <f t="shared" ref="AL35:AM35" si="112">AL29/T29</f>
        <v>#DIV/0!</v>
      </c>
      <c r="AM35" s="12" t="e">
        <f t="shared" si="112"/>
        <v>#DIV/0!</v>
      </c>
      <c r="AN35" s="12"/>
      <c r="AO35" s="12"/>
    </row>
    <row r="36" spans="1:41" outlineLevel="2">
      <c r="B36" s="6" t="s">
        <v>1131</v>
      </c>
      <c r="U36" s="1"/>
      <c r="AG36" s="1"/>
      <c r="AH36" s="1"/>
      <c r="AI36" s="1"/>
      <c r="AJ36" s="1"/>
      <c r="AK36" s="1"/>
      <c r="AL36" s="12">
        <f>AL30/T30</f>
        <v>1.3057292968388334</v>
      </c>
      <c r="AM36" s="12">
        <f t="shared" ref="AM36" si="113">AM30/U30</f>
        <v>1.4943267595605025</v>
      </c>
      <c r="AN36" s="12"/>
      <c r="AO36" s="12"/>
    </row>
    <row r="37" spans="1:41" ht="27" outlineLevel="2">
      <c r="B37" s="6" t="s">
        <v>1133</v>
      </c>
      <c r="T37" s="8"/>
      <c r="U37" s="8"/>
      <c r="AG37" s="1"/>
      <c r="AH37" s="1"/>
      <c r="AI37" s="1"/>
      <c r="AJ37" s="1"/>
      <c r="AK37" s="1"/>
      <c r="AL37" s="12" t="e">
        <f>AL31/T31</f>
        <v>#DIV/0!</v>
      </c>
      <c r="AM37" s="12" t="e">
        <f t="shared" ref="AM37" si="114">AM31/U31</f>
        <v>#DIV/0!</v>
      </c>
      <c r="AN37" s="12"/>
      <c r="AO37" s="12"/>
    </row>
    <row r="38" spans="1:41" outlineLevel="2" collapsed="1">
      <c r="B38" s="6" t="s">
        <v>1135</v>
      </c>
      <c r="AG38" s="1"/>
      <c r="AH38" s="1"/>
      <c r="AI38" s="1"/>
      <c r="AJ38" s="1"/>
      <c r="AK38" s="1"/>
      <c r="AL38" s="12">
        <f t="shared" ref="AL38:AM38" si="115">AL32/T32</f>
        <v>1.119333591841567</v>
      </c>
      <c r="AM38" s="12">
        <f t="shared" si="115"/>
        <v>1.061637098014917</v>
      </c>
      <c r="AN38" s="12"/>
      <c r="AO38" s="12"/>
    </row>
    <row r="39" spans="1:41">
      <c r="AG39" s="1"/>
      <c r="AH39" s="1"/>
      <c r="AI39" s="1"/>
      <c r="AJ39" s="1"/>
      <c r="AK39" s="1"/>
      <c r="AL39" s="1"/>
      <c r="AM39" s="1"/>
    </row>
  </sheetData>
  <mergeCells count="36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O2:O3"/>
    <mergeCell ref="P2:S2"/>
    <mergeCell ref="T2:T3"/>
    <mergeCell ref="U2:U3"/>
    <mergeCell ref="V2:V3"/>
    <mergeCell ref="W2:W3"/>
    <mergeCell ref="X2:X3"/>
    <mergeCell ref="Z2:Z3"/>
    <mergeCell ref="AA2:AA3"/>
    <mergeCell ref="AB2:AE2"/>
    <mergeCell ref="AW2:AW3"/>
    <mergeCell ref="AX2:AX3"/>
    <mergeCell ref="AY2:AY3"/>
    <mergeCell ref="A1:F1"/>
    <mergeCell ref="H1:X1"/>
    <mergeCell ref="Z1:AP1"/>
    <mergeCell ref="AN2:AN3"/>
    <mergeCell ref="AO2:AO3"/>
    <mergeCell ref="AP2:AP3"/>
    <mergeCell ref="AR2:AU2"/>
    <mergeCell ref="AV2:AV3"/>
    <mergeCell ref="AF2:AF3"/>
    <mergeCell ref="AG2:AG3"/>
    <mergeCell ref="AH2:AK2"/>
    <mergeCell ref="AL2:AL3"/>
    <mergeCell ref="AM2:AM3"/>
  </mergeCells>
  <phoneticPr fontId="2" type="noConversion"/>
  <conditionalFormatting sqref="AU18:AU20">
    <cfRule type="cellIs" dxfId="2733" priority="73" operator="greaterThanOrEqual">
      <formula>1.03</formula>
    </cfRule>
    <cfRule type="cellIs" dxfId="2732" priority="74" operator="lessThanOrEqual">
      <formula>0.97</formula>
    </cfRule>
  </conditionalFormatting>
  <conditionalFormatting sqref="AR21:AS21">
    <cfRule type="cellIs" dxfId="2731" priority="69" operator="greaterThanOrEqual">
      <formula>1.03</formula>
    </cfRule>
    <cfRule type="cellIs" dxfId="2730" priority="70" operator="lessThanOrEqual">
      <formula>0.97</formula>
    </cfRule>
  </conditionalFormatting>
  <conditionalFormatting sqref="AU21">
    <cfRule type="cellIs" dxfId="2729" priority="67" operator="greaterThanOrEqual">
      <formula>1.03</formula>
    </cfRule>
    <cfRule type="cellIs" dxfId="2728" priority="68" operator="lessThanOrEqual">
      <formula>0.97</formula>
    </cfRule>
  </conditionalFormatting>
  <conditionalFormatting sqref="AR22:AS22">
    <cfRule type="cellIs" dxfId="2727" priority="65" operator="greaterThanOrEqual">
      <formula>1.03</formula>
    </cfRule>
    <cfRule type="cellIs" dxfId="2726" priority="66" operator="lessThanOrEqual">
      <formula>0.97</formula>
    </cfRule>
  </conditionalFormatting>
  <conditionalFormatting sqref="AU22">
    <cfRule type="cellIs" dxfId="2725" priority="63" operator="greaterThanOrEqual">
      <formula>1.03</formula>
    </cfRule>
    <cfRule type="cellIs" dxfId="2724" priority="64" operator="lessThanOrEqual">
      <formula>0.97</formula>
    </cfRule>
  </conditionalFormatting>
  <conditionalFormatting sqref="AR23:AS25">
    <cfRule type="cellIs" dxfId="2723" priority="61" operator="greaterThanOrEqual">
      <formula>1.03</formula>
    </cfRule>
    <cfRule type="cellIs" dxfId="2722" priority="62" operator="lessThanOrEqual">
      <formula>0.97</formula>
    </cfRule>
  </conditionalFormatting>
  <conditionalFormatting sqref="AR26:AS26">
    <cfRule type="cellIs" dxfId="2721" priority="57" operator="greaterThanOrEqual">
      <formula>1.03</formula>
    </cfRule>
    <cfRule type="cellIs" dxfId="2720" priority="58" operator="lessThanOrEqual">
      <formula>0.97</formula>
    </cfRule>
  </conditionalFormatting>
  <conditionalFormatting sqref="AT23:AT25">
    <cfRule type="cellIs" dxfId="2719" priority="53" operator="greaterThanOrEqual">
      <formula>1.03</formula>
    </cfRule>
    <cfRule type="cellIs" dxfId="2718" priority="54" operator="lessThanOrEqual">
      <formula>0.97</formula>
    </cfRule>
  </conditionalFormatting>
  <conditionalFormatting sqref="AT26">
    <cfRule type="cellIs" dxfId="2717" priority="51" operator="greaterThanOrEqual">
      <formula>1.03</formula>
    </cfRule>
    <cfRule type="cellIs" dxfId="2716" priority="52" operator="lessThanOrEqual">
      <formula>0.97</formula>
    </cfRule>
  </conditionalFormatting>
  <conditionalFormatting sqref="AR8:AS10">
    <cfRule type="cellIs" dxfId="2715" priority="49" operator="greaterThanOrEqual">
      <formula>1.03</formula>
    </cfRule>
    <cfRule type="cellIs" dxfId="2714" priority="50" operator="lessThanOrEqual">
      <formula>0.97</formula>
    </cfRule>
  </conditionalFormatting>
  <conditionalFormatting sqref="AU8:AU10">
    <cfRule type="cellIs" dxfId="2713" priority="47" operator="greaterThanOrEqual">
      <formula>1.03</formula>
    </cfRule>
    <cfRule type="cellIs" dxfId="2712" priority="48" operator="lessThanOrEqual">
      <formula>0.97</formula>
    </cfRule>
  </conditionalFormatting>
  <conditionalFormatting sqref="AR5:AS7">
    <cfRule type="cellIs" dxfId="2711" priority="45" operator="greaterThanOrEqual">
      <formula>1.03</formula>
    </cfRule>
    <cfRule type="cellIs" dxfId="2710" priority="46" operator="lessThanOrEqual">
      <formula>0.97</formula>
    </cfRule>
  </conditionalFormatting>
  <conditionalFormatting sqref="AU5:AU7">
    <cfRule type="cellIs" dxfId="2709" priority="43" operator="greaterThanOrEqual">
      <formula>1.03</formula>
    </cfRule>
    <cfRule type="cellIs" dxfId="2708" priority="44" operator="lessThanOrEqual">
      <formula>0.97</formula>
    </cfRule>
  </conditionalFormatting>
  <conditionalFormatting sqref="AR11:AS13">
    <cfRule type="cellIs" dxfId="2707" priority="37" operator="greaterThanOrEqual">
      <formula>1.03</formula>
    </cfRule>
    <cfRule type="cellIs" dxfId="2706" priority="38" operator="lessThanOrEqual">
      <formula>0.97</formula>
    </cfRule>
  </conditionalFormatting>
  <conditionalFormatting sqref="AR14:AS14">
    <cfRule type="cellIs" dxfId="2705" priority="35" operator="greaterThanOrEqual">
      <formula>1.03</formula>
    </cfRule>
    <cfRule type="cellIs" dxfId="2704" priority="36" operator="lessThanOrEqual">
      <formula>0.97</formula>
    </cfRule>
  </conditionalFormatting>
  <conditionalFormatting sqref="AT11:AT13">
    <cfRule type="cellIs" dxfId="2703" priority="33" operator="greaterThanOrEqual">
      <formula>1.03</formula>
    </cfRule>
    <cfRule type="cellIs" dxfId="2702" priority="34" operator="lessThanOrEqual">
      <formula>0.97</formula>
    </cfRule>
  </conditionalFormatting>
  <conditionalFormatting sqref="AT14">
    <cfRule type="cellIs" dxfId="2701" priority="31" operator="greaterThanOrEqual">
      <formula>1.03</formula>
    </cfRule>
    <cfRule type="cellIs" dxfId="2700" priority="32" operator="lessThanOrEqual">
      <formula>0.97</formula>
    </cfRule>
  </conditionalFormatting>
  <conditionalFormatting sqref="AR17:AS17">
    <cfRule type="cellIs" dxfId="2699" priority="27" operator="greaterThanOrEqual">
      <formula>1.03</formula>
    </cfRule>
    <cfRule type="cellIs" dxfId="2698" priority="28" operator="lessThanOrEqual">
      <formula>0.97</formula>
    </cfRule>
  </conditionalFormatting>
  <conditionalFormatting sqref="AT17">
    <cfRule type="cellIs" dxfId="2697" priority="23" operator="greaterThanOrEqual">
      <formula>1.03</formula>
    </cfRule>
    <cfRule type="cellIs" dxfId="2696" priority="24" operator="lessThanOrEqual">
      <formula>0.97</formula>
    </cfRule>
  </conditionalFormatting>
  <conditionalFormatting sqref="AX27:AY32">
    <cfRule type="cellIs" dxfId="2695" priority="3" operator="greaterThanOrEqual">
      <formula>0.03</formula>
    </cfRule>
    <cfRule type="cellIs" dxfId="2694" priority="4" operator="lessThanOrEqual">
      <formula>-0.03</formula>
    </cfRule>
  </conditionalFormatting>
  <conditionalFormatting sqref="AR27:AW32">
    <cfRule type="cellIs" dxfId="2693" priority="1" operator="greaterThanOrEqual">
      <formula>1.03</formula>
    </cfRule>
    <cfRule type="cellIs" dxfId="2692" priority="2" operator="lessThanOrEqual">
      <formula>0.97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V148"/>
  <sheetViews>
    <sheetView workbookViewId="0">
      <selection sqref="A1:G1"/>
    </sheetView>
  </sheetViews>
  <sheetFormatPr defaultColWidth="8.625" defaultRowHeight="13.5" outlineLevelRow="2"/>
  <cols>
    <col min="1" max="1" width="11" style="1" customWidth="1"/>
    <col min="2" max="2" width="23.875" style="1" customWidth="1"/>
    <col min="3" max="3" width="8.625" style="1"/>
    <col min="4" max="4" width="10.875" style="471" customWidth="1"/>
    <col min="5" max="5" width="10.875" style="1" customWidth="1"/>
    <col min="6" max="7" width="8.625" style="1"/>
    <col min="8" max="8" width="1.875" style="1" customWidth="1"/>
    <col min="9" max="9" width="8.625" style="1"/>
    <col min="10" max="11" width="10.875" style="1" customWidth="1"/>
    <col min="12" max="12" width="7.875" style="1" bestFit="1" customWidth="1"/>
    <col min="13" max="14" width="12.875" style="1" customWidth="1"/>
    <col min="15" max="15" width="10.875" style="1" customWidth="1"/>
    <col min="16" max="18" width="12.875" style="1" customWidth="1"/>
    <col min="19" max="19" width="15.125" style="1" customWidth="1"/>
    <col min="20" max="21" width="11.875" style="1" customWidth="1"/>
    <col min="22" max="22" width="11" style="1" customWidth="1"/>
    <col min="23" max="24" width="11.875" style="1" customWidth="1"/>
    <col min="25" max="25" width="13.125" style="1" customWidth="1"/>
    <col min="26" max="29" width="8.625" style="1"/>
    <col min="30" max="30" width="10.375" style="1" customWidth="1"/>
    <col min="31" max="31" width="1.875" style="1" customWidth="1"/>
    <col min="32" max="32" width="8.625" style="1"/>
    <col min="33" max="34" width="10.875" style="1" customWidth="1"/>
    <col min="35" max="35" width="9.375" style="1" customWidth="1"/>
    <col min="36" max="36" width="13" style="1" customWidth="1"/>
    <col min="37" max="37" width="12.875" style="1" customWidth="1"/>
    <col min="38" max="38" width="10.875" style="1" customWidth="1"/>
    <col min="39" max="40" width="12.875" style="1" customWidth="1"/>
    <col min="41" max="41" width="11.875" style="1" customWidth="1"/>
    <col min="42" max="42" width="13.375" style="1" customWidth="1"/>
    <col min="43" max="44" width="11.875" style="1" customWidth="1"/>
    <col min="45" max="45" width="10.375" style="1" customWidth="1"/>
    <col min="46" max="47" width="11.875" style="1" customWidth="1"/>
    <col min="48" max="48" width="13.375" style="1" customWidth="1"/>
    <col min="49" max="52" width="8.625" style="1"/>
    <col min="53" max="53" width="10.875" style="1" customWidth="1"/>
    <col min="54" max="54" width="1.875" style="1" customWidth="1"/>
    <col min="55" max="57" width="8.625" style="1"/>
    <col min="58" max="58" width="9.375" style="1" customWidth="1"/>
    <col min="59" max="59" width="1.875" style="1" customWidth="1"/>
    <col min="60" max="61" width="8.625" style="1"/>
    <col min="62" max="64" width="11.875" style="1" customWidth="1"/>
    <col min="65" max="65" width="13.125" style="1" customWidth="1"/>
    <col min="66" max="66" width="1.875" style="1" customWidth="1"/>
    <col min="67" max="68" width="8.625" style="1"/>
    <col min="69" max="71" width="11.875" style="1" customWidth="1"/>
    <col min="72" max="72" width="12.625" style="1" customWidth="1"/>
    <col min="73" max="73" width="1.875" style="1" customWidth="1"/>
    <col min="74" max="75" width="8.625" style="1"/>
    <col min="76" max="78" width="11.875" style="1" customWidth="1"/>
    <col min="79" max="79" width="13.125" style="1" customWidth="1"/>
    <col min="80" max="80" width="1.875" style="1" customWidth="1"/>
    <col min="81" max="82" width="8.625" style="1"/>
    <col min="83" max="85" width="11.875" style="1" customWidth="1"/>
    <col min="86" max="86" width="12.625" style="1" customWidth="1"/>
    <col min="87" max="87" width="1.875" style="1" customWidth="1"/>
    <col min="88" max="89" width="8.625" style="1"/>
    <col min="90" max="92" width="11.875" style="1" customWidth="1"/>
    <col min="93" max="93" width="13.125" style="1" customWidth="1"/>
    <col min="94" max="94" width="1.875" style="1" customWidth="1"/>
    <col min="95" max="96" width="8.625" style="1"/>
    <col min="97" max="99" width="11.875" style="1" customWidth="1"/>
    <col min="100" max="100" width="12.625" style="1" customWidth="1"/>
    <col min="101" max="101" width="1.375" style="1" customWidth="1"/>
    <col min="102" max="16384" width="8.625" style="1"/>
  </cols>
  <sheetData>
    <row r="1" spans="1:100" ht="14.25" thickBot="1">
      <c r="A1" s="702" t="s">
        <v>1379</v>
      </c>
      <c r="B1" s="703"/>
      <c r="C1" s="703"/>
      <c r="D1" s="703"/>
      <c r="E1" s="703"/>
      <c r="F1" s="703"/>
      <c r="G1" s="704"/>
      <c r="I1" s="705" t="str">
        <f>Summary!C1</f>
        <v>pcrm-dev-3.2-attr-ccp</v>
      </c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6"/>
      <c r="U1" s="706"/>
      <c r="V1" s="706"/>
      <c r="W1" s="706"/>
      <c r="X1" s="706"/>
      <c r="Y1" s="706"/>
      <c r="Z1" s="706"/>
      <c r="AA1" s="706"/>
      <c r="AB1" s="706"/>
      <c r="AC1" s="706"/>
      <c r="AD1" s="707"/>
      <c r="AF1" s="708" t="str">
        <f>Summary!C2</f>
        <v>pcrm-dev-3.3-attr-cache-impr</v>
      </c>
      <c r="AG1" s="623"/>
      <c r="AH1" s="623"/>
      <c r="AI1" s="623"/>
      <c r="AJ1" s="623"/>
      <c r="AK1" s="623"/>
      <c r="AL1" s="623"/>
      <c r="AM1" s="623"/>
      <c r="AN1" s="623"/>
      <c r="AO1" s="623"/>
      <c r="AP1" s="623"/>
      <c r="AQ1" s="623"/>
      <c r="AR1" s="623"/>
      <c r="AS1" s="623"/>
      <c r="AT1" s="623"/>
      <c r="AU1" s="623"/>
      <c r="AV1" s="623"/>
      <c r="AW1" s="623"/>
      <c r="AX1" s="623"/>
      <c r="AY1" s="623"/>
      <c r="AZ1" s="623"/>
      <c r="BA1" s="624"/>
      <c r="BC1" s="689"/>
      <c r="BD1" s="689"/>
      <c r="BE1" s="689"/>
      <c r="BF1" s="689"/>
      <c r="BG1" s="115"/>
      <c r="BH1" s="694" t="s">
        <v>810</v>
      </c>
      <c r="BI1" s="695"/>
      <c r="BJ1" s="695"/>
      <c r="BK1" s="695"/>
      <c r="BL1" s="695"/>
      <c r="BM1" s="696"/>
      <c r="BN1" s="115"/>
      <c r="BO1" s="694" t="s">
        <v>810</v>
      </c>
      <c r="BP1" s="695"/>
      <c r="BQ1" s="695"/>
      <c r="BR1" s="695"/>
      <c r="BS1" s="695"/>
      <c r="BT1" s="696"/>
      <c r="BV1" s="694" t="s">
        <v>806</v>
      </c>
      <c r="BW1" s="695"/>
      <c r="BX1" s="695"/>
      <c r="BY1" s="695"/>
      <c r="BZ1" s="695"/>
      <c r="CA1" s="696"/>
      <c r="CB1" s="115"/>
      <c r="CC1" s="694" t="s">
        <v>806</v>
      </c>
      <c r="CD1" s="695"/>
      <c r="CE1" s="695"/>
      <c r="CF1" s="695"/>
      <c r="CG1" s="695"/>
      <c r="CH1" s="696"/>
      <c r="CJ1" s="731" t="s">
        <v>805</v>
      </c>
      <c r="CK1" s="731"/>
      <c r="CL1" s="731"/>
      <c r="CM1" s="731"/>
      <c r="CN1" s="731"/>
      <c r="CO1" s="731"/>
      <c r="CP1" s="115"/>
      <c r="CQ1" s="731" t="s">
        <v>807</v>
      </c>
      <c r="CR1" s="731"/>
      <c r="CS1" s="731"/>
      <c r="CT1" s="731"/>
      <c r="CU1" s="731"/>
      <c r="CV1" s="731"/>
    </row>
    <row r="2" spans="1:100" ht="29.45" customHeight="1">
      <c r="A2" s="727" t="s">
        <v>48</v>
      </c>
      <c r="B2" s="721" t="s">
        <v>50</v>
      </c>
      <c r="C2" s="721" t="s">
        <v>52</v>
      </c>
      <c r="D2" s="729" t="s">
        <v>54</v>
      </c>
      <c r="E2" s="721" t="s">
        <v>56</v>
      </c>
      <c r="F2" s="721" t="s">
        <v>58</v>
      </c>
      <c r="G2" s="723" t="s">
        <v>60</v>
      </c>
      <c r="I2" s="725" t="s">
        <v>62</v>
      </c>
      <c r="J2" s="715" t="s">
        <v>64</v>
      </c>
      <c r="K2" s="715"/>
      <c r="L2" s="715"/>
      <c r="M2" s="715"/>
      <c r="N2" s="715" t="s">
        <v>484</v>
      </c>
      <c r="O2" s="715" t="s">
        <v>14</v>
      </c>
      <c r="P2" s="715" t="s">
        <v>75</v>
      </c>
      <c r="Q2" s="715"/>
      <c r="R2" s="715"/>
      <c r="S2" s="715"/>
      <c r="T2" s="715" t="s">
        <v>965</v>
      </c>
      <c r="U2" s="715"/>
      <c r="V2" s="715" t="s">
        <v>491</v>
      </c>
      <c r="W2" s="715"/>
      <c r="X2" s="715"/>
      <c r="Y2" s="715"/>
      <c r="Z2" s="715" t="s">
        <v>904</v>
      </c>
      <c r="AA2" s="715" t="s">
        <v>910</v>
      </c>
      <c r="AB2" s="715" t="s">
        <v>92</v>
      </c>
      <c r="AC2" s="715" t="s">
        <v>94</v>
      </c>
      <c r="AD2" s="717" t="s">
        <v>866</v>
      </c>
      <c r="AF2" s="719" t="s">
        <v>62</v>
      </c>
      <c r="AG2" s="713" t="s">
        <v>64</v>
      </c>
      <c r="AH2" s="713"/>
      <c r="AI2" s="713"/>
      <c r="AJ2" s="713"/>
      <c r="AK2" s="713" t="s">
        <v>485</v>
      </c>
      <c r="AL2" s="713" t="s">
        <v>14</v>
      </c>
      <c r="AM2" s="713" t="s">
        <v>75</v>
      </c>
      <c r="AN2" s="713"/>
      <c r="AO2" s="713"/>
      <c r="AP2" s="713"/>
      <c r="AQ2" s="713" t="s">
        <v>966</v>
      </c>
      <c r="AR2" s="713"/>
      <c r="AS2" s="713" t="s">
        <v>490</v>
      </c>
      <c r="AT2" s="713"/>
      <c r="AU2" s="713"/>
      <c r="AV2" s="713"/>
      <c r="AW2" s="713" t="s">
        <v>904</v>
      </c>
      <c r="AX2" s="713" t="s">
        <v>905</v>
      </c>
      <c r="AY2" s="713" t="s">
        <v>92</v>
      </c>
      <c r="AZ2" s="713" t="s">
        <v>94</v>
      </c>
      <c r="BA2" s="709" t="s">
        <v>866</v>
      </c>
      <c r="BC2" s="711" t="s">
        <v>117</v>
      </c>
      <c r="BD2" s="690" t="s">
        <v>119</v>
      </c>
      <c r="BE2" s="690" t="s">
        <v>487</v>
      </c>
      <c r="BF2" s="692" t="s">
        <v>488</v>
      </c>
      <c r="BH2" s="697" t="s">
        <v>483</v>
      </c>
      <c r="BI2" s="698"/>
      <c r="BJ2" s="699" t="s">
        <v>489</v>
      </c>
      <c r="BK2" s="700"/>
      <c r="BL2" s="700"/>
      <c r="BM2" s="701"/>
      <c r="BO2" s="697" t="s">
        <v>1352</v>
      </c>
      <c r="BP2" s="700"/>
      <c r="BQ2" s="700"/>
      <c r="BR2" s="700"/>
      <c r="BS2" s="700"/>
      <c r="BT2" s="701"/>
      <c r="BV2" s="697" t="s">
        <v>483</v>
      </c>
      <c r="BW2" s="698"/>
      <c r="BX2" s="699" t="s">
        <v>489</v>
      </c>
      <c r="BY2" s="700"/>
      <c r="BZ2" s="700"/>
      <c r="CA2" s="701"/>
      <c r="CC2" s="697" t="s">
        <v>126</v>
      </c>
      <c r="CD2" s="700"/>
      <c r="CE2" s="700"/>
      <c r="CF2" s="700"/>
      <c r="CG2" s="700"/>
      <c r="CH2" s="701"/>
      <c r="CJ2" s="711" t="s">
        <v>483</v>
      </c>
      <c r="CK2" s="690"/>
      <c r="CL2" s="690" t="s">
        <v>489</v>
      </c>
      <c r="CM2" s="690"/>
      <c r="CN2" s="690"/>
      <c r="CO2" s="692"/>
      <c r="CQ2" s="711" t="s">
        <v>126</v>
      </c>
      <c r="CR2" s="732"/>
      <c r="CS2" s="732"/>
      <c r="CT2" s="732"/>
      <c r="CU2" s="732"/>
      <c r="CV2" s="733"/>
    </row>
    <row r="3" spans="1:100" s="289" customFormat="1" ht="27.75" thickBot="1">
      <c r="A3" s="728"/>
      <c r="B3" s="722"/>
      <c r="C3" s="722"/>
      <c r="D3" s="730"/>
      <c r="E3" s="722"/>
      <c r="F3" s="722"/>
      <c r="G3" s="724"/>
      <c r="I3" s="726"/>
      <c r="J3" s="619" t="s">
        <v>65</v>
      </c>
      <c r="K3" s="619" t="s">
        <v>67</v>
      </c>
      <c r="L3" s="619" t="s">
        <v>69</v>
      </c>
      <c r="M3" s="619" t="s">
        <v>71</v>
      </c>
      <c r="N3" s="716"/>
      <c r="O3" s="716"/>
      <c r="P3" s="619" t="s">
        <v>65</v>
      </c>
      <c r="Q3" s="619" t="s">
        <v>67</v>
      </c>
      <c r="R3" s="619" t="s">
        <v>78</v>
      </c>
      <c r="S3" s="619" t="s">
        <v>71</v>
      </c>
      <c r="T3" s="619" t="s">
        <v>140</v>
      </c>
      <c r="U3" s="619" t="s">
        <v>964</v>
      </c>
      <c r="V3" s="619" t="s">
        <v>81</v>
      </c>
      <c r="W3" s="619" t="s">
        <v>83</v>
      </c>
      <c r="X3" s="619" t="s">
        <v>85</v>
      </c>
      <c r="Y3" s="619" t="s">
        <v>71</v>
      </c>
      <c r="Z3" s="716"/>
      <c r="AA3" s="716"/>
      <c r="AB3" s="716"/>
      <c r="AC3" s="716"/>
      <c r="AD3" s="718"/>
      <c r="AF3" s="720"/>
      <c r="AG3" s="618" t="s">
        <v>65</v>
      </c>
      <c r="AH3" s="618" t="s">
        <v>67</v>
      </c>
      <c r="AI3" s="618" t="s">
        <v>69</v>
      </c>
      <c r="AJ3" s="618" t="s">
        <v>71</v>
      </c>
      <c r="AK3" s="714"/>
      <c r="AL3" s="714"/>
      <c r="AM3" s="618" t="s">
        <v>65</v>
      </c>
      <c r="AN3" s="618" t="s">
        <v>67</v>
      </c>
      <c r="AO3" s="618" t="s">
        <v>78</v>
      </c>
      <c r="AP3" s="618" t="s">
        <v>71</v>
      </c>
      <c r="AQ3" s="618" t="s">
        <v>140</v>
      </c>
      <c r="AR3" s="618" t="s">
        <v>964</v>
      </c>
      <c r="AS3" s="618" t="s">
        <v>81</v>
      </c>
      <c r="AT3" s="618" t="s">
        <v>83</v>
      </c>
      <c r="AU3" s="618" t="s">
        <v>85</v>
      </c>
      <c r="AV3" s="618" t="s">
        <v>71</v>
      </c>
      <c r="AW3" s="714"/>
      <c r="AX3" s="714"/>
      <c r="AY3" s="714"/>
      <c r="AZ3" s="714"/>
      <c r="BA3" s="710"/>
      <c r="BC3" s="712"/>
      <c r="BD3" s="691"/>
      <c r="BE3" s="691"/>
      <c r="BF3" s="693"/>
      <c r="BH3" s="617" t="s">
        <v>809</v>
      </c>
      <c r="BI3" s="615" t="s">
        <v>964</v>
      </c>
      <c r="BJ3" s="615" t="s">
        <v>81</v>
      </c>
      <c r="BK3" s="615" t="s">
        <v>83</v>
      </c>
      <c r="BL3" s="615" t="s">
        <v>85</v>
      </c>
      <c r="BM3" s="616" t="s">
        <v>71</v>
      </c>
      <c r="BO3" s="617" t="s">
        <v>140</v>
      </c>
      <c r="BP3" s="615" t="s">
        <v>964</v>
      </c>
      <c r="BQ3" s="615" t="s">
        <v>81</v>
      </c>
      <c r="BR3" s="615" t="s">
        <v>83</v>
      </c>
      <c r="BS3" s="615" t="s">
        <v>85</v>
      </c>
      <c r="BT3" s="616" t="s">
        <v>71</v>
      </c>
      <c r="BV3" s="617" t="s">
        <v>912</v>
      </c>
      <c r="BW3" s="615" t="s">
        <v>964</v>
      </c>
      <c r="BX3" s="615" t="s">
        <v>81</v>
      </c>
      <c r="BY3" s="615" t="s">
        <v>83</v>
      </c>
      <c r="BZ3" s="615" t="s">
        <v>85</v>
      </c>
      <c r="CA3" s="616" t="s">
        <v>71</v>
      </c>
      <c r="CC3" s="617" t="s">
        <v>140</v>
      </c>
      <c r="CD3" s="615" t="s">
        <v>967</v>
      </c>
      <c r="CE3" s="615" t="s">
        <v>81</v>
      </c>
      <c r="CF3" s="615" t="s">
        <v>83</v>
      </c>
      <c r="CG3" s="615" t="s">
        <v>85</v>
      </c>
      <c r="CH3" s="616" t="s">
        <v>71</v>
      </c>
      <c r="CJ3" s="617" t="s">
        <v>140</v>
      </c>
      <c r="CK3" s="615" t="s">
        <v>964</v>
      </c>
      <c r="CL3" s="615" t="s">
        <v>81</v>
      </c>
      <c r="CM3" s="615" t="s">
        <v>83</v>
      </c>
      <c r="CN3" s="615" t="s">
        <v>85</v>
      </c>
      <c r="CO3" s="616" t="s">
        <v>71</v>
      </c>
      <c r="CQ3" s="617" t="s">
        <v>140</v>
      </c>
      <c r="CR3" s="615" t="s">
        <v>964</v>
      </c>
      <c r="CS3" s="615" t="s">
        <v>81</v>
      </c>
      <c r="CT3" s="615" t="s">
        <v>83</v>
      </c>
      <c r="CU3" s="615" t="s">
        <v>85</v>
      </c>
      <c r="CV3" s="616" t="s">
        <v>71</v>
      </c>
    </row>
    <row r="4" spans="1:100" s="316" customFormat="1" ht="12.95" hidden="1" customHeight="1" thickBot="1">
      <c r="A4" s="313" t="s">
        <v>504</v>
      </c>
      <c r="B4" s="314" t="s">
        <v>51</v>
      </c>
      <c r="C4" s="314" t="s">
        <v>53</v>
      </c>
      <c r="D4" s="458" t="s">
        <v>55</v>
      </c>
      <c r="E4" s="314" t="s">
        <v>57</v>
      </c>
      <c r="F4" s="314" t="s">
        <v>59</v>
      </c>
      <c r="G4" s="315" t="s">
        <v>61</v>
      </c>
      <c r="I4" s="313" t="s">
        <v>63</v>
      </c>
      <c r="J4" s="314" t="s">
        <v>66</v>
      </c>
      <c r="K4" s="314" t="s">
        <v>68</v>
      </c>
      <c r="L4" s="314" t="s">
        <v>70</v>
      </c>
      <c r="M4" s="314" t="s">
        <v>72</v>
      </c>
      <c r="N4" s="314" t="s">
        <v>73</v>
      </c>
      <c r="O4" s="314" t="s">
        <v>74</v>
      </c>
      <c r="P4" s="314" t="s">
        <v>76</v>
      </c>
      <c r="Q4" s="314" t="s">
        <v>77</v>
      </c>
      <c r="R4" s="314" t="s">
        <v>79</v>
      </c>
      <c r="S4" s="314" t="s">
        <v>80</v>
      </c>
      <c r="T4" s="314" t="s">
        <v>957</v>
      </c>
      <c r="U4" s="314" t="s">
        <v>958</v>
      </c>
      <c r="V4" s="314" t="s">
        <v>82</v>
      </c>
      <c r="W4" s="314" t="s">
        <v>84</v>
      </c>
      <c r="X4" s="314" t="s">
        <v>86</v>
      </c>
      <c r="Y4" s="314" t="s">
        <v>87</v>
      </c>
      <c r="Z4" s="314" t="s">
        <v>89</v>
      </c>
      <c r="AA4" s="314" t="s">
        <v>91</v>
      </c>
      <c r="AB4" s="314" t="s">
        <v>93</v>
      </c>
      <c r="AC4" s="314" t="s">
        <v>95</v>
      </c>
      <c r="AD4" s="315" t="s">
        <v>868</v>
      </c>
      <c r="AF4" s="313" t="s">
        <v>97</v>
      </c>
      <c r="AG4" s="314" t="s">
        <v>98</v>
      </c>
      <c r="AH4" s="314" t="s">
        <v>99</v>
      </c>
      <c r="AI4" s="314" t="s">
        <v>100</v>
      </c>
      <c r="AJ4" s="314" t="s">
        <v>101</v>
      </c>
      <c r="AK4" s="314" t="s">
        <v>102</v>
      </c>
      <c r="AL4" s="314" t="s">
        <v>103</v>
      </c>
      <c r="AM4" s="314" t="s">
        <v>104</v>
      </c>
      <c r="AN4" s="314" t="s">
        <v>105</v>
      </c>
      <c r="AO4" s="314" t="s">
        <v>106</v>
      </c>
      <c r="AP4" s="314" t="s">
        <v>107</v>
      </c>
      <c r="AQ4" s="314" t="s">
        <v>959</v>
      </c>
      <c r="AR4" s="314" t="s">
        <v>960</v>
      </c>
      <c r="AS4" s="314" t="s">
        <v>108</v>
      </c>
      <c r="AT4" s="314" t="s">
        <v>109</v>
      </c>
      <c r="AU4" s="314" t="s">
        <v>110</v>
      </c>
      <c r="AV4" s="314" t="s">
        <v>111</v>
      </c>
      <c r="AW4" s="314" t="s">
        <v>112</v>
      </c>
      <c r="AX4" s="314" t="s">
        <v>113</v>
      </c>
      <c r="AY4" s="314" t="s">
        <v>114</v>
      </c>
      <c r="AZ4" s="314" t="s">
        <v>115</v>
      </c>
      <c r="BA4" s="315" t="s">
        <v>869</v>
      </c>
      <c r="BC4" s="313" t="s">
        <v>118</v>
      </c>
      <c r="BD4" s="314" t="s">
        <v>120</v>
      </c>
      <c r="BE4" s="314" t="s">
        <v>505</v>
      </c>
      <c r="BF4" s="315" t="s">
        <v>506</v>
      </c>
      <c r="BH4" s="313" t="s">
        <v>141</v>
      </c>
      <c r="BI4" s="314" t="s">
        <v>961</v>
      </c>
      <c r="BJ4" s="314" t="s">
        <v>122</v>
      </c>
      <c r="BK4" s="314" t="s">
        <v>123</v>
      </c>
      <c r="BL4" s="314" t="s">
        <v>124</v>
      </c>
      <c r="BM4" s="315" t="s">
        <v>125</v>
      </c>
      <c r="BO4" s="313" t="s">
        <v>142</v>
      </c>
      <c r="BP4" s="314" t="s">
        <v>962</v>
      </c>
      <c r="BQ4" s="314" t="s">
        <v>127</v>
      </c>
      <c r="BR4" s="314" t="s">
        <v>128</v>
      </c>
      <c r="BS4" s="314" t="s">
        <v>129</v>
      </c>
      <c r="BT4" s="315" t="s">
        <v>130</v>
      </c>
      <c r="BV4" s="313" t="s">
        <v>141</v>
      </c>
      <c r="BW4" s="314" t="s">
        <v>961</v>
      </c>
      <c r="BX4" s="314" t="s">
        <v>122</v>
      </c>
      <c r="BY4" s="314" t="s">
        <v>123</v>
      </c>
      <c r="BZ4" s="314" t="s">
        <v>124</v>
      </c>
      <c r="CA4" s="315" t="s">
        <v>125</v>
      </c>
      <c r="CC4" s="313" t="s">
        <v>142</v>
      </c>
      <c r="CD4" s="314" t="s">
        <v>963</v>
      </c>
      <c r="CE4" s="314" t="s">
        <v>127</v>
      </c>
      <c r="CF4" s="314" t="s">
        <v>128</v>
      </c>
      <c r="CG4" s="314" t="s">
        <v>129</v>
      </c>
      <c r="CH4" s="315" t="s">
        <v>130</v>
      </c>
      <c r="CJ4" s="313" t="s">
        <v>141</v>
      </c>
      <c r="CK4" s="314" t="s">
        <v>961</v>
      </c>
      <c r="CL4" s="314" t="s">
        <v>122</v>
      </c>
      <c r="CM4" s="314" t="s">
        <v>123</v>
      </c>
      <c r="CN4" s="314" t="s">
        <v>124</v>
      </c>
      <c r="CO4" s="315" t="s">
        <v>125</v>
      </c>
      <c r="CQ4" s="313" t="s">
        <v>142</v>
      </c>
      <c r="CR4" s="314" t="s">
        <v>962</v>
      </c>
      <c r="CS4" s="314" t="s">
        <v>127</v>
      </c>
      <c r="CT4" s="314" t="s">
        <v>128</v>
      </c>
      <c r="CU4" s="314" t="s">
        <v>129</v>
      </c>
      <c r="CV4" s="315" t="s">
        <v>130</v>
      </c>
    </row>
    <row r="5" spans="1:100">
      <c r="A5" s="96" t="s">
        <v>1115</v>
      </c>
      <c r="B5" s="290" t="s">
        <v>983</v>
      </c>
      <c r="C5" s="25" t="s">
        <v>131</v>
      </c>
      <c r="D5" s="459">
        <v>9378695</v>
      </c>
      <c r="E5" s="299">
        <v>17</v>
      </c>
      <c r="F5" s="299">
        <v>1</v>
      </c>
      <c r="G5" s="29"/>
      <c r="I5" s="42" t="str">
        <f t="shared" ref="I5:I68" si="0">IF(OR(ISBLANK(P5),ISBLANK(G5)),"·",P5*G5/F5/1000000)</f>
        <v>·</v>
      </c>
      <c r="J5" s="43">
        <f t="shared" ref="J5:J68" si="1">IF(ISBLANK(P5),"·",P5/D5)</f>
        <v>1.5795801014959969E-2</v>
      </c>
      <c r="K5" s="43">
        <f t="shared" ref="K5:K68" si="2">IF(Q5="","·",Q5/D5)</f>
        <v>4.5942425891875149E-3</v>
      </c>
      <c r="L5" s="55"/>
      <c r="M5" s="43">
        <f t="shared" ref="M5:M40" si="3">IF(ISBLANK(Q5),"·",S5/D5)</f>
        <v>1.1134171651812965E-2</v>
      </c>
      <c r="N5" s="43">
        <f t="shared" ref="N5:N68" si="4">IF(ISBLANK(P5),"·",P5/O5)</f>
        <v>4.874761434682461</v>
      </c>
      <c r="O5" s="352">
        <v>30390</v>
      </c>
      <c r="P5" s="353">
        <v>148144</v>
      </c>
      <c r="Q5" s="353">
        <v>43088</v>
      </c>
      <c r="R5" s="55"/>
      <c r="S5" s="353">
        <v>104424</v>
      </c>
      <c r="T5" s="354">
        <v>46.577441999999998</v>
      </c>
      <c r="U5" s="354">
        <v>41.422877999999997</v>
      </c>
      <c r="V5" s="87"/>
      <c r="W5" s="87"/>
      <c r="X5" s="87"/>
      <c r="Y5" s="354">
        <v>48.259231999999997</v>
      </c>
      <c r="Z5" s="355"/>
      <c r="AA5" s="355"/>
      <c r="AB5" s="48">
        <v>0</v>
      </c>
      <c r="AC5" s="48">
        <v>0</v>
      </c>
      <c r="AD5" s="49"/>
      <c r="AF5" s="42" t="str">
        <f t="shared" ref="AF5:AF68" si="5">IF(OR(ISBLANK(AM5),ISBLANK(G5)),"·",AM5*G5/F5/1000000)</f>
        <v>·</v>
      </c>
      <c r="AG5" s="43" t="str">
        <f t="shared" ref="AG5:AG68" si="6">IF(ISBLANK(AM5),"·",AM5/D5)</f>
        <v>·</v>
      </c>
      <c r="AH5" s="43" t="str">
        <f t="shared" ref="AH5:AH58" si="7">IF(AN5="","·",AN5/D5)</f>
        <v>·</v>
      </c>
      <c r="AI5" s="55"/>
      <c r="AJ5" s="43" t="str">
        <f t="shared" ref="AJ5:AJ40" si="8">IF(ISBLANK(AN5),"·",AP5/D5)</f>
        <v>·</v>
      </c>
      <c r="AK5" s="43" t="str">
        <f t="shared" ref="AK5:AK40" si="9">IF(ISBLANK(AM5),"·",AM5/AL5)</f>
        <v>·</v>
      </c>
      <c r="AL5" s="352"/>
      <c r="AM5" s="353"/>
      <c r="AN5" s="353"/>
      <c r="AO5" s="55"/>
      <c r="AP5" s="353"/>
      <c r="AQ5" s="354"/>
      <c r="AR5" s="354"/>
      <c r="AS5" s="87"/>
      <c r="AT5" s="87"/>
      <c r="AU5" s="87"/>
      <c r="AV5" s="354"/>
      <c r="AW5" s="355"/>
      <c r="AX5" s="355"/>
      <c r="AY5" s="48">
        <v>0</v>
      </c>
      <c r="AZ5" s="48">
        <v>0</v>
      </c>
      <c r="BA5" s="49"/>
      <c r="BB5" s="281"/>
      <c r="BC5" s="65" t="e">
        <f>AY5/AB5</f>
        <v>#DIV/0!</v>
      </c>
      <c r="BD5" s="280" t="e">
        <f>AZ5/AC5</f>
        <v>#DIV/0!</v>
      </c>
      <c r="BE5" s="66" t="e">
        <f t="shared" ref="BE5:BE68" si="10">(AN5/AM5) - (Q5/P5)</f>
        <v>#DIV/0!</v>
      </c>
      <c r="BF5" s="67" t="e">
        <f t="array" ref="BF5">AVERAGE(AN5:AN10/AM5:AM10) - AVERAGE(Q5:Q10/P5:P10)</f>
        <v>#DIV/0!</v>
      </c>
      <c r="BH5" s="83" t="str">
        <f>IF( OR(ISBLANK($Q5:$Q10),ISBLANK($AN5:$AN10), ISBLANK($T5:$T10),ISBLANK($AQ5:$AQ10)), "·", bdRateHermite( $Q5:$Q10,$T5:$T10, $AN5:$AN10,$AQ5:$AQ10))</f>
        <v>·</v>
      </c>
      <c r="BI5" s="84" t="str">
        <f>IF(OR(ISBLANK($Q5:$Q10),ISBLANK($AN5:$AN10),ISBLANK($U5:$U10),ISBLANK($AR5:$AR10)),"·",bdRateHermite($Q5:$Q10,$U5:$U10,$AN5:$AN10,$AR5:$AR10))</f>
        <v>·</v>
      </c>
      <c r="BJ5" s="92"/>
      <c r="BK5" s="92"/>
      <c r="BL5" s="92"/>
      <c r="BM5" s="184" t="str">
        <f>IF( OR(ISBLANK($S5:$S10),ISBLANK($AP5:$AP10), ISBLANK($Y5:$Y10),ISBLANK($AV5:$AV10)), "·", bdRateHermite($S5:$S10,$Y5:$Y10, $AP5:$AP10,$AV5:$AV10))</f>
        <v>·</v>
      </c>
      <c r="BO5" s="83" t="str">
        <f>IF( OR(ISBLANK($P5:$P10),ISBLANK($AM5:$AM10), ISBLANK($T5:$T10),ISBLANK($AQ5:$AQ10)), "·", bdRateHermite($P5:$P10,$T5:$T10, $AM5:$AM10,$AQ5:$AQ10))</f>
        <v>·</v>
      </c>
      <c r="BP5" s="84" t="str">
        <f>IF( OR(ISBLANK($P5:$P10),ISBLANK($AM5:$AM10), ISBLANK($U5:$U10),ISBLANK($AR5:$AR10)), "·", bdRateHermite( $P5:$P10,$U5:$U10, $AM5:$AM10,$AR5:$AR10))</f>
        <v>·</v>
      </c>
      <c r="BQ5" s="92"/>
      <c r="BR5" s="87"/>
      <c r="BS5" s="92"/>
      <c r="BT5" s="85" t="str">
        <f>IF( OR(ISBLANK($P5:$P10),ISBLANK($AM5:$AM10), ISBLANK($Y5:$Y10),ISBLANK($AV5:$AV10)), "·", bdRateHermite( $P5:$P10,$Y5:$Y10, $AM5:$AM10,$AV5:$AV10))</f>
        <v>·</v>
      </c>
      <c r="BV5" s="83" t="str">
        <f>IF( OR(ISBLANK($Q5:$Q10),ISBLANK($AN5:$AN10), ISBLANK($T5:$T10),ISBLANK($AQ5:$AQ10)), "·", bdRateHermite( $Q6:$Q10,$T6:$T10, $AN6:$AN10,$AQ6:$AQ10))</f>
        <v>·</v>
      </c>
      <c r="BW5" s="84" t="str">
        <f>IF(OR(ISBLANK($Q5:$Q10),ISBLANK($AN5:$AN10),ISBLANK($U5:$U10),ISBLANK($AR5:$AR10)),"·",bdRateHermite($Q6:$Q10,$U6:$U10,$AN6:$AN10,$AR6:$AR10))</f>
        <v>·</v>
      </c>
      <c r="BX5" s="92"/>
      <c r="BY5" s="92"/>
      <c r="BZ5" s="92"/>
      <c r="CA5" s="184" t="str">
        <f>IF( OR(ISBLANK($S5:$S10),ISBLANK($AP5:$AP10), ISBLANK($Y5:$Y10),ISBLANK($AV5:$AV10)), "·", bdRateHermite($S6:$S10,$Y6:$Y10, $AP6:$AP10,$AV6:$AV10))</f>
        <v>·</v>
      </c>
      <c r="CC5" s="83" t="str">
        <f>IF( OR(ISBLANK($P5:$P10),ISBLANK($AM5:$AM10), ISBLANK($T5:$T10),ISBLANK($AQ5:$AQ10)), "·", bdRateHermite($P6:$P10,$T6:$T10, $AM6:$AM10,$AQ6:$AQ10))</f>
        <v>·</v>
      </c>
      <c r="CD5" s="84" t="str">
        <f>IF( OR(ISBLANK($P5:$P10),ISBLANK($AM5:$AM10), ISBLANK($U5:$U10),ISBLANK($AR5:$AR10)), "·", bdRateHermite( $P6:$P10,$U6:$U10, $AM6:$AM10,$AR6:$AR10))</f>
        <v>·</v>
      </c>
      <c r="CE5" s="92"/>
      <c r="CF5" s="92"/>
      <c r="CG5" s="92"/>
      <c r="CH5" s="85" t="str">
        <f>IF( OR(ISBLANK($P5:$P10),ISBLANK($AM5:$AM10), ISBLANK($Y5:$Y10),ISBLANK($AV5:$AV10)), "·", bdRateHermite( $P6:$P10,$Y6:$Y10, $AM6:$AM10,$AV6:$AV10))</f>
        <v>·</v>
      </c>
      <c r="CJ5" s="83" t="str">
        <f>IF( OR(ISBLANK($Q5:$Q9),ISBLANK($AN5:$AN9), ISBLANK($T5:$T9),ISBLANK($AQ5:$AQ9)), "·", bdRateHermite( $Q5:$Q9,$T5:$T9, $AN5:$AN9,$AQ5:$AQ9))</f>
        <v>·</v>
      </c>
      <c r="CK5" s="84" t="str">
        <f>IF(OR(ISBLANK($Q5:$Q9),ISBLANK($AN5:$AN9),ISBLANK($U5:$U9),ISBLANK($AR5:$AR9)),"·",bdRateHermite($Q5:$Q9,$U5:$U9,$AN5:$AN9,$AR5:$AR9))</f>
        <v>·</v>
      </c>
      <c r="CL5" s="92"/>
      <c r="CM5" s="92"/>
      <c r="CN5" s="92"/>
      <c r="CO5" s="184" t="str">
        <f>IF( OR(ISBLANK($S5:$S10),ISBLANK($AP5:$AP10), ISBLANK($Y5:$Y10),ISBLANK($AV5:$AV10)), "·", bdRateHermite($S5:$S9,$Y5:$Y9, $AP5:$AP9,$AV5:$AV9))</f>
        <v>·</v>
      </c>
      <c r="CQ5" s="83" t="str">
        <f>IF( OR(ISBLANK($P5:$P9),ISBLANK($AM5:$AM9), ISBLANK($T5:$T9),ISBLANK($AQ5:$AQ9)), "·", bdRateHermite($P5:$P9,$T5:$T9, $AM5:$AM9,$AQ5:$AQ9))</f>
        <v>·</v>
      </c>
      <c r="CR5" s="84" t="str">
        <f>IF( OR(ISBLANK($P5:$P9),ISBLANK($AM5:$AM9), ISBLANK($U5:$U9),ISBLANK($AR5:$AR9)), "·", bdRateHermite( $P5:$P9,$U5:$U9, $AM5:$AM9,$AR5:$AR9))</f>
        <v>·</v>
      </c>
      <c r="CS5" s="92"/>
      <c r="CT5" s="92"/>
      <c r="CU5" s="92"/>
      <c r="CV5" s="85" t="str">
        <f>IF( OR(ISBLANK($P5:$P10),ISBLANK($AM5:$AM10), ISBLANK($Y5:$Y10),ISBLANK($AV5:$AV10)), "·", bdRateHermite( $P5:$P9,$Y5:$Y9, $AM5:$AM9,$AV5:$AV9))</f>
        <v>·</v>
      </c>
    </row>
    <row r="6" spans="1:100" outlineLevel="1">
      <c r="A6" s="13"/>
      <c r="B6" s="291" t="s">
        <v>983</v>
      </c>
      <c r="C6" s="15" t="s">
        <v>132</v>
      </c>
      <c r="D6" s="459">
        <v>9378695</v>
      </c>
      <c r="E6" s="299">
        <v>17</v>
      </c>
      <c r="F6" s="299">
        <v>1</v>
      </c>
      <c r="G6" s="16"/>
      <c r="I6" s="30" t="str">
        <f t="shared" si="0"/>
        <v>·</v>
      </c>
      <c r="J6" s="31">
        <f t="shared" si="1"/>
        <v>8.5285212921413903E-2</v>
      </c>
      <c r="K6" s="31">
        <f t="shared" si="2"/>
        <v>2.1736073089059831E-2</v>
      </c>
      <c r="L6" s="51"/>
      <c r="M6" s="31">
        <f t="shared" si="3"/>
        <v>6.3480900061255854E-2</v>
      </c>
      <c r="N6" s="31">
        <f t="shared" si="4"/>
        <v>6.2707872744092699</v>
      </c>
      <c r="O6" s="356">
        <v>127554</v>
      </c>
      <c r="P6" s="357">
        <v>799864</v>
      </c>
      <c r="Q6" s="357">
        <v>203856</v>
      </c>
      <c r="R6" s="51"/>
      <c r="S6" s="357">
        <v>595368</v>
      </c>
      <c r="T6" s="358">
        <v>52.190886999999996</v>
      </c>
      <c r="U6" s="358">
        <v>47.420814999999997</v>
      </c>
      <c r="V6" s="87"/>
      <c r="W6" s="87"/>
      <c r="X6" s="87"/>
      <c r="Y6" s="358">
        <v>49.897990999999998</v>
      </c>
      <c r="Z6" s="359"/>
      <c r="AA6" s="359"/>
      <c r="AB6" s="32">
        <v>0</v>
      </c>
      <c r="AC6" s="32">
        <v>0</v>
      </c>
      <c r="AD6" s="33"/>
      <c r="AF6" s="30" t="str">
        <f t="shared" si="5"/>
        <v>·</v>
      </c>
      <c r="AG6" s="31" t="str">
        <f t="shared" si="6"/>
        <v>·</v>
      </c>
      <c r="AH6" s="31" t="str">
        <f t="shared" si="7"/>
        <v>·</v>
      </c>
      <c r="AI6" s="51"/>
      <c r="AJ6" s="31" t="str">
        <f t="shared" si="8"/>
        <v>·</v>
      </c>
      <c r="AK6" s="31" t="str">
        <f t="shared" si="9"/>
        <v>·</v>
      </c>
      <c r="AL6" s="356"/>
      <c r="AM6" s="357"/>
      <c r="AN6" s="357"/>
      <c r="AO6" s="51"/>
      <c r="AP6" s="357"/>
      <c r="AQ6" s="358"/>
      <c r="AR6" s="358"/>
      <c r="AS6" s="87"/>
      <c r="AT6" s="87"/>
      <c r="AU6" s="87"/>
      <c r="AV6" s="358"/>
      <c r="AW6" s="359"/>
      <c r="AX6" s="359"/>
      <c r="AY6" s="32">
        <v>0</v>
      </c>
      <c r="AZ6" s="32">
        <v>0</v>
      </c>
      <c r="BA6" s="33"/>
      <c r="BB6" s="281"/>
      <c r="BC6" s="65" t="e">
        <f t="shared" ref="BC6:BD21" si="11">AY6/AB6</f>
        <v>#DIV/0!</v>
      </c>
      <c r="BD6" s="280" t="e">
        <f t="shared" si="11"/>
        <v>#DIV/0!</v>
      </c>
      <c r="BE6" s="57" t="e">
        <f t="shared" si="10"/>
        <v>#DIV/0!</v>
      </c>
      <c r="BF6" s="58"/>
      <c r="BH6" s="74"/>
      <c r="BI6" s="75"/>
      <c r="BJ6" s="87"/>
      <c r="BK6" s="87"/>
      <c r="BL6" s="87"/>
      <c r="BM6" s="76"/>
      <c r="BO6" s="74"/>
      <c r="BP6" s="75"/>
      <c r="BQ6" s="87"/>
      <c r="BR6" s="87"/>
      <c r="BS6" s="87"/>
      <c r="BT6" s="76"/>
      <c r="BV6" s="74"/>
      <c r="BW6" s="75"/>
      <c r="BX6" s="87"/>
      <c r="BY6" s="87"/>
      <c r="BZ6" s="87"/>
      <c r="CA6" s="76"/>
      <c r="CC6" s="74"/>
      <c r="CD6" s="75"/>
      <c r="CE6" s="87"/>
      <c r="CF6" s="87"/>
      <c r="CG6" s="87"/>
      <c r="CH6" s="76"/>
      <c r="CJ6" s="74"/>
      <c r="CK6" s="75"/>
      <c r="CL6" s="87"/>
      <c r="CM6" s="87"/>
      <c r="CN6" s="87"/>
      <c r="CO6" s="76"/>
      <c r="CQ6" s="74"/>
      <c r="CR6" s="75"/>
      <c r="CS6" s="87"/>
      <c r="CT6" s="87"/>
      <c r="CU6" s="87"/>
      <c r="CV6" s="76"/>
    </row>
    <row r="7" spans="1:100" outlineLevel="1">
      <c r="A7" s="13"/>
      <c r="B7" s="291" t="s">
        <v>983</v>
      </c>
      <c r="C7" s="15" t="s">
        <v>133</v>
      </c>
      <c r="D7" s="459">
        <v>9378695</v>
      </c>
      <c r="E7" s="299">
        <v>17</v>
      </c>
      <c r="F7" s="299">
        <v>1</v>
      </c>
      <c r="G7" s="16"/>
      <c r="I7" s="30" t="str">
        <f t="shared" si="0"/>
        <v>·</v>
      </c>
      <c r="J7" s="31">
        <f t="shared" si="1"/>
        <v>1.2395890899533464</v>
      </c>
      <c r="K7" s="31">
        <f t="shared" si="2"/>
        <v>0.35165574741475225</v>
      </c>
      <c r="L7" s="51"/>
      <c r="M7" s="31">
        <f t="shared" si="3"/>
        <v>0.88786254377607976</v>
      </c>
      <c r="N7" s="31">
        <f t="shared" si="4"/>
        <v>8.1677483718218031</v>
      </c>
      <c r="O7" s="356">
        <v>1423370</v>
      </c>
      <c r="P7" s="357">
        <v>11625728</v>
      </c>
      <c r="Q7" s="357">
        <v>3298072</v>
      </c>
      <c r="R7" s="51"/>
      <c r="S7" s="357">
        <v>8326992</v>
      </c>
      <c r="T7" s="358">
        <v>64.192665000000005</v>
      </c>
      <c r="U7" s="358">
        <v>59.439425999999997</v>
      </c>
      <c r="V7" s="87"/>
      <c r="W7" s="87"/>
      <c r="X7" s="87"/>
      <c r="Y7" s="358">
        <v>53.502861000000003</v>
      </c>
      <c r="Z7" s="359"/>
      <c r="AA7" s="359"/>
      <c r="AB7" s="32">
        <v>0</v>
      </c>
      <c r="AC7" s="32">
        <v>0</v>
      </c>
      <c r="AD7" s="33"/>
      <c r="AF7" s="30" t="str">
        <f t="shared" si="5"/>
        <v>·</v>
      </c>
      <c r="AG7" s="31" t="str">
        <f t="shared" si="6"/>
        <v>·</v>
      </c>
      <c r="AH7" s="31" t="str">
        <f t="shared" si="7"/>
        <v>·</v>
      </c>
      <c r="AI7" s="51"/>
      <c r="AJ7" s="31" t="str">
        <f t="shared" si="8"/>
        <v>·</v>
      </c>
      <c r="AK7" s="31" t="str">
        <f t="shared" si="9"/>
        <v>·</v>
      </c>
      <c r="AL7" s="356"/>
      <c r="AM7" s="357"/>
      <c r="AN7" s="357"/>
      <c r="AO7" s="51"/>
      <c r="AP7" s="357"/>
      <c r="AQ7" s="358"/>
      <c r="AR7" s="358"/>
      <c r="AS7" s="87"/>
      <c r="AT7" s="87"/>
      <c r="AU7" s="87"/>
      <c r="AV7" s="358"/>
      <c r="AW7" s="359"/>
      <c r="AX7" s="359"/>
      <c r="AY7" s="32">
        <v>0</v>
      </c>
      <c r="AZ7" s="32">
        <v>0</v>
      </c>
      <c r="BA7" s="33"/>
      <c r="BB7" s="281"/>
      <c r="BC7" s="65" t="e">
        <f t="shared" si="11"/>
        <v>#DIV/0!</v>
      </c>
      <c r="BD7" s="280" t="e">
        <f t="shared" si="11"/>
        <v>#DIV/0!</v>
      </c>
      <c r="BE7" s="57" t="e">
        <f t="shared" si="10"/>
        <v>#DIV/0!</v>
      </c>
      <c r="BF7" s="58"/>
      <c r="BH7" s="74"/>
      <c r="BI7" s="75"/>
      <c r="BJ7" s="87"/>
      <c r="BK7" s="87"/>
      <c r="BL7" s="87"/>
      <c r="BM7" s="76"/>
      <c r="BO7" s="74"/>
      <c r="BP7" s="75"/>
      <c r="BQ7" s="87"/>
      <c r="BR7" s="87"/>
      <c r="BS7" s="87"/>
      <c r="BT7" s="76"/>
      <c r="BV7" s="74"/>
      <c r="BW7" s="75"/>
      <c r="BX7" s="87"/>
      <c r="BY7" s="87"/>
      <c r="BZ7" s="87"/>
      <c r="CA7" s="76"/>
      <c r="CC7" s="74"/>
      <c r="CD7" s="75"/>
      <c r="CE7" s="87"/>
      <c r="CF7" s="87"/>
      <c r="CG7" s="87"/>
      <c r="CH7" s="76"/>
      <c r="CJ7" s="74"/>
      <c r="CK7" s="75"/>
      <c r="CL7" s="87"/>
      <c r="CM7" s="87"/>
      <c r="CN7" s="87"/>
      <c r="CO7" s="76"/>
      <c r="CQ7" s="74"/>
      <c r="CR7" s="75"/>
      <c r="CS7" s="87"/>
      <c r="CT7" s="87"/>
      <c r="CU7" s="87"/>
      <c r="CV7" s="76"/>
    </row>
    <row r="8" spans="1:100" outlineLevel="1">
      <c r="A8" s="13"/>
      <c r="B8" s="291" t="s">
        <v>983</v>
      </c>
      <c r="C8" s="15" t="s">
        <v>134</v>
      </c>
      <c r="D8" s="459">
        <v>9378695</v>
      </c>
      <c r="E8" s="299">
        <v>17</v>
      </c>
      <c r="F8" s="299">
        <v>1</v>
      </c>
      <c r="G8" s="16"/>
      <c r="I8" s="30" t="str">
        <f t="shared" si="0"/>
        <v>·</v>
      </c>
      <c r="J8" s="31">
        <f t="shared" si="1"/>
        <v>3.876984591139812</v>
      </c>
      <c r="K8" s="31">
        <f t="shared" si="2"/>
        <v>1.1246212825984852</v>
      </c>
      <c r="L8" s="51"/>
      <c r="M8" s="31">
        <f t="shared" si="3"/>
        <v>2.7522925097788127</v>
      </c>
      <c r="N8" s="31">
        <f t="shared" si="4"/>
        <v>10.144806489809174</v>
      </c>
      <c r="O8" s="356">
        <v>3584204</v>
      </c>
      <c r="P8" s="357">
        <v>36361056</v>
      </c>
      <c r="Q8" s="357">
        <v>10547480</v>
      </c>
      <c r="R8" s="51"/>
      <c r="S8" s="357">
        <v>25812912</v>
      </c>
      <c r="T8" s="358">
        <v>70.194396999999995</v>
      </c>
      <c r="U8" s="358">
        <v>65.460021999999995</v>
      </c>
      <c r="V8" s="87"/>
      <c r="W8" s="87"/>
      <c r="X8" s="87"/>
      <c r="Y8" s="358">
        <v>55.715384999999998</v>
      </c>
      <c r="Z8" s="359"/>
      <c r="AA8" s="359"/>
      <c r="AB8" s="32">
        <v>0</v>
      </c>
      <c r="AC8" s="32">
        <v>0</v>
      </c>
      <c r="AD8" s="33"/>
      <c r="AF8" s="30" t="str">
        <f t="shared" si="5"/>
        <v>·</v>
      </c>
      <c r="AG8" s="31" t="str">
        <f t="shared" si="6"/>
        <v>·</v>
      </c>
      <c r="AH8" s="31" t="str">
        <f t="shared" si="7"/>
        <v>·</v>
      </c>
      <c r="AI8" s="51"/>
      <c r="AJ8" s="31" t="str">
        <f t="shared" si="8"/>
        <v>·</v>
      </c>
      <c r="AK8" s="31" t="str">
        <f t="shared" si="9"/>
        <v>·</v>
      </c>
      <c r="AL8" s="356"/>
      <c r="AM8" s="357"/>
      <c r="AN8" s="357"/>
      <c r="AO8" s="51"/>
      <c r="AP8" s="357"/>
      <c r="AQ8" s="358"/>
      <c r="AR8" s="358"/>
      <c r="AS8" s="87"/>
      <c r="AT8" s="87"/>
      <c r="AU8" s="87"/>
      <c r="AV8" s="358"/>
      <c r="AW8" s="359"/>
      <c r="AX8" s="359"/>
      <c r="AY8" s="32">
        <v>0</v>
      </c>
      <c r="AZ8" s="32">
        <v>0</v>
      </c>
      <c r="BA8" s="33"/>
      <c r="BB8" s="281"/>
      <c r="BC8" s="65" t="e">
        <f t="shared" si="11"/>
        <v>#DIV/0!</v>
      </c>
      <c r="BD8" s="280" t="e">
        <f t="shared" si="11"/>
        <v>#DIV/0!</v>
      </c>
      <c r="BE8" s="57" t="e">
        <f t="shared" si="10"/>
        <v>#DIV/0!</v>
      </c>
      <c r="BF8" s="58"/>
      <c r="BH8" s="74"/>
      <c r="BI8" s="75"/>
      <c r="BJ8" s="87"/>
      <c r="BK8" s="87"/>
      <c r="BL8" s="87"/>
      <c r="BM8" s="76"/>
      <c r="BO8" s="74"/>
      <c r="BP8" s="75"/>
      <c r="BQ8" s="87"/>
      <c r="BR8" s="87"/>
      <c r="BS8" s="87"/>
      <c r="BT8" s="76"/>
      <c r="BV8" s="74"/>
      <c r="BW8" s="75"/>
      <c r="BX8" s="87"/>
      <c r="BY8" s="87"/>
      <c r="BZ8" s="87"/>
      <c r="CA8" s="76"/>
      <c r="CC8" s="74"/>
      <c r="CD8" s="75"/>
      <c r="CE8" s="87"/>
      <c r="CF8" s="87"/>
      <c r="CG8" s="87"/>
      <c r="CH8" s="76"/>
      <c r="CJ8" s="74"/>
      <c r="CK8" s="75"/>
      <c r="CL8" s="87"/>
      <c r="CM8" s="87"/>
      <c r="CN8" s="87"/>
      <c r="CO8" s="76"/>
      <c r="CQ8" s="74"/>
      <c r="CR8" s="75"/>
      <c r="CS8" s="87"/>
      <c r="CT8" s="87"/>
      <c r="CU8" s="87"/>
      <c r="CV8" s="76"/>
    </row>
    <row r="9" spans="1:100" outlineLevel="1">
      <c r="A9" s="13"/>
      <c r="B9" s="291" t="s">
        <v>983</v>
      </c>
      <c r="C9" s="15" t="s">
        <v>135</v>
      </c>
      <c r="D9" s="459">
        <v>9378695</v>
      </c>
      <c r="E9" s="299">
        <v>17</v>
      </c>
      <c r="F9" s="299">
        <v>1</v>
      </c>
      <c r="G9" s="16"/>
      <c r="I9" s="30" t="str">
        <f t="shared" si="0"/>
        <v>·</v>
      </c>
      <c r="J9" s="31">
        <f t="shared" si="1"/>
        <v>13.867371526635635</v>
      </c>
      <c r="K9" s="31">
        <f t="shared" si="2"/>
        <v>5.8908937757331907</v>
      </c>
      <c r="L9" s="51"/>
      <c r="M9" s="31">
        <f t="shared" si="3"/>
        <v>7.9764043931485133</v>
      </c>
      <c r="N9" s="31">
        <f t="shared" si="4"/>
        <v>14.772584419288458</v>
      </c>
      <c r="O9" s="356">
        <v>8804001</v>
      </c>
      <c r="P9" s="357">
        <v>130057848</v>
      </c>
      <c r="Q9" s="357">
        <v>55248896</v>
      </c>
      <c r="R9" s="51"/>
      <c r="S9" s="357">
        <v>74808264</v>
      </c>
      <c r="T9" s="358">
        <v>82.137932000000006</v>
      </c>
      <c r="U9" s="358">
        <v>77.501227999999998</v>
      </c>
      <c r="V9" s="87"/>
      <c r="W9" s="87"/>
      <c r="X9" s="87"/>
      <c r="Y9" s="358">
        <v>65.222115000000002</v>
      </c>
      <c r="Z9" s="359"/>
      <c r="AA9" s="359"/>
      <c r="AB9" s="32">
        <v>0</v>
      </c>
      <c r="AC9" s="32">
        <v>0</v>
      </c>
      <c r="AD9" s="33"/>
      <c r="AF9" s="30" t="str">
        <f t="shared" si="5"/>
        <v>·</v>
      </c>
      <c r="AG9" s="31" t="str">
        <f t="shared" si="6"/>
        <v>·</v>
      </c>
      <c r="AH9" s="31" t="str">
        <f t="shared" si="7"/>
        <v>·</v>
      </c>
      <c r="AI9" s="51"/>
      <c r="AJ9" s="31" t="str">
        <f t="shared" si="8"/>
        <v>·</v>
      </c>
      <c r="AK9" s="31" t="str">
        <f t="shared" si="9"/>
        <v>·</v>
      </c>
      <c r="AL9" s="356"/>
      <c r="AM9" s="357"/>
      <c r="AN9" s="357"/>
      <c r="AO9" s="51"/>
      <c r="AP9" s="357"/>
      <c r="AQ9" s="358"/>
      <c r="AR9" s="358"/>
      <c r="AS9" s="87"/>
      <c r="AT9" s="87"/>
      <c r="AU9" s="87"/>
      <c r="AV9" s="358"/>
      <c r="AW9" s="359"/>
      <c r="AX9" s="359"/>
      <c r="AY9" s="32">
        <v>0</v>
      </c>
      <c r="AZ9" s="32">
        <v>0</v>
      </c>
      <c r="BA9" s="33"/>
      <c r="BB9" s="281"/>
      <c r="BC9" s="65" t="e">
        <f t="shared" si="11"/>
        <v>#DIV/0!</v>
      </c>
      <c r="BD9" s="280" t="e">
        <f t="shared" si="11"/>
        <v>#DIV/0!</v>
      </c>
      <c r="BE9" s="57" t="e">
        <f t="shared" si="10"/>
        <v>#DIV/0!</v>
      </c>
      <c r="BF9" s="58"/>
      <c r="BH9" s="74"/>
      <c r="BI9" s="75"/>
      <c r="BJ9" s="87"/>
      <c r="BK9" s="87"/>
      <c r="BL9" s="87"/>
      <c r="BM9" s="76"/>
      <c r="BO9" s="74"/>
      <c r="BP9" s="75"/>
      <c r="BQ9" s="87"/>
      <c r="BR9" s="87"/>
      <c r="BS9" s="87"/>
      <c r="BT9" s="76"/>
      <c r="BV9" s="74"/>
      <c r="BW9" s="75"/>
      <c r="BX9" s="87"/>
      <c r="BY9" s="87"/>
      <c r="BZ9" s="87"/>
      <c r="CA9" s="76"/>
      <c r="CC9" s="74"/>
      <c r="CD9" s="75"/>
      <c r="CE9" s="87"/>
      <c r="CF9" s="87"/>
      <c r="CG9" s="87"/>
      <c r="CH9" s="76"/>
      <c r="CJ9" s="74"/>
      <c r="CK9" s="75"/>
      <c r="CL9" s="87"/>
      <c r="CM9" s="87"/>
      <c r="CN9" s="87"/>
      <c r="CO9" s="76"/>
      <c r="CQ9" s="74"/>
      <c r="CR9" s="75"/>
      <c r="CS9" s="87"/>
      <c r="CT9" s="87"/>
      <c r="CU9" s="87"/>
      <c r="CV9" s="76"/>
    </row>
    <row r="10" spans="1:100" ht="14.25" outlineLevel="1" thickBot="1">
      <c r="A10" s="13"/>
      <c r="B10" s="292" t="s">
        <v>983</v>
      </c>
      <c r="C10" s="22" t="s">
        <v>136</v>
      </c>
      <c r="D10" s="460">
        <v>9378695</v>
      </c>
      <c r="E10" s="302">
        <v>17</v>
      </c>
      <c r="F10" s="302">
        <v>1</v>
      </c>
      <c r="G10" s="23"/>
      <c r="I10" s="34" t="str">
        <f t="shared" si="0"/>
        <v>·</v>
      </c>
      <c r="J10" s="35">
        <f t="shared" si="1"/>
        <v>18.717102965817737</v>
      </c>
      <c r="K10" s="35">
        <f t="shared" si="2"/>
        <v>9.0974029968988219</v>
      </c>
      <c r="L10" s="52"/>
      <c r="M10" s="35">
        <f t="shared" si="3"/>
        <v>9.6196266111649855</v>
      </c>
      <c r="N10" s="35">
        <f t="shared" si="4"/>
        <v>18.874566526444092</v>
      </c>
      <c r="O10" s="360">
        <v>9300452</v>
      </c>
      <c r="P10" s="361">
        <v>175542000</v>
      </c>
      <c r="Q10" s="361">
        <v>85321768</v>
      </c>
      <c r="R10" s="52"/>
      <c r="S10" s="361">
        <v>90219544</v>
      </c>
      <c r="T10" s="362">
        <v>87.783362999999994</v>
      </c>
      <c r="U10" s="362">
        <v>83.521827999999999</v>
      </c>
      <c r="V10" s="88"/>
      <c r="W10" s="88"/>
      <c r="X10" s="88"/>
      <c r="Y10" s="362">
        <v>72.141098</v>
      </c>
      <c r="Z10" s="363"/>
      <c r="AA10" s="363"/>
      <c r="AB10" s="36">
        <v>0</v>
      </c>
      <c r="AC10" s="36">
        <v>0</v>
      </c>
      <c r="AD10" s="37"/>
      <c r="AF10" s="34" t="str">
        <f t="shared" si="5"/>
        <v>·</v>
      </c>
      <c r="AG10" s="35" t="str">
        <f t="shared" si="6"/>
        <v>·</v>
      </c>
      <c r="AH10" s="35" t="str">
        <f t="shared" si="7"/>
        <v>·</v>
      </c>
      <c r="AI10" s="52"/>
      <c r="AJ10" s="35" t="str">
        <f t="shared" si="8"/>
        <v>·</v>
      </c>
      <c r="AK10" s="35" t="str">
        <f t="shared" si="9"/>
        <v>·</v>
      </c>
      <c r="AL10" s="360"/>
      <c r="AM10" s="361"/>
      <c r="AN10" s="361"/>
      <c r="AO10" s="52"/>
      <c r="AP10" s="361"/>
      <c r="AQ10" s="362"/>
      <c r="AR10" s="362"/>
      <c r="AS10" s="88"/>
      <c r="AT10" s="88"/>
      <c r="AU10" s="88"/>
      <c r="AV10" s="362"/>
      <c r="AW10" s="363"/>
      <c r="AX10" s="363"/>
      <c r="AY10" s="36">
        <v>0</v>
      </c>
      <c r="AZ10" s="36">
        <v>0</v>
      </c>
      <c r="BA10" s="37"/>
      <c r="BB10" s="281"/>
      <c r="BC10" s="65" t="e">
        <f t="shared" si="11"/>
        <v>#DIV/0!</v>
      </c>
      <c r="BD10" s="280" t="e">
        <f t="shared" si="11"/>
        <v>#DIV/0!</v>
      </c>
      <c r="BE10" s="63" t="e">
        <f t="shared" si="10"/>
        <v>#DIV/0!</v>
      </c>
      <c r="BF10" s="64"/>
      <c r="BH10" s="80"/>
      <c r="BI10" s="81"/>
      <c r="BJ10" s="89"/>
      <c r="BK10" s="89"/>
      <c r="BL10" s="89"/>
      <c r="BM10" s="82"/>
      <c r="BO10" s="80"/>
      <c r="BP10" s="81"/>
      <c r="BQ10" s="89"/>
      <c r="BR10" s="89"/>
      <c r="BS10" s="89"/>
      <c r="BT10" s="82"/>
      <c r="BV10" s="77"/>
      <c r="BW10" s="78"/>
      <c r="BX10" s="88"/>
      <c r="BY10" s="88"/>
      <c r="BZ10" s="88"/>
      <c r="CA10" s="79"/>
      <c r="CC10" s="80"/>
      <c r="CD10" s="81"/>
      <c r="CE10" s="89"/>
      <c r="CF10" s="89"/>
      <c r="CG10" s="89"/>
      <c r="CH10" s="82"/>
      <c r="CJ10" s="80"/>
      <c r="CK10" s="81"/>
      <c r="CL10" s="89"/>
      <c r="CM10" s="89"/>
      <c r="CN10" s="89"/>
      <c r="CO10" s="82"/>
      <c r="CQ10" s="80"/>
      <c r="CR10" s="81"/>
      <c r="CS10" s="89"/>
      <c r="CT10" s="89"/>
      <c r="CU10" s="89"/>
      <c r="CV10" s="82"/>
    </row>
    <row r="11" spans="1:100">
      <c r="A11" s="13"/>
      <c r="B11" s="294" t="s">
        <v>984</v>
      </c>
      <c r="C11" s="28" t="s">
        <v>131</v>
      </c>
      <c r="D11" s="461">
        <v>9477876</v>
      </c>
      <c r="E11" s="304">
        <v>19</v>
      </c>
      <c r="F11" s="304">
        <v>1</v>
      </c>
      <c r="G11" s="29"/>
      <c r="I11" s="42" t="str">
        <f t="shared" si="0"/>
        <v>·</v>
      </c>
      <c r="J11" s="43">
        <f t="shared" si="1"/>
        <v>0.12149135523613097</v>
      </c>
      <c r="K11" s="43">
        <f t="shared" si="2"/>
        <v>4.6731145248154755E-2</v>
      </c>
      <c r="L11" s="55"/>
      <c r="M11" s="43">
        <f t="shared" si="3"/>
        <v>7.4689308026397477E-2</v>
      </c>
      <c r="N11" s="43">
        <f t="shared" si="4"/>
        <v>6.2578054095768092</v>
      </c>
      <c r="O11" s="364">
        <v>184007</v>
      </c>
      <c r="P11" s="365">
        <v>1151480</v>
      </c>
      <c r="Q11" s="365">
        <v>442912</v>
      </c>
      <c r="R11" s="55"/>
      <c r="S11" s="365">
        <v>707896</v>
      </c>
      <c r="T11" s="366">
        <v>46.100192999999997</v>
      </c>
      <c r="U11" s="366">
        <v>41.400261</v>
      </c>
      <c r="V11" s="92"/>
      <c r="W11" s="92"/>
      <c r="X11" s="92"/>
      <c r="Y11" s="366">
        <v>49.374248999999999</v>
      </c>
      <c r="Z11" s="367"/>
      <c r="AA11" s="367"/>
      <c r="AB11" s="44">
        <v>0</v>
      </c>
      <c r="AC11" s="44">
        <v>0</v>
      </c>
      <c r="AD11" s="45"/>
      <c r="AF11" s="42" t="str">
        <f t="shared" si="5"/>
        <v>·</v>
      </c>
      <c r="AG11" s="43" t="str">
        <f t="shared" si="6"/>
        <v>·</v>
      </c>
      <c r="AH11" s="43" t="str">
        <f t="shared" si="7"/>
        <v>·</v>
      </c>
      <c r="AI11" s="55"/>
      <c r="AJ11" s="43" t="str">
        <f t="shared" si="8"/>
        <v>·</v>
      </c>
      <c r="AK11" s="43" t="str">
        <f t="shared" si="9"/>
        <v>·</v>
      </c>
      <c r="AL11" s="364"/>
      <c r="AM11" s="365"/>
      <c r="AN11" s="365"/>
      <c r="AO11" s="55"/>
      <c r="AP11" s="365"/>
      <c r="AQ11" s="366"/>
      <c r="AR11" s="366"/>
      <c r="AS11" s="92"/>
      <c r="AT11" s="92"/>
      <c r="AU11" s="92"/>
      <c r="AV11" s="366"/>
      <c r="AW11" s="367"/>
      <c r="AX11" s="367"/>
      <c r="AY11" s="44">
        <v>0</v>
      </c>
      <c r="AZ11" s="44">
        <v>0</v>
      </c>
      <c r="BA11" s="45"/>
      <c r="BC11" s="65" t="e">
        <f>AY11/AB11</f>
        <v>#DIV/0!</v>
      </c>
      <c r="BD11" s="69" t="e">
        <f t="shared" si="11"/>
        <v>#DIV/0!</v>
      </c>
      <c r="BE11" s="69" t="e">
        <f t="shared" si="10"/>
        <v>#DIV/0!</v>
      </c>
      <c r="BF11" s="70" t="e">
        <f t="array" ref="BF11">AVERAGE(AN11:AN16/AM11:AM16) - AVERAGE(Q11:Q16/P11:P16)</f>
        <v>#DIV/0!</v>
      </c>
      <c r="BH11" s="224" t="str">
        <f>IF( OR(ISBLANK($Q11:$Q16),ISBLANK($AN11:$AN16), ISBLANK($T11:$T16),ISBLANK($AQ11:$AQ16)), "·", bdRateHermite( $Q11:$Q16,$T11:$T16, $AN11:$AN16,$AQ11:$AQ16))</f>
        <v>·</v>
      </c>
      <c r="BI11" s="225" t="str">
        <f>IF(OR(ISBLANK($Q11:$Q16),ISBLANK($AN11:$AN16),ISBLANK($U11:$U16),ISBLANK($AR11:$AR16)),"·",bdRateHermite($Q11:$Q16,$U11:$U16,$AN11:$AN16,$AR11:$AR16))</f>
        <v>·</v>
      </c>
      <c r="BJ11" s="90"/>
      <c r="BK11" s="90"/>
      <c r="BL11" s="90"/>
      <c r="BM11" s="226" t="str">
        <f>IF( OR(ISBLANK($S11:$S16),ISBLANK($AP11:$AP16), ISBLANK($Y11:$Y16),ISBLANK($AV11:$AV16)), "·", bdRateHermite($S11:$S16,$Y11:$Y16, $AP11:$AP16,$AV11:$AV16))</f>
        <v>·</v>
      </c>
      <c r="BO11" s="224" t="str">
        <f>IF( OR(ISBLANK($P11:$P16),ISBLANK($AM11:$AM16), ISBLANK($T11:$T16),ISBLANK($AQ11:$AQ16)), "·", bdRateHermite($P11:$P16,$T11:$T16, $AM11:$AM16,$AQ11:$AQ16))</f>
        <v>·</v>
      </c>
      <c r="BP11" s="225" t="str">
        <f>IF( OR(ISBLANK($P11:$P16),ISBLANK($AM11:$AM16), ISBLANK($U11:$U16),ISBLANK($AR11:$AR16)), "·", bdRateHermite( $P11:$P16,$U11:$U16, $AM11:$AM16,$AR11:$AR16))</f>
        <v>·</v>
      </c>
      <c r="BQ11" s="90"/>
      <c r="BR11" s="90"/>
      <c r="BS11" s="90"/>
      <c r="BT11" s="86" t="str">
        <f>IF( OR(ISBLANK($P11:$P16),ISBLANK($AM11:$AM16), ISBLANK($Y11:$Y16),ISBLANK($AV11:$AV16)), "·", bdRateHermite( $P11:$P16,$Y11:$Y16, $AM11:$AM16,$AV11:$AV16))</f>
        <v>·</v>
      </c>
      <c r="BV11" s="83" t="str">
        <f>IF( OR(ISBLANK($Q11:$Q15),ISBLANK($AN11:$AN15), ISBLANK($T11:$T15),ISBLANK($AQ11:$AQ15)), "·", bdRateHermite( $Q12:$Q16,$T12:$T16, $AN12:$AN16,$AQ12:$AQ16))</f>
        <v>·</v>
      </c>
      <c r="BW11" s="84" t="str">
        <f>IF(OR(ISBLANK($Q11:$Q16),ISBLANK($AN11:$AN16),ISBLANK($U11:$U16),ISBLANK($AR11:$AR16)),"·",bdRateHermite($Q12:$Q16,$U12:$U16,$AN12:$AN16,$AR12:$AR16))</f>
        <v>·</v>
      </c>
      <c r="BX11" s="92"/>
      <c r="BY11" s="92"/>
      <c r="BZ11" s="92"/>
      <c r="CA11" s="184" t="str">
        <f>IF( OR(ISBLANK($S11:$S16),ISBLANK($AP11:$AP16), ISBLANK($Y11:$Y16),ISBLANK($AV11:$AV16)), "·", bdRateHermite($S12:$S16,$Y12:$Y16, $AP12:$AP16,$AV12:$AV16))</f>
        <v>·</v>
      </c>
      <c r="CC11" s="224" t="str">
        <f>IF( OR(ISBLANK($P11:$P16),ISBLANK($AM11:$AM16), ISBLANK($T11:$T16),ISBLANK($AQ11:$AQ16)), "·", bdRateHermite($P12:$P16,$T12:$T16, $AM12:$AM16,$AQ12:$AQ16))</f>
        <v>·</v>
      </c>
      <c r="CD11" s="225" t="str">
        <f>IF( OR(ISBLANK($P11:$P16),ISBLANK($AM11:$AM16), ISBLANK($U11:$U16),ISBLANK($AR11:$AR16)), "·", bdRateHermite( $P12:$P16,$U12:$U16, $AM12:$AM16,$AR12:$AR16))</f>
        <v>·</v>
      </c>
      <c r="CE11" s="90"/>
      <c r="CF11" s="90"/>
      <c r="CG11" s="90"/>
      <c r="CH11" s="86" t="str">
        <f>IF( OR(ISBLANK($P11:$P16),ISBLANK($AM11:$AM16), ISBLANK($Y11:$Y16),ISBLANK($AV11:$AV16)), "·", bdRateHermite( $P12:$P16,$Y12:$Y16, $AM12:$AM16,$AV12:$AV16))</f>
        <v>·</v>
      </c>
      <c r="CJ11" s="224" t="str">
        <f>IF( OR(ISBLANK($Q11:$Q15),ISBLANK($AN11:$AN15), ISBLANK($T11:$T15),ISBLANK($AQ11:$AQ15)), "·", bdRateHermite( $Q11:$Q15,$T11:$T15, $AN11:$AN15,$AQ11:$AQ15))</f>
        <v>·</v>
      </c>
      <c r="CK11" s="225" t="str">
        <f>IF(OR(ISBLANK($Q11:$Q15),ISBLANK($AN11:$AN15),ISBLANK($U11:$U15),ISBLANK($AR11:$AR15)),"·",bdRateHermite($Q11:$Q15,$U11:$U15,$AN11:$AN15,$AR11:$AR15))</f>
        <v>·</v>
      </c>
      <c r="CL11" s="90"/>
      <c r="CM11" s="90"/>
      <c r="CN11" s="90"/>
      <c r="CO11" s="226" t="str">
        <f>IF( OR(ISBLANK($S11:$S15),ISBLANK($AP11:$AP15), ISBLANK($Y11:$Y15),ISBLANK($AV11:$AV15)), "·", bdRateHermite($S11:$S15,$Y11:$Y15, $AP11:$AP15,$AV11:$AV15))</f>
        <v>·</v>
      </c>
      <c r="CQ11" s="224" t="str">
        <f>IF( OR(ISBLANK($P11:$P15),ISBLANK($AM11:$AM15), ISBLANK($T11:$T15),ISBLANK($AQ11:$AQ15)), "·", bdRateHermite($P11:$P15,$T11:$T15, $AM11:$AM15,$AQ11:$AQ15))</f>
        <v>·</v>
      </c>
      <c r="CR11" s="225" t="str">
        <f>IF( OR(ISBLANK($P11:$P15),ISBLANK($AM11:$AM15), ISBLANK($U11:$U15),ISBLANK($AR11:$AR15)), "·", bdRateHermite( $P11:$P15,$U11:$U15, $AM11:$AM15,$AR11:$AR15))</f>
        <v>·</v>
      </c>
      <c r="CS11" s="90"/>
      <c r="CT11" s="90"/>
      <c r="CU11" s="90"/>
      <c r="CV11" s="86" t="str">
        <f>IF( OR(ISBLANK($P11:$P15),ISBLANK($AM11:$AM15), ISBLANK($Y11:$Y15),ISBLANK($AV11:$AV15)), "·", bdRateHermite( $P11:$P15,$Y11:$Y15, $AM11:$AM15,$AV11:$AV15))</f>
        <v>·</v>
      </c>
    </row>
    <row r="12" spans="1:100" outlineLevel="1">
      <c r="A12" s="13"/>
      <c r="B12" s="295" t="s">
        <v>984</v>
      </c>
      <c r="C12" s="15" t="s">
        <v>132</v>
      </c>
      <c r="D12" s="459">
        <v>9477876</v>
      </c>
      <c r="E12" s="299">
        <v>19</v>
      </c>
      <c r="F12" s="299">
        <v>1</v>
      </c>
      <c r="G12" s="16"/>
      <c r="I12" s="30" t="str">
        <f t="shared" si="0"/>
        <v>·</v>
      </c>
      <c r="J12" s="31">
        <f t="shared" si="1"/>
        <v>0.43832943161526905</v>
      </c>
      <c r="K12" s="31">
        <f t="shared" si="2"/>
        <v>0.14994414360348246</v>
      </c>
      <c r="L12" s="51"/>
      <c r="M12" s="31">
        <f t="shared" si="3"/>
        <v>0.2883135419792367</v>
      </c>
      <c r="N12" s="31">
        <f t="shared" si="4"/>
        <v>7.3901369541357518</v>
      </c>
      <c r="O12" s="356">
        <v>562159</v>
      </c>
      <c r="P12" s="357">
        <v>4154432</v>
      </c>
      <c r="Q12" s="357">
        <v>1421152</v>
      </c>
      <c r="R12" s="51"/>
      <c r="S12" s="357">
        <v>2732600</v>
      </c>
      <c r="T12" s="358">
        <v>52.194991999999999</v>
      </c>
      <c r="U12" s="358">
        <v>47.420814999999997</v>
      </c>
      <c r="V12" s="87"/>
      <c r="W12" s="87"/>
      <c r="X12" s="87"/>
      <c r="Y12" s="358">
        <v>51.263286999999998</v>
      </c>
      <c r="Z12" s="359"/>
      <c r="AA12" s="359"/>
      <c r="AB12" s="32">
        <v>0</v>
      </c>
      <c r="AC12" s="32">
        <v>0</v>
      </c>
      <c r="AD12" s="33"/>
      <c r="AF12" s="30" t="str">
        <f t="shared" si="5"/>
        <v>·</v>
      </c>
      <c r="AG12" s="31" t="str">
        <f t="shared" si="6"/>
        <v>·</v>
      </c>
      <c r="AH12" s="31" t="str">
        <f t="shared" si="7"/>
        <v>·</v>
      </c>
      <c r="AI12" s="51"/>
      <c r="AJ12" s="31" t="str">
        <f t="shared" si="8"/>
        <v>·</v>
      </c>
      <c r="AK12" s="31" t="str">
        <f t="shared" si="9"/>
        <v>·</v>
      </c>
      <c r="AL12" s="356"/>
      <c r="AM12" s="357"/>
      <c r="AN12" s="357"/>
      <c r="AO12" s="51"/>
      <c r="AP12" s="357"/>
      <c r="AQ12" s="358"/>
      <c r="AR12" s="358"/>
      <c r="AS12" s="87"/>
      <c r="AT12" s="87"/>
      <c r="AU12" s="87"/>
      <c r="AV12" s="358"/>
      <c r="AW12" s="359"/>
      <c r="AX12" s="359"/>
      <c r="AY12" s="32">
        <v>0</v>
      </c>
      <c r="AZ12" s="32">
        <v>0</v>
      </c>
      <c r="BA12" s="33"/>
      <c r="BC12" s="65" t="e">
        <f t="shared" ref="BC12:BD22" si="12">AY12/AB12</f>
        <v>#DIV/0!</v>
      </c>
      <c r="BD12" s="57" t="e">
        <f t="shared" si="11"/>
        <v>#DIV/0!</v>
      </c>
      <c r="BE12" s="57" t="e">
        <f t="shared" si="10"/>
        <v>#DIV/0!</v>
      </c>
      <c r="BF12" s="58"/>
      <c r="BH12" s="74"/>
      <c r="BI12" s="75"/>
      <c r="BJ12" s="87"/>
      <c r="BK12" s="87"/>
      <c r="BL12" s="87"/>
      <c r="BM12" s="76"/>
      <c r="BO12" s="74"/>
      <c r="BP12" s="75"/>
      <c r="BQ12" s="87"/>
      <c r="BR12" s="87"/>
      <c r="BS12" s="87"/>
      <c r="BT12" s="76"/>
      <c r="BV12" s="74"/>
      <c r="BW12" s="75"/>
      <c r="BX12" s="87"/>
      <c r="BY12" s="87"/>
      <c r="BZ12" s="87"/>
      <c r="CA12" s="76"/>
      <c r="CC12" s="74"/>
      <c r="CD12" s="75"/>
      <c r="CE12" s="87"/>
      <c r="CF12" s="87"/>
      <c r="CG12" s="87"/>
      <c r="CH12" s="76"/>
      <c r="CJ12" s="74"/>
      <c r="CK12" s="75"/>
      <c r="CL12" s="87"/>
      <c r="CM12" s="87"/>
      <c r="CN12" s="87"/>
      <c r="CO12" s="76"/>
      <c r="CQ12" s="74"/>
      <c r="CR12" s="75"/>
      <c r="CS12" s="87"/>
      <c r="CT12" s="87"/>
      <c r="CU12" s="87"/>
      <c r="CV12" s="76"/>
    </row>
    <row r="13" spans="1:100" outlineLevel="1">
      <c r="A13" s="13"/>
      <c r="B13" s="295" t="s">
        <v>984</v>
      </c>
      <c r="C13" s="15" t="s">
        <v>133</v>
      </c>
      <c r="D13" s="459">
        <v>9477876</v>
      </c>
      <c r="E13" s="299">
        <v>19</v>
      </c>
      <c r="F13" s="299">
        <v>1</v>
      </c>
      <c r="G13" s="16"/>
      <c r="I13" s="30" t="str">
        <f t="shared" si="0"/>
        <v>·</v>
      </c>
      <c r="J13" s="31">
        <f t="shared" si="1"/>
        <v>3.0635446169584832</v>
      </c>
      <c r="K13" s="31">
        <f t="shared" si="2"/>
        <v>1.1922772570563278</v>
      </c>
      <c r="L13" s="51"/>
      <c r="M13" s="31">
        <f t="shared" si="3"/>
        <v>1.8711939257276631</v>
      </c>
      <c r="N13" s="31">
        <f t="shared" si="4"/>
        <v>9.6180861477002271</v>
      </c>
      <c r="O13" s="356">
        <v>3018885</v>
      </c>
      <c r="P13" s="357">
        <v>29035896</v>
      </c>
      <c r="Q13" s="357">
        <v>11300256</v>
      </c>
      <c r="R13" s="51"/>
      <c r="S13" s="357">
        <v>17734944</v>
      </c>
      <c r="T13" s="358">
        <v>64.195824000000002</v>
      </c>
      <c r="U13" s="358">
        <v>59.439425999999997</v>
      </c>
      <c r="V13" s="87"/>
      <c r="W13" s="87"/>
      <c r="X13" s="87"/>
      <c r="Y13" s="358">
        <v>54.062472999999997</v>
      </c>
      <c r="Z13" s="359"/>
      <c r="AA13" s="359"/>
      <c r="AB13" s="32">
        <v>0</v>
      </c>
      <c r="AC13" s="32">
        <v>0</v>
      </c>
      <c r="AD13" s="33"/>
      <c r="AF13" s="30" t="str">
        <f t="shared" si="5"/>
        <v>·</v>
      </c>
      <c r="AG13" s="31" t="str">
        <f t="shared" si="6"/>
        <v>·</v>
      </c>
      <c r="AH13" s="31" t="str">
        <f t="shared" si="7"/>
        <v>·</v>
      </c>
      <c r="AI13" s="51"/>
      <c r="AJ13" s="31" t="str">
        <f t="shared" si="8"/>
        <v>·</v>
      </c>
      <c r="AK13" s="31" t="str">
        <f t="shared" si="9"/>
        <v>·</v>
      </c>
      <c r="AL13" s="356"/>
      <c r="AM13" s="357"/>
      <c r="AN13" s="357"/>
      <c r="AO13" s="51"/>
      <c r="AP13" s="357"/>
      <c r="AQ13" s="358"/>
      <c r="AR13" s="358"/>
      <c r="AS13" s="87"/>
      <c r="AT13" s="87"/>
      <c r="AU13" s="87"/>
      <c r="AV13" s="358"/>
      <c r="AW13" s="359"/>
      <c r="AX13" s="359"/>
      <c r="AY13" s="32">
        <v>0</v>
      </c>
      <c r="AZ13" s="32">
        <v>0</v>
      </c>
      <c r="BA13" s="33"/>
      <c r="BC13" s="65" t="e">
        <f t="shared" si="12"/>
        <v>#DIV/0!</v>
      </c>
      <c r="BD13" s="57" t="e">
        <f t="shared" si="11"/>
        <v>#DIV/0!</v>
      </c>
      <c r="BE13" s="57" t="e">
        <f t="shared" si="10"/>
        <v>#DIV/0!</v>
      </c>
      <c r="BF13" s="58"/>
      <c r="BH13" s="74"/>
      <c r="BI13" s="75"/>
      <c r="BJ13" s="87"/>
      <c r="BK13" s="87"/>
      <c r="BL13" s="87"/>
      <c r="BM13" s="76"/>
      <c r="BO13" s="74"/>
      <c r="BP13" s="75"/>
      <c r="BQ13" s="87"/>
      <c r="BR13" s="87"/>
      <c r="BS13" s="87"/>
      <c r="BT13" s="76"/>
      <c r="BV13" s="74"/>
      <c r="BW13" s="75"/>
      <c r="BX13" s="87"/>
      <c r="BY13" s="87"/>
      <c r="BZ13" s="87"/>
      <c r="CA13" s="76"/>
      <c r="CC13" s="74"/>
      <c r="CD13" s="75"/>
      <c r="CE13" s="87"/>
      <c r="CF13" s="87"/>
      <c r="CG13" s="87"/>
      <c r="CH13" s="76"/>
      <c r="CJ13" s="74"/>
      <c r="CK13" s="75"/>
      <c r="CL13" s="87"/>
      <c r="CM13" s="87"/>
      <c r="CN13" s="87"/>
      <c r="CO13" s="76"/>
      <c r="CQ13" s="74"/>
      <c r="CR13" s="75"/>
      <c r="CS13" s="87"/>
      <c r="CT13" s="87"/>
      <c r="CU13" s="87"/>
      <c r="CV13" s="76"/>
    </row>
    <row r="14" spans="1:100" outlineLevel="1">
      <c r="A14" s="13"/>
      <c r="B14" s="295" t="s">
        <v>984</v>
      </c>
      <c r="C14" s="15" t="s">
        <v>134</v>
      </c>
      <c r="D14" s="459">
        <v>9477876</v>
      </c>
      <c r="E14" s="299">
        <v>19</v>
      </c>
      <c r="F14" s="299">
        <v>1</v>
      </c>
      <c r="G14" s="16"/>
      <c r="I14" s="30" t="str">
        <f t="shared" si="0"/>
        <v>·</v>
      </c>
      <c r="J14" s="31">
        <f t="shared" si="1"/>
        <v>6.6153927314516459</v>
      </c>
      <c r="K14" s="31">
        <f t="shared" si="2"/>
        <v>2.4509871198990152</v>
      </c>
      <c r="L14" s="51"/>
      <c r="M14" s="31">
        <f t="shared" si="3"/>
        <v>4.1643313333071674</v>
      </c>
      <c r="N14" s="31">
        <f t="shared" si="4"/>
        <v>12.273819087843922</v>
      </c>
      <c r="O14" s="356">
        <v>5108424</v>
      </c>
      <c r="P14" s="357">
        <v>62699872</v>
      </c>
      <c r="Q14" s="357">
        <v>23230152</v>
      </c>
      <c r="R14" s="51"/>
      <c r="S14" s="357">
        <v>39469016</v>
      </c>
      <c r="T14" s="358">
        <v>70.222747999999996</v>
      </c>
      <c r="U14" s="358">
        <v>65.460021999999995</v>
      </c>
      <c r="V14" s="87"/>
      <c r="W14" s="87"/>
      <c r="X14" s="87"/>
      <c r="Y14" s="358">
        <v>56.752879999999998</v>
      </c>
      <c r="Z14" s="359"/>
      <c r="AA14" s="359"/>
      <c r="AB14" s="32">
        <v>0</v>
      </c>
      <c r="AC14" s="32">
        <v>0</v>
      </c>
      <c r="AD14" s="33"/>
      <c r="AF14" s="30" t="str">
        <f t="shared" si="5"/>
        <v>·</v>
      </c>
      <c r="AG14" s="31" t="str">
        <f t="shared" si="6"/>
        <v>·</v>
      </c>
      <c r="AH14" s="31" t="str">
        <f t="shared" si="7"/>
        <v>·</v>
      </c>
      <c r="AI14" s="51"/>
      <c r="AJ14" s="31" t="str">
        <f t="shared" si="8"/>
        <v>·</v>
      </c>
      <c r="AK14" s="31" t="str">
        <f t="shared" si="9"/>
        <v>·</v>
      </c>
      <c r="AL14" s="356"/>
      <c r="AM14" s="357"/>
      <c r="AN14" s="357"/>
      <c r="AO14" s="51"/>
      <c r="AP14" s="357"/>
      <c r="AQ14" s="358"/>
      <c r="AR14" s="358"/>
      <c r="AS14" s="87"/>
      <c r="AT14" s="87"/>
      <c r="AU14" s="87"/>
      <c r="AV14" s="358"/>
      <c r="AW14" s="359"/>
      <c r="AX14" s="359"/>
      <c r="AY14" s="32">
        <v>0</v>
      </c>
      <c r="AZ14" s="32">
        <v>0</v>
      </c>
      <c r="BA14" s="33"/>
      <c r="BC14" s="65" t="e">
        <f t="shared" si="12"/>
        <v>#DIV/0!</v>
      </c>
      <c r="BD14" s="57" t="e">
        <f t="shared" si="11"/>
        <v>#DIV/0!</v>
      </c>
      <c r="BE14" s="57" t="e">
        <f t="shared" si="10"/>
        <v>#DIV/0!</v>
      </c>
      <c r="BF14" s="58"/>
      <c r="BH14" s="74"/>
      <c r="BI14" s="75"/>
      <c r="BJ14" s="87"/>
      <c r="BK14" s="87"/>
      <c r="BL14" s="87"/>
      <c r="BM14" s="76"/>
      <c r="BO14" s="74"/>
      <c r="BP14" s="75"/>
      <c r="BQ14" s="87"/>
      <c r="BR14" s="87"/>
      <c r="BS14" s="87"/>
      <c r="BT14" s="76"/>
      <c r="BV14" s="74"/>
      <c r="BW14" s="75"/>
      <c r="BX14" s="87"/>
      <c r="BY14" s="87"/>
      <c r="BZ14" s="87"/>
      <c r="CA14" s="76"/>
      <c r="CC14" s="74"/>
      <c r="CD14" s="75"/>
      <c r="CE14" s="87"/>
      <c r="CF14" s="87"/>
      <c r="CG14" s="87"/>
      <c r="CH14" s="76"/>
      <c r="CJ14" s="74"/>
      <c r="CK14" s="75"/>
      <c r="CL14" s="87"/>
      <c r="CM14" s="87"/>
      <c r="CN14" s="87"/>
      <c r="CO14" s="76"/>
      <c r="CQ14" s="74"/>
      <c r="CR14" s="75"/>
      <c r="CS14" s="87"/>
      <c r="CT14" s="87"/>
      <c r="CU14" s="87"/>
      <c r="CV14" s="76"/>
    </row>
    <row r="15" spans="1:100" outlineLevel="1">
      <c r="A15" s="13"/>
      <c r="B15" s="295" t="s">
        <v>984</v>
      </c>
      <c r="C15" s="15" t="s">
        <v>135</v>
      </c>
      <c r="D15" s="459">
        <v>9477876</v>
      </c>
      <c r="E15" s="299">
        <v>19</v>
      </c>
      <c r="F15" s="299">
        <v>1</v>
      </c>
      <c r="G15" s="16"/>
      <c r="I15" s="30" t="str">
        <f t="shared" si="0"/>
        <v>·</v>
      </c>
      <c r="J15" s="31">
        <f t="shared" si="1"/>
        <v>15.662048332347881</v>
      </c>
      <c r="K15" s="31">
        <f t="shared" si="2"/>
        <v>7.1729640691648635</v>
      </c>
      <c r="L15" s="51"/>
      <c r="M15" s="31">
        <f t="shared" si="3"/>
        <v>8.4890082967956104</v>
      </c>
      <c r="N15" s="31">
        <f t="shared" si="4"/>
        <v>16.37022799533429</v>
      </c>
      <c r="O15" s="356">
        <v>9067861</v>
      </c>
      <c r="P15" s="357">
        <v>148442952</v>
      </c>
      <c r="Q15" s="357">
        <v>67984464</v>
      </c>
      <c r="R15" s="51"/>
      <c r="S15" s="357">
        <v>80457768</v>
      </c>
      <c r="T15" s="358">
        <v>82.138519000000002</v>
      </c>
      <c r="U15" s="358">
        <v>77.501227999999998</v>
      </c>
      <c r="V15" s="87"/>
      <c r="W15" s="87"/>
      <c r="X15" s="87"/>
      <c r="Y15" s="358">
        <v>66.505073999999993</v>
      </c>
      <c r="Z15" s="359"/>
      <c r="AA15" s="359"/>
      <c r="AB15" s="32">
        <v>0</v>
      </c>
      <c r="AC15" s="32">
        <v>0</v>
      </c>
      <c r="AD15" s="33"/>
      <c r="AF15" s="30" t="str">
        <f t="shared" si="5"/>
        <v>·</v>
      </c>
      <c r="AG15" s="31" t="str">
        <f t="shared" si="6"/>
        <v>·</v>
      </c>
      <c r="AH15" s="31" t="str">
        <f t="shared" si="7"/>
        <v>·</v>
      </c>
      <c r="AI15" s="51"/>
      <c r="AJ15" s="31" t="str">
        <f t="shared" si="8"/>
        <v>·</v>
      </c>
      <c r="AK15" s="31" t="str">
        <f t="shared" si="9"/>
        <v>·</v>
      </c>
      <c r="AL15" s="356"/>
      <c r="AM15" s="357"/>
      <c r="AN15" s="357"/>
      <c r="AO15" s="51"/>
      <c r="AP15" s="357"/>
      <c r="AQ15" s="358"/>
      <c r="AR15" s="358"/>
      <c r="AS15" s="87"/>
      <c r="AT15" s="87"/>
      <c r="AU15" s="87"/>
      <c r="AV15" s="358"/>
      <c r="AW15" s="359"/>
      <c r="AX15" s="359"/>
      <c r="AY15" s="32">
        <v>0</v>
      </c>
      <c r="AZ15" s="32">
        <v>0</v>
      </c>
      <c r="BA15" s="33"/>
      <c r="BC15" s="65" t="e">
        <f t="shared" si="12"/>
        <v>#DIV/0!</v>
      </c>
      <c r="BD15" s="57" t="e">
        <f t="shared" si="11"/>
        <v>#DIV/0!</v>
      </c>
      <c r="BE15" s="57" t="e">
        <f t="shared" si="10"/>
        <v>#DIV/0!</v>
      </c>
      <c r="BF15" s="58"/>
      <c r="BH15" s="74"/>
      <c r="BI15" s="75"/>
      <c r="BJ15" s="87"/>
      <c r="BK15" s="87"/>
      <c r="BL15" s="87"/>
      <c r="BM15" s="76"/>
      <c r="BO15" s="74"/>
      <c r="BP15" s="75"/>
      <c r="BQ15" s="87"/>
      <c r="BR15" s="87"/>
      <c r="BS15" s="87"/>
      <c r="BT15" s="76"/>
      <c r="BV15" s="74"/>
      <c r="BW15" s="75"/>
      <c r="BX15" s="87"/>
      <c r="BY15" s="87"/>
      <c r="BZ15" s="87"/>
      <c r="CA15" s="76"/>
      <c r="CC15" s="74"/>
      <c r="CD15" s="75"/>
      <c r="CE15" s="87"/>
      <c r="CF15" s="87"/>
      <c r="CG15" s="87"/>
      <c r="CH15" s="76"/>
      <c r="CJ15" s="74"/>
      <c r="CK15" s="75"/>
      <c r="CL15" s="87"/>
      <c r="CM15" s="87"/>
      <c r="CN15" s="87"/>
      <c r="CO15" s="76"/>
      <c r="CQ15" s="74"/>
      <c r="CR15" s="75"/>
      <c r="CS15" s="87"/>
      <c r="CT15" s="87"/>
      <c r="CU15" s="87"/>
      <c r="CV15" s="76"/>
    </row>
    <row r="16" spans="1:100" ht="14.25" outlineLevel="1" thickBot="1">
      <c r="A16" s="13"/>
      <c r="B16" s="296" t="s">
        <v>984</v>
      </c>
      <c r="C16" s="19" t="s">
        <v>136</v>
      </c>
      <c r="D16" s="462">
        <v>9477876</v>
      </c>
      <c r="E16" s="306">
        <v>19</v>
      </c>
      <c r="F16" s="306">
        <v>1</v>
      </c>
      <c r="G16" s="20"/>
      <c r="I16" s="34" t="str">
        <f t="shared" si="0"/>
        <v>·</v>
      </c>
      <c r="J16" s="35">
        <f t="shared" si="1"/>
        <v>20.43591116828285</v>
      </c>
      <c r="K16" s="35">
        <f t="shared" si="2"/>
        <v>10.345666476328663</v>
      </c>
      <c r="L16" s="52"/>
      <c r="M16" s="35">
        <f t="shared" si="3"/>
        <v>10.090168725566784</v>
      </c>
      <c r="N16" s="35">
        <f t="shared" si="4"/>
        <v>20.509343715722071</v>
      </c>
      <c r="O16" s="360">
        <v>9443941</v>
      </c>
      <c r="P16" s="361">
        <v>193689032</v>
      </c>
      <c r="Q16" s="361">
        <v>98054944</v>
      </c>
      <c r="R16" s="52"/>
      <c r="S16" s="361">
        <v>95633368</v>
      </c>
      <c r="T16" s="362">
        <v>87.781104999999997</v>
      </c>
      <c r="U16" s="362">
        <v>83.521827999999999</v>
      </c>
      <c r="V16" s="89"/>
      <c r="W16" s="89"/>
      <c r="X16" s="89"/>
      <c r="Y16" s="362">
        <v>74.510666000000001</v>
      </c>
      <c r="Z16" s="363"/>
      <c r="AA16" s="363"/>
      <c r="AB16" s="36">
        <v>0</v>
      </c>
      <c r="AC16" s="36">
        <v>0</v>
      </c>
      <c r="AD16" s="37"/>
      <c r="AF16" s="34" t="str">
        <f t="shared" si="5"/>
        <v>·</v>
      </c>
      <c r="AG16" s="35" t="str">
        <f t="shared" si="6"/>
        <v>·</v>
      </c>
      <c r="AH16" s="35" t="str">
        <f t="shared" si="7"/>
        <v>·</v>
      </c>
      <c r="AI16" s="52"/>
      <c r="AJ16" s="35" t="str">
        <f t="shared" si="8"/>
        <v>·</v>
      </c>
      <c r="AK16" s="35" t="str">
        <f t="shared" si="9"/>
        <v>·</v>
      </c>
      <c r="AL16" s="360"/>
      <c r="AM16" s="361"/>
      <c r="AN16" s="361"/>
      <c r="AO16" s="52"/>
      <c r="AP16" s="361"/>
      <c r="AQ16" s="362"/>
      <c r="AR16" s="362"/>
      <c r="AS16" s="89"/>
      <c r="AT16" s="89"/>
      <c r="AU16" s="89"/>
      <c r="AV16" s="362"/>
      <c r="AW16" s="363"/>
      <c r="AX16" s="363"/>
      <c r="AY16" s="36">
        <v>0</v>
      </c>
      <c r="AZ16" s="36">
        <v>0</v>
      </c>
      <c r="BA16" s="37"/>
      <c r="BC16" s="65" t="e">
        <f t="shared" si="12"/>
        <v>#DIV/0!</v>
      </c>
      <c r="BD16" s="60" t="e">
        <f t="shared" si="11"/>
        <v>#DIV/0!</v>
      </c>
      <c r="BE16" s="60" t="e">
        <f t="shared" si="10"/>
        <v>#DIV/0!</v>
      </c>
      <c r="BF16" s="61"/>
      <c r="BH16" s="77"/>
      <c r="BI16" s="78"/>
      <c r="BJ16" s="88"/>
      <c r="BK16" s="88"/>
      <c r="BL16" s="88"/>
      <c r="BM16" s="79"/>
      <c r="BO16" s="77"/>
      <c r="BP16" s="78"/>
      <c r="BQ16" s="88"/>
      <c r="BR16" s="88"/>
      <c r="BS16" s="88"/>
      <c r="BT16" s="79"/>
      <c r="BV16" s="77"/>
      <c r="BW16" s="78"/>
      <c r="BX16" s="88"/>
      <c r="BY16" s="88"/>
      <c r="BZ16" s="88"/>
      <c r="CA16" s="79"/>
      <c r="CC16" s="77"/>
      <c r="CD16" s="78"/>
      <c r="CE16" s="88"/>
      <c r="CF16" s="88"/>
      <c r="CG16" s="88"/>
      <c r="CH16" s="79"/>
      <c r="CJ16" s="77"/>
      <c r="CK16" s="78"/>
      <c r="CL16" s="88"/>
      <c r="CM16" s="88"/>
      <c r="CN16" s="88"/>
      <c r="CO16" s="79"/>
      <c r="CQ16" s="77"/>
      <c r="CR16" s="78"/>
      <c r="CS16" s="88"/>
      <c r="CT16" s="88"/>
      <c r="CU16" s="88"/>
      <c r="CV16" s="79"/>
    </row>
    <row r="17" spans="1:100">
      <c r="A17" s="13"/>
      <c r="B17" s="293" t="s">
        <v>985</v>
      </c>
      <c r="C17" s="25" t="s">
        <v>131</v>
      </c>
      <c r="D17" s="459">
        <v>9740660</v>
      </c>
      <c r="E17" s="299">
        <v>20</v>
      </c>
      <c r="F17" s="299">
        <v>1</v>
      </c>
      <c r="G17" s="26"/>
      <c r="I17" s="42" t="str">
        <f t="shared" si="0"/>
        <v>·</v>
      </c>
      <c r="J17" s="43">
        <f t="shared" si="1"/>
        <v>7.8374155344709706E-2</v>
      </c>
      <c r="K17" s="43">
        <f t="shared" si="2"/>
        <v>2.7943897025458235E-2</v>
      </c>
      <c r="L17" s="55"/>
      <c r="M17" s="43">
        <f t="shared" si="3"/>
        <v>5.036126915424622E-2</v>
      </c>
      <c r="N17" s="43">
        <f t="shared" si="4"/>
        <v>5.8628697815869506</v>
      </c>
      <c r="O17" s="364">
        <v>130212</v>
      </c>
      <c r="P17" s="365">
        <v>763416</v>
      </c>
      <c r="Q17" s="365">
        <v>272192</v>
      </c>
      <c r="R17" s="55"/>
      <c r="S17" s="365">
        <v>490552</v>
      </c>
      <c r="T17" s="366">
        <v>45.917828</v>
      </c>
      <c r="U17" s="366">
        <v>41.400261</v>
      </c>
      <c r="V17" s="90"/>
      <c r="W17" s="90"/>
      <c r="X17" s="90"/>
      <c r="Y17" s="366">
        <v>48.937201999999999</v>
      </c>
      <c r="Z17" s="367"/>
      <c r="AA17" s="367"/>
      <c r="AB17" s="44">
        <v>0</v>
      </c>
      <c r="AC17" s="44">
        <v>0</v>
      </c>
      <c r="AD17" s="45"/>
      <c r="AF17" s="42" t="str">
        <f t="shared" si="5"/>
        <v>·</v>
      </c>
      <c r="AG17" s="43" t="str">
        <f t="shared" si="6"/>
        <v>·</v>
      </c>
      <c r="AH17" s="43" t="str">
        <f t="shared" si="7"/>
        <v>·</v>
      </c>
      <c r="AI17" s="55"/>
      <c r="AJ17" s="43" t="str">
        <f t="shared" si="8"/>
        <v>·</v>
      </c>
      <c r="AK17" s="43" t="str">
        <f t="shared" si="9"/>
        <v>·</v>
      </c>
      <c r="AL17" s="364"/>
      <c r="AM17" s="365"/>
      <c r="AN17" s="365"/>
      <c r="AO17" s="55"/>
      <c r="AP17" s="365"/>
      <c r="AQ17" s="366"/>
      <c r="AR17" s="366"/>
      <c r="AS17" s="90"/>
      <c r="AT17" s="90"/>
      <c r="AU17" s="90"/>
      <c r="AV17" s="366"/>
      <c r="AW17" s="367"/>
      <c r="AX17" s="367"/>
      <c r="AY17" s="44">
        <v>0</v>
      </c>
      <c r="AZ17" s="44">
        <v>0</v>
      </c>
      <c r="BA17" s="45"/>
      <c r="BC17" s="65" t="e">
        <f t="shared" si="12"/>
        <v>#DIV/0!</v>
      </c>
      <c r="BD17" s="66" t="e">
        <f t="shared" si="11"/>
        <v>#DIV/0!</v>
      </c>
      <c r="BE17" s="66" t="e">
        <f t="shared" si="10"/>
        <v>#DIV/0!</v>
      </c>
      <c r="BF17" s="67" t="e">
        <f t="array" ref="BF17">AVERAGE(AN17:AN22/AM17:AM22) - AVERAGE(Q17:Q22/P17:P22)</f>
        <v>#DIV/0!</v>
      </c>
      <c r="BH17" s="83" t="str">
        <f>IF( OR(ISBLANK($Q17:$Q22),ISBLANK($AN17:$AN22), ISBLANK($T17:$T22),ISBLANK($AQ17:$AQ22)), "·", bdRateHermite( $Q17:$Q22,$T17:$T22, $AN17:$AN22,$AQ17:$AQ22))</f>
        <v>·</v>
      </c>
      <c r="BI17" s="84" t="str">
        <f>IF(OR(ISBLANK($Q17:$Q22),ISBLANK($AN17:$AN22),ISBLANK($U17:$U22),ISBLANK($AR17:$AR22)),"·",bdRateHermite($Q17:$Q22,$U17:$U22,$AN17:$AN22,$AR17:$AR22))</f>
        <v>·</v>
      </c>
      <c r="BJ17" s="92"/>
      <c r="BK17" s="92"/>
      <c r="BL17" s="92"/>
      <c r="BM17" s="184" t="str">
        <f>IF( OR(ISBLANK($S17:$S22),ISBLANK($AP17:$AP22), ISBLANK($Y17:$Y22),ISBLANK($AV17:$AV22)), "·", bdRateHermite($S17:$S22,$Y17:$Y22, $AP17:$AP22,$AV17:$AV22))</f>
        <v>·</v>
      </c>
      <c r="BO17" s="83" t="str">
        <f>IF( OR(ISBLANK($P17:$P22),ISBLANK($AM17:$AM22), ISBLANK($T17:$T22),ISBLANK($AQ17:$AQ22)), "·", bdRateHermite($P17:$P22,$T17:$T22, $AM17:$AM22,$AQ17:$AQ22))</f>
        <v>·</v>
      </c>
      <c r="BP17" s="84" t="str">
        <f>IF( OR(ISBLANK($P17:$P22),ISBLANK($AM17:$AM22), ISBLANK($U17:$U22),ISBLANK($AR17:$AR22)), "·", bdRateHermite( $P17:$P22,$U17:$U22, $AM17:$AM22,$AR17:$AR22))</f>
        <v>·</v>
      </c>
      <c r="BQ17" s="92"/>
      <c r="BR17" s="92"/>
      <c r="BS17" s="92"/>
      <c r="BT17" s="85" t="str">
        <f>IF( OR(ISBLANK($P17:$P22),ISBLANK($AM17:$AM22), ISBLANK($Y17:$Y22),ISBLANK($AV17:$AV22)), "·", bdRateHermite( $P17:$P22,$Y17:$Y22, $AM17:$AM22,$AV17:$AV22))</f>
        <v>·</v>
      </c>
      <c r="BV17" s="83" t="str">
        <f>IF( OR(ISBLANK($Q17:$Q21),ISBLANK($AN17:$AN21), ISBLANK($T17:$T21),ISBLANK($AQ17:$AQ21)), "·", bdRateHermite( $Q18:$Q22,$T18:$T22, $AN18:$AN22,$AQ18:$AQ22))</f>
        <v>·</v>
      </c>
      <c r="BW17" s="84" t="str">
        <f>IF(OR(ISBLANK($Q17:$Q22),ISBLANK($AN17:$AN22),ISBLANK($U17:$U22),ISBLANK($AR17:$AR22)),"·",bdRateHermite($Q18:$Q22,$U18:$U22,$AN18:$AN22,$AR18:$AR22))</f>
        <v>·</v>
      </c>
      <c r="BX17" s="92"/>
      <c r="BY17" s="92"/>
      <c r="BZ17" s="92"/>
      <c r="CA17" s="184" t="str">
        <f>IF( OR(ISBLANK($S17:$S22),ISBLANK($AP17:$AP22), ISBLANK($Y17:$Y22),ISBLANK($AV17:$AV22)), "·", bdRateHermite($S18:$S22,$Y18:$Y22, $AP18:$AP22,$AV18:$AV22))</f>
        <v>·</v>
      </c>
      <c r="CC17" s="83" t="str">
        <f>IF( OR(ISBLANK($P17:$P22),ISBLANK($AM17:$AM22), ISBLANK($T17:$T22),ISBLANK($AQ17:$AQ22)), "·", bdRateHermite($P18:$P22,$T18:$T22, $AM18:$AM22,$AQ18:$AQ22))</f>
        <v>·</v>
      </c>
      <c r="CD17" s="84" t="str">
        <f>IF( OR(ISBLANK($P17:$P22),ISBLANK($AM17:$AM22), ISBLANK($U17:$U22),ISBLANK($AR17:$AR22)), "·", bdRateHermite( $P18:$P22,$U18:$U22, $AM18:$AM22,$AR18:$AR22))</f>
        <v>·</v>
      </c>
      <c r="CE17" s="92"/>
      <c r="CF17" s="92"/>
      <c r="CG17" s="92"/>
      <c r="CH17" s="85" t="str">
        <f>IF( OR(ISBLANK($P17:$P22),ISBLANK($AM17:$AM22), ISBLANK($Y17:$Y22),ISBLANK($AV17:$AV22)), "·", bdRateHermite( $P18:$P22,$Y18:$Y22, $AM18:$AM22,$AV18:$AV22))</f>
        <v>·</v>
      </c>
      <c r="CJ17" s="83" t="str">
        <f>IF( OR(ISBLANK($Q17:$Q21),ISBLANK($AN17:$AN21), ISBLANK($T17:$T21),ISBLANK($AQ17:$AQ21)), "·", bdRateHermite( $Q17:$Q21,$T17:$T21, $AN17:$AN21,$AQ17:$AQ21))</f>
        <v>·</v>
      </c>
      <c r="CK17" s="84" t="str">
        <f>IF(OR(ISBLANK($Q17:$Q21),ISBLANK($AN17:$AN21),ISBLANK($U17:$U21),ISBLANK($AR17:$AR21)),"·",bdRateHermite($Q17:$Q21,$U17:$U21,$AN17:$AN21,$AR17:$AR21))</f>
        <v>·</v>
      </c>
      <c r="CL17" s="92"/>
      <c r="CM17" s="92"/>
      <c r="CN17" s="92"/>
      <c r="CO17" s="184" t="str">
        <f>IF( OR(ISBLANK($S17:$S21),ISBLANK($AP17:$AP21), ISBLANK($Y17:$Y21),ISBLANK($AV17:$AV21)), "·", bdRateHermite($S17:$S21,$Y17:$Y21, $AP17:$AP21,$AV17:$AV21))</f>
        <v>·</v>
      </c>
      <c r="CQ17" s="83" t="str">
        <f>IF( OR(ISBLANK($P17:$P21),ISBLANK($AM17:$AM21), ISBLANK($T17:$T21),ISBLANK($AQ17:$AQ21)), "·", bdRateHermite($P17:$P21,$T17:$T21, $AM17:$AM21,$AQ17:$AQ21))</f>
        <v>·</v>
      </c>
      <c r="CR17" s="84" t="str">
        <f>IF( OR(ISBLANK($P17:$P21),ISBLANK($AM17:$AM21), ISBLANK($U17:$U21),ISBLANK($AR17:$AR21)), "·", bdRateHermite( $P17:$P21,$U17:$U21, $AM17:$AM21,$AR17:$AR21))</f>
        <v>·</v>
      </c>
      <c r="CS17" s="92"/>
      <c r="CT17" s="92"/>
      <c r="CU17" s="92"/>
      <c r="CV17" s="85" t="str">
        <f>IF( OR(ISBLANK($P17:$P21),ISBLANK($AM17:$AM21), ISBLANK($Y17:$Y21),ISBLANK($AV17:$AV21)), "·", bdRateHermite( $P17:$P21,$Y17:$Y21, $AM17:$AM21,$AV17:$AV21))</f>
        <v>·</v>
      </c>
    </row>
    <row r="18" spans="1:100" outlineLevel="1">
      <c r="A18" s="13"/>
      <c r="B18" s="291" t="s">
        <v>985</v>
      </c>
      <c r="C18" s="15" t="s">
        <v>132</v>
      </c>
      <c r="D18" s="459">
        <v>9740660</v>
      </c>
      <c r="E18" s="299">
        <v>20</v>
      </c>
      <c r="F18" s="299">
        <v>1</v>
      </c>
      <c r="G18" s="16"/>
      <c r="I18" s="30" t="str">
        <f t="shared" si="0"/>
        <v>·</v>
      </c>
      <c r="J18" s="31">
        <f t="shared" si="1"/>
        <v>0.3069845369820936</v>
      </c>
      <c r="K18" s="31">
        <f t="shared" si="2"/>
        <v>0.10252775479279638</v>
      </c>
      <c r="L18" s="51"/>
      <c r="M18" s="31">
        <f t="shared" si="3"/>
        <v>0.2043869717247086</v>
      </c>
      <c r="N18" s="31">
        <f t="shared" si="4"/>
        <v>7.2582674718915667</v>
      </c>
      <c r="O18" s="356">
        <v>411976</v>
      </c>
      <c r="P18" s="357">
        <v>2990232</v>
      </c>
      <c r="Q18" s="357">
        <v>998688</v>
      </c>
      <c r="R18" s="51"/>
      <c r="S18" s="357">
        <v>1990864</v>
      </c>
      <c r="T18" s="358">
        <v>51.825339999999997</v>
      </c>
      <c r="U18" s="358">
        <v>47.420814999999997</v>
      </c>
      <c r="V18" s="87"/>
      <c r="W18" s="87"/>
      <c r="X18" s="87"/>
      <c r="Y18" s="358">
        <v>51.467776999999998</v>
      </c>
      <c r="Z18" s="359"/>
      <c r="AA18" s="359"/>
      <c r="AB18" s="32">
        <v>0</v>
      </c>
      <c r="AC18" s="32">
        <v>0</v>
      </c>
      <c r="AD18" s="33"/>
      <c r="AF18" s="30" t="str">
        <f t="shared" si="5"/>
        <v>·</v>
      </c>
      <c r="AG18" s="31" t="str">
        <f t="shared" si="6"/>
        <v>·</v>
      </c>
      <c r="AH18" s="31" t="str">
        <f t="shared" si="7"/>
        <v>·</v>
      </c>
      <c r="AI18" s="51"/>
      <c r="AJ18" s="31" t="str">
        <f t="shared" si="8"/>
        <v>·</v>
      </c>
      <c r="AK18" s="31" t="str">
        <f t="shared" si="9"/>
        <v>·</v>
      </c>
      <c r="AL18" s="356"/>
      <c r="AM18" s="357"/>
      <c r="AN18" s="357"/>
      <c r="AO18" s="51"/>
      <c r="AP18" s="357"/>
      <c r="AQ18" s="358"/>
      <c r="AR18" s="358"/>
      <c r="AS18" s="87"/>
      <c r="AT18" s="87"/>
      <c r="AU18" s="87"/>
      <c r="AV18" s="358"/>
      <c r="AW18" s="359"/>
      <c r="AX18" s="359"/>
      <c r="AY18" s="32">
        <v>0</v>
      </c>
      <c r="AZ18" s="32">
        <v>0</v>
      </c>
      <c r="BA18" s="33"/>
      <c r="BC18" s="56" t="e">
        <f t="shared" si="12"/>
        <v>#DIV/0!</v>
      </c>
      <c r="BD18" s="57" t="e">
        <f t="shared" si="11"/>
        <v>#DIV/0!</v>
      </c>
      <c r="BE18" s="57" t="e">
        <f t="shared" si="10"/>
        <v>#DIV/0!</v>
      </c>
      <c r="BF18" s="58"/>
      <c r="BH18" s="74"/>
      <c r="BI18" s="75"/>
      <c r="BJ18" s="87"/>
      <c r="BK18" s="87"/>
      <c r="BL18" s="87"/>
      <c r="BM18" s="76"/>
      <c r="BO18" s="74"/>
      <c r="BP18" s="75"/>
      <c r="BQ18" s="87"/>
      <c r="BR18" s="87"/>
      <c r="BS18" s="87"/>
      <c r="BT18" s="76"/>
      <c r="BV18" s="74"/>
      <c r="BW18" s="75"/>
      <c r="BX18" s="87"/>
      <c r="BY18" s="87"/>
      <c r="BZ18" s="87"/>
      <c r="CA18" s="76"/>
      <c r="CC18" s="74"/>
      <c r="CD18" s="75"/>
      <c r="CE18" s="87"/>
      <c r="CF18" s="87"/>
      <c r="CG18" s="87"/>
      <c r="CH18" s="76"/>
      <c r="CJ18" s="74"/>
      <c r="CK18" s="75"/>
      <c r="CL18" s="87"/>
      <c r="CM18" s="87"/>
      <c r="CN18" s="87"/>
      <c r="CO18" s="76"/>
      <c r="CQ18" s="74"/>
      <c r="CR18" s="75"/>
      <c r="CS18" s="87"/>
      <c r="CT18" s="87"/>
      <c r="CU18" s="87"/>
      <c r="CV18" s="76"/>
    </row>
    <row r="19" spans="1:100" outlineLevel="1">
      <c r="A19" s="13"/>
      <c r="B19" s="291" t="s">
        <v>985</v>
      </c>
      <c r="C19" s="15" t="s">
        <v>133</v>
      </c>
      <c r="D19" s="459">
        <v>9740660</v>
      </c>
      <c r="E19" s="299">
        <v>20</v>
      </c>
      <c r="F19" s="299">
        <v>1</v>
      </c>
      <c r="G19" s="16"/>
      <c r="I19" s="30" t="str">
        <f t="shared" si="0"/>
        <v>·</v>
      </c>
      <c r="J19" s="31">
        <f t="shared" si="1"/>
        <v>2.2249933782721087</v>
      </c>
      <c r="K19" s="31">
        <f t="shared" si="2"/>
        <v>0.87741980522880381</v>
      </c>
      <c r="L19" s="51"/>
      <c r="M19" s="31">
        <f t="shared" si="3"/>
        <v>1.3475029412791331</v>
      </c>
      <c r="N19" s="31">
        <f t="shared" si="4"/>
        <v>9.1794587259246203</v>
      </c>
      <c r="O19" s="356">
        <v>2361022</v>
      </c>
      <c r="P19" s="357">
        <v>21672904</v>
      </c>
      <c r="Q19" s="357">
        <v>8546648</v>
      </c>
      <c r="R19" s="51"/>
      <c r="S19" s="357">
        <v>13125568</v>
      </c>
      <c r="T19" s="358">
        <v>64.207367000000005</v>
      </c>
      <c r="U19" s="358">
        <v>59.439425999999997</v>
      </c>
      <c r="V19" s="87"/>
      <c r="W19" s="87"/>
      <c r="X19" s="87"/>
      <c r="Y19" s="358">
        <v>55.313415999999997</v>
      </c>
      <c r="Z19" s="359"/>
      <c r="AA19" s="359"/>
      <c r="AB19" s="32">
        <v>0</v>
      </c>
      <c r="AC19" s="32">
        <v>0</v>
      </c>
      <c r="AD19" s="33"/>
      <c r="AF19" s="30" t="str">
        <f t="shared" si="5"/>
        <v>·</v>
      </c>
      <c r="AG19" s="31" t="str">
        <f t="shared" si="6"/>
        <v>·</v>
      </c>
      <c r="AH19" s="31" t="str">
        <f t="shared" si="7"/>
        <v>·</v>
      </c>
      <c r="AI19" s="51"/>
      <c r="AJ19" s="31" t="str">
        <f t="shared" si="8"/>
        <v>·</v>
      </c>
      <c r="AK19" s="31" t="str">
        <f t="shared" si="9"/>
        <v>·</v>
      </c>
      <c r="AL19" s="356"/>
      <c r="AM19" s="357"/>
      <c r="AN19" s="357"/>
      <c r="AO19" s="51"/>
      <c r="AP19" s="357"/>
      <c r="AQ19" s="358"/>
      <c r="AR19" s="358"/>
      <c r="AS19" s="87"/>
      <c r="AT19" s="87"/>
      <c r="AU19" s="87"/>
      <c r="AV19" s="358"/>
      <c r="AW19" s="359"/>
      <c r="AX19" s="359"/>
      <c r="AY19" s="32">
        <v>0</v>
      </c>
      <c r="AZ19" s="32">
        <v>0</v>
      </c>
      <c r="BA19" s="33"/>
      <c r="BC19" s="56" t="e">
        <f t="shared" si="12"/>
        <v>#DIV/0!</v>
      </c>
      <c r="BD19" s="57" t="e">
        <f t="shared" si="11"/>
        <v>#DIV/0!</v>
      </c>
      <c r="BE19" s="57" t="e">
        <f t="shared" si="10"/>
        <v>#DIV/0!</v>
      </c>
      <c r="BF19" s="58"/>
      <c r="BH19" s="74"/>
      <c r="BI19" s="75"/>
      <c r="BJ19" s="87"/>
      <c r="BK19" s="87"/>
      <c r="BL19" s="87"/>
      <c r="BM19" s="76"/>
      <c r="BO19" s="74"/>
      <c r="BP19" s="75"/>
      <c r="BQ19" s="87"/>
      <c r="BR19" s="87"/>
      <c r="BS19" s="87"/>
      <c r="BT19" s="76"/>
      <c r="BV19" s="74"/>
      <c r="BW19" s="75"/>
      <c r="BX19" s="87"/>
      <c r="BY19" s="87"/>
      <c r="BZ19" s="87"/>
      <c r="CA19" s="76"/>
      <c r="CC19" s="74"/>
      <c r="CD19" s="75"/>
      <c r="CE19" s="87"/>
      <c r="CF19" s="87"/>
      <c r="CG19" s="87"/>
      <c r="CH19" s="76"/>
      <c r="CJ19" s="74"/>
      <c r="CK19" s="75"/>
      <c r="CL19" s="87"/>
      <c r="CM19" s="87"/>
      <c r="CN19" s="87"/>
      <c r="CO19" s="76"/>
      <c r="CQ19" s="74"/>
      <c r="CR19" s="75"/>
      <c r="CS19" s="87"/>
      <c r="CT19" s="87"/>
      <c r="CU19" s="87"/>
      <c r="CV19" s="76"/>
    </row>
    <row r="20" spans="1:100" outlineLevel="1">
      <c r="A20" s="13"/>
      <c r="B20" s="291" t="s">
        <v>985</v>
      </c>
      <c r="C20" s="15" t="s">
        <v>134</v>
      </c>
      <c r="D20" s="459">
        <v>9740660</v>
      </c>
      <c r="E20" s="299">
        <v>20</v>
      </c>
      <c r="F20" s="299">
        <v>1</v>
      </c>
      <c r="G20" s="16"/>
      <c r="I20" s="30" t="str">
        <f t="shared" si="0"/>
        <v>·</v>
      </c>
      <c r="J20" s="31">
        <f t="shared" si="1"/>
        <v>4.9719152500959893</v>
      </c>
      <c r="K20" s="31">
        <f t="shared" si="2"/>
        <v>1.7579556210770113</v>
      </c>
      <c r="L20" s="51"/>
      <c r="M20" s="31">
        <f t="shared" si="3"/>
        <v>3.2138865333560558</v>
      </c>
      <c r="N20" s="31">
        <f t="shared" si="4"/>
        <v>11.386024055369811</v>
      </c>
      <c r="O20" s="356">
        <v>4253437</v>
      </c>
      <c r="P20" s="357">
        <v>48429736</v>
      </c>
      <c r="Q20" s="357">
        <v>17123648</v>
      </c>
      <c r="R20" s="51"/>
      <c r="S20" s="357">
        <v>31305376</v>
      </c>
      <c r="T20" s="358">
        <v>70.243781999999996</v>
      </c>
      <c r="U20" s="358">
        <v>65.460021999999995</v>
      </c>
      <c r="V20" s="87"/>
      <c r="W20" s="87"/>
      <c r="X20" s="87"/>
      <c r="Y20" s="358">
        <v>57.044902999999998</v>
      </c>
      <c r="Z20" s="359"/>
      <c r="AA20" s="359"/>
      <c r="AB20" s="32">
        <v>0</v>
      </c>
      <c r="AC20" s="32">
        <v>0</v>
      </c>
      <c r="AD20" s="33"/>
      <c r="AF20" s="30" t="str">
        <f t="shared" si="5"/>
        <v>·</v>
      </c>
      <c r="AG20" s="31" t="str">
        <f t="shared" si="6"/>
        <v>·</v>
      </c>
      <c r="AH20" s="31" t="str">
        <f t="shared" si="7"/>
        <v>·</v>
      </c>
      <c r="AI20" s="51"/>
      <c r="AJ20" s="31" t="str">
        <f t="shared" si="8"/>
        <v>·</v>
      </c>
      <c r="AK20" s="31" t="str">
        <f t="shared" si="9"/>
        <v>·</v>
      </c>
      <c r="AL20" s="356"/>
      <c r="AM20" s="357"/>
      <c r="AN20" s="357"/>
      <c r="AO20" s="51"/>
      <c r="AP20" s="357"/>
      <c r="AQ20" s="358"/>
      <c r="AR20" s="358"/>
      <c r="AS20" s="87"/>
      <c r="AT20" s="87"/>
      <c r="AU20" s="87"/>
      <c r="AV20" s="358"/>
      <c r="AW20" s="359"/>
      <c r="AX20" s="359"/>
      <c r="AY20" s="32">
        <v>0</v>
      </c>
      <c r="AZ20" s="32">
        <v>0</v>
      </c>
      <c r="BA20" s="33"/>
      <c r="BC20" s="56" t="e">
        <f t="shared" si="12"/>
        <v>#DIV/0!</v>
      </c>
      <c r="BD20" s="57" t="e">
        <f t="shared" si="11"/>
        <v>#DIV/0!</v>
      </c>
      <c r="BE20" s="57" t="e">
        <f t="shared" si="10"/>
        <v>#DIV/0!</v>
      </c>
      <c r="BF20" s="58"/>
      <c r="BH20" s="74"/>
      <c r="BI20" s="75"/>
      <c r="BJ20" s="87"/>
      <c r="BK20" s="87"/>
      <c r="BL20" s="87"/>
      <c r="BM20" s="76"/>
      <c r="BO20" s="74"/>
      <c r="BP20" s="75"/>
      <c r="BQ20" s="87"/>
      <c r="BR20" s="87"/>
      <c r="BS20" s="87"/>
      <c r="BT20" s="76"/>
      <c r="BV20" s="74"/>
      <c r="BW20" s="75"/>
      <c r="BX20" s="87"/>
      <c r="BY20" s="87"/>
      <c r="BZ20" s="87"/>
      <c r="CA20" s="76"/>
      <c r="CC20" s="74"/>
      <c r="CD20" s="75"/>
      <c r="CE20" s="87"/>
      <c r="CF20" s="87"/>
      <c r="CG20" s="87"/>
      <c r="CH20" s="76"/>
      <c r="CJ20" s="74"/>
      <c r="CK20" s="75"/>
      <c r="CL20" s="87"/>
      <c r="CM20" s="87"/>
      <c r="CN20" s="87"/>
      <c r="CO20" s="76"/>
      <c r="CQ20" s="74"/>
      <c r="CR20" s="75"/>
      <c r="CS20" s="87"/>
      <c r="CT20" s="87"/>
      <c r="CU20" s="87"/>
      <c r="CV20" s="76"/>
    </row>
    <row r="21" spans="1:100" outlineLevel="1">
      <c r="A21" s="13"/>
      <c r="B21" s="291" t="s">
        <v>985</v>
      </c>
      <c r="C21" s="15" t="s">
        <v>135</v>
      </c>
      <c r="D21" s="459">
        <v>9740660</v>
      </c>
      <c r="E21" s="299">
        <v>20</v>
      </c>
      <c r="F21" s="299">
        <v>1</v>
      </c>
      <c r="G21" s="16"/>
      <c r="I21" s="30" t="str">
        <f t="shared" si="0"/>
        <v>·</v>
      </c>
      <c r="J21" s="31">
        <f t="shared" si="1"/>
        <v>13.633049095235846</v>
      </c>
      <c r="K21" s="31">
        <f t="shared" si="2"/>
        <v>5.8171220430648436</v>
      </c>
      <c r="L21" s="51"/>
      <c r="M21" s="31">
        <f t="shared" si="3"/>
        <v>7.8158531352084974</v>
      </c>
      <c r="N21" s="31">
        <f t="shared" si="4"/>
        <v>14.705712868558098</v>
      </c>
      <c r="O21" s="356">
        <v>9030157</v>
      </c>
      <c r="P21" s="357">
        <v>132794896</v>
      </c>
      <c r="Q21" s="357">
        <v>56662608</v>
      </c>
      <c r="R21" s="51"/>
      <c r="S21" s="357">
        <v>76131568</v>
      </c>
      <c r="T21" s="358">
        <v>82.139572000000001</v>
      </c>
      <c r="U21" s="358">
        <v>77.501227999999998</v>
      </c>
      <c r="V21" s="87"/>
      <c r="W21" s="87"/>
      <c r="X21" s="87"/>
      <c r="Y21" s="358">
        <v>65.318443000000002</v>
      </c>
      <c r="Z21" s="359"/>
      <c r="AA21" s="359"/>
      <c r="AB21" s="32">
        <v>0</v>
      </c>
      <c r="AC21" s="32">
        <v>0</v>
      </c>
      <c r="AD21" s="33"/>
      <c r="AF21" s="30" t="str">
        <f t="shared" si="5"/>
        <v>·</v>
      </c>
      <c r="AG21" s="31" t="str">
        <f t="shared" si="6"/>
        <v>·</v>
      </c>
      <c r="AH21" s="31" t="str">
        <f t="shared" si="7"/>
        <v>·</v>
      </c>
      <c r="AI21" s="51"/>
      <c r="AJ21" s="31" t="str">
        <f t="shared" si="8"/>
        <v>·</v>
      </c>
      <c r="AK21" s="31" t="str">
        <f t="shared" si="9"/>
        <v>·</v>
      </c>
      <c r="AL21" s="356"/>
      <c r="AM21" s="357"/>
      <c r="AN21" s="357"/>
      <c r="AO21" s="51"/>
      <c r="AP21" s="357"/>
      <c r="AQ21" s="358"/>
      <c r="AR21" s="358"/>
      <c r="AS21" s="87"/>
      <c r="AT21" s="87"/>
      <c r="AU21" s="87"/>
      <c r="AV21" s="358"/>
      <c r="AW21" s="359"/>
      <c r="AX21" s="359"/>
      <c r="AY21" s="32">
        <v>0</v>
      </c>
      <c r="AZ21" s="32">
        <v>0</v>
      </c>
      <c r="BA21" s="33"/>
      <c r="BC21" s="56" t="e">
        <f t="shared" si="12"/>
        <v>#DIV/0!</v>
      </c>
      <c r="BD21" s="57" t="e">
        <f t="shared" si="11"/>
        <v>#DIV/0!</v>
      </c>
      <c r="BE21" s="57" t="e">
        <f t="shared" si="10"/>
        <v>#DIV/0!</v>
      </c>
      <c r="BF21" s="58"/>
      <c r="BH21" s="74"/>
      <c r="BI21" s="75"/>
      <c r="BJ21" s="87"/>
      <c r="BK21" s="87"/>
      <c r="BL21" s="87"/>
      <c r="BM21" s="76"/>
      <c r="BO21" s="74"/>
      <c r="BP21" s="75"/>
      <c r="BQ21" s="87"/>
      <c r="BR21" s="87"/>
      <c r="BS21" s="87"/>
      <c r="BT21" s="76"/>
      <c r="BV21" s="74"/>
      <c r="BW21" s="75"/>
      <c r="BX21" s="87"/>
      <c r="BY21" s="87"/>
      <c r="BZ21" s="87"/>
      <c r="CA21" s="76"/>
      <c r="CC21" s="74"/>
      <c r="CD21" s="75"/>
      <c r="CE21" s="87"/>
      <c r="CF21" s="87"/>
      <c r="CG21" s="87"/>
      <c r="CH21" s="76"/>
      <c r="CJ21" s="74"/>
      <c r="CK21" s="75"/>
      <c r="CL21" s="87"/>
      <c r="CM21" s="87"/>
      <c r="CN21" s="87"/>
      <c r="CO21" s="76"/>
      <c r="CQ21" s="74"/>
      <c r="CR21" s="75"/>
      <c r="CS21" s="87"/>
      <c r="CT21" s="87"/>
      <c r="CU21" s="87"/>
      <c r="CV21" s="76"/>
    </row>
    <row r="22" spans="1:100" ht="14.25" outlineLevel="1" thickBot="1">
      <c r="A22" s="13"/>
      <c r="B22" s="292" t="s">
        <v>985</v>
      </c>
      <c r="C22" s="19" t="s">
        <v>136</v>
      </c>
      <c r="D22" s="460">
        <v>9740660</v>
      </c>
      <c r="E22" s="302">
        <v>20</v>
      </c>
      <c r="F22" s="302">
        <v>1</v>
      </c>
      <c r="G22" s="20"/>
      <c r="I22" s="34" t="str">
        <f t="shared" si="0"/>
        <v>·</v>
      </c>
      <c r="J22" s="35">
        <f t="shared" si="1"/>
        <v>18.504021698734995</v>
      </c>
      <c r="K22" s="35">
        <f t="shared" si="2"/>
        <v>8.9559779316801933</v>
      </c>
      <c r="L22" s="52"/>
      <c r="M22" s="35">
        <f t="shared" si="3"/>
        <v>9.5479690287927106</v>
      </c>
      <c r="N22" s="35">
        <f t="shared" si="4"/>
        <v>18.659509630527154</v>
      </c>
      <c r="O22" s="360">
        <v>9659492</v>
      </c>
      <c r="P22" s="361">
        <v>180241384</v>
      </c>
      <c r="Q22" s="361">
        <v>87237136</v>
      </c>
      <c r="R22" s="52"/>
      <c r="S22" s="361">
        <v>93003520</v>
      </c>
      <c r="T22" s="362">
        <v>87.781661999999997</v>
      </c>
      <c r="U22" s="362">
        <v>83.521827999999999</v>
      </c>
      <c r="V22" s="88"/>
      <c r="W22" s="88"/>
      <c r="X22" s="88"/>
      <c r="Y22" s="362">
        <v>72.119759000000002</v>
      </c>
      <c r="Z22" s="363"/>
      <c r="AA22" s="363"/>
      <c r="AB22" s="36">
        <v>0</v>
      </c>
      <c r="AC22" s="36">
        <v>0</v>
      </c>
      <c r="AD22" s="37"/>
      <c r="AF22" s="34" t="str">
        <f t="shared" si="5"/>
        <v>·</v>
      </c>
      <c r="AG22" s="35" t="str">
        <f t="shared" si="6"/>
        <v>·</v>
      </c>
      <c r="AH22" s="35" t="str">
        <f t="shared" si="7"/>
        <v>·</v>
      </c>
      <c r="AI22" s="52"/>
      <c r="AJ22" s="35" t="str">
        <f t="shared" si="8"/>
        <v>·</v>
      </c>
      <c r="AK22" s="35" t="str">
        <f t="shared" si="9"/>
        <v>·</v>
      </c>
      <c r="AL22" s="360"/>
      <c r="AM22" s="361"/>
      <c r="AN22" s="361"/>
      <c r="AO22" s="52"/>
      <c r="AP22" s="361"/>
      <c r="AQ22" s="362"/>
      <c r="AR22" s="362"/>
      <c r="AS22" s="88"/>
      <c r="AT22" s="88"/>
      <c r="AU22" s="88"/>
      <c r="AV22" s="362"/>
      <c r="AW22" s="363"/>
      <c r="AX22" s="363"/>
      <c r="AY22" s="36">
        <v>0</v>
      </c>
      <c r="AZ22" s="36">
        <v>0</v>
      </c>
      <c r="BA22" s="37"/>
      <c r="BC22" s="59" t="e">
        <f t="shared" si="12"/>
        <v>#DIV/0!</v>
      </c>
      <c r="BD22" s="60" t="e">
        <f t="shared" si="12"/>
        <v>#DIV/0!</v>
      </c>
      <c r="BE22" s="60" t="e">
        <f t="shared" si="10"/>
        <v>#DIV/0!</v>
      </c>
      <c r="BF22" s="61"/>
      <c r="BH22" s="77"/>
      <c r="BI22" s="78"/>
      <c r="BJ22" s="88"/>
      <c r="BK22" s="88"/>
      <c r="BL22" s="88"/>
      <c r="BM22" s="79"/>
      <c r="BO22" s="77"/>
      <c r="BP22" s="78"/>
      <c r="BQ22" s="88"/>
      <c r="BR22" s="88"/>
      <c r="BS22" s="88"/>
      <c r="BT22" s="79"/>
      <c r="BV22" s="77"/>
      <c r="BW22" s="78"/>
      <c r="BX22" s="88"/>
      <c r="BY22" s="88"/>
      <c r="BZ22" s="88"/>
      <c r="CA22" s="79"/>
      <c r="CC22" s="77"/>
      <c r="CD22" s="78"/>
      <c r="CE22" s="88"/>
      <c r="CF22" s="88"/>
      <c r="CG22" s="88"/>
      <c r="CH22" s="79"/>
      <c r="CJ22" s="77"/>
      <c r="CK22" s="78"/>
      <c r="CL22" s="88"/>
      <c r="CM22" s="88"/>
      <c r="CN22" s="88"/>
      <c r="CO22" s="79"/>
      <c r="CQ22" s="77"/>
      <c r="CR22" s="78"/>
      <c r="CS22" s="88"/>
      <c r="CT22" s="88"/>
      <c r="CU22" s="88"/>
      <c r="CV22" s="79"/>
    </row>
    <row r="23" spans="1:100">
      <c r="A23" s="13"/>
      <c r="B23" s="294" t="s">
        <v>986</v>
      </c>
      <c r="C23" s="25" t="s">
        <v>131</v>
      </c>
      <c r="D23" s="461">
        <v>5865647</v>
      </c>
      <c r="E23" s="304">
        <v>19</v>
      </c>
      <c r="F23" s="304">
        <v>1</v>
      </c>
      <c r="G23" s="29"/>
      <c r="I23" s="42" t="str">
        <f t="shared" si="0"/>
        <v>·</v>
      </c>
      <c r="J23" s="43">
        <f t="shared" si="1"/>
        <v>9.5195636559786162E-2</v>
      </c>
      <c r="K23" s="43">
        <f t="shared" si="2"/>
        <v>3.4496450263713452E-2</v>
      </c>
      <c r="L23" s="55"/>
      <c r="M23" s="43">
        <f t="shared" si="3"/>
        <v>6.0590076422941917E-2</v>
      </c>
      <c r="N23" s="43">
        <f t="shared" si="4"/>
        <v>5.9694037908510706</v>
      </c>
      <c r="O23" s="352">
        <v>93541</v>
      </c>
      <c r="P23" s="353">
        <v>558384</v>
      </c>
      <c r="Q23" s="353">
        <v>202344</v>
      </c>
      <c r="R23" s="55"/>
      <c r="S23" s="353">
        <v>355400</v>
      </c>
      <c r="T23" s="354">
        <v>45.803874999999998</v>
      </c>
      <c r="U23" s="354">
        <v>41.388927000000002</v>
      </c>
      <c r="V23" s="87"/>
      <c r="W23" s="87"/>
      <c r="X23" s="87"/>
      <c r="Y23" s="354">
        <v>49.414847999999999</v>
      </c>
      <c r="Z23" s="355"/>
      <c r="AA23" s="355"/>
      <c r="AB23" s="48">
        <v>0</v>
      </c>
      <c r="AC23" s="48">
        <v>0</v>
      </c>
      <c r="AD23" s="49"/>
      <c r="AF23" s="42" t="str">
        <f t="shared" si="5"/>
        <v>·</v>
      </c>
      <c r="AG23" s="43" t="str">
        <f t="shared" si="6"/>
        <v>·</v>
      </c>
      <c r="AH23" s="43" t="str">
        <f t="shared" si="7"/>
        <v>·</v>
      </c>
      <c r="AI23" s="55"/>
      <c r="AJ23" s="43" t="str">
        <f t="shared" si="8"/>
        <v>·</v>
      </c>
      <c r="AK23" s="43" t="str">
        <f t="shared" si="9"/>
        <v>·</v>
      </c>
      <c r="AL23" s="352"/>
      <c r="AM23" s="353"/>
      <c r="AN23" s="353"/>
      <c r="AO23" s="55"/>
      <c r="AP23" s="353"/>
      <c r="AQ23" s="354"/>
      <c r="AR23" s="354"/>
      <c r="AS23" s="87"/>
      <c r="AT23" s="87"/>
      <c r="AU23" s="87"/>
      <c r="AV23" s="354"/>
      <c r="AW23" s="355"/>
      <c r="AX23" s="355"/>
      <c r="AY23" s="48">
        <v>0</v>
      </c>
      <c r="AZ23" s="48">
        <v>0</v>
      </c>
      <c r="BA23" s="49"/>
      <c r="BB23" s="281"/>
      <c r="BC23" s="65" t="e">
        <f>AY23/AB23</f>
        <v>#DIV/0!</v>
      </c>
      <c r="BD23" s="280" t="e">
        <f>AZ23/AC23</f>
        <v>#DIV/0!</v>
      </c>
      <c r="BE23" s="66" t="e">
        <f t="shared" si="10"/>
        <v>#DIV/0!</v>
      </c>
      <c r="BF23" s="67" t="e">
        <f t="array" ref="BF23">AVERAGE(AN23:AN28/AM23:AM28) - AVERAGE(Q23:Q28/P23:P28)</f>
        <v>#DIV/0!</v>
      </c>
      <c r="BH23" s="83" t="str">
        <f>IF( OR(ISBLANK($Q23:$Q28),ISBLANK($AN23:$AN28), ISBLANK($T23:$T28),ISBLANK($AQ23:$AQ28)), "·", bdRateHermite( $Q23:$Q28,$T23:$T28, $AN23:$AN28,$AQ23:$AQ28))</f>
        <v>·</v>
      </c>
      <c r="BI23" s="84" t="str">
        <f>IF(OR(ISBLANK($Q23:$Q28),ISBLANK($AN23:$AN28),ISBLANK($U23:$U28),ISBLANK($AR23:$AR28)),"·",bdRateHermite($Q23:$Q28,$U23:$U28,$AN23:$AN28,$AR23:$AR28))</f>
        <v>·</v>
      </c>
      <c r="BJ23" s="92"/>
      <c r="BK23" s="92"/>
      <c r="BL23" s="92"/>
      <c r="BM23" s="184" t="str">
        <f>IF( OR(ISBLANK($S23:$S28),ISBLANK($AP23:$AP28), ISBLANK($Y23:$Y28),ISBLANK($AV23:$AV28)), "·", bdRateHermite($S23:$S28,$Y23:$Y28, $AP23:$AP28,$AV23:$AV28))</f>
        <v>·</v>
      </c>
      <c r="BO23" s="83" t="str">
        <f>IF( OR(ISBLANK($P23:$P28),ISBLANK($AM23:$AM28), ISBLANK($T23:$T28),ISBLANK($AQ23:$AQ28)), "·", bdRateHermite($P23:$P28,$T23:$T28, $AM23:$AM28,$AQ23:$AQ28))</f>
        <v>·</v>
      </c>
      <c r="BP23" s="84" t="str">
        <f>IF( OR(ISBLANK($P23:$P28),ISBLANK($AM23:$AM28), ISBLANK($U23:$U28),ISBLANK($AR23:$AR28)), "·", bdRateHermite( $P23:$P28,$U23:$U28, $AM23:$AM28,$AR23:$AR28))</f>
        <v>·</v>
      </c>
      <c r="BQ23" s="92"/>
      <c r="BR23" s="87"/>
      <c r="BS23" s="92"/>
      <c r="BT23" s="85" t="str">
        <f>IF( OR(ISBLANK($P23:$P28),ISBLANK($AM23:$AM28), ISBLANK($Y23:$Y28),ISBLANK($AV23:$AV28)), "·", bdRateHermite( $P23:$P28,$Y23:$Y28, $AM23:$AM28,$AV23:$AV28))</f>
        <v>·</v>
      </c>
      <c r="BV23" s="83" t="str">
        <f>IF( OR(ISBLANK($Q23:$Q28),ISBLANK($AN23:$AN28), ISBLANK($T23:$T28),ISBLANK($AQ23:$AQ28)), "·", bdRateHermite( $Q24:$Q28,$T24:$T28, $AN24:$AN28,$AQ24:$AQ28))</f>
        <v>·</v>
      </c>
      <c r="BW23" s="84" t="str">
        <f>IF(OR(ISBLANK($Q23:$Q28),ISBLANK($AN23:$AN28),ISBLANK($U23:$U28),ISBLANK($AR23:$AR28)),"·",bdRateHermite($Q24:$Q28,$U24:$U28,$AN24:$AN28,$AR24:$AR28))</f>
        <v>·</v>
      </c>
      <c r="BX23" s="92"/>
      <c r="BY23" s="92"/>
      <c r="BZ23" s="92"/>
      <c r="CA23" s="184" t="str">
        <f>IF( OR(ISBLANK($S23:$S28),ISBLANK($AP23:$AP28), ISBLANK($Y23:$Y28),ISBLANK($AV23:$AV28)), "·", bdRateHermite($S24:$S28,$Y24:$Y28, $AP24:$AP28,$AV24:$AV28))</f>
        <v>·</v>
      </c>
      <c r="CC23" s="83" t="str">
        <f>IF( OR(ISBLANK($P23:$P28),ISBLANK($AM23:$AM28), ISBLANK($T23:$T28),ISBLANK($AQ23:$AQ28)), "·", bdRateHermite($P24:$P28,$T24:$T28, $AM24:$AM28,$AQ24:$AQ28))</f>
        <v>·</v>
      </c>
      <c r="CD23" s="84" t="str">
        <f>IF( OR(ISBLANK($P23:$P28),ISBLANK($AM23:$AM28), ISBLANK($U23:$U28),ISBLANK($AR23:$AR28)), "·", bdRateHermite( $P24:$P28,$U24:$U28, $AM24:$AM28,$AR24:$AR28))</f>
        <v>·</v>
      </c>
      <c r="CE23" s="92"/>
      <c r="CF23" s="92"/>
      <c r="CG23" s="92"/>
      <c r="CH23" s="85" t="str">
        <f>IF( OR(ISBLANK($P23:$P28),ISBLANK($AM23:$AM28), ISBLANK($Y23:$Y28),ISBLANK($AV23:$AV28)), "·", bdRateHermite( $P24:$P28,$Y24:$Y28, $AM24:$AM28,$AV24:$AV28))</f>
        <v>·</v>
      </c>
      <c r="CJ23" s="83" t="str">
        <f>IF( OR(ISBLANK($Q23:$Q27),ISBLANK($AN23:$AN27), ISBLANK($T23:$T27),ISBLANK($AQ23:$AQ27)), "·", bdRateHermite( $Q23:$Q27,$T23:$T27, $AN23:$AN27,$AQ23:$AQ27))</f>
        <v>·</v>
      </c>
      <c r="CK23" s="84" t="str">
        <f>IF(OR(ISBLANK($Q23:$Q27),ISBLANK($AN23:$AN27),ISBLANK($U23:$U27),ISBLANK($AR23:$AR27)),"·",bdRateHermite($Q23:$Q27,$U23:$U27,$AN23:$AN27,$AR23:$AR27))</f>
        <v>·</v>
      </c>
      <c r="CL23" s="92"/>
      <c r="CM23" s="92"/>
      <c r="CN23" s="92"/>
      <c r="CO23" s="184" t="str">
        <f>IF( OR(ISBLANK($S23:$S28),ISBLANK($AP23:$AP28), ISBLANK($Y23:$Y28),ISBLANK($AV23:$AV28)), "·", bdRateHermite($S23:$S27,$Y23:$Y27, $AP23:$AP27,$AV23:$AV27))</f>
        <v>·</v>
      </c>
      <c r="CQ23" s="83" t="str">
        <f>IF( OR(ISBLANK($P23:$P27),ISBLANK($AM23:$AM27), ISBLANK($T23:$T27),ISBLANK($AQ23:$AQ27)), "·", bdRateHermite($P23:$P27,$T23:$T27, $AM23:$AM27,$AQ23:$AQ27))</f>
        <v>·</v>
      </c>
      <c r="CR23" s="84" t="str">
        <f>IF( OR(ISBLANK($P23:$P27),ISBLANK($AM23:$AM27), ISBLANK($U23:$U27),ISBLANK($AR23:$AR27)), "·", bdRateHermite( $P23:$P27,$U23:$U27, $AM23:$AM27,$AR23:$AR27))</f>
        <v>·</v>
      </c>
      <c r="CS23" s="92"/>
      <c r="CT23" s="92"/>
      <c r="CU23" s="92"/>
      <c r="CV23" s="85" t="str">
        <f>IF( OR(ISBLANK($P23:$P28),ISBLANK($AM23:$AM28), ISBLANK($Y23:$Y28),ISBLANK($AV23:$AV28)), "·", bdRateHermite( $P23:$P27,$Y23:$Y27, $AM23:$AM27,$AV23:$AV27))</f>
        <v>·</v>
      </c>
    </row>
    <row r="24" spans="1:100" outlineLevel="1">
      <c r="A24" s="13"/>
      <c r="B24" s="295" t="s">
        <v>986</v>
      </c>
      <c r="C24" s="15" t="s">
        <v>132</v>
      </c>
      <c r="D24" s="459">
        <v>5865647</v>
      </c>
      <c r="E24" s="299">
        <v>19</v>
      </c>
      <c r="F24" s="299">
        <v>1</v>
      </c>
      <c r="G24" s="16"/>
      <c r="I24" s="30" t="str">
        <f t="shared" si="0"/>
        <v>·</v>
      </c>
      <c r="J24" s="31">
        <f t="shared" si="1"/>
        <v>0.3299796254360346</v>
      </c>
      <c r="K24" s="31">
        <f t="shared" si="2"/>
        <v>0.10493232886329505</v>
      </c>
      <c r="L24" s="51"/>
      <c r="M24" s="31">
        <f t="shared" si="3"/>
        <v>0.22493682282619462</v>
      </c>
      <c r="N24" s="31">
        <f t="shared" si="4"/>
        <v>6.9953269170301891</v>
      </c>
      <c r="O24" s="356">
        <v>276691</v>
      </c>
      <c r="P24" s="357">
        <v>1935544</v>
      </c>
      <c r="Q24" s="357">
        <v>615496</v>
      </c>
      <c r="R24" s="51"/>
      <c r="S24" s="357">
        <v>1319400</v>
      </c>
      <c r="T24" s="358">
        <v>51.998947000000001</v>
      </c>
      <c r="U24" s="358">
        <v>47.398223999999999</v>
      </c>
      <c r="V24" s="87"/>
      <c r="W24" s="87"/>
      <c r="X24" s="87"/>
      <c r="Y24" s="358">
        <v>51.999485</v>
      </c>
      <c r="Z24" s="359"/>
      <c r="AA24" s="359"/>
      <c r="AB24" s="32">
        <v>0</v>
      </c>
      <c r="AC24" s="32">
        <v>0</v>
      </c>
      <c r="AD24" s="33"/>
      <c r="AF24" s="30" t="str">
        <f t="shared" si="5"/>
        <v>·</v>
      </c>
      <c r="AG24" s="31" t="str">
        <f t="shared" si="6"/>
        <v>·</v>
      </c>
      <c r="AH24" s="31" t="str">
        <f t="shared" si="7"/>
        <v>·</v>
      </c>
      <c r="AI24" s="51"/>
      <c r="AJ24" s="31" t="str">
        <f t="shared" si="8"/>
        <v>·</v>
      </c>
      <c r="AK24" s="31" t="str">
        <f t="shared" si="9"/>
        <v>·</v>
      </c>
      <c r="AL24" s="356"/>
      <c r="AM24" s="357"/>
      <c r="AN24" s="357"/>
      <c r="AO24" s="51"/>
      <c r="AP24" s="357"/>
      <c r="AQ24" s="358"/>
      <c r="AR24" s="358"/>
      <c r="AS24" s="87"/>
      <c r="AT24" s="87"/>
      <c r="AU24" s="87"/>
      <c r="AV24" s="358"/>
      <c r="AW24" s="359"/>
      <c r="AX24" s="359"/>
      <c r="AY24" s="32">
        <v>0</v>
      </c>
      <c r="AZ24" s="32">
        <v>0</v>
      </c>
      <c r="BA24" s="33"/>
      <c r="BB24" s="281"/>
      <c r="BC24" s="65" t="e">
        <f t="shared" ref="BC24:BD39" si="13">AY24/AB24</f>
        <v>#DIV/0!</v>
      </c>
      <c r="BD24" s="280" t="e">
        <f t="shared" si="13"/>
        <v>#DIV/0!</v>
      </c>
      <c r="BE24" s="57" t="e">
        <f t="shared" si="10"/>
        <v>#DIV/0!</v>
      </c>
      <c r="BF24" s="58"/>
      <c r="BH24" s="74"/>
      <c r="BI24" s="75"/>
      <c r="BJ24" s="87"/>
      <c r="BK24" s="87"/>
      <c r="BL24" s="87"/>
      <c r="BM24" s="76"/>
      <c r="BO24" s="74"/>
      <c r="BP24" s="75"/>
      <c r="BQ24" s="87"/>
      <c r="BR24" s="87"/>
      <c r="BS24" s="87"/>
      <c r="BT24" s="76"/>
      <c r="BV24" s="74"/>
      <c r="BW24" s="75"/>
      <c r="BX24" s="87"/>
      <c r="BY24" s="87"/>
      <c r="BZ24" s="87"/>
      <c r="CA24" s="76"/>
      <c r="CC24" s="74"/>
      <c r="CD24" s="75"/>
      <c r="CE24" s="87"/>
      <c r="CF24" s="87"/>
      <c r="CG24" s="87"/>
      <c r="CH24" s="76"/>
      <c r="CJ24" s="74"/>
      <c r="CK24" s="75"/>
      <c r="CL24" s="87"/>
      <c r="CM24" s="87"/>
      <c r="CN24" s="87"/>
      <c r="CO24" s="76"/>
      <c r="CQ24" s="74"/>
      <c r="CR24" s="75"/>
      <c r="CS24" s="87"/>
      <c r="CT24" s="87"/>
      <c r="CU24" s="87"/>
      <c r="CV24" s="76"/>
    </row>
    <row r="25" spans="1:100" outlineLevel="1">
      <c r="A25" s="13"/>
      <c r="B25" s="295" t="s">
        <v>986</v>
      </c>
      <c r="C25" s="15" t="s">
        <v>133</v>
      </c>
      <c r="D25" s="459">
        <v>5865647</v>
      </c>
      <c r="E25" s="299">
        <v>19</v>
      </c>
      <c r="F25" s="299">
        <v>1</v>
      </c>
      <c r="G25" s="16"/>
      <c r="I25" s="30" t="str">
        <f t="shared" si="0"/>
        <v>·</v>
      </c>
      <c r="J25" s="31">
        <f t="shared" si="1"/>
        <v>2.3527962047494504</v>
      </c>
      <c r="K25" s="31">
        <f t="shared" si="2"/>
        <v>0.75445249262357583</v>
      </c>
      <c r="L25" s="51"/>
      <c r="M25" s="31">
        <f t="shared" si="3"/>
        <v>1.5982305106325014</v>
      </c>
      <c r="N25" s="31">
        <f t="shared" si="4"/>
        <v>8.1401932552935214</v>
      </c>
      <c r="O25" s="356">
        <v>1695374</v>
      </c>
      <c r="P25" s="357">
        <v>13800672</v>
      </c>
      <c r="Q25" s="357">
        <v>4425352</v>
      </c>
      <c r="R25" s="51"/>
      <c r="S25" s="357">
        <v>9374656</v>
      </c>
      <c r="T25" s="358">
        <v>64.133246999999997</v>
      </c>
      <c r="U25" s="358">
        <v>59.439425999999997</v>
      </c>
      <c r="V25" s="87"/>
      <c r="W25" s="87"/>
      <c r="X25" s="87"/>
      <c r="Y25" s="358">
        <v>55.410254999999999</v>
      </c>
      <c r="Z25" s="359"/>
      <c r="AA25" s="359"/>
      <c r="AB25" s="32">
        <v>0</v>
      </c>
      <c r="AC25" s="32">
        <v>0</v>
      </c>
      <c r="AD25" s="33"/>
      <c r="AF25" s="30" t="str">
        <f t="shared" si="5"/>
        <v>·</v>
      </c>
      <c r="AG25" s="31" t="str">
        <f t="shared" si="6"/>
        <v>·</v>
      </c>
      <c r="AH25" s="31" t="str">
        <f t="shared" si="7"/>
        <v>·</v>
      </c>
      <c r="AI25" s="51"/>
      <c r="AJ25" s="31" t="str">
        <f t="shared" si="8"/>
        <v>·</v>
      </c>
      <c r="AK25" s="31" t="str">
        <f t="shared" si="9"/>
        <v>·</v>
      </c>
      <c r="AL25" s="356"/>
      <c r="AM25" s="357"/>
      <c r="AN25" s="357"/>
      <c r="AO25" s="51"/>
      <c r="AP25" s="357"/>
      <c r="AQ25" s="358"/>
      <c r="AR25" s="358"/>
      <c r="AS25" s="87"/>
      <c r="AT25" s="87"/>
      <c r="AU25" s="87"/>
      <c r="AV25" s="358"/>
      <c r="AW25" s="359"/>
      <c r="AX25" s="359"/>
      <c r="AY25" s="32">
        <v>0</v>
      </c>
      <c r="AZ25" s="32">
        <v>0</v>
      </c>
      <c r="BA25" s="33"/>
      <c r="BB25" s="281"/>
      <c r="BC25" s="65" t="e">
        <f t="shared" si="13"/>
        <v>#DIV/0!</v>
      </c>
      <c r="BD25" s="280" t="e">
        <f t="shared" si="13"/>
        <v>#DIV/0!</v>
      </c>
      <c r="BE25" s="57" t="e">
        <f t="shared" si="10"/>
        <v>#DIV/0!</v>
      </c>
      <c r="BF25" s="58"/>
      <c r="BH25" s="74"/>
      <c r="BI25" s="75"/>
      <c r="BJ25" s="87"/>
      <c r="BK25" s="87"/>
      <c r="BL25" s="87"/>
      <c r="BM25" s="76"/>
      <c r="BO25" s="74"/>
      <c r="BP25" s="75"/>
      <c r="BQ25" s="87"/>
      <c r="BR25" s="87"/>
      <c r="BS25" s="87"/>
      <c r="BT25" s="76"/>
      <c r="BV25" s="74"/>
      <c r="BW25" s="75"/>
      <c r="BX25" s="87"/>
      <c r="BY25" s="87"/>
      <c r="BZ25" s="87"/>
      <c r="CA25" s="76"/>
      <c r="CC25" s="74"/>
      <c r="CD25" s="75"/>
      <c r="CE25" s="87"/>
      <c r="CF25" s="87"/>
      <c r="CG25" s="87"/>
      <c r="CH25" s="76"/>
      <c r="CJ25" s="74"/>
      <c r="CK25" s="75"/>
      <c r="CL25" s="87"/>
      <c r="CM25" s="87"/>
      <c r="CN25" s="87"/>
      <c r="CO25" s="76"/>
      <c r="CQ25" s="74"/>
      <c r="CR25" s="75"/>
      <c r="CS25" s="87"/>
      <c r="CT25" s="87"/>
      <c r="CU25" s="87"/>
      <c r="CV25" s="76"/>
    </row>
    <row r="26" spans="1:100" outlineLevel="1">
      <c r="A26" s="13"/>
      <c r="B26" s="295" t="s">
        <v>986</v>
      </c>
      <c r="C26" s="15" t="s">
        <v>134</v>
      </c>
      <c r="D26" s="459">
        <v>5865647</v>
      </c>
      <c r="E26" s="299">
        <v>19</v>
      </c>
      <c r="F26" s="299">
        <v>1</v>
      </c>
      <c r="G26" s="16"/>
      <c r="I26" s="30" t="str">
        <f t="shared" si="0"/>
        <v>·</v>
      </c>
      <c r="J26" s="31">
        <f t="shared" si="1"/>
        <v>5.9290141394461688</v>
      </c>
      <c r="K26" s="31">
        <f t="shared" si="2"/>
        <v>1.6540483939793853</v>
      </c>
      <c r="L26" s="51"/>
      <c r="M26" s="31">
        <f t="shared" si="3"/>
        <v>4.2748511800999962</v>
      </c>
      <c r="N26" s="31">
        <f t="shared" si="4"/>
        <v>10.330941816997907</v>
      </c>
      <c r="O26" s="356">
        <v>3366344</v>
      </c>
      <c r="P26" s="357">
        <v>34777504</v>
      </c>
      <c r="Q26" s="357">
        <v>9702064</v>
      </c>
      <c r="R26" s="51"/>
      <c r="S26" s="357">
        <v>25074768</v>
      </c>
      <c r="T26" s="358">
        <v>70.208404999999999</v>
      </c>
      <c r="U26" s="358">
        <v>65.460021999999995</v>
      </c>
      <c r="V26" s="87"/>
      <c r="W26" s="87"/>
      <c r="X26" s="87"/>
      <c r="Y26" s="358">
        <v>58.261870999999999</v>
      </c>
      <c r="Z26" s="359"/>
      <c r="AA26" s="359"/>
      <c r="AB26" s="32">
        <v>0</v>
      </c>
      <c r="AC26" s="32">
        <v>0</v>
      </c>
      <c r="AD26" s="33"/>
      <c r="AF26" s="30" t="str">
        <f t="shared" si="5"/>
        <v>·</v>
      </c>
      <c r="AG26" s="31" t="str">
        <f t="shared" si="6"/>
        <v>·</v>
      </c>
      <c r="AH26" s="31" t="str">
        <f t="shared" si="7"/>
        <v>·</v>
      </c>
      <c r="AI26" s="51"/>
      <c r="AJ26" s="31" t="str">
        <f t="shared" si="8"/>
        <v>·</v>
      </c>
      <c r="AK26" s="31" t="str">
        <f t="shared" si="9"/>
        <v>·</v>
      </c>
      <c r="AL26" s="356"/>
      <c r="AM26" s="357"/>
      <c r="AN26" s="357"/>
      <c r="AO26" s="51"/>
      <c r="AP26" s="357"/>
      <c r="AQ26" s="358"/>
      <c r="AR26" s="358"/>
      <c r="AS26" s="87"/>
      <c r="AT26" s="87"/>
      <c r="AU26" s="87"/>
      <c r="AV26" s="358"/>
      <c r="AW26" s="359"/>
      <c r="AX26" s="359"/>
      <c r="AY26" s="32">
        <v>0</v>
      </c>
      <c r="AZ26" s="32">
        <v>0</v>
      </c>
      <c r="BA26" s="33"/>
      <c r="BB26" s="281"/>
      <c r="BC26" s="65" t="e">
        <f t="shared" si="13"/>
        <v>#DIV/0!</v>
      </c>
      <c r="BD26" s="280" t="e">
        <f t="shared" si="13"/>
        <v>#DIV/0!</v>
      </c>
      <c r="BE26" s="57" t="e">
        <f t="shared" si="10"/>
        <v>#DIV/0!</v>
      </c>
      <c r="BF26" s="58"/>
      <c r="BH26" s="74"/>
      <c r="BI26" s="75"/>
      <c r="BJ26" s="87"/>
      <c r="BK26" s="87"/>
      <c r="BL26" s="87"/>
      <c r="BM26" s="76"/>
      <c r="BO26" s="74"/>
      <c r="BP26" s="75"/>
      <c r="BQ26" s="87"/>
      <c r="BR26" s="87"/>
      <c r="BS26" s="87"/>
      <c r="BT26" s="76"/>
      <c r="BV26" s="74"/>
      <c r="BW26" s="75"/>
      <c r="BX26" s="87"/>
      <c r="BY26" s="87"/>
      <c r="BZ26" s="87"/>
      <c r="CA26" s="76"/>
      <c r="CC26" s="74"/>
      <c r="CD26" s="75"/>
      <c r="CE26" s="87"/>
      <c r="CF26" s="87"/>
      <c r="CG26" s="87"/>
      <c r="CH26" s="76"/>
      <c r="CJ26" s="74"/>
      <c r="CK26" s="75"/>
      <c r="CL26" s="87"/>
      <c r="CM26" s="87"/>
      <c r="CN26" s="87"/>
      <c r="CO26" s="76"/>
      <c r="CQ26" s="74"/>
      <c r="CR26" s="75"/>
      <c r="CS26" s="87"/>
      <c r="CT26" s="87"/>
      <c r="CU26" s="87"/>
      <c r="CV26" s="76"/>
    </row>
    <row r="27" spans="1:100" outlineLevel="1">
      <c r="A27" s="13"/>
      <c r="B27" s="295" t="s">
        <v>986</v>
      </c>
      <c r="C27" s="15" t="s">
        <v>135</v>
      </c>
      <c r="D27" s="459">
        <v>5865647</v>
      </c>
      <c r="E27" s="299">
        <v>19</v>
      </c>
      <c r="F27" s="299">
        <v>1</v>
      </c>
      <c r="G27" s="16"/>
      <c r="I27" s="30" t="str">
        <f t="shared" si="0"/>
        <v>·</v>
      </c>
      <c r="J27" s="31">
        <f t="shared" si="1"/>
        <v>14.342483275928469</v>
      </c>
      <c r="K27" s="31">
        <f t="shared" si="2"/>
        <v>5.8784648990980877</v>
      </c>
      <c r="L27" s="51"/>
      <c r="M27" s="31">
        <f t="shared" si="3"/>
        <v>8.4639010837167667</v>
      </c>
      <c r="N27" s="31">
        <f t="shared" si="4"/>
        <v>14.71606707388003</v>
      </c>
      <c r="O27" s="356">
        <v>5716741</v>
      </c>
      <c r="P27" s="357">
        <v>84127944</v>
      </c>
      <c r="Q27" s="357">
        <v>34481000</v>
      </c>
      <c r="R27" s="51"/>
      <c r="S27" s="357">
        <v>49646256</v>
      </c>
      <c r="T27" s="358">
        <v>82.137276</v>
      </c>
      <c r="U27" s="358">
        <v>77.501227999999998</v>
      </c>
      <c r="V27" s="87"/>
      <c r="W27" s="87"/>
      <c r="X27" s="87"/>
      <c r="Y27" s="358">
        <v>69.469345000000004</v>
      </c>
      <c r="Z27" s="359"/>
      <c r="AA27" s="359"/>
      <c r="AB27" s="32">
        <v>0</v>
      </c>
      <c r="AC27" s="32">
        <v>0</v>
      </c>
      <c r="AD27" s="33"/>
      <c r="AF27" s="30" t="str">
        <f t="shared" si="5"/>
        <v>·</v>
      </c>
      <c r="AG27" s="31" t="str">
        <f t="shared" si="6"/>
        <v>·</v>
      </c>
      <c r="AH27" s="31" t="str">
        <f t="shared" si="7"/>
        <v>·</v>
      </c>
      <c r="AI27" s="51"/>
      <c r="AJ27" s="31" t="str">
        <f t="shared" si="8"/>
        <v>·</v>
      </c>
      <c r="AK27" s="31" t="str">
        <f t="shared" si="9"/>
        <v>·</v>
      </c>
      <c r="AL27" s="356"/>
      <c r="AM27" s="357"/>
      <c r="AN27" s="357"/>
      <c r="AO27" s="51"/>
      <c r="AP27" s="357"/>
      <c r="AQ27" s="358"/>
      <c r="AR27" s="358"/>
      <c r="AS27" s="87"/>
      <c r="AT27" s="87"/>
      <c r="AU27" s="87"/>
      <c r="AV27" s="358"/>
      <c r="AW27" s="359"/>
      <c r="AX27" s="359"/>
      <c r="AY27" s="32">
        <v>0</v>
      </c>
      <c r="AZ27" s="32">
        <v>0</v>
      </c>
      <c r="BA27" s="33"/>
      <c r="BB27" s="281"/>
      <c r="BC27" s="65" t="e">
        <f t="shared" si="13"/>
        <v>#DIV/0!</v>
      </c>
      <c r="BD27" s="280" t="e">
        <f t="shared" si="13"/>
        <v>#DIV/0!</v>
      </c>
      <c r="BE27" s="57" t="e">
        <f t="shared" si="10"/>
        <v>#DIV/0!</v>
      </c>
      <c r="BF27" s="58"/>
      <c r="BH27" s="74"/>
      <c r="BI27" s="75"/>
      <c r="BJ27" s="87"/>
      <c r="BK27" s="87"/>
      <c r="BL27" s="87"/>
      <c r="BM27" s="76"/>
      <c r="BO27" s="74"/>
      <c r="BP27" s="75"/>
      <c r="BQ27" s="87"/>
      <c r="BR27" s="87"/>
      <c r="BS27" s="87"/>
      <c r="BT27" s="76"/>
      <c r="BV27" s="74"/>
      <c r="BW27" s="75"/>
      <c r="BX27" s="87"/>
      <c r="BY27" s="87"/>
      <c r="BZ27" s="87"/>
      <c r="CA27" s="76"/>
      <c r="CC27" s="74"/>
      <c r="CD27" s="75"/>
      <c r="CE27" s="87"/>
      <c r="CF27" s="87"/>
      <c r="CG27" s="87"/>
      <c r="CH27" s="76"/>
      <c r="CJ27" s="74"/>
      <c r="CK27" s="75"/>
      <c r="CL27" s="87"/>
      <c r="CM27" s="87"/>
      <c r="CN27" s="87"/>
      <c r="CO27" s="76"/>
      <c r="CQ27" s="74"/>
      <c r="CR27" s="75"/>
      <c r="CS27" s="87"/>
      <c r="CT27" s="87"/>
      <c r="CU27" s="87"/>
      <c r="CV27" s="76"/>
    </row>
    <row r="28" spans="1:100" ht="14.25" outlineLevel="1" thickBot="1">
      <c r="A28" s="13"/>
      <c r="B28" s="296" t="s">
        <v>986</v>
      </c>
      <c r="C28" s="22" t="s">
        <v>136</v>
      </c>
      <c r="D28" s="462">
        <v>5865647</v>
      </c>
      <c r="E28" s="306">
        <v>19</v>
      </c>
      <c r="F28" s="306">
        <v>1</v>
      </c>
      <c r="G28" s="23"/>
      <c r="I28" s="38" t="str">
        <f t="shared" si="0"/>
        <v>·</v>
      </c>
      <c r="J28" s="39">
        <f t="shared" si="1"/>
        <v>19.024767088779807</v>
      </c>
      <c r="K28" s="39">
        <f t="shared" si="2"/>
        <v>9.1088795490079786</v>
      </c>
      <c r="L28" s="54"/>
      <c r="M28" s="39">
        <f t="shared" si="3"/>
        <v>9.9157688827847981</v>
      </c>
      <c r="N28" s="39">
        <f t="shared" si="4"/>
        <v>19.036106358875315</v>
      </c>
      <c r="O28" s="360">
        <v>5862153</v>
      </c>
      <c r="P28" s="361">
        <v>111592568</v>
      </c>
      <c r="Q28" s="361">
        <v>53429472</v>
      </c>
      <c r="R28" s="54"/>
      <c r="S28" s="361">
        <v>58162400</v>
      </c>
      <c r="T28" s="362">
        <v>87.784180000000006</v>
      </c>
      <c r="U28" s="362">
        <v>83.521827999999999</v>
      </c>
      <c r="V28" s="88"/>
      <c r="W28" s="88"/>
      <c r="X28" s="88"/>
      <c r="Y28" s="362">
        <v>87.974365000000006</v>
      </c>
      <c r="Z28" s="363"/>
      <c r="AA28" s="363"/>
      <c r="AB28" s="36">
        <v>0</v>
      </c>
      <c r="AC28" s="36">
        <v>0</v>
      </c>
      <c r="AD28" s="37"/>
      <c r="AF28" s="38" t="str">
        <f t="shared" si="5"/>
        <v>·</v>
      </c>
      <c r="AG28" s="39" t="str">
        <f t="shared" si="6"/>
        <v>·</v>
      </c>
      <c r="AH28" s="39" t="str">
        <f t="shared" si="7"/>
        <v>·</v>
      </c>
      <c r="AI28" s="54"/>
      <c r="AJ28" s="39" t="str">
        <f t="shared" si="8"/>
        <v>·</v>
      </c>
      <c r="AK28" s="39" t="str">
        <f t="shared" si="9"/>
        <v>·</v>
      </c>
      <c r="AL28" s="360"/>
      <c r="AM28" s="361"/>
      <c r="AN28" s="361"/>
      <c r="AO28" s="54"/>
      <c r="AP28" s="361"/>
      <c r="AQ28" s="362"/>
      <c r="AR28" s="362"/>
      <c r="AS28" s="88"/>
      <c r="AT28" s="88"/>
      <c r="AU28" s="88"/>
      <c r="AV28" s="362"/>
      <c r="AW28" s="363"/>
      <c r="AX28" s="363"/>
      <c r="AY28" s="36">
        <v>0</v>
      </c>
      <c r="AZ28" s="36">
        <v>0</v>
      </c>
      <c r="BA28" s="37"/>
      <c r="BB28" s="281"/>
      <c r="BC28" s="65" t="e">
        <f t="shared" si="13"/>
        <v>#DIV/0!</v>
      </c>
      <c r="BD28" s="280" t="e">
        <f t="shared" si="13"/>
        <v>#DIV/0!</v>
      </c>
      <c r="BE28" s="63" t="e">
        <f t="shared" si="10"/>
        <v>#DIV/0!</v>
      </c>
      <c r="BF28" s="64"/>
      <c r="BH28" s="80"/>
      <c r="BI28" s="81"/>
      <c r="BJ28" s="89"/>
      <c r="BK28" s="89"/>
      <c r="BL28" s="89"/>
      <c r="BM28" s="82"/>
      <c r="BO28" s="80"/>
      <c r="BP28" s="81"/>
      <c r="BQ28" s="89"/>
      <c r="BR28" s="89"/>
      <c r="BS28" s="89"/>
      <c r="BT28" s="82"/>
      <c r="BV28" s="77"/>
      <c r="BW28" s="78"/>
      <c r="BX28" s="88"/>
      <c r="BY28" s="88"/>
      <c r="BZ28" s="88"/>
      <c r="CA28" s="79"/>
      <c r="CC28" s="80"/>
      <c r="CD28" s="81"/>
      <c r="CE28" s="89"/>
      <c r="CF28" s="89"/>
      <c r="CG28" s="89"/>
      <c r="CH28" s="82"/>
      <c r="CJ28" s="80"/>
      <c r="CK28" s="81"/>
      <c r="CL28" s="89"/>
      <c r="CM28" s="89"/>
      <c r="CN28" s="89"/>
      <c r="CO28" s="82"/>
      <c r="CQ28" s="80"/>
      <c r="CR28" s="81"/>
      <c r="CS28" s="89"/>
      <c r="CT28" s="89"/>
      <c r="CU28" s="89"/>
      <c r="CV28" s="82"/>
    </row>
    <row r="29" spans="1:100">
      <c r="A29" s="13"/>
      <c r="B29" s="293" t="s">
        <v>987</v>
      </c>
      <c r="C29" s="28" t="s">
        <v>131</v>
      </c>
      <c r="D29" s="463">
        <v>5538380</v>
      </c>
      <c r="E29" s="308">
        <v>19</v>
      </c>
      <c r="F29" s="308">
        <v>1</v>
      </c>
      <c r="G29" s="29"/>
      <c r="I29" s="46" t="str">
        <f t="shared" si="0"/>
        <v>·</v>
      </c>
      <c r="J29" s="47">
        <f t="shared" si="1"/>
        <v>8.6991502930459805E-2</v>
      </c>
      <c r="K29" s="47">
        <f t="shared" si="2"/>
        <v>3.2631924858893754E-2</v>
      </c>
      <c r="L29" s="50"/>
      <c r="M29" s="47">
        <f t="shared" si="3"/>
        <v>5.4238242951910126E-2</v>
      </c>
      <c r="N29" s="47">
        <f t="shared" si="4"/>
        <v>6.1807032623058076</v>
      </c>
      <c r="O29" s="352">
        <v>77951</v>
      </c>
      <c r="P29" s="353">
        <v>481792</v>
      </c>
      <c r="Q29" s="353">
        <v>180728</v>
      </c>
      <c r="R29" s="50"/>
      <c r="S29" s="353">
        <v>300392</v>
      </c>
      <c r="T29" s="354">
        <v>45.603825000000001</v>
      </c>
      <c r="U29" s="354">
        <v>41.400215000000003</v>
      </c>
      <c r="V29" s="87"/>
      <c r="W29" s="87"/>
      <c r="X29" s="87"/>
      <c r="Y29" s="354">
        <v>48.789164999999997</v>
      </c>
      <c r="Z29" s="355"/>
      <c r="AA29" s="355"/>
      <c r="AB29" s="48">
        <v>0</v>
      </c>
      <c r="AC29" s="48">
        <v>0</v>
      </c>
      <c r="AD29" s="49"/>
      <c r="AF29" s="46" t="str">
        <f t="shared" si="5"/>
        <v>·</v>
      </c>
      <c r="AG29" s="47" t="str">
        <f t="shared" si="6"/>
        <v>·</v>
      </c>
      <c r="AH29" s="47" t="str">
        <f t="shared" si="7"/>
        <v>·</v>
      </c>
      <c r="AI29" s="50"/>
      <c r="AJ29" s="47" t="str">
        <f t="shared" si="8"/>
        <v>·</v>
      </c>
      <c r="AK29" s="47" t="str">
        <f t="shared" si="9"/>
        <v>·</v>
      </c>
      <c r="AL29" s="352"/>
      <c r="AM29" s="353"/>
      <c r="AN29" s="353"/>
      <c r="AO29" s="50"/>
      <c r="AP29" s="353"/>
      <c r="AQ29" s="354"/>
      <c r="AR29" s="354"/>
      <c r="AS29" s="87"/>
      <c r="AT29" s="87"/>
      <c r="AU29" s="87"/>
      <c r="AV29" s="354"/>
      <c r="AW29" s="355"/>
      <c r="AX29" s="355"/>
      <c r="AY29" s="48">
        <v>0</v>
      </c>
      <c r="AZ29" s="48">
        <v>0</v>
      </c>
      <c r="BA29" s="49"/>
      <c r="BC29" s="65" t="e">
        <f>AY29/AB29</f>
        <v>#DIV/0!</v>
      </c>
      <c r="BD29" s="69" t="e">
        <f t="shared" si="13"/>
        <v>#DIV/0!</v>
      </c>
      <c r="BE29" s="69" t="e">
        <f t="shared" si="10"/>
        <v>#DIV/0!</v>
      </c>
      <c r="BF29" s="70" t="e">
        <f t="array" ref="BF29">AVERAGE(AN29:AN34/AM29:AM34) - AVERAGE(Q29:Q34/P29:P34)</f>
        <v>#DIV/0!</v>
      </c>
      <c r="BH29" s="224" t="str">
        <f>IF( OR(ISBLANK($Q29:$Q34),ISBLANK($AN29:$AN34), ISBLANK($T29:$T34),ISBLANK($AQ29:$AQ34)), "·", bdRateHermite( $Q29:$Q34,$T29:$T34, $AN29:$AN34,$AQ29:$AQ34))</f>
        <v>·</v>
      </c>
      <c r="BI29" s="225" t="str">
        <f>IF(OR(ISBLANK($Q29:$Q34),ISBLANK($AN29:$AN34),ISBLANK($U29:$U34),ISBLANK($AR29:$AR34)),"·",bdRateHermite($Q29:$Q34,$U29:$U34,$AN29:$AN34,$AR29:$AR34))</f>
        <v>·</v>
      </c>
      <c r="BJ29" s="90"/>
      <c r="BK29" s="90"/>
      <c r="BL29" s="90"/>
      <c r="BM29" s="226" t="str">
        <f>IF( OR(ISBLANK($S29:$S34),ISBLANK($AP29:$AP34), ISBLANK($Y29:$Y34),ISBLANK($AV29:$AV34)), "·", bdRateHermite($S29:$S34,$Y29:$Y34, $AP29:$AP34,$AV29:$AV34))</f>
        <v>·</v>
      </c>
      <c r="BO29" s="224" t="str">
        <f>IF( OR(ISBLANK($P29:$P34),ISBLANK($AM29:$AM34), ISBLANK($T29:$T34),ISBLANK($AQ29:$AQ34)), "·", bdRateHermite($P29:$P34,$T29:$T34, $AM29:$AM34,$AQ29:$AQ34))</f>
        <v>·</v>
      </c>
      <c r="BP29" s="225" t="str">
        <f>IF( OR(ISBLANK($P29:$P34),ISBLANK($AM29:$AM34), ISBLANK($U29:$U34),ISBLANK($AR29:$AR34)), "·", bdRateHermite( $P29:$P34,$U29:$U34, $AM29:$AM34,$AR29:$AR34))</f>
        <v>·</v>
      </c>
      <c r="BQ29" s="90"/>
      <c r="BR29" s="90"/>
      <c r="BS29" s="90"/>
      <c r="BT29" s="86" t="str">
        <f>IF( OR(ISBLANK($P29:$P34),ISBLANK($AM29:$AM34), ISBLANK($Y29:$Y34),ISBLANK($AV29:$AV34)), "·", bdRateHermite( $P29:$P34,$Y29:$Y34, $AM29:$AM34,$AV29:$AV34))</f>
        <v>·</v>
      </c>
      <c r="BV29" s="83" t="str">
        <f>IF( OR(ISBLANK($Q29:$Q33),ISBLANK($AN29:$AN33), ISBLANK($T29:$T33),ISBLANK($AQ29:$AQ33)), "·", bdRateHermite( $Q30:$Q34,$T30:$T34, $AN30:$AN34,$AQ30:$AQ34))</f>
        <v>·</v>
      </c>
      <c r="BW29" s="84" t="str">
        <f>IF(OR(ISBLANK($Q29:$Q34),ISBLANK($AN29:$AN34),ISBLANK($U29:$U34),ISBLANK($AR29:$AR34)),"·",bdRateHermite($Q30:$Q34,$U30:$U34,$AN30:$AN34,$AR30:$AR34))</f>
        <v>·</v>
      </c>
      <c r="BX29" s="92"/>
      <c r="BY29" s="92"/>
      <c r="BZ29" s="92"/>
      <c r="CA29" s="184" t="str">
        <f>IF( OR(ISBLANK($S29:$S34),ISBLANK($AP29:$AP34), ISBLANK($Y29:$Y34),ISBLANK($AV29:$AV34)), "·", bdRateHermite($S30:$S34,$Y30:$Y34, $AP30:$AP34,$AV30:$AV34))</f>
        <v>·</v>
      </c>
      <c r="CC29" s="224" t="str">
        <f>IF( OR(ISBLANK($P29:$P34),ISBLANK($AM29:$AM34), ISBLANK($T29:$T34),ISBLANK($AQ29:$AQ34)), "·", bdRateHermite($P30:$P34,$T30:$T34, $AM30:$AM34,$AQ30:$AQ34))</f>
        <v>·</v>
      </c>
      <c r="CD29" s="225" t="str">
        <f>IF( OR(ISBLANK($P29:$P34),ISBLANK($AM29:$AM34), ISBLANK($U29:$U34),ISBLANK($AR29:$AR34)), "·", bdRateHermite( $P30:$P34,$U30:$U34, $AM30:$AM34,$AR30:$AR34))</f>
        <v>·</v>
      </c>
      <c r="CE29" s="90"/>
      <c r="CF29" s="90"/>
      <c r="CG29" s="90"/>
      <c r="CH29" s="86" t="str">
        <f>IF( OR(ISBLANK($P29:$P34),ISBLANK($AM29:$AM34), ISBLANK($Y29:$Y34),ISBLANK($AV29:$AV34)), "·", bdRateHermite( $P30:$P34,$Y30:$Y34, $AM30:$AM34,$AV30:$AV34))</f>
        <v>·</v>
      </c>
      <c r="CJ29" s="224" t="str">
        <f>IF( OR(ISBLANK($Q29:$Q33),ISBLANK($AN29:$AN33), ISBLANK($T29:$T33),ISBLANK($AQ29:$AQ33)), "·", bdRateHermite( $Q29:$Q33,$T29:$T33, $AN29:$AN33,$AQ29:$AQ33))</f>
        <v>·</v>
      </c>
      <c r="CK29" s="225" t="str">
        <f>IF(OR(ISBLANK($Q29:$Q33),ISBLANK($AN29:$AN33),ISBLANK($U29:$U33),ISBLANK($AR29:$AR33)),"·",bdRateHermite($Q29:$Q33,$U29:$U33,$AN29:$AN33,$AR29:$AR33))</f>
        <v>·</v>
      </c>
      <c r="CL29" s="90"/>
      <c r="CM29" s="90"/>
      <c r="CN29" s="90"/>
      <c r="CO29" s="226" t="str">
        <f>IF( OR(ISBLANK($S29:$S33),ISBLANK($AP29:$AP33), ISBLANK($Y29:$Y33),ISBLANK($AV29:$AV33)), "·", bdRateHermite($S29:$S33,$Y29:$Y33, $AP29:$AP33,$AV29:$AV33))</f>
        <v>·</v>
      </c>
      <c r="CQ29" s="224" t="str">
        <f>IF( OR(ISBLANK($P29:$P33),ISBLANK($AM29:$AM33), ISBLANK($T29:$T33),ISBLANK($AQ29:$AQ33)), "·", bdRateHermite($P29:$P33,$T29:$T33, $AM29:$AM33,$AQ29:$AQ33))</f>
        <v>·</v>
      </c>
      <c r="CR29" s="225" t="str">
        <f>IF( OR(ISBLANK($P29:$P33),ISBLANK($AM29:$AM33), ISBLANK($U29:$U33),ISBLANK($AR29:$AR33)), "·", bdRateHermite( $P29:$P33,$U29:$U33, $AM29:$AM33,$AR29:$AR33))</f>
        <v>·</v>
      </c>
      <c r="CS29" s="90"/>
      <c r="CT29" s="90"/>
      <c r="CU29" s="90"/>
      <c r="CV29" s="86" t="str">
        <f>IF( OR(ISBLANK($P29:$P33),ISBLANK($AM29:$AM33), ISBLANK($Y29:$Y33),ISBLANK($AV29:$AV33)), "·", bdRateHermite( $P29:$P33,$Y29:$Y33, $AM29:$AM33,$AV29:$AV33))</f>
        <v>·</v>
      </c>
    </row>
    <row r="30" spans="1:100" outlineLevel="1">
      <c r="A30" s="13"/>
      <c r="B30" s="291" t="s">
        <v>987</v>
      </c>
      <c r="C30" s="15" t="s">
        <v>132</v>
      </c>
      <c r="D30" s="459">
        <v>5538380</v>
      </c>
      <c r="E30" s="299">
        <v>19</v>
      </c>
      <c r="F30" s="299">
        <v>1</v>
      </c>
      <c r="G30" s="16"/>
      <c r="I30" s="30" t="str">
        <f t="shared" si="0"/>
        <v>·</v>
      </c>
      <c r="J30" s="31">
        <f t="shared" si="1"/>
        <v>0.35251752317464674</v>
      </c>
      <c r="K30" s="31">
        <f t="shared" si="2"/>
        <v>0.11324611167886639</v>
      </c>
      <c r="L30" s="51"/>
      <c r="M30" s="31">
        <f t="shared" si="3"/>
        <v>0.23915152084183461</v>
      </c>
      <c r="N30" s="31">
        <f t="shared" si="4"/>
        <v>7.4403155427678591</v>
      </c>
      <c r="O30" s="356">
        <v>262405</v>
      </c>
      <c r="P30" s="357">
        <v>1952376</v>
      </c>
      <c r="Q30" s="357">
        <v>627200</v>
      </c>
      <c r="R30" s="51"/>
      <c r="S30" s="357">
        <v>1324512</v>
      </c>
      <c r="T30" s="358">
        <v>52.493271</v>
      </c>
      <c r="U30" s="358">
        <v>47.420814999999997</v>
      </c>
      <c r="V30" s="87"/>
      <c r="W30" s="87"/>
      <c r="X30" s="87"/>
      <c r="Y30" s="358">
        <v>50.830257000000003</v>
      </c>
      <c r="Z30" s="359"/>
      <c r="AA30" s="359"/>
      <c r="AB30" s="32">
        <v>0</v>
      </c>
      <c r="AC30" s="32">
        <v>0</v>
      </c>
      <c r="AD30" s="33"/>
      <c r="AF30" s="30" t="str">
        <f t="shared" si="5"/>
        <v>·</v>
      </c>
      <c r="AG30" s="31" t="str">
        <f t="shared" si="6"/>
        <v>·</v>
      </c>
      <c r="AH30" s="31" t="str">
        <f t="shared" si="7"/>
        <v>·</v>
      </c>
      <c r="AI30" s="51"/>
      <c r="AJ30" s="31" t="str">
        <f t="shared" si="8"/>
        <v>·</v>
      </c>
      <c r="AK30" s="31" t="str">
        <f t="shared" si="9"/>
        <v>·</v>
      </c>
      <c r="AL30" s="356"/>
      <c r="AM30" s="357"/>
      <c r="AN30" s="357"/>
      <c r="AO30" s="51"/>
      <c r="AP30" s="357"/>
      <c r="AQ30" s="358"/>
      <c r="AR30" s="358"/>
      <c r="AS30" s="87"/>
      <c r="AT30" s="87"/>
      <c r="AU30" s="87"/>
      <c r="AV30" s="358"/>
      <c r="AW30" s="359"/>
      <c r="AX30" s="359"/>
      <c r="AY30" s="32">
        <v>0</v>
      </c>
      <c r="AZ30" s="32">
        <v>0</v>
      </c>
      <c r="BA30" s="33"/>
      <c r="BC30" s="65" t="e">
        <f t="shared" ref="BC30:BD82" si="14">AY30/AB30</f>
        <v>#DIV/0!</v>
      </c>
      <c r="BD30" s="57" t="e">
        <f t="shared" si="13"/>
        <v>#DIV/0!</v>
      </c>
      <c r="BE30" s="57" t="e">
        <f t="shared" si="10"/>
        <v>#DIV/0!</v>
      </c>
      <c r="BF30" s="58"/>
      <c r="BH30" s="74"/>
      <c r="BI30" s="75"/>
      <c r="BJ30" s="87"/>
      <c r="BK30" s="87"/>
      <c r="BL30" s="87"/>
      <c r="BM30" s="76"/>
      <c r="BO30" s="74"/>
      <c r="BP30" s="75"/>
      <c r="BQ30" s="87"/>
      <c r="BR30" s="87"/>
      <c r="BS30" s="87"/>
      <c r="BT30" s="76"/>
      <c r="BV30" s="74"/>
      <c r="BW30" s="75"/>
      <c r="BX30" s="87"/>
      <c r="BY30" s="87"/>
      <c r="BZ30" s="87"/>
      <c r="CA30" s="76"/>
      <c r="CC30" s="74"/>
      <c r="CD30" s="75"/>
      <c r="CE30" s="87"/>
      <c r="CF30" s="87"/>
      <c r="CG30" s="87"/>
      <c r="CH30" s="76"/>
      <c r="CJ30" s="74"/>
      <c r="CK30" s="75"/>
      <c r="CL30" s="87"/>
      <c r="CM30" s="87"/>
      <c r="CN30" s="87"/>
      <c r="CO30" s="76"/>
      <c r="CQ30" s="74"/>
      <c r="CR30" s="75"/>
      <c r="CS30" s="87"/>
      <c r="CT30" s="87"/>
      <c r="CU30" s="87"/>
      <c r="CV30" s="76"/>
    </row>
    <row r="31" spans="1:100" outlineLevel="1">
      <c r="A31" s="13"/>
      <c r="B31" s="291" t="s">
        <v>987</v>
      </c>
      <c r="C31" s="15" t="s">
        <v>133</v>
      </c>
      <c r="D31" s="459">
        <v>5538380</v>
      </c>
      <c r="E31" s="299">
        <v>19</v>
      </c>
      <c r="F31" s="299">
        <v>1</v>
      </c>
      <c r="G31" s="16"/>
      <c r="I31" s="30" t="str">
        <f t="shared" si="0"/>
        <v>·</v>
      </c>
      <c r="J31" s="31">
        <f t="shared" si="1"/>
        <v>3.2785081558145164</v>
      </c>
      <c r="K31" s="31">
        <f t="shared" si="2"/>
        <v>1.2017449145779091</v>
      </c>
      <c r="L31" s="51"/>
      <c r="M31" s="31">
        <f t="shared" si="3"/>
        <v>2.0766375727198207</v>
      </c>
      <c r="N31" s="31">
        <f t="shared" si="4"/>
        <v>10.020708494986231</v>
      </c>
      <c r="O31" s="356">
        <v>1812010</v>
      </c>
      <c r="P31" s="357">
        <v>18157624</v>
      </c>
      <c r="Q31" s="357">
        <v>6655720</v>
      </c>
      <c r="R31" s="51"/>
      <c r="S31" s="357">
        <v>11501208</v>
      </c>
      <c r="T31" s="358">
        <v>64.209282000000002</v>
      </c>
      <c r="U31" s="358">
        <v>59.439425999999997</v>
      </c>
      <c r="V31" s="87"/>
      <c r="W31" s="87"/>
      <c r="X31" s="87"/>
      <c r="Y31" s="358">
        <v>54.275326</v>
      </c>
      <c r="Z31" s="359"/>
      <c r="AA31" s="359"/>
      <c r="AB31" s="32">
        <v>0</v>
      </c>
      <c r="AC31" s="32">
        <v>0</v>
      </c>
      <c r="AD31" s="33"/>
      <c r="AF31" s="30" t="str">
        <f t="shared" si="5"/>
        <v>·</v>
      </c>
      <c r="AG31" s="31" t="str">
        <f t="shared" si="6"/>
        <v>·</v>
      </c>
      <c r="AH31" s="31" t="str">
        <f t="shared" si="7"/>
        <v>·</v>
      </c>
      <c r="AI31" s="51"/>
      <c r="AJ31" s="31" t="str">
        <f t="shared" si="8"/>
        <v>·</v>
      </c>
      <c r="AK31" s="31" t="str">
        <f t="shared" si="9"/>
        <v>·</v>
      </c>
      <c r="AL31" s="356"/>
      <c r="AM31" s="357"/>
      <c r="AN31" s="357"/>
      <c r="AO31" s="51"/>
      <c r="AP31" s="357"/>
      <c r="AQ31" s="358"/>
      <c r="AR31" s="358"/>
      <c r="AS31" s="87"/>
      <c r="AT31" s="87"/>
      <c r="AU31" s="87"/>
      <c r="AV31" s="358"/>
      <c r="AW31" s="359"/>
      <c r="AX31" s="359"/>
      <c r="AY31" s="32">
        <v>0</v>
      </c>
      <c r="AZ31" s="32">
        <v>0</v>
      </c>
      <c r="BA31" s="33"/>
      <c r="BC31" s="65" t="e">
        <f t="shared" si="14"/>
        <v>#DIV/0!</v>
      </c>
      <c r="BD31" s="57" t="e">
        <f t="shared" si="13"/>
        <v>#DIV/0!</v>
      </c>
      <c r="BE31" s="57" t="e">
        <f t="shared" si="10"/>
        <v>#DIV/0!</v>
      </c>
      <c r="BF31" s="58"/>
      <c r="BH31" s="74"/>
      <c r="BI31" s="75"/>
      <c r="BJ31" s="87"/>
      <c r="BK31" s="87"/>
      <c r="BL31" s="87"/>
      <c r="BM31" s="76"/>
      <c r="BO31" s="74"/>
      <c r="BP31" s="75"/>
      <c r="BQ31" s="87"/>
      <c r="BR31" s="87"/>
      <c r="BS31" s="87"/>
      <c r="BT31" s="76"/>
      <c r="BV31" s="74"/>
      <c r="BW31" s="75"/>
      <c r="BX31" s="87"/>
      <c r="BY31" s="87"/>
      <c r="BZ31" s="87"/>
      <c r="CA31" s="76"/>
      <c r="CC31" s="74"/>
      <c r="CD31" s="75"/>
      <c r="CE31" s="87"/>
      <c r="CF31" s="87"/>
      <c r="CG31" s="87"/>
      <c r="CH31" s="76"/>
      <c r="CJ31" s="74"/>
      <c r="CK31" s="75"/>
      <c r="CL31" s="87"/>
      <c r="CM31" s="87"/>
      <c r="CN31" s="87"/>
      <c r="CO31" s="76"/>
      <c r="CQ31" s="74"/>
      <c r="CR31" s="75"/>
      <c r="CS31" s="87"/>
      <c r="CT31" s="87"/>
      <c r="CU31" s="87"/>
      <c r="CV31" s="76"/>
    </row>
    <row r="32" spans="1:100" outlineLevel="1">
      <c r="A32" s="13"/>
      <c r="B32" s="291" t="s">
        <v>987</v>
      </c>
      <c r="C32" s="15" t="s">
        <v>134</v>
      </c>
      <c r="D32" s="459">
        <v>5538380</v>
      </c>
      <c r="E32" s="299">
        <v>19</v>
      </c>
      <c r="F32" s="299">
        <v>1</v>
      </c>
      <c r="G32" s="16"/>
      <c r="I32" s="30" t="str">
        <f t="shared" si="0"/>
        <v>·</v>
      </c>
      <c r="J32" s="31">
        <f t="shared" si="1"/>
        <v>7.1637901335769669</v>
      </c>
      <c r="K32" s="31">
        <f t="shared" si="2"/>
        <v>2.7808810518599301</v>
      </c>
      <c r="L32" s="51"/>
      <c r="M32" s="31">
        <f t="shared" si="3"/>
        <v>4.3827834132002499</v>
      </c>
      <c r="N32" s="31">
        <f t="shared" si="4"/>
        <v>12.852352978333649</v>
      </c>
      <c r="O32" s="356">
        <v>3087045</v>
      </c>
      <c r="P32" s="357">
        <v>39675792</v>
      </c>
      <c r="Q32" s="357">
        <v>15401576</v>
      </c>
      <c r="R32" s="51"/>
      <c r="S32" s="357">
        <v>24273520</v>
      </c>
      <c r="T32" s="358">
        <v>70.220878999999996</v>
      </c>
      <c r="U32" s="358">
        <v>65.460021999999995</v>
      </c>
      <c r="V32" s="87"/>
      <c r="W32" s="87"/>
      <c r="X32" s="87"/>
      <c r="Y32" s="358">
        <v>57.18206</v>
      </c>
      <c r="Z32" s="359"/>
      <c r="AA32" s="359"/>
      <c r="AB32" s="32">
        <v>0</v>
      </c>
      <c r="AC32" s="32">
        <v>0</v>
      </c>
      <c r="AD32" s="33"/>
      <c r="AF32" s="30" t="str">
        <f t="shared" si="5"/>
        <v>·</v>
      </c>
      <c r="AG32" s="31" t="str">
        <f t="shared" si="6"/>
        <v>·</v>
      </c>
      <c r="AH32" s="31" t="str">
        <f t="shared" si="7"/>
        <v>·</v>
      </c>
      <c r="AI32" s="51"/>
      <c r="AJ32" s="31" t="str">
        <f t="shared" si="8"/>
        <v>·</v>
      </c>
      <c r="AK32" s="31" t="str">
        <f t="shared" si="9"/>
        <v>·</v>
      </c>
      <c r="AL32" s="356"/>
      <c r="AM32" s="357"/>
      <c r="AN32" s="357"/>
      <c r="AO32" s="51"/>
      <c r="AP32" s="357"/>
      <c r="AQ32" s="358"/>
      <c r="AR32" s="358"/>
      <c r="AS32" s="87"/>
      <c r="AT32" s="87"/>
      <c r="AU32" s="87"/>
      <c r="AV32" s="358"/>
      <c r="AW32" s="359"/>
      <c r="AX32" s="359"/>
      <c r="AY32" s="32">
        <v>0</v>
      </c>
      <c r="AZ32" s="32">
        <v>0</v>
      </c>
      <c r="BA32" s="33"/>
      <c r="BC32" s="65" t="e">
        <f t="shared" si="14"/>
        <v>#DIV/0!</v>
      </c>
      <c r="BD32" s="57" t="e">
        <f t="shared" si="13"/>
        <v>#DIV/0!</v>
      </c>
      <c r="BE32" s="57" t="e">
        <f t="shared" si="10"/>
        <v>#DIV/0!</v>
      </c>
      <c r="BF32" s="58"/>
      <c r="BH32" s="74"/>
      <c r="BI32" s="75"/>
      <c r="BJ32" s="87"/>
      <c r="BK32" s="87"/>
      <c r="BL32" s="87"/>
      <c r="BM32" s="76"/>
      <c r="BO32" s="74"/>
      <c r="BP32" s="75"/>
      <c r="BQ32" s="87"/>
      <c r="BR32" s="87"/>
      <c r="BS32" s="87"/>
      <c r="BT32" s="76"/>
      <c r="BV32" s="74"/>
      <c r="BW32" s="75"/>
      <c r="BX32" s="87"/>
      <c r="BY32" s="87"/>
      <c r="BZ32" s="87"/>
      <c r="CA32" s="76"/>
      <c r="CC32" s="74"/>
      <c r="CD32" s="75"/>
      <c r="CE32" s="87"/>
      <c r="CF32" s="87"/>
      <c r="CG32" s="87"/>
      <c r="CH32" s="76"/>
      <c r="CJ32" s="74"/>
      <c r="CK32" s="75"/>
      <c r="CL32" s="87"/>
      <c r="CM32" s="87"/>
      <c r="CN32" s="87"/>
      <c r="CO32" s="76"/>
      <c r="CQ32" s="74"/>
      <c r="CR32" s="75"/>
      <c r="CS32" s="87"/>
      <c r="CT32" s="87"/>
      <c r="CU32" s="87"/>
      <c r="CV32" s="76"/>
    </row>
    <row r="33" spans="1:100" outlineLevel="1">
      <c r="A33" s="13"/>
      <c r="B33" s="291" t="s">
        <v>987</v>
      </c>
      <c r="C33" s="15" t="s">
        <v>135</v>
      </c>
      <c r="D33" s="459">
        <v>5538380</v>
      </c>
      <c r="E33" s="299">
        <v>19</v>
      </c>
      <c r="F33" s="299">
        <v>1</v>
      </c>
      <c r="G33" s="16"/>
      <c r="I33" s="30" t="str">
        <f t="shared" si="0"/>
        <v>·</v>
      </c>
      <c r="J33" s="31">
        <f t="shared" si="1"/>
        <v>16.083796344779522</v>
      </c>
      <c r="K33" s="31">
        <f t="shared" si="2"/>
        <v>7.7293475709503499</v>
      </c>
      <c r="L33" s="51"/>
      <c r="M33" s="31">
        <f t="shared" si="3"/>
        <v>8.3543187719152527</v>
      </c>
      <c r="N33" s="31">
        <f t="shared" si="4"/>
        <v>16.891632497450939</v>
      </c>
      <c r="O33" s="356">
        <v>5273509</v>
      </c>
      <c r="P33" s="357">
        <v>89078176</v>
      </c>
      <c r="Q33" s="357">
        <v>42808064</v>
      </c>
      <c r="R33" s="51"/>
      <c r="S33" s="357">
        <v>46269392</v>
      </c>
      <c r="T33" s="358">
        <v>82.137360000000001</v>
      </c>
      <c r="U33" s="358">
        <v>77.501227999999998</v>
      </c>
      <c r="V33" s="87"/>
      <c r="W33" s="87"/>
      <c r="X33" s="87"/>
      <c r="Y33" s="358">
        <v>67.208022999999997</v>
      </c>
      <c r="Z33" s="359"/>
      <c r="AA33" s="359"/>
      <c r="AB33" s="32">
        <v>0</v>
      </c>
      <c r="AC33" s="32">
        <v>0</v>
      </c>
      <c r="AD33" s="33"/>
      <c r="AF33" s="30" t="str">
        <f t="shared" si="5"/>
        <v>·</v>
      </c>
      <c r="AG33" s="31" t="str">
        <f t="shared" si="6"/>
        <v>·</v>
      </c>
      <c r="AH33" s="31" t="str">
        <f t="shared" si="7"/>
        <v>·</v>
      </c>
      <c r="AI33" s="51"/>
      <c r="AJ33" s="31" t="str">
        <f t="shared" si="8"/>
        <v>·</v>
      </c>
      <c r="AK33" s="31" t="str">
        <f t="shared" si="9"/>
        <v>·</v>
      </c>
      <c r="AL33" s="356"/>
      <c r="AM33" s="357"/>
      <c r="AN33" s="357"/>
      <c r="AO33" s="51"/>
      <c r="AP33" s="357"/>
      <c r="AQ33" s="358"/>
      <c r="AR33" s="358"/>
      <c r="AS33" s="87"/>
      <c r="AT33" s="87"/>
      <c r="AU33" s="87"/>
      <c r="AV33" s="358"/>
      <c r="AW33" s="359"/>
      <c r="AX33" s="359"/>
      <c r="AY33" s="32">
        <v>0</v>
      </c>
      <c r="AZ33" s="32">
        <v>0</v>
      </c>
      <c r="BA33" s="33"/>
      <c r="BC33" s="65" t="e">
        <f t="shared" si="14"/>
        <v>#DIV/0!</v>
      </c>
      <c r="BD33" s="57" t="e">
        <f t="shared" si="13"/>
        <v>#DIV/0!</v>
      </c>
      <c r="BE33" s="57" t="e">
        <f t="shared" si="10"/>
        <v>#DIV/0!</v>
      </c>
      <c r="BF33" s="58"/>
      <c r="BH33" s="74"/>
      <c r="BI33" s="75"/>
      <c r="BJ33" s="87"/>
      <c r="BK33" s="87"/>
      <c r="BL33" s="87"/>
      <c r="BM33" s="76"/>
      <c r="BO33" s="74"/>
      <c r="BP33" s="75"/>
      <c r="BQ33" s="87"/>
      <c r="BR33" s="87"/>
      <c r="BS33" s="87"/>
      <c r="BT33" s="76"/>
      <c r="BV33" s="74"/>
      <c r="BW33" s="75"/>
      <c r="BX33" s="87"/>
      <c r="BY33" s="87"/>
      <c r="BZ33" s="87"/>
      <c r="CA33" s="76"/>
      <c r="CC33" s="74"/>
      <c r="CD33" s="75"/>
      <c r="CE33" s="87"/>
      <c r="CF33" s="87"/>
      <c r="CG33" s="87"/>
      <c r="CH33" s="76"/>
      <c r="CJ33" s="74"/>
      <c r="CK33" s="75"/>
      <c r="CL33" s="87"/>
      <c r="CM33" s="87"/>
      <c r="CN33" s="87"/>
      <c r="CO33" s="76"/>
      <c r="CQ33" s="74"/>
      <c r="CR33" s="75"/>
      <c r="CS33" s="87"/>
      <c r="CT33" s="87"/>
      <c r="CU33" s="87"/>
      <c r="CV33" s="76"/>
    </row>
    <row r="34" spans="1:100" ht="14.25" outlineLevel="1" thickBot="1">
      <c r="A34" s="13"/>
      <c r="B34" s="292" t="s">
        <v>987</v>
      </c>
      <c r="C34" s="19" t="s">
        <v>136</v>
      </c>
      <c r="D34" s="460">
        <v>5538380</v>
      </c>
      <c r="E34" s="302">
        <v>19</v>
      </c>
      <c r="F34" s="302">
        <v>1</v>
      </c>
      <c r="G34" s="20"/>
      <c r="I34" s="34" t="str">
        <f t="shared" si="0"/>
        <v>·</v>
      </c>
      <c r="J34" s="35">
        <f t="shared" si="1"/>
        <v>20.774451734983877</v>
      </c>
      <c r="K34" s="35">
        <f t="shared" si="2"/>
        <v>10.826771727472654</v>
      </c>
      <c r="L34" s="52"/>
      <c r="M34" s="35">
        <f t="shared" si="3"/>
        <v>9.9475514500630151</v>
      </c>
      <c r="N34" s="35">
        <f t="shared" si="4"/>
        <v>20.870370471143637</v>
      </c>
      <c r="O34" s="360">
        <v>5512926</v>
      </c>
      <c r="P34" s="361">
        <v>115056808</v>
      </c>
      <c r="Q34" s="361">
        <v>59962776</v>
      </c>
      <c r="R34" s="52"/>
      <c r="S34" s="361">
        <v>55093320</v>
      </c>
      <c r="T34" s="362">
        <v>87.781433000000007</v>
      </c>
      <c r="U34" s="362">
        <v>83.521827999999999</v>
      </c>
      <c r="V34" s="89"/>
      <c r="W34" s="89"/>
      <c r="X34" s="89"/>
      <c r="Y34" s="362">
        <v>74.354393000000002</v>
      </c>
      <c r="Z34" s="363"/>
      <c r="AA34" s="363"/>
      <c r="AB34" s="36">
        <v>0</v>
      </c>
      <c r="AC34" s="36">
        <v>0</v>
      </c>
      <c r="AD34" s="37"/>
      <c r="AF34" s="34" t="str">
        <f t="shared" si="5"/>
        <v>·</v>
      </c>
      <c r="AG34" s="35" t="str">
        <f t="shared" si="6"/>
        <v>·</v>
      </c>
      <c r="AH34" s="35" t="str">
        <f t="shared" si="7"/>
        <v>·</v>
      </c>
      <c r="AI34" s="52"/>
      <c r="AJ34" s="35" t="str">
        <f t="shared" si="8"/>
        <v>·</v>
      </c>
      <c r="AK34" s="35" t="str">
        <f t="shared" si="9"/>
        <v>·</v>
      </c>
      <c r="AL34" s="360"/>
      <c r="AM34" s="361"/>
      <c r="AN34" s="361"/>
      <c r="AO34" s="52"/>
      <c r="AP34" s="361"/>
      <c r="AQ34" s="362"/>
      <c r="AR34" s="362"/>
      <c r="AS34" s="89"/>
      <c r="AT34" s="89"/>
      <c r="AU34" s="89"/>
      <c r="AV34" s="362"/>
      <c r="AW34" s="363"/>
      <c r="AX34" s="363"/>
      <c r="AY34" s="36">
        <v>0</v>
      </c>
      <c r="AZ34" s="36">
        <v>0</v>
      </c>
      <c r="BA34" s="37"/>
      <c r="BC34" s="65" t="e">
        <f t="shared" si="14"/>
        <v>#DIV/0!</v>
      </c>
      <c r="BD34" s="60" t="e">
        <f t="shared" si="13"/>
        <v>#DIV/0!</v>
      </c>
      <c r="BE34" s="60" t="e">
        <f t="shared" si="10"/>
        <v>#DIV/0!</v>
      </c>
      <c r="BF34" s="61"/>
      <c r="BH34" s="77"/>
      <c r="BI34" s="78"/>
      <c r="BJ34" s="88"/>
      <c r="BK34" s="88"/>
      <c r="BL34" s="88"/>
      <c r="BM34" s="79"/>
      <c r="BO34" s="77"/>
      <c r="BP34" s="78"/>
      <c r="BQ34" s="88"/>
      <c r="BR34" s="88"/>
      <c r="BS34" s="88"/>
      <c r="BT34" s="79"/>
      <c r="BV34" s="77"/>
      <c r="BW34" s="78"/>
      <c r="BX34" s="88"/>
      <c r="BY34" s="88"/>
      <c r="BZ34" s="88"/>
      <c r="CA34" s="79"/>
      <c r="CC34" s="77"/>
      <c r="CD34" s="78"/>
      <c r="CE34" s="88"/>
      <c r="CF34" s="88"/>
      <c r="CG34" s="88"/>
      <c r="CH34" s="79"/>
      <c r="CJ34" s="77"/>
      <c r="CK34" s="78"/>
      <c r="CL34" s="88"/>
      <c r="CM34" s="88"/>
      <c r="CN34" s="88"/>
      <c r="CO34" s="79"/>
      <c r="CQ34" s="77"/>
      <c r="CR34" s="78"/>
      <c r="CS34" s="88"/>
      <c r="CT34" s="88"/>
      <c r="CU34" s="88"/>
      <c r="CV34" s="79"/>
    </row>
    <row r="35" spans="1:100">
      <c r="A35" s="13"/>
      <c r="B35" s="294" t="s">
        <v>988</v>
      </c>
      <c r="C35" s="25" t="s">
        <v>131</v>
      </c>
      <c r="D35" s="461">
        <v>7740280</v>
      </c>
      <c r="E35" s="304">
        <v>19</v>
      </c>
      <c r="F35" s="304">
        <v>1</v>
      </c>
      <c r="G35" s="26"/>
      <c r="I35" s="42" t="str">
        <f t="shared" si="0"/>
        <v>·</v>
      </c>
      <c r="J35" s="43">
        <f t="shared" si="1"/>
        <v>9.3420909837887006E-2</v>
      </c>
      <c r="K35" s="43">
        <f t="shared" si="2"/>
        <v>3.5910845602484663E-2</v>
      </c>
      <c r="L35" s="55"/>
      <c r="M35" s="43">
        <f t="shared" si="3"/>
        <v>5.7424279225040953E-2</v>
      </c>
      <c r="N35" s="43">
        <f t="shared" si="4"/>
        <v>6.4066910611604806</v>
      </c>
      <c r="O35" s="364">
        <v>112867</v>
      </c>
      <c r="P35" s="365">
        <v>723104</v>
      </c>
      <c r="Q35" s="365">
        <v>277960</v>
      </c>
      <c r="R35" s="55"/>
      <c r="S35" s="365">
        <v>444480</v>
      </c>
      <c r="T35" s="366">
        <v>46.067711000000003</v>
      </c>
      <c r="U35" s="366">
        <v>41.388927000000002</v>
      </c>
      <c r="V35" s="90"/>
      <c r="W35" s="90"/>
      <c r="X35" s="90"/>
      <c r="Y35" s="366">
        <v>49.037792000000003</v>
      </c>
      <c r="Z35" s="367"/>
      <c r="AA35" s="367"/>
      <c r="AB35" s="44">
        <v>0</v>
      </c>
      <c r="AC35" s="44">
        <v>0</v>
      </c>
      <c r="AD35" s="45"/>
      <c r="AF35" s="42" t="str">
        <f t="shared" si="5"/>
        <v>·</v>
      </c>
      <c r="AG35" s="43" t="str">
        <f t="shared" si="6"/>
        <v>·</v>
      </c>
      <c r="AH35" s="43" t="str">
        <f t="shared" si="7"/>
        <v>·</v>
      </c>
      <c r="AI35" s="55"/>
      <c r="AJ35" s="43" t="str">
        <f t="shared" si="8"/>
        <v>·</v>
      </c>
      <c r="AK35" s="43" t="str">
        <f t="shared" si="9"/>
        <v>·</v>
      </c>
      <c r="AL35" s="364"/>
      <c r="AM35" s="365"/>
      <c r="AN35" s="365"/>
      <c r="AO35" s="55"/>
      <c r="AP35" s="365"/>
      <c r="AQ35" s="366"/>
      <c r="AR35" s="366"/>
      <c r="AS35" s="90"/>
      <c r="AT35" s="90"/>
      <c r="AU35" s="90"/>
      <c r="AV35" s="366"/>
      <c r="AW35" s="367"/>
      <c r="AX35" s="367"/>
      <c r="AY35" s="44">
        <v>0</v>
      </c>
      <c r="AZ35" s="44">
        <v>0</v>
      </c>
      <c r="BA35" s="45"/>
      <c r="BC35" s="65" t="e">
        <f t="shared" si="14"/>
        <v>#DIV/0!</v>
      </c>
      <c r="BD35" s="66" t="e">
        <f t="shared" si="13"/>
        <v>#DIV/0!</v>
      </c>
      <c r="BE35" s="66" t="e">
        <f t="shared" si="10"/>
        <v>#DIV/0!</v>
      </c>
      <c r="BF35" s="67" t="e">
        <f t="array" ref="BF35">AVERAGE(AN35:AN40/AM35:AM40) - AVERAGE(Q35:Q40/P35:P40)</f>
        <v>#DIV/0!</v>
      </c>
      <c r="BH35" s="83" t="str">
        <f>IF( OR(ISBLANK($Q35:$Q40),ISBLANK($AN35:$AN40), ISBLANK($T35:$T40),ISBLANK($AQ35:$AQ40)), "·", bdRateHermite( $Q35:$Q40,$T35:$T40, $AN35:$AN40,$AQ35:$AQ40))</f>
        <v>·</v>
      </c>
      <c r="BI35" s="84" t="str">
        <f>IF(OR(ISBLANK($Q35:$Q40),ISBLANK($AN35:$AN40),ISBLANK($U35:$U40),ISBLANK($AR35:$AR40)),"·",bdRateHermite($Q35:$Q40,$U35:$U40,$AN35:$AN40,$AR35:$AR40))</f>
        <v>·</v>
      </c>
      <c r="BJ35" s="92"/>
      <c r="BK35" s="92"/>
      <c r="BL35" s="92"/>
      <c r="BM35" s="184" t="str">
        <f>IF( OR(ISBLANK($S35:$S40),ISBLANK($AP35:$AP40), ISBLANK($Y35:$Y40),ISBLANK($AV35:$AV40)), "·", bdRateHermite($S35:$S40,$Y35:$Y40, $AP35:$AP40,$AV35:$AV40))</f>
        <v>·</v>
      </c>
      <c r="BO35" s="83" t="str">
        <f>IF( OR(ISBLANK($P35:$P40),ISBLANK($AM35:$AM40), ISBLANK($T35:$T40),ISBLANK($AQ35:$AQ40)), "·", bdRateHermite($P35:$P40,$T35:$T40, $AM35:$AM40,$AQ35:$AQ40))</f>
        <v>·</v>
      </c>
      <c r="BP35" s="84" t="str">
        <f>IF( OR(ISBLANK($P35:$P40),ISBLANK($AM35:$AM40), ISBLANK($U35:$U40),ISBLANK($AR35:$AR40)), "·", bdRateHermite( $P35:$P40,$U35:$U40, $AM35:$AM40,$AR35:$AR40))</f>
        <v>·</v>
      </c>
      <c r="BQ35" s="92"/>
      <c r="BR35" s="92"/>
      <c r="BS35" s="92"/>
      <c r="BT35" s="85" t="str">
        <f>IF( OR(ISBLANK($P35:$P40),ISBLANK($AM35:$AM40), ISBLANK($Y35:$Y40),ISBLANK($AV35:$AV40)), "·", bdRateHermite( $P35:$P40,$Y35:$Y40, $AM35:$AM40,$AV35:$AV40))</f>
        <v>·</v>
      </c>
      <c r="BV35" s="83" t="str">
        <f>IF( OR(ISBLANK($Q35:$Q39),ISBLANK($AN35:$AN39), ISBLANK($T35:$T39),ISBLANK($AQ35:$AQ39)), "·", bdRateHermite( $Q36:$Q40,$T36:$T40, $AN36:$AN40,$AQ36:$AQ40))</f>
        <v>·</v>
      </c>
      <c r="BW35" s="84" t="str">
        <f>IF(OR(ISBLANK($Q35:$Q40),ISBLANK($AN35:$AN40),ISBLANK($U35:$U40),ISBLANK($AR35:$AR40)),"·",bdRateHermite($Q36:$Q40,$U36:$U40,$AN36:$AN40,$AR36:$AR40))</f>
        <v>·</v>
      </c>
      <c r="BX35" s="92"/>
      <c r="BY35" s="92"/>
      <c r="BZ35" s="92"/>
      <c r="CA35" s="184" t="str">
        <f>IF( OR(ISBLANK($S35:$S40),ISBLANK($AP35:$AP40), ISBLANK($Y35:$Y40),ISBLANK($AV35:$AV40)), "·", bdRateHermite($S36:$S40,$Y36:$Y40, $AP36:$AP40,$AV36:$AV40))</f>
        <v>·</v>
      </c>
      <c r="CC35" s="83" t="str">
        <f>IF( OR(ISBLANK($P35:$P40),ISBLANK($AM35:$AM40), ISBLANK($T35:$T40),ISBLANK($AQ35:$AQ40)), "·", bdRateHermite($P36:$P40,$T36:$T40, $AM36:$AM40,$AQ36:$AQ40))</f>
        <v>·</v>
      </c>
      <c r="CD35" s="84" t="str">
        <f>IF( OR(ISBLANK($P35:$P40),ISBLANK($AM35:$AM40), ISBLANK($U35:$U40),ISBLANK($AR35:$AR40)), "·", bdRateHermite( $P36:$P40,$U36:$U40, $AM36:$AM40,$AR36:$AR40))</f>
        <v>·</v>
      </c>
      <c r="CE35" s="92"/>
      <c r="CF35" s="92"/>
      <c r="CG35" s="92"/>
      <c r="CH35" s="85" t="str">
        <f>IF( OR(ISBLANK($P35:$P40),ISBLANK($AM35:$AM40), ISBLANK($Y35:$Y40),ISBLANK($AV35:$AV40)), "·", bdRateHermite( $P36:$P40,$Y36:$Y40, $AM36:$AM40,$AV36:$AV40))</f>
        <v>·</v>
      </c>
      <c r="CJ35" s="83" t="str">
        <f>IF( OR(ISBLANK($Q35:$Q39),ISBLANK($AN35:$AN39), ISBLANK($T35:$T39),ISBLANK($AQ35:$AQ39)), "·", bdRateHermite( $Q35:$Q39,$T35:$T39, $AN35:$AN39,$AQ35:$AQ39))</f>
        <v>·</v>
      </c>
      <c r="CK35" s="84" t="str">
        <f>IF(OR(ISBLANK($Q35:$Q39),ISBLANK($AN35:$AN39),ISBLANK($U35:$U39),ISBLANK($AR35:$AR39)),"·",bdRateHermite($Q35:$Q39,$U35:$U39,$AN35:$AN39,$AR35:$AR39))</f>
        <v>·</v>
      </c>
      <c r="CL35" s="92"/>
      <c r="CM35" s="92"/>
      <c r="CN35" s="92"/>
      <c r="CO35" s="184" t="str">
        <f>IF( OR(ISBLANK($S35:$S39),ISBLANK($AP35:$AP39), ISBLANK($Y35:$Y39),ISBLANK($AV35:$AV39)), "·", bdRateHermite($S35:$S39,$Y35:$Y39, $AP35:$AP39,$AV35:$AV39))</f>
        <v>·</v>
      </c>
      <c r="CQ35" s="83" t="str">
        <f>IF( OR(ISBLANK($P35:$P39),ISBLANK($AM35:$AM39), ISBLANK($T35:$T39),ISBLANK($AQ35:$AQ39)), "·", bdRateHermite($P35:$P39,$T35:$T39, $AM35:$AM39,$AQ35:$AQ39))</f>
        <v>·</v>
      </c>
      <c r="CR35" s="84" t="str">
        <f>IF( OR(ISBLANK($P35:$P39),ISBLANK($AM35:$AM39), ISBLANK($U35:$U39),ISBLANK($AR35:$AR39)), "·", bdRateHermite( $P35:$P39,$U35:$U39, $AM35:$AM39,$AR35:$AR39))</f>
        <v>·</v>
      </c>
      <c r="CS35" s="92"/>
      <c r="CT35" s="92"/>
      <c r="CU35" s="92"/>
      <c r="CV35" s="85" t="str">
        <f>IF( OR(ISBLANK($P35:$P39),ISBLANK($AM35:$AM39), ISBLANK($Y35:$Y39),ISBLANK($AV35:$AV39)), "·", bdRateHermite( $P35:$P39,$Y35:$Y39, $AM35:$AM39,$AV35:$AV39))</f>
        <v>·</v>
      </c>
    </row>
    <row r="36" spans="1:100" outlineLevel="1">
      <c r="A36" s="13"/>
      <c r="B36" s="291" t="s">
        <v>988</v>
      </c>
      <c r="C36" s="15" t="s">
        <v>132</v>
      </c>
      <c r="D36" s="459">
        <v>7740280</v>
      </c>
      <c r="E36" s="299">
        <v>19</v>
      </c>
      <c r="F36" s="299">
        <v>1</v>
      </c>
      <c r="G36" s="16"/>
      <c r="I36" s="30" t="str">
        <f t="shared" si="0"/>
        <v>·</v>
      </c>
      <c r="J36" s="31">
        <f t="shared" si="1"/>
        <v>0.34485780876144018</v>
      </c>
      <c r="K36" s="31">
        <f t="shared" si="2"/>
        <v>0.12029332272217542</v>
      </c>
      <c r="L36" s="51"/>
      <c r="M36" s="31">
        <f t="shared" si="3"/>
        <v>0.22447870102890335</v>
      </c>
      <c r="N36" s="31">
        <f t="shared" si="4"/>
        <v>7.8305342302197527</v>
      </c>
      <c r="O36" s="356">
        <v>340883</v>
      </c>
      <c r="P36" s="357">
        <v>2669296</v>
      </c>
      <c r="Q36" s="357">
        <v>931104</v>
      </c>
      <c r="R36" s="51"/>
      <c r="S36" s="357">
        <v>1737528</v>
      </c>
      <c r="T36" s="358">
        <v>52.223773999999999</v>
      </c>
      <c r="U36" s="358">
        <v>47.398223999999999</v>
      </c>
      <c r="V36" s="87"/>
      <c r="W36" s="87"/>
      <c r="X36" s="87"/>
      <c r="Y36" s="358">
        <v>51.206977999999999</v>
      </c>
      <c r="Z36" s="359"/>
      <c r="AA36" s="359"/>
      <c r="AB36" s="32">
        <v>0</v>
      </c>
      <c r="AC36" s="32">
        <v>0</v>
      </c>
      <c r="AD36" s="33"/>
      <c r="AF36" s="30" t="str">
        <f t="shared" si="5"/>
        <v>·</v>
      </c>
      <c r="AG36" s="31" t="str">
        <f t="shared" si="6"/>
        <v>·</v>
      </c>
      <c r="AH36" s="31" t="str">
        <f t="shared" si="7"/>
        <v>·</v>
      </c>
      <c r="AI36" s="51"/>
      <c r="AJ36" s="31" t="str">
        <f t="shared" si="8"/>
        <v>·</v>
      </c>
      <c r="AK36" s="31" t="str">
        <f t="shared" si="9"/>
        <v>·</v>
      </c>
      <c r="AL36" s="356"/>
      <c r="AM36" s="357"/>
      <c r="AN36" s="357"/>
      <c r="AO36" s="51"/>
      <c r="AP36" s="357"/>
      <c r="AQ36" s="358"/>
      <c r="AR36" s="358"/>
      <c r="AS36" s="87"/>
      <c r="AT36" s="87"/>
      <c r="AU36" s="87"/>
      <c r="AV36" s="358"/>
      <c r="AW36" s="359"/>
      <c r="AX36" s="359"/>
      <c r="AY36" s="32">
        <v>0</v>
      </c>
      <c r="AZ36" s="32">
        <v>0</v>
      </c>
      <c r="BA36" s="33"/>
      <c r="BC36" s="56" t="e">
        <f t="shared" si="14"/>
        <v>#DIV/0!</v>
      </c>
      <c r="BD36" s="57" t="e">
        <f t="shared" si="13"/>
        <v>#DIV/0!</v>
      </c>
      <c r="BE36" s="57" t="e">
        <f t="shared" si="10"/>
        <v>#DIV/0!</v>
      </c>
      <c r="BF36" s="58"/>
      <c r="BH36" s="74"/>
      <c r="BI36" s="75"/>
      <c r="BJ36" s="87"/>
      <c r="BK36" s="87"/>
      <c r="BL36" s="87"/>
      <c r="BM36" s="76"/>
      <c r="BO36" s="74"/>
      <c r="BP36" s="75"/>
      <c r="BQ36" s="87"/>
      <c r="BR36" s="87"/>
      <c r="BS36" s="87"/>
      <c r="BT36" s="76"/>
      <c r="BV36" s="74"/>
      <c r="BW36" s="75"/>
      <c r="BX36" s="87"/>
      <c r="BY36" s="87"/>
      <c r="BZ36" s="87"/>
      <c r="CA36" s="76"/>
      <c r="CC36" s="74"/>
      <c r="CD36" s="75"/>
      <c r="CE36" s="87"/>
      <c r="CF36" s="87"/>
      <c r="CG36" s="87"/>
      <c r="CH36" s="76"/>
      <c r="CJ36" s="74"/>
      <c r="CK36" s="75"/>
      <c r="CL36" s="87"/>
      <c r="CM36" s="87"/>
      <c r="CN36" s="87"/>
      <c r="CO36" s="76"/>
      <c r="CQ36" s="74"/>
      <c r="CR36" s="75"/>
      <c r="CS36" s="87"/>
      <c r="CT36" s="87"/>
      <c r="CU36" s="87"/>
      <c r="CV36" s="76"/>
    </row>
    <row r="37" spans="1:100" outlineLevel="1">
      <c r="A37" s="13"/>
      <c r="B37" s="291" t="s">
        <v>988</v>
      </c>
      <c r="C37" s="15" t="s">
        <v>133</v>
      </c>
      <c r="D37" s="459">
        <v>7740280</v>
      </c>
      <c r="E37" s="299">
        <v>19</v>
      </c>
      <c r="F37" s="299">
        <v>1</v>
      </c>
      <c r="G37" s="16"/>
      <c r="I37" s="30" t="str">
        <f t="shared" si="0"/>
        <v>·</v>
      </c>
      <c r="J37" s="31">
        <f t="shared" si="1"/>
        <v>2.366397081242539</v>
      </c>
      <c r="K37" s="31">
        <f t="shared" si="2"/>
        <v>0.92791992020960479</v>
      </c>
      <c r="L37" s="51"/>
      <c r="M37" s="31">
        <f t="shared" si="3"/>
        <v>1.4383882753595476</v>
      </c>
      <c r="N37" s="31">
        <f t="shared" si="4"/>
        <v>10.126508825033516</v>
      </c>
      <c r="O37" s="356">
        <v>1808775</v>
      </c>
      <c r="P37" s="357">
        <v>18316576</v>
      </c>
      <c r="Q37" s="357">
        <v>7182360</v>
      </c>
      <c r="R37" s="51"/>
      <c r="S37" s="357">
        <v>11133528</v>
      </c>
      <c r="T37" s="358">
        <v>64.173858999999993</v>
      </c>
      <c r="U37" s="358">
        <v>59.439425999999997</v>
      </c>
      <c r="V37" s="87"/>
      <c r="W37" s="87"/>
      <c r="X37" s="87"/>
      <c r="Y37" s="358">
        <v>54.177070999999998</v>
      </c>
      <c r="Z37" s="359"/>
      <c r="AA37" s="359"/>
      <c r="AB37" s="32">
        <v>0</v>
      </c>
      <c r="AC37" s="32">
        <v>0</v>
      </c>
      <c r="AD37" s="33"/>
      <c r="AF37" s="30" t="str">
        <f t="shared" si="5"/>
        <v>·</v>
      </c>
      <c r="AG37" s="31" t="str">
        <f t="shared" si="6"/>
        <v>·</v>
      </c>
      <c r="AH37" s="31" t="str">
        <f t="shared" si="7"/>
        <v>·</v>
      </c>
      <c r="AI37" s="51"/>
      <c r="AJ37" s="31" t="str">
        <f t="shared" si="8"/>
        <v>·</v>
      </c>
      <c r="AK37" s="31" t="str">
        <f t="shared" si="9"/>
        <v>·</v>
      </c>
      <c r="AL37" s="356"/>
      <c r="AM37" s="357"/>
      <c r="AN37" s="357"/>
      <c r="AO37" s="51"/>
      <c r="AP37" s="357"/>
      <c r="AQ37" s="358"/>
      <c r="AR37" s="358"/>
      <c r="AS37" s="87"/>
      <c r="AT37" s="87"/>
      <c r="AU37" s="87"/>
      <c r="AV37" s="358"/>
      <c r="AW37" s="359"/>
      <c r="AX37" s="359"/>
      <c r="AY37" s="32">
        <v>0</v>
      </c>
      <c r="AZ37" s="32">
        <v>0</v>
      </c>
      <c r="BA37" s="33"/>
      <c r="BC37" s="56" t="e">
        <f t="shared" si="14"/>
        <v>#DIV/0!</v>
      </c>
      <c r="BD37" s="57" t="e">
        <f t="shared" si="13"/>
        <v>#DIV/0!</v>
      </c>
      <c r="BE37" s="57" t="e">
        <f t="shared" si="10"/>
        <v>#DIV/0!</v>
      </c>
      <c r="BF37" s="58"/>
      <c r="BH37" s="74"/>
      <c r="BI37" s="75"/>
      <c r="BJ37" s="87"/>
      <c r="BK37" s="87"/>
      <c r="BL37" s="87"/>
      <c r="BM37" s="76"/>
      <c r="BO37" s="74"/>
      <c r="BP37" s="75"/>
      <c r="BQ37" s="87"/>
      <c r="BR37" s="87"/>
      <c r="BS37" s="87"/>
      <c r="BT37" s="76"/>
      <c r="BV37" s="74"/>
      <c r="BW37" s="75"/>
      <c r="BX37" s="87"/>
      <c r="BY37" s="87"/>
      <c r="BZ37" s="87"/>
      <c r="CA37" s="76"/>
      <c r="CC37" s="74"/>
      <c r="CD37" s="75"/>
      <c r="CE37" s="87"/>
      <c r="CF37" s="87"/>
      <c r="CG37" s="87"/>
      <c r="CH37" s="76"/>
      <c r="CJ37" s="74"/>
      <c r="CK37" s="75"/>
      <c r="CL37" s="87"/>
      <c r="CM37" s="87"/>
      <c r="CN37" s="87"/>
      <c r="CO37" s="76"/>
      <c r="CQ37" s="74"/>
      <c r="CR37" s="75"/>
      <c r="CS37" s="87"/>
      <c r="CT37" s="87"/>
      <c r="CU37" s="87"/>
      <c r="CV37" s="76"/>
    </row>
    <row r="38" spans="1:100" outlineLevel="1">
      <c r="A38" s="13"/>
      <c r="B38" s="291" t="s">
        <v>988</v>
      </c>
      <c r="C38" s="15" t="s">
        <v>134</v>
      </c>
      <c r="D38" s="459">
        <v>7740280</v>
      </c>
      <c r="E38" s="299">
        <v>19</v>
      </c>
      <c r="F38" s="299">
        <v>1</v>
      </c>
      <c r="G38" s="16"/>
      <c r="I38" s="30" t="str">
        <f t="shared" si="0"/>
        <v>·</v>
      </c>
      <c r="J38" s="31">
        <f t="shared" si="1"/>
        <v>5.2130114156077045</v>
      </c>
      <c r="K38" s="31">
        <f t="shared" si="2"/>
        <v>1.908941795387247</v>
      </c>
      <c r="L38" s="51"/>
      <c r="M38" s="31">
        <f t="shared" si="3"/>
        <v>3.3039807345470709</v>
      </c>
      <c r="N38" s="31">
        <f t="shared" si="4"/>
        <v>12.039115774637045</v>
      </c>
      <c r="O38" s="356">
        <v>3351589</v>
      </c>
      <c r="P38" s="357">
        <v>40350168</v>
      </c>
      <c r="Q38" s="357">
        <v>14775744</v>
      </c>
      <c r="R38" s="51"/>
      <c r="S38" s="357">
        <v>25573736</v>
      </c>
      <c r="T38" s="358">
        <v>70.234298999999993</v>
      </c>
      <c r="U38" s="358">
        <v>65.460021999999995</v>
      </c>
      <c r="V38" s="87"/>
      <c r="W38" s="87"/>
      <c r="X38" s="87"/>
      <c r="Y38" s="358">
        <v>56.181449999999998</v>
      </c>
      <c r="Z38" s="359"/>
      <c r="AA38" s="359"/>
      <c r="AB38" s="32">
        <v>0</v>
      </c>
      <c r="AC38" s="32">
        <v>0</v>
      </c>
      <c r="AD38" s="33"/>
      <c r="AF38" s="30" t="str">
        <f t="shared" si="5"/>
        <v>·</v>
      </c>
      <c r="AG38" s="31" t="str">
        <f t="shared" si="6"/>
        <v>·</v>
      </c>
      <c r="AH38" s="31" t="str">
        <f t="shared" si="7"/>
        <v>·</v>
      </c>
      <c r="AI38" s="51"/>
      <c r="AJ38" s="31" t="str">
        <f t="shared" si="8"/>
        <v>·</v>
      </c>
      <c r="AK38" s="31" t="str">
        <f t="shared" si="9"/>
        <v>·</v>
      </c>
      <c r="AL38" s="356"/>
      <c r="AM38" s="357"/>
      <c r="AN38" s="357"/>
      <c r="AO38" s="51"/>
      <c r="AP38" s="357"/>
      <c r="AQ38" s="358"/>
      <c r="AR38" s="358"/>
      <c r="AS38" s="87"/>
      <c r="AT38" s="87"/>
      <c r="AU38" s="87"/>
      <c r="AV38" s="358"/>
      <c r="AW38" s="359"/>
      <c r="AX38" s="359"/>
      <c r="AY38" s="32">
        <v>0</v>
      </c>
      <c r="AZ38" s="32">
        <v>0</v>
      </c>
      <c r="BA38" s="33"/>
      <c r="BC38" s="56" t="e">
        <f t="shared" si="14"/>
        <v>#DIV/0!</v>
      </c>
      <c r="BD38" s="57" t="e">
        <f t="shared" si="13"/>
        <v>#DIV/0!</v>
      </c>
      <c r="BE38" s="57" t="e">
        <f t="shared" si="10"/>
        <v>#DIV/0!</v>
      </c>
      <c r="BF38" s="58"/>
      <c r="BH38" s="74"/>
      <c r="BI38" s="75"/>
      <c r="BJ38" s="87"/>
      <c r="BK38" s="87"/>
      <c r="BL38" s="87"/>
      <c r="BM38" s="76"/>
      <c r="BO38" s="74"/>
      <c r="BP38" s="75"/>
      <c r="BQ38" s="87"/>
      <c r="BR38" s="87"/>
      <c r="BS38" s="87"/>
      <c r="BT38" s="76"/>
      <c r="BV38" s="74"/>
      <c r="BW38" s="75"/>
      <c r="BX38" s="87"/>
      <c r="BY38" s="87"/>
      <c r="BZ38" s="87"/>
      <c r="CA38" s="76"/>
      <c r="CC38" s="74"/>
      <c r="CD38" s="75"/>
      <c r="CE38" s="87"/>
      <c r="CF38" s="87"/>
      <c r="CG38" s="87"/>
      <c r="CH38" s="76"/>
      <c r="CJ38" s="74"/>
      <c r="CK38" s="75"/>
      <c r="CL38" s="87"/>
      <c r="CM38" s="87"/>
      <c r="CN38" s="87"/>
      <c r="CO38" s="76"/>
      <c r="CQ38" s="74"/>
      <c r="CR38" s="75"/>
      <c r="CS38" s="87"/>
      <c r="CT38" s="87"/>
      <c r="CU38" s="87"/>
      <c r="CV38" s="76"/>
    </row>
    <row r="39" spans="1:100" outlineLevel="1">
      <c r="A39" s="13"/>
      <c r="B39" s="291" t="s">
        <v>988</v>
      </c>
      <c r="C39" s="15" t="s">
        <v>135</v>
      </c>
      <c r="D39" s="459">
        <v>7740280</v>
      </c>
      <c r="E39" s="299">
        <v>19</v>
      </c>
      <c r="F39" s="299">
        <v>1</v>
      </c>
      <c r="G39" s="16"/>
      <c r="I39" s="30" t="str">
        <f t="shared" si="0"/>
        <v>·</v>
      </c>
      <c r="J39" s="31">
        <f t="shared" si="1"/>
        <v>14.202051605368281</v>
      </c>
      <c r="K39" s="31">
        <f t="shared" si="2"/>
        <v>6.1898194897342211</v>
      </c>
      <c r="L39" s="51"/>
      <c r="M39" s="31">
        <f t="shared" si="3"/>
        <v>8.0121411628519894</v>
      </c>
      <c r="N39" s="31">
        <f t="shared" si="4"/>
        <v>15.233809656120492</v>
      </c>
      <c r="O39" s="356">
        <v>7216045</v>
      </c>
      <c r="P39" s="357">
        <v>109927856</v>
      </c>
      <c r="Q39" s="357">
        <v>47910936</v>
      </c>
      <c r="R39" s="51"/>
      <c r="S39" s="357">
        <v>62016216</v>
      </c>
      <c r="T39" s="358">
        <v>82.141602000000006</v>
      </c>
      <c r="U39" s="358">
        <v>77.501227999999998</v>
      </c>
      <c r="V39" s="87"/>
      <c r="W39" s="87"/>
      <c r="X39" s="87"/>
      <c r="Y39" s="358">
        <v>64.782371999999995</v>
      </c>
      <c r="Z39" s="359"/>
      <c r="AA39" s="359"/>
      <c r="AB39" s="32">
        <v>0</v>
      </c>
      <c r="AC39" s="32">
        <v>0</v>
      </c>
      <c r="AD39" s="33"/>
      <c r="AF39" s="30" t="str">
        <f t="shared" si="5"/>
        <v>·</v>
      </c>
      <c r="AG39" s="31" t="str">
        <f t="shared" si="6"/>
        <v>·</v>
      </c>
      <c r="AH39" s="31" t="str">
        <f t="shared" si="7"/>
        <v>·</v>
      </c>
      <c r="AI39" s="51"/>
      <c r="AJ39" s="31" t="str">
        <f t="shared" si="8"/>
        <v>·</v>
      </c>
      <c r="AK39" s="31" t="str">
        <f t="shared" si="9"/>
        <v>·</v>
      </c>
      <c r="AL39" s="356"/>
      <c r="AM39" s="357"/>
      <c r="AN39" s="357"/>
      <c r="AO39" s="51"/>
      <c r="AP39" s="357"/>
      <c r="AQ39" s="358"/>
      <c r="AR39" s="358"/>
      <c r="AS39" s="87"/>
      <c r="AT39" s="87"/>
      <c r="AU39" s="87"/>
      <c r="AV39" s="358"/>
      <c r="AW39" s="359"/>
      <c r="AX39" s="359"/>
      <c r="AY39" s="32">
        <v>0</v>
      </c>
      <c r="AZ39" s="32">
        <v>0</v>
      </c>
      <c r="BA39" s="33"/>
      <c r="BC39" s="56" t="e">
        <f t="shared" si="14"/>
        <v>#DIV/0!</v>
      </c>
      <c r="BD39" s="57" t="e">
        <f t="shared" si="13"/>
        <v>#DIV/0!</v>
      </c>
      <c r="BE39" s="57" t="e">
        <f t="shared" si="10"/>
        <v>#DIV/0!</v>
      </c>
      <c r="BF39" s="58"/>
      <c r="BH39" s="74"/>
      <c r="BI39" s="75"/>
      <c r="BJ39" s="87"/>
      <c r="BK39" s="87"/>
      <c r="BL39" s="87"/>
      <c r="BM39" s="76"/>
      <c r="BO39" s="74"/>
      <c r="BP39" s="75"/>
      <c r="BQ39" s="87"/>
      <c r="BR39" s="87"/>
      <c r="BS39" s="87"/>
      <c r="BT39" s="76"/>
      <c r="BV39" s="74"/>
      <c r="BW39" s="75"/>
      <c r="BX39" s="87"/>
      <c r="BY39" s="87"/>
      <c r="BZ39" s="87"/>
      <c r="CA39" s="76"/>
      <c r="CC39" s="74"/>
      <c r="CD39" s="75"/>
      <c r="CE39" s="87"/>
      <c r="CF39" s="87"/>
      <c r="CG39" s="87"/>
      <c r="CH39" s="76"/>
      <c r="CJ39" s="74"/>
      <c r="CK39" s="75"/>
      <c r="CL39" s="87"/>
      <c r="CM39" s="87"/>
      <c r="CN39" s="87"/>
      <c r="CO39" s="76"/>
      <c r="CQ39" s="74"/>
      <c r="CR39" s="75"/>
      <c r="CS39" s="87"/>
      <c r="CT39" s="87"/>
      <c r="CU39" s="87"/>
      <c r="CV39" s="76"/>
    </row>
    <row r="40" spans="1:100" ht="14.25" outlineLevel="1" thickBot="1">
      <c r="A40" s="17"/>
      <c r="B40" s="296" t="s">
        <v>988</v>
      </c>
      <c r="C40" s="19" t="s">
        <v>136</v>
      </c>
      <c r="D40" s="462">
        <v>7740280</v>
      </c>
      <c r="E40" s="306">
        <v>19</v>
      </c>
      <c r="F40" s="306">
        <v>1</v>
      </c>
      <c r="G40" s="20"/>
      <c r="I40" s="34" t="str">
        <f t="shared" si="0"/>
        <v>·</v>
      </c>
      <c r="J40" s="35">
        <f t="shared" si="1"/>
        <v>19.022070519412736</v>
      </c>
      <c r="K40" s="35">
        <f t="shared" si="2"/>
        <v>9.3067589286175689</v>
      </c>
      <c r="L40" s="52"/>
      <c r="M40" s="35">
        <f t="shared" si="3"/>
        <v>9.7152206380130952</v>
      </c>
      <c r="N40" s="35">
        <f t="shared" si="4"/>
        <v>19.175868302466725</v>
      </c>
      <c r="O40" s="360">
        <v>7678200</v>
      </c>
      <c r="P40" s="361">
        <v>147236152</v>
      </c>
      <c r="Q40" s="361">
        <v>72036920</v>
      </c>
      <c r="R40" s="52"/>
      <c r="S40" s="361">
        <v>75198528</v>
      </c>
      <c r="T40" s="362">
        <v>87.782616000000004</v>
      </c>
      <c r="U40" s="362">
        <v>83.521827999999999</v>
      </c>
      <c r="V40" s="88"/>
      <c r="W40" s="88"/>
      <c r="X40" s="88"/>
      <c r="Y40" s="362">
        <v>71.433609000000004</v>
      </c>
      <c r="Z40" s="363"/>
      <c r="AA40" s="363"/>
      <c r="AB40" s="36">
        <v>0</v>
      </c>
      <c r="AC40" s="36">
        <v>0</v>
      </c>
      <c r="AD40" s="37"/>
      <c r="AF40" s="34" t="str">
        <f t="shared" si="5"/>
        <v>·</v>
      </c>
      <c r="AG40" s="35" t="str">
        <f t="shared" si="6"/>
        <v>·</v>
      </c>
      <c r="AH40" s="35" t="str">
        <f t="shared" si="7"/>
        <v>·</v>
      </c>
      <c r="AI40" s="52"/>
      <c r="AJ40" s="35" t="str">
        <f t="shared" si="8"/>
        <v>·</v>
      </c>
      <c r="AK40" s="35" t="str">
        <f t="shared" si="9"/>
        <v>·</v>
      </c>
      <c r="AL40" s="360"/>
      <c r="AM40" s="361"/>
      <c r="AN40" s="361"/>
      <c r="AO40" s="52"/>
      <c r="AP40" s="361"/>
      <c r="AQ40" s="362"/>
      <c r="AR40" s="362"/>
      <c r="AS40" s="88"/>
      <c r="AT40" s="88"/>
      <c r="AU40" s="88"/>
      <c r="AV40" s="362"/>
      <c r="AW40" s="363"/>
      <c r="AX40" s="363"/>
      <c r="AY40" s="36">
        <v>0</v>
      </c>
      <c r="AZ40" s="36">
        <v>0</v>
      </c>
      <c r="BA40" s="37"/>
      <c r="BC40" s="59" t="e">
        <f t="shared" si="14"/>
        <v>#DIV/0!</v>
      </c>
      <c r="BD40" s="60" t="e">
        <f t="shared" si="14"/>
        <v>#DIV/0!</v>
      </c>
      <c r="BE40" s="60" t="e">
        <f t="shared" si="10"/>
        <v>#DIV/0!</v>
      </c>
      <c r="BF40" s="61"/>
      <c r="BH40" s="77"/>
      <c r="BI40" s="78"/>
      <c r="BJ40" s="88"/>
      <c r="BK40" s="88"/>
      <c r="BL40" s="88"/>
      <c r="BM40" s="79"/>
      <c r="BO40" s="77"/>
      <c r="BP40" s="78"/>
      <c r="BQ40" s="88"/>
      <c r="BR40" s="88"/>
      <c r="BS40" s="88"/>
      <c r="BT40" s="79"/>
      <c r="BV40" s="77"/>
      <c r="BW40" s="78"/>
      <c r="BX40" s="88"/>
      <c r="BY40" s="88"/>
      <c r="BZ40" s="88"/>
      <c r="CA40" s="79"/>
      <c r="CC40" s="77"/>
      <c r="CD40" s="78"/>
      <c r="CE40" s="88"/>
      <c r="CF40" s="88"/>
      <c r="CG40" s="88"/>
      <c r="CH40" s="79"/>
      <c r="CJ40" s="77"/>
      <c r="CK40" s="78"/>
      <c r="CL40" s="88"/>
      <c r="CM40" s="88"/>
      <c r="CN40" s="88"/>
      <c r="CO40" s="79"/>
      <c r="CQ40" s="77"/>
      <c r="CR40" s="78"/>
      <c r="CS40" s="88"/>
      <c r="CT40" s="88"/>
      <c r="CU40" s="88"/>
      <c r="CV40" s="79"/>
    </row>
    <row r="41" spans="1:100">
      <c r="A41" s="96" t="s">
        <v>1123</v>
      </c>
      <c r="B41" s="27" t="s">
        <v>1116</v>
      </c>
      <c r="C41" s="28" t="s">
        <v>131</v>
      </c>
      <c r="D41" s="472">
        <v>47062018</v>
      </c>
      <c r="E41" s="28">
        <v>20</v>
      </c>
      <c r="F41" s="28">
        <v>1</v>
      </c>
      <c r="G41" s="26"/>
      <c r="I41" s="42" t="str">
        <f t="shared" si="0"/>
        <v>·</v>
      </c>
      <c r="J41" s="43">
        <f t="shared" si="1"/>
        <v>0.14331013174998147</v>
      </c>
      <c r="K41" s="43">
        <f t="shared" si="2"/>
        <v>7.5926705905386374E-2</v>
      </c>
      <c r="L41" s="43">
        <f>IF(R41="","·",R41/D41)</f>
        <v>6.7371696640802781E-2</v>
      </c>
      <c r="M41" s="55"/>
      <c r="N41" s="43">
        <f t="shared" si="4"/>
        <v>1.1453353297206128</v>
      </c>
      <c r="O41" s="352">
        <v>5888637</v>
      </c>
      <c r="P41" s="353">
        <v>6744464</v>
      </c>
      <c r="Q41" s="353">
        <v>3573264</v>
      </c>
      <c r="R41" s="207">
        <v>3170648</v>
      </c>
      <c r="S41" s="90"/>
      <c r="T41" s="354">
        <v>77.021300999999994</v>
      </c>
      <c r="U41" s="354">
        <v>72.247191999999998</v>
      </c>
      <c r="V41" s="354">
        <v>22.190232999999999</v>
      </c>
      <c r="W41" s="354">
        <v>27.639887000000002</v>
      </c>
      <c r="X41" s="354">
        <v>32.696925999999998</v>
      </c>
      <c r="Y41" s="90">
        <v>0</v>
      </c>
      <c r="Z41" s="355"/>
      <c r="AA41" s="355"/>
      <c r="AB41" s="44">
        <v>0</v>
      </c>
      <c r="AC41" s="44">
        <v>0</v>
      </c>
      <c r="AD41" s="45"/>
      <c r="AF41" s="42" t="str">
        <f t="shared" si="5"/>
        <v>·</v>
      </c>
      <c r="AG41" s="43" t="str">
        <f t="shared" si="6"/>
        <v>·</v>
      </c>
      <c r="AH41" s="43" t="str">
        <f t="shared" si="7"/>
        <v>·</v>
      </c>
      <c r="AI41" s="43" t="str">
        <f t="shared" ref="AI41:AI76" si="15">IF(AO41="","·",AO41/$D41)</f>
        <v>·</v>
      </c>
      <c r="AJ41" s="55"/>
      <c r="AK41" s="43" t="str">
        <f>IF(ISBLANK(AM41),"·",AM41/AL41)</f>
        <v>·</v>
      </c>
      <c r="AL41" s="352"/>
      <c r="AM41" s="353"/>
      <c r="AN41" s="353"/>
      <c r="AO41" s="207"/>
      <c r="AP41" s="90"/>
      <c r="AQ41" s="354"/>
      <c r="AR41" s="354"/>
      <c r="AS41" s="354"/>
      <c r="AT41" s="354"/>
      <c r="AU41" s="354"/>
      <c r="AV41" s="90"/>
      <c r="AW41" s="355"/>
      <c r="AX41" s="355"/>
      <c r="AY41" s="44">
        <v>0</v>
      </c>
      <c r="AZ41" s="44">
        <v>0</v>
      </c>
      <c r="BA41" s="45">
        <v>196608</v>
      </c>
      <c r="BC41" s="65" t="e">
        <f t="shared" si="14"/>
        <v>#DIV/0!</v>
      </c>
      <c r="BD41" s="66" t="e">
        <f t="shared" si="14"/>
        <v>#DIV/0!</v>
      </c>
      <c r="BE41" s="66" t="e">
        <f t="shared" si="10"/>
        <v>#DIV/0!</v>
      </c>
      <c r="BF41" s="67" t="e">
        <f t="array" ref="BF41">AVERAGE(AN41:AN46/AM41:AM46) - AVERAGE(Q41:Q46/P41:P46)</f>
        <v>#DIV/0!</v>
      </c>
      <c r="BH41" s="83" t="str">
        <f>IF( OR(ISBLANK($Q41:$Q46),ISBLANK($AN41:$AN46), ISBLANK($T41:$T46),ISBLANK($AQ41:$AQ46)), "·", bdRateHermite( $Q41:$Q46,$T41:$T46, $AN41:$AN46,$AQ41:$AQ46))</f>
        <v>·</v>
      </c>
      <c r="BI41" s="225" t="str">
        <f>IF(OR(ISBLANK(Q41:Q46),ISBLANK(AN41:AN46),ISBLANK(U41:U46),ISBLANK(AR41:AR46)),"·",bdRateHermite(Q41:Q46,U41:U46,AN41:AN46,AR41:AR46))</f>
        <v>·</v>
      </c>
      <c r="BJ41" s="225" t="str">
        <f>IF(OR(ISBLANK($R41:$R46),ISBLANK($AO41:$AO46),ISBLANK($V41:$V46),ISBLANK($AS41:$AS46)),"·",bdRateHermite($R41:$R46,$V41:$V46,$AO41:$AO46,$AS41:$AS46))</f>
        <v>·</v>
      </c>
      <c r="BK41" s="225" t="str">
        <f>IF(OR(ISBLANK($R41:$R46),ISBLANK($AO41:$AO46),ISBLANK($W41:$W46),ISBLANK($AT41:$AT46)),"·",bdRateHermite($R41:$R46,$W41:$W46,$AO41:$AO46,$AT41:$AT46))</f>
        <v>·</v>
      </c>
      <c r="BL41" s="225" t="str">
        <f>IF(OR(ISBLANK($R41:$R46),ISBLANK($AO41:$AO46),ISBLANK($X41:$X46),ISBLANK($AU41:$AU46)),"·",bdRateHermite($R41:$R46,$X41:$X46,$AO41:$AO46,$AU41:$AU46))</f>
        <v>·</v>
      </c>
      <c r="BM41" s="92"/>
      <c r="BO41" s="83" t="str">
        <f>IF( OR(ISBLANK($P41:$P46),ISBLANK($AM41:$AM46), ISBLANK($T41:$T46),ISBLANK($AQ41:$AQ46)), "·", bdRateHermite($P41:$P46,$T41:$T46, $AM41:$AM46,$AQ41:$AQ46))</f>
        <v>·</v>
      </c>
      <c r="BP41" s="84" t="str">
        <f>IF( OR(ISBLANK($P41:$P46),ISBLANK($AM41:$AM46), ISBLANK(U41:U46),ISBLANK(AR41:AR46)), "·", bdRateHermite( $P41:$P46,U41:U46, $AM41:$AM46,AR41:AR46))</f>
        <v>·</v>
      </c>
      <c r="BQ41" s="84" t="str">
        <f>IF( OR(ISBLANK($P41:$P46),ISBLANK($AM41:$AM46), ISBLANK(V41:V46),ISBLANK(AS41:AS46)), "·", bdRateHermite( $P41:$P46,V41:V46, $AM41:$AM46,AS41:AS46))</f>
        <v>·</v>
      </c>
      <c r="BR41" s="84" t="str">
        <f>IF( OR(ISBLANK($P41:$P46),ISBLANK($AM41:$AM46), ISBLANK(W41:W46),ISBLANK(AT41:AT46)), "·", bdRateHermite( $P41:$P46,W41:W46, $AM41:$AM46,AT41:AT46))</f>
        <v>·</v>
      </c>
      <c r="BS41" s="84" t="str">
        <f>IF( OR(ISBLANK($P41:$P46),ISBLANK($AM41:$AM46), ISBLANK(X41:X46),ISBLANK(AU41:AU46)), "·", bdRateHermite( $P41:$P46,X41:X46, $AM41:$AM46,AU41:AU46))</f>
        <v>·</v>
      </c>
      <c r="BT41" s="92"/>
      <c r="BV41" s="83" t="str">
        <f>IF( OR(ISBLANK($Q41:$Q46),ISBLANK($AN41:$AN46), ISBLANK(T42:T46),ISBLANK(AQ42:AQ46)), "·", bdRateHermite( $Q42:$Q46,T42:T46, $AN42:$AN46,AQ42:AQ46))</f>
        <v>·</v>
      </c>
      <c r="BW41" s="84" t="str">
        <f>IF(OR(ISBLANK($Q41:$Q46),ISBLANK($AN41:$AN46),ISBLANK(U41:U46),ISBLANK(AR41:AR46)),"·",bdRateHermite($Q42:$Q46,U42:U46,$AN42:$AN46,AR42:AR46))</f>
        <v>·</v>
      </c>
      <c r="BX41" s="225" t="str">
        <f>IF(OR(ISBLANK($R41:$R46),ISBLANK($AO41:$AO46),ISBLANK($V41:$V46),ISBLANK($AS41:$AS46)),"·",bdRateHermite($R42:$R46,$V42:$V46,$AO42:$AO46,$AS42:$AS46))</f>
        <v>·</v>
      </c>
      <c r="BY41" s="225" t="str">
        <f>IF(OR(ISBLANK($R41:$R46),ISBLANK($AO41:$AO46),ISBLANK($W41:$W46),ISBLANK($AT41:$AT46)),"·",bdRateHermite($R42:$R46,$W42:$W46,$AO42:$AO46,$AT42:$AT46))</f>
        <v>·</v>
      </c>
      <c r="BZ41" s="225" t="str">
        <f>IF(OR(ISBLANK($R41:$R46),ISBLANK($AO41:$AO46),ISBLANK($X41:$X46),ISBLANK($AU41:$AU46)),"·",bdRateHermite($R42:$R46,$X42:$X46,$AO42:$AO46,$AU42:$AU46))</f>
        <v>·</v>
      </c>
      <c r="CA41" s="92"/>
      <c r="CC41" s="83" t="str">
        <f>IF( OR(ISBLANK($P41:$P46),ISBLANK($AM41:$AM46), ISBLANK($T41:$T46),ISBLANK($AQ41:$AQ46)), "·", bdRateHermite($P42:$P46,$T42:$T46, $AM42:$AM46,$AQ42:$AQ46))</f>
        <v>·</v>
      </c>
      <c r="CD41" s="84" t="str">
        <f>IF( OR(ISBLANK($P41:$P46),ISBLANK($AM41:$AM46), ISBLANK(U41:U46),ISBLANK(AR41:AR46)), "·", bdRateHermite( $P42:$P46,U42:U46, $AM42:$AM46,AR42:AR46))</f>
        <v>·</v>
      </c>
      <c r="CE41" s="84" t="str">
        <f>IF( OR(ISBLANK($P41:$P46),ISBLANK($AM41:$AM46), ISBLANK(V41:V46),ISBLANK(AS41:AS46)), "·", bdRateHermite( $P42:$P46,V42:V46, $AM42:$AM46,AS42:AS46))</f>
        <v>·</v>
      </c>
      <c r="CF41" s="84" t="str">
        <f>IF( OR(ISBLANK($P41:$P46),ISBLANK($AM41:$AM46), ISBLANK(W41:W46),ISBLANK(AT41:AT46)), "·", bdRateHermite( $P42:$P46,W42:W46, $AM42:$AM46,AT42:AT46))</f>
        <v>·</v>
      </c>
      <c r="CG41" s="84" t="str">
        <f>IF( OR(ISBLANK($P41:$P46),ISBLANK($AM41:$AM46), ISBLANK(X41:X46),ISBLANK(AU41:AU46)), "·", bdRateHermite( $P42:$P46,X42:X46, $AM42:$AM46,AU42:AU46))</f>
        <v>·</v>
      </c>
      <c r="CH41" s="92"/>
      <c r="CJ41" s="83" t="str">
        <f>IF( OR(ISBLANK($Q41:$Q45),ISBLANK($AN41:$AN45), ISBLANK($T41:$T45),ISBLANK($AQ41:$AQ45)), "·", bdRateHermite( $Q41:$Q45,$T41:$T45, $AN41:$AN45,$AQ41:$AQ45))</f>
        <v>·</v>
      </c>
      <c r="CK41" s="84" t="str">
        <f>IF(OR(ISBLANK($Q41:$Q45),ISBLANK($AN41:$AN45),ISBLANK(U41:U45),ISBLANK(AR41:AR45)),"·",bdRateHermite($Q41:$Q45,U41:U45,$AN41:$AN45,AR41:AR45))</f>
        <v>·</v>
      </c>
      <c r="CL41" s="225" t="str">
        <f>IF(OR(ISBLANK($R41:$R46),ISBLANK($AO41:$AO46),ISBLANK($V41:$V46),ISBLANK($AS41:$AS46)),"·",bdRateHermite($R41:$R45,$V41:$V45,$AO41:$AO45,$AS41:$AS45))</f>
        <v>·</v>
      </c>
      <c r="CM41" s="225" t="str">
        <f>IF(OR(ISBLANK($R41:$R46),ISBLANK($AO41:$AO46),ISBLANK($W41:$W46),ISBLANK($AT41:$AT46)),"·",bdRateHermite($R41:$R45,$W41:$W45,$AO41:$AO45,$AT41:$AT45))</f>
        <v>·</v>
      </c>
      <c r="CN41" s="225" t="str">
        <f>IF(OR(ISBLANK($R41:$R46),ISBLANK($AO41:$AO46),ISBLANK($X41:$X46),ISBLANK($AU41:$AU46)),"·",bdRateHermite($R41:$R45,$X41:$X45,$AO41:$AO45,$AU41:$AU45))</f>
        <v>·</v>
      </c>
      <c r="CO41" s="92"/>
      <c r="CQ41" s="83" t="str">
        <f>IF( OR(ISBLANK($P41:$P45),ISBLANK($AM41:$AM45), ISBLANK($T41:$T45),ISBLANK($AQ41:$AQ45)), "·", bdRateHermite($P41:$P45,$T41:$T45, $AM41:$AM45,$AQ41:$AQ45))</f>
        <v>·</v>
      </c>
      <c r="CR41" s="84" t="str">
        <f>IF( OR(ISBLANK($P41:$P45),ISBLANK($AM41:$AM45), ISBLANK(U41:U45),ISBLANK(AR41:AR45)), "·", bdRateHermite( $P41:$P45,U41:U45, $AM41:$AM45,AR41:AR45))</f>
        <v>·</v>
      </c>
      <c r="CS41" s="84" t="str">
        <f>IF( OR(ISBLANK($P41:$P45),ISBLANK($AM41:$AM45), ISBLANK(V41:V45),ISBLANK(AS41:AS45)), "·", bdRateHermite( $P41:$P45,V41:V45, $AM41:$AM45,AS41:AS45))</f>
        <v>·</v>
      </c>
      <c r="CT41" s="84" t="str">
        <f>IF( OR(ISBLANK($P41:$P45),ISBLANK($AM41:$AM45), ISBLANK(W41:W45),ISBLANK(AT41:AT45)), "·", bdRateHermite( $P41:$P45,W41:W45, $AM41:$AM45,AT41:AT45))</f>
        <v>·</v>
      </c>
      <c r="CU41" s="84" t="str">
        <f>IF( OR(ISBLANK($P41:$P45),ISBLANK($AM41:$AM45), ISBLANK(X41:X45),ISBLANK(AU41:AU45)), "·", bdRateHermite( $P41:$P45,X41:X45, $AM41:$AM45,AU41:AU45))</f>
        <v>·</v>
      </c>
      <c r="CV41" s="92"/>
    </row>
    <row r="42" spans="1:100" outlineLevel="1">
      <c r="A42" s="13"/>
      <c r="B42" s="14" t="s">
        <v>1116</v>
      </c>
      <c r="C42" s="15" t="s">
        <v>132</v>
      </c>
      <c r="D42" s="473">
        <v>47062018</v>
      </c>
      <c r="E42" s="15">
        <v>20</v>
      </c>
      <c r="F42" s="15">
        <v>1</v>
      </c>
      <c r="G42" s="16"/>
      <c r="I42" s="30" t="str">
        <f t="shared" si="0"/>
        <v>·</v>
      </c>
      <c r="J42" s="43">
        <f t="shared" si="1"/>
        <v>0.94705620145740455</v>
      </c>
      <c r="K42" s="43">
        <f t="shared" si="2"/>
        <v>0.51303571385315438</v>
      </c>
      <c r="L42" s="31">
        <f t="shared" ref="L42:L82" si="16">IF(R42="","·",R42/D42)</f>
        <v>0.43400875840045788</v>
      </c>
      <c r="M42" s="51"/>
      <c r="N42" s="31">
        <f t="shared" si="4"/>
        <v>2.2452841119354106</v>
      </c>
      <c r="O42" s="356">
        <v>19850662</v>
      </c>
      <c r="P42" s="357">
        <v>44570376</v>
      </c>
      <c r="Q42" s="357">
        <v>24144496</v>
      </c>
      <c r="R42" s="208">
        <v>20425328</v>
      </c>
      <c r="S42" s="87"/>
      <c r="T42" s="358">
        <v>83.043564000000003</v>
      </c>
      <c r="U42" s="358">
        <v>78.267792</v>
      </c>
      <c r="V42" s="358">
        <v>27.442955000000001</v>
      </c>
      <c r="W42" s="358">
        <v>29.630877999999999</v>
      </c>
      <c r="X42" s="358">
        <v>33.913544000000002</v>
      </c>
      <c r="Y42" s="87">
        <v>0</v>
      </c>
      <c r="Z42" s="359"/>
      <c r="AA42" s="359"/>
      <c r="AB42" s="32">
        <v>0</v>
      </c>
      <c r="AC42" s="32">
        <v>0</v>
      </c>
      <c r="AD42" s="33"/>
      <c r="AF42" s="30" t="str">
        <f t="shared" si="5"/>
        <v>·</v>
      </c>
      <c r="AG42" s="43" t="str">
        <f t="shared" si="6"/>
        <v>·</v>
      </c>
      <c r="AH42" s="43" t="str">
        <f t="shared" si="7"/>
        <v>·</v>
      </c>
      <c r="AI42" s="31" t="str">
        <f t="shared" si="15"/>
        <v>·</v>
      </c>
      <c r="AJ42" s="51"/>
      <c r="AK42" s="31" t="str">
        <f t="shared" ref="AK42:AK105" si="17">IF(ISBLANK(AM42),"·",AM42/AL42)</f>
        <v>·</v>
      </c>
      <c r="AL42" s="356"/>
      <c r="AM42" s="357"/>
      <c r="AN42" s="357"/>
      <c r="AO42" s="208"/>
      <c r="AP42" s="87"/>
      <c r="AQ42" s="358"/>
      <c r="AR42" s="358"/>
      <c r="AS42" s="358"/>
      <c r="AT42" s="358"/>
      <c r="AU42" s="358"/>
      <c r="AV42" s="87"/>
      <c r="AW42" s="359"/>
      <c r="AX42" s="359"/>
      <c r="AY42" s="32">
        <v>0</v>
      </c>
      <c r="AZ42" s="32">
        <v>0</v>
      </c>
      <c r="BA42" s="33">
        <v>49152</v>
      </c>
      <c r="BC42" s="56" t="e">
        <f t="shared" si="14"/>
        <v>#DIV/0!</v>
      </c>
      <c r="BD42" s="57" t="e">
        <f t="shared" si="14"/>
        <v>#DIV/0!</v>
      </c>
      <c r="BE42" s="57" t="e">
        <f t="shared" si="10"/>
        <v>#DIV/0!</v>
      </c>
      <c r="BF42" s="58"/>
      <c r="BH42" s="74"/>
      <c r="BI42" s="75"/>
      <c r="BJ42" s="75"/>
      <c r="BK42" s="75"/>
      <c r="BL42" s="75"/>
      <c r="BM42" s="87"/>
      <c r="BO42" s="74"/>
      <c r="BP42" s="75"/>
      <c r="BQ42" s="75"/>
      <c r="BR42" s="75"/>
      <c r="BS42" s="75"/>
      <c r="BT42" s="87"/>
      <c r="BV42" s="74"/>
      <c r="BW42" s="75"/>
      <c r="BX42" s="75"/>
      <c r="BY42" s="75"/>
      <c r="BZ42" s="75"/>
      <c r="CA42" s="87"/>
      <c r="CC42" s="74"/>
      <c r="CD42" s="75"/>
      <c r="CE42" s="75"/>
      <c r="CF42" s="75"/>
      <c r="CG42" s="75"/>
      <c r="CH42" s="87"/>
      <c r="CJ42" s="74"/>
      <c r="CK42" s="75"/>
      <c r="CL42" s="75"/>
      <c r="CM42" s="75"/>
      <c r="CN42" s="75"/>
      <c r="CO42" s="87"/>
      <c r="CQ42" s="74"/>
      <c r="CR42" s="75"/>
      <c r="CS42" s="75"/>
      <c r="CT42" s="75"/>
      <c r="CU42" s="75"/>
      <c r="CV42" s="87"/>
    </row>
    <row r="43" spans="1:100" outlineLevel="1">
      <c r="A43" s="13"/>
      <c r="B43" s="14" t="s">
        <v>1116</v>
      </c>
      <c r="C43" s="15" t="s">
        <v>133</v>
      </c>
      <c r="D43" s="473">
        <v>47062018</v>
      </c>
      <c r="E43" s="15">
        <v>20</v>
      </c>
      <c r="F43" s="15">
        <v>1</v>
      </c>
      <c r="G43" s="16"/>
      <c r="I43" s="30" t="str">
        <f t="shared" si="0"/>
        <v>·</v>
      </c>
      <c r="J43" s="31">
        <f t="shared" si="1"/>
        <v>8.256107844759228</v>
      </c>
      <c r="K43" s="31">
        <f t="shared" si="2"/>
        <v>6.4090898949552058</v>
      </c>
      <c r="L43" s="31">
        <f t="shared" si="16"/>
        <v>1.8470057106348479</v>
      </c>
      <c r="M43" s="51"/>
      <c r="N43" s="31">
        <f t="shared" si="4"/>
        <v>8.7868285777683734</v>
      </c>
      <c r="O43" s="356">
        <v>44219492</v>
      </c>
      <c r="P43" s="357">
        <v>388549096</v>
      </c>
      <c r="Q43" s="357">
        <v>301624704</v>
      </c>
      <c r="R43" s="208">
        <v>86923816</v>
      </c>
      <c r="S43" s="87"/>
      <c r="T43" s="358">
        <v>95.078140000000005</v>
      </c>
      <c r="U43" s="358">
        <v>90.308989999999994</v>
      </c>
      <c r="V43" s="358">
        <v>34.816150999999998</v>
      </c>
      <c r="W43" s="358">
        <v>35.068294999999999</v>
      </c>
      <c r="X43" s="358">
        <v>37.141475999999997</v>
      </c>
      <c r="Y43" s="87">
        <v>0</v>
      </c>
      <c r="Z43" s="359"/>
      <c r="AA43" s="359"/>
      <c r="AB43" s="32">
        <v>0</v>
      </c>
      <c r="AC43" s="32">
        <v>0</v>
      </c>
      <c r="AD43" s="33"/>
      <c r="AF43" s="30" t="str">
        <f t="shared" si="5"/>
        <v>·</v>
      </c>
      <c r="AG43" s="31" t="str">
        <f t="shared" si="6"/>
        <v>·</v>
      </c>
      <c r="AH43" s="31" t="str">
        <f t="shared" si="7"/>
        <v>·</v>
      </c>
      <c r="AI43" s="31" t="str">
        <f t="shared" si="15"/>
        <v>·</v>
      </c>
      <c r="AJ43" s="51"/>
      <c r="AK43" s="31" t="str">
        <f t="shared" si="17"/>
        <v>·</v>
      </c>
      <c r="AL43" s="356"/>
      <c r="AM43" s="357"/>
      <c r="AN43" s="357"/>
      <c r="AO43" s="208"/>
      <c r="AP43" s="87"/>
      <c r="AQ43" s="358"/>
      <c r="AR43" s="358"/>
      <c r="AS43" s="358"/>
      <c r="AT43" s="358"/>
      <c r="AU43" s="358"/>
      <c r="AV43" s="87"/>
      <c r="AW43" s="359"/>
      <c r="AX43" s="359"/>
      <c r="AY43" s="32">
        <v>0</v>
      </c>
      <c r="AZ43" s="32">
        <v>0</v>
      </c>
      <c r="BA43" s="33">
        <v>3072</v>
      </c>
      <c r="BC43" s="56" t="e">
        <f t="shared" si="14"/>
        <v>#DIV/0!</v>
      </c>
      <c r="BD43" s="57" t="e">
        <f t="shared" si="14"/>
        <v>#DIV/0!</v>
      </c>
      <c r="BE43" s="57" t="e">
        <f t="shared" si="10"/>
        <v>#DIV/0!</v>
      </c>
      <c r="BF43" s="58"/>
      <c r="BH43" s="74"/>
      <c r="BI43" s="75"/>
      <c r="BJ43" s="75"/>
      <c r="BK43" s="75"/>
      <c r="BL43" s="75"/>
      <c r="BM43" s="87"/>
      <c r="BO43" s="74"/>
      <c r="BP43" s="75"/>
      <c r="BQ43" s="75"/>
      <c r="BR43" s="75"/>
      <c r="BS43" s="75"/>
      <c r="BT43" s="87"/>
      <c r="BV43" s="74"/>
      <c r="BW43" s="75"/>
      <c r="BX43" s="75"/>
      <c r="BY43" s="75"/>
      <c r="BZ43" s="75"/>
      <c r="CA43" s="87"/>
      <c r="CC43" s="74"/>
      <c r="CD43" s="75"/>
      <c r="CE43" s="75"/>
      <c r="CF43" s="75"/>
      <c r="CG43" s="75"/>
      <c r="CH43" s="87"/>
      <c r="CJ43" s="74"/>
      <c r="CK43" s="75"/>
      <c r="CL43" s="75"/>
      <c r="CM43" s="75"/>
      <c r="CN43" s="75"/>
      <c r="CO43" s="87"/>
      <c r="CQ43" s="74"/>
      <c r="CR43" s="75"/>
      <c r="CS43" s="75"/>
      <c r="CT43" s="75"/>
      <c r="CU43" s="75"/>
      <c r="CV43" s="87"/>
    </row>
    <row r="44" spans="1:100" outlineLevel="1">
      <c r="A44" s="13"/>
      <c r="B44" s="14" t="s">
        <v>1116</v>
      </c>
      <c r="C44" s="15" t="s">
        <v>134</v>
      </c>
      <c r="D44" s="473">
        <v>47062018</v>
      </c>
      <c r="E44" s="15">
        <v>20</v>
      </c>
      <c r="F44" s="15">
        <v>1</v>
      </c>
      <c r="G44" s="16"/>
      <c r="I44" s="30" t="str">
        <f t="shared" si="0"/>
        <v>·</v>
      </c>
      <c r="J44" s="31">
        <f t="shared" si="1"/>
        <v>12.948533741158316</v>
      </c>
      <c r="K44" s="31">
        <f t="shared" si="2"/>
        <v>9.5151912950269146</v>
      </c>
      <c r="L44" s="31">
        <f t="shared" si="16"/>
        <v>3.4333302069622258</v>
      </c>
      <c r="M44" s="51"/>
      <c r="N44" s="31">
        <f t="shared" si="4"/>
        <v>13.115755519048774</v>
      </c>
      <c r="O44" s="356">
        <v>46461992</v>
      </c>
      <c r="P44" s="357">
        <v>609384128</v>
      </c>
      <c r="Q44" s="357">
        <v>447804104</v>
      </c>
      <c r="R44" s="208">
        <v>161579448</v>
      </c>
      <c r="S44" s="87"/>
      <c r="T44" s="358">
        <v>101.08976</v>
      </c>
      <c r="U44" s="358">
        <v>96.329589999999996</v>
      </c>
      <c r="V44" s="358">
        <v>40.600292000000003</v>
      </c>
      <c r="W44" s="358">
        <v>40.793197999999997</v>
      </c>
      <c r="X44" s="358">
        <v>41.356673999999998</v>
      </c>
      <c r="Y44" s="87">
        <v>0</v>
      </c>
      <c r="Z44" s="359"/>
      <c r="AA44" s="359"/>
      <c r="AB44" s="32">
        <v>0</v>
      </c>
      <c r="AC44" s="32">
        <v>0</v>
      </c>
      <c r="AD44" s="33"/>
      <c r="AF44" s="30" t="str">
        <f t="shared" si="5"/>
        <v>·</v>
      </c>
      <c r="AG44" s="31" t="str">
        <f t="shared" si="6"/>
        <v>·</v>
      </c>
      <c r="AH44" s="31" t="str">
        <f t="shared" si="7"/>
        <v>·</v>
      </c>
      <c r="AI44" s="31" t="str">
        <f t="shared" si="15"/>
        <v>·</v>
      </c>
      <c r="AJ44" s="51"/>
      <c r="AK44" s="31" t="str">
        <f t="shared" si="17"/>
        <v>·</v>
      </c>
      <c r="AL44" s="356"/>
      <c r="AM44" s="357"/>
      <c r="AN44" s="357"/>
      <c r="AO44" s="208"/>
      <c r="AP44" s="87"/>
      <c r="AQ44" s="358"/>
      <c r="AR44" s="358"/>
      <c r="AS44" s="358"/>
      <c r="AT44" s="358"/>
      <c r="AU44" s="358"/>
      <c r="AV44" s="87"/>
      <c r="AW44" s="359"/>
      <c r="AX44" s="359"/>
      <c r="AY44" s="32">
        <v>0</v>
      </c>
      <c r="AZ44" s="32">
        <v>0</v>
      </c>
      <c r="BA44" s="33">
        <v>768</v>
      </c>
      <c r="BC44" s="56" t="e">
        <f t="shared" si="14"/>
        <v>#DIV/0!</v>
      </c>
      <c r="BD44" s="57" t="e">
        <f t="shared" si="14"/>
        <v>#DIV/0!</v>
      </c>
      <c r="BE44" s="57" t="e">
        <f t="shared" si="10"/>
        <v>#DIV/0!</v>
      </c>
      <c r="BF44" s="58"/>
      <c r="BH44" s="74"/>
      <c r="BI44" s="75"/>
      <c r="BJ44" s="75"/>
      <c r="BK44" s="75"/>
      <c r="BL44" s="75"/>
      <c r="BM44" s="87"/>
      <c r="BO44" s="74"/>
      <c r="BP44" s="75"/>
      <c r="BQ44" s="75"/>
      <c r="BR44" s="75"/>
      <c r="BS44" s="75"/>
      <c r="BT44" s="87"/>
      <c r="BV44" s="74"/>
      <c r="BW44" s="75"/>
      <c r="BX44" s="75"/>
      <c r="BY44" s="75"/>
      <c r="BZ44" s="75"/>
      <c r="CA44" s="87"/>
      <c r="CC44" s="74"/>
      <c r="CD44" s="75"/>
      <c r="CE44" s="75"/>
      <c r="CF44" s="75"/>
      <c r="CG44" s="75"/>
      <c r="CH44" s="87"/>
      <c r="CJ44" s="74"/>
      <c r="CK44" s="75"/>
      <c r="CL44" s="75"/>
      <c r="CM44" s="75"/>
      <c r="CN44" s="75"/>
      <c r="CO44" s="87"/>
      <c r="CQ44" s="74"/>
      <c r="CR44" s="75"/>
      <c r="CS44" s="75"/>
      <c r="CT44" s="75"/>
      <c r="CU44" s="75"/>
      <c r="CV44" s="87"/>
    </row>
    <row r="45" spans="1:100" outlineLevel="1">
      <c r="A45" s="13"/>
      <c r="B45" s="14" t="s">
        <v>1116</v>
      </c>
      <c r="C45" s="15" t="s">
        <v>135</v>
      </c>
      <c r="D45" s="473">
        <v>47062018</v>
      </c>
      <c r="E45" s="15">
        <v>20</v>
      </c>
      <c r="F45" s="15">
        <v>1</v>
      </c>
      <c r="G45" s="16"/>
      <c r="I45" s="30" t="str">
        <f t="shared" si="0"/>
        <v>·</v>
      </c>
      <c r="J45" s="31">
        <f t="shared" si="1"/>
        <v>20.917447781350983</v>
      </c>
      <c r="K45" s="31">
        <f t="shared" si="2"/>
        <v>15.413863978378489</v>
      </c>
      <c r="L45" s="31">
        <f t="shared" si="16"/>
        <v>5.5035720737687024</v>
      </c>
      <c r="M45" s="51"/>
      <c r="N45" s="31">
        <f t="shared" si="4"/>
        <v>20.917447781350983</v>
      </c>
      <c r="O45" s="356">
        <v>47062018</v>
      </c>
      <c r="P45" s="357">
        <v>984417304</v>
      </c>
      <c r="Q45" s="357">
        <v>725407544</v>
      </c>
      <c r="R45" s="208">
        <v>259009208</v>
      </c>
      <c r="S45" s="87"/>
      <c r="T45" s="358">
        <v>113.007149</v>
      </c>
      <c r="U45" s="358">
        <v>108.370789</v>
      </c>
      <c r="V45" s="358">
        <v>46.374039000000003</v>
      </c>
      <c r="W45" s="358">
        <v>46.196522000000002</v>
      </c>
      <c r="X45" s="358">
        <v>46.380329000000003</v>
      </c>
      <c r="Y45" s="87">
        <v>0</v>
      </c>
      <c r="Z45" s="359"/>
      <c r="AA45" s="359"/>
      <c r="AB45" s="32">
        <v>0</v>
      </c>
      <c r="AC45" s="32">
        <v>0</v>
      </c>
      <c r="AD45" s="33"/>
      <c r="AF45" s="30" t="str">
        <f t="shared" si="5"/>
        <v>·</v>
      </c>
      <c r="AG45" s="31" t="str">
        <f t="shared" si="6"/>
        <v>·</v>
      </c>
      <c r="AH45" s="31" t="str">
        <f t="shared" si="7"/>
        <v>·</v>
      </c>
      <c r="AI45" s="31" t="str">
        <f t="shared" si="15"/>
        <v>·</v>
      </c>
      <c r="AJ45" s="51"/>
      <c r="AK45" s="31" t="str">
        <f t="shared" si="17"/>
        <v>·</v>
      </c>
      <c r="AL45" s="356"/>
      <c r="AM45" s="357"/>
      <c r="AN45" s="357"/>
      <c r="AO45" s="208"/>
      <c r="AP45" s="87"/>
      <c r="AQ45" s="358"/>
      <c r="AR45" s="358"/>
      <c r="AS45" s="358"/>
      <c r="AT45" s="358"/>
      <c r="AU45" s="358"/>
      <c r="AV45" s="87"/>
      <c r="AW45" s="359"/>
      <c r="AX45" s="359"/>
      <c r="AY45" s="32">
        <v>0</v>
      </c>
      <c r="AZ45" s="32">
        <v>0</v>
      </c>
      <c r="BA45" s="33">
        <v>48</v>
      </c>
      <c r="BC45" s="56" t="e">
        <f t="shared" si="14"/>
        <v>#DIV/0!</v>
      </c>
      <c r="BD45" s="57" t="e">
        <f t="shared" si="14"/>
        <v>#DIV/0!</v>
      </c>
      <c r="BE45" s="57" t="e">
        <f t="shared" si="10"/>
        <v>#DIV/0!</v>
      </c>
      <c r="BF45" s="58"/>
      <c r="BH45" s="74"/>
      <c r="BI45" s="75"/>
      <c r="BJ45" s="75"/>
      <c r="BK45" s="75"/>
      <c r="BL45" s="75"/>
      <c r="BM45" s="87"/>
      <c r="BO45" s="74"/>
      <c r="BP45" s="75"/>
      <c r="BQ45" s="75"/>
      <c r="BR45" s="75"/>
      <c r="BS45" s="75"/>
      <c r="BT45" s="87"/>
      <c r="BV45" s="74"/>
      <c r="BW45" s="75"/>
      <c r="BX45" s="75"/>
      <c r="BY45" s="75"/>
      <c r="BZ45" s="75"/>
      <c r="CA45" s="87"/>
      <c r="CC45" s="74"/>
      <c r="CD45" s="75"/>
      <c r="CE45" s="75"/>
      <c r="CF45" s="75"/>
      <c r="CG45" s="75"/>
      <c r="CH45" s="87"/>
      <c r="CJ45" s="74"/>
      <c r="CK45" s="75"/>
      <c r="CL45" s="75"/>
      <c r="CM45" s="75"/>
      <c r="CN45" s="75"/>
      <c r="CO45" s="87"/>
      <c r="CQ45" s="74"/>
      <c r="CR45" s="75"/>
      <c r="CS45" s="75"/>
      <c r="CT45" s="75"/>
      <c r="CU45" s="75"/>
      <c r="CV45" s="87"/>
    </row>
    <row r="46" spans="1:100" ht="14.25" outlineLevel="1" thickBot="1">
      <c r="A46" s="13"/>
      <c r="B46" s="18" t="s">
        <v>1116</v>
      </c>
      <c r="C46" s="19" t="s">
        <v>136</v>
      </c>
      <c r="D46" s="474">
        <v>47062018</v>
      </c>
      <c r="E46" s="19">
        <v>20</v>
      </c>
      <c r="F46" s="19">
        <v>1</v>
      </c>
      <c r="G46" s="23"/>
      <c r="I46" s="38" t="str">
        <f t="shared" si="0"/>
        <v>·</v>
      </c>
      <c r="J46" s="39">
        <f t="shared" si="1"/>
        <v>26.025742287549164</v>
      </c>
      <c r="K46" s="39">
        <f t="shared" si="2"/>
        <v>18.386919829914646</v>
      </c>
      <c r="L46" s="35">
        <f t="shared" si="16"/>
        <v>7.6388107284307276</v>
      </c>
      <c r="M46" s="52"/>
      <c r="N46" s="39">
        <f t="shared" si="4"/>
        <v>26.025742287549164</v>
      </c>
      <c r="O46" s="360">
        <v>47062018</v>
      </c>
      <c r="P46" s="361">
        <v>1224823952</v>
      </c>
      <c r="Q46" s="361">
        <v>865325552</v>
      </c>
      <c r="R46" s="209">
        <v>359497848</v>
      </c>
      <c r="S46" s="88"/>
      <c r="T46" s="362">
        <v>118.657082</v>
      </c>
      <c r="U46" s="362">
        <v>114.39138800000001</v>
      </c>
      <c r="V46" s="362">
        <v>51.145290000000003</v>
      </c>
      <c r="W46" s="362">
        <v>51.203353999999997</v>
      </c>
      <c r="X46" s="362">
        <v>51.743599000000003</v>
      </c>
      <c r="Y46" s="88">
        <v>0</v>
      </c>
      <c r="Z46" s="363"/>
      <c r="AA46" s="363"/>
      <c r="AB46" s="40">
        <v>0</v>
      </c>
      <c r="AC46" s="40">
        <v>0</v>
      </c>
      <c r="AD46" s="41"/>
      <c r="AF46" s="38" t="str">
        <f t="shared" si="5"/>
        <v>·</v>
      </c>
      <c r="AG46" s="39" t="str">
        <f t="shared" si="6"/>
        <v>·</v>
      </c>
      <c r="AH46" s="39" t="str">
        <f t="shared" si="7"/>
        <v>·</v>
      </c>
      <c r="AI46" s="35" t="str">
        <f t="shared" si="15"/>
        <v>·</v>
      </c>
      <c r="AJ46" s="52"/>
      <c r="AK46" s="39" t="str">
        <f t="shared" si="17"/>
        <v>·</v>
      </c>
      <c r="AL46" s="360"/>
      <c r="AM46" s="361"/>
      <c r="AN46" s="361"/>
      <c r="AO46" s="209"/>
      <c r="AP46" s="88"/>
      <c r="AQ46" s="362"/>
      <c r="AR46" s="362"/>
      <c r="AS46" s="362"/>
      <c r="AT46" s="362"/>
      <c r="AU46" s="362"/>
      <c r="AV46" s="88"/>
      <c r="AW46" s="363"/>
      <c r="AX46" s="363"/>
      <c r="AY46" s="40">
        <v>0</v>
      </c>
      <c r="AZ46" s="40">
        <v>0</v>
      </c>
      <c r="BA46" s="41">
        <v>12</v>
      </c>
      <c r="BC46" s="62" t="e">
        <f t="shared" si="14"/>
        <v>#DIV/0!</v>
      </c>
      <c r="BD46" s="63" t="e">
        <f t="shared" si="14"/>
        <v>#DIV/0!</v>
      </c>
      <c r="BE46" s="63" t="e">
        <f t="shared" si="10"/>
        <v>#DIV/0!</v>
      </c>
      <c r="BF46" s="64"/>
      <c r="BH46" s="80"/>
      <c r="BI46" s="81"/>
      <c r="BJ46" s="81"/>
      <c r="BK46" s="81"/>
      <c r="BL46" s="81"/>
      <c r="BM46" s="88"/>
      <c r="BO46" s="80"/>
      <c r="BP46" s="78"/>
      <c r="BQ46" s="78"/>
      <c r="BR46" s="78"/>
      <c r="BS46" s="78"/>
      <c r="BT46" s="88"/>
      <c r="BV46" s="77"/>
      <c r="BW46" s="78"/>
      <c r="BX46" s="78"/>
      <c r="BY46" s="78"/>
      <c r="BZ46" s="78"/>
      <c r="CA46" s="88"/>
      <c r="CC46" s="77"/>
      <c r="CD46" s="78"/>
      <c r="CE46" s="78"/>
      <c r="CF46" s="78"/>
      <c r="CG46" s="78"/>
      <c r="CH46" s="88"/>
      <c r="CJ46" s="77"/>
      <c r="CK46" s="78"/>
      <c r="CL46" s="78"/>
      <c r="CM46" s="78"/>
      <c r="CN46" s="78"/>
      <c r="CO46" s="88"/>
      <c r="CQ46" s="77"/>
      <c r="CR46" s="78"/>
      <c r="CS46" s="78"/>
      <c r="CT46" s="78"/>
      <c r="CU46" s="78"/>
      <c r="CV46" s="88"/>
    </row>
    <row r="47" spans="1:100">
      <c r="A47" s="13"/>
      <c r="B47" s="24" t="s">
        <v>1117</v>
      </c>
      <c r="C47" s="25" t="s">
        <v>131</v>
      </c>
      <c r="D47" s="475">
        <v>43399207</v>
      </c>
      <c r="E47" s="28">
        <v>20</v>
      </c>
      <c r="F47" s="28">
        <v>1</v>
      </c>
      <c r="G47" s="29"/>
      <c r="I47" s="46" t="str">
        <f t="shared" si="0"/>
        <v>·</v>
      </c>
      <c r="J47" s="47">
        <f t="shared" si="1"/>
        <v>0.22330527836603098</v>
      </c>
      <c r="K47" s="47">
        <f t="shared" si="2"/>
        <v>0.11270583815045285</v>
      </c>
      <c r="L47" s="43">
        <f t="shared" si="16"/>
        <v>0.11058672108916645</v>
      </c>
      <c r="M47" s="55"/>
      <c r="N47" s="47">
        <f t="shared" si="4"/>
        <v>1.1526903759061526</v>
      </c>
      <c r="O47" s="352">
        <v>8407524</v>
      </c>
      <c r="P47" s="353">
        <v>9691272</v>
      </c>
      <c r="Q47" s="353">
        <v>4891344</v>
      </c>
      <c r="R47" s="207">
        <v>4799376</v>
      </c>
      <c r="S47" s="90"/>
      <c r="T47" s="354">
        <v>77.006927000000005</v>
      </c>
      <c r="U47" s="354">
        <v>72.258492000000004</v>
      </c>
      <c r="V47" s="354">
        <v>22.489832</v>
      </c>
      <c r="W47" s="354">
        <v>26.950776999999999</v>
      </c>
      <c r="X47" s="354">
        <v>29.632507</v>
      </c>
      <c r="Y47" s="90">
        <v>0</v>
      </c>
      <c r="Z47" s="355"/>
      <c r="AA47" s="355"/>
      <c r="AB47" s="48">
        <v>0</v>
      </c>
      <c r="AC47" s="48">
        <v>0</v>
      </c>
      <c r="AD47" s="49"/>
      <c r="AF47" s="46" t="str">
        <f t="shared" si="5"/>
        <v>·</v>
      </c>
      <c r="AG47" s="47" t="str">
        <f t="shared" si="6"/>
        <v>·</v>
      </c>
      <c r="AH47" s="47" t="str">
        <f t="shared" si="7"/>
        <v>·</v>
      </c>
      <c r="AI47" s="43" t="str">
        <f t="shared" si="15"/>
        <v>·</v>
      </c>
      <c r="AJ47" s="55"/>
      <c r="AK47" s="47" t="str">
        <f t="shared" si="17"/>
        <v>·</v>
      </c>
      <c r="AL47" s="352"/>
      <c r="AM47" s="353"/>
      <c r="AN47" s="353"/>
      <c r="AO47" s="207"/>
      <c r="AP47" s="90"/>
      <c r="AQ47" s="354"/>
      <c r="AR47" s="354"/>
      <c r="AS47" s="354"/>
      <c r="AT47" s="354"/>
      <c r="AU47" s="354"/>
      <c r="AV47" s="90"/>
      <c r="AW47" s="355"/>
      <c r="AX47" s="355"/>
      <c r="AY47" s="48">
        <v>0</v>
      </c>
      <c r="AZ47" s="48">
        <v>0</v>
      </c>
      <c r="BA47" s="49">
        <v>196097</v>
      </c>
      <c r="BC47" s="68" t="e">
        <f t="shared" si="14"/>
        <v>#DIV/0!</v>
      </c>
      <c r="BD47" s="69" t="e">
        <f t="shared" si="14"/>
        <v>#DIV/0!</v>
      </c>
      <c r="BE47" s="69" t="e">
        <f t="shared" si="10"/>
        <v>#DIV/0!</v>
      </c>
      <c r="BF47" s="70" t="e">
        <f t="array" ref="BF47">AVERAGE(AN47:AN52/AM47:AM52) - AVERAGE(Q47:Q52/P47:P52)</f>
        <v>#DIV/0!</v>
      </c>
      <c r="BH47" s="224" t="str">
        <f>IF( OR(ISBLANK($Q47:$Q52),ISBLANK($AN47:$AN52), ISBLANK($T47:$T52),ISBLANK($AQ47:$AQ52)), "·", bdRateHermite( $Q47:$Q52,$T47:$T52, $AN47:$AN52,$AQ47:$AQ52))</f>
        <v>·</v>
      </c>
      <c r="BI47" s="225" t="str">
        <f>IF(OR(ISBLANK(Q47:Q52),ISBLANK(AN47:AN52),ISBLANK(U47:U52),ISBLANK(AR47:AR52)),"·",bdRateHermite(Q47:Q52,U47:U52,AN47:AN52,AR47:AR52))</f>
        <v>·</v>
      </c>
      <c r="BJ47" s="225" t="str">
        <f>IF(OR(ISBLANK($R47:$R52),ISBLANK($AO47:$AO52),ISBLANK(V47:V52),ISBLANK(AS47:AS52)),"·",bdRateHermite($R47:$R52,V47:V52,$AO47:$AO52,AS47:AS52))</f>
        <v>·</v>
      </c>
      <c r="BK47" s="225" t="str">
        <f>IF(OR(ISBLANK($R47:$R52),ISBLANK($AO47:$AO52),ISBLANK(W47:W52),ISBLANK(AT47:AT52)),"·",bdRateHermite($R47:$R52,W47:W52,$AO47:$AO52,AT47:AT52))</f>
        <v>·</v>
      </c>
      <c r="BL47" s="225" t="str">
        <f>IF(OR(ISBLANK($R47:$R52),ISBLANK($AO47:$AO52),ISBLANK(X47:X52),ISBLANK(AU47:AU52)),"·",bdRateHermite($R47:$R52,X47:X52,$AO47:$AO52,AU47:AU52))</f>
        <v>·</v>
      </c>
      <c r="BM47" s="92"/>
      <c r="BO47" s="224" t="str">
        <f>IF( OR(ISBLANK($P47:$P52),ISBLANK($AM47:$AM52), ISBLANK($T47:$T52),ISBLANK($AQ47:$AQ52)), "·", bdRateHermite($P47:$P52,$T47:$T52, $AM47:$AM52,$AQ47:$AQ52))</f>
        <v>·</v>
      </c>
      <c r="BP47" s="84" t="str">
        <f>IF( OR(ISBLANK($P47:$P52),ISBLANK($AM47:$AM52), ISBLANK(U47:U52),ISBLANK(AR47:AR52)), "·", bdRateHermite( $P47:$P52,U47:U52, $AM47:$AM52,AR47:AR52))</f>
        <v>·</v>
      </c>
      <c r="BQ47" s="84" t="str">
        <f>IF( OR(ISBLANK($P47:$P52),ISBLANK($AM47:$AM52), ISBLANK(V47:V52),ISBLANK(AS47:AS52)), "·", bdRateHermite( $P47:$P52,V47:V52, $AM47:$AM52,AS47:AS52))</f>
        <v>·</v>
      </c>
      <c r="BR47" s="84" t="str">
        <f>IF( OR(ISBLANK($P47:$P52),ISBLANK($AM47:$AM52), ISBLANK(W47:W52),ISBLANK(AT47:AT52)), "·", bdRateHermite( $P47:$P52,W47:W52, $AM47:$AM52,AT47:AT52))</f>
        <v>·</v>
      </c>
      <c r="BS47" s="84" t="str">
        <f>IF( OR(ISBLANK($P47:$P52),ISBLANK($AM47:$AM52), ISBLANK(X47:X52),ISBLANK(AU47:AU52)), "·", bdRateHermite( $P47:$P52,X47:X52, $AM47:$AM52,AU47:AU52))</f>
        <v>·</v>
      </c>
      <c r="BT47" s="90"/>
      <c r="BV47" s="83" t="str">
        <f>IF( OR(ISBLANK($Q47:$Q51),ISBLANK($AN47:$AN51), ISBLANK($T47:$T51),ISBLANK($AQ47:$AQ51)), "·", bdRateHermite( $Q48:$Q52,$T48:$T52, $AN48:$AN52,$AQ48:$AQ52))</f>
        <v>·</v>
      </c>
      <c r="BW47" s="84" t="str">
        <f>IF(OR(ISBLANK($Q47:$Q52),ISBLANK($AN47:$AN52),ISBLANK(U47:U52),ISBLANK(AR47:AR52)),"·",bdRateHermite($Q48:$Q52,U48:U52,$AN48:$AN52,AR48:AR52))</f>
        <v>·</v>
      </c>
      <c r="BX47" s="225" t="str">
        <f>IF(OR(ISBLANK($R47:$R52),ISBLANK($AO47:$AO52),ISBLANK($V47:$V52),ISBLANK($AS47:$AS52)),"·",bdRateHermite($R48:$R52,$V48:$V52,$AO48:$AO52,$AS48:$AS52))</f>
        <v>·</v>
      </c>
      <c r="BY47" s="225" t="str">
        <f>IF(OR(ISBLANK($R47:$R52),ISBLANK($AO47:$AO52),ISBLANK($W47:$W52),ISBLANK($AT47:$AT52)),"·",bdRateHermite($R48:$R52,$W48:$W52,$AO48:$AO52,$AT48:$AT52))</f>
        <v>·</v>
      </c>
      <c r="BZ47" s="225" t="str">
        <f>IF(OR(ISBLANK($R47:$R52),ISBLANK($AO47:$AO52),ISBLANK($X47:$X52),ISBLANK($AU47:$AU52)),"·",bdRateHermite($R48:$R52,$X48:$X52,$AO48:$AO52,$AU48:$AU52))</f>
        <v>·</v>
      </c>
      <c r="CA47" s="92"/>
      <c r="CC47" s="83" t="str">
        <f>IF( OR(ISBLANK($P47:$P52),ISBLANK($AM47:$AM52), ISBLANK($T47:$T52),ISBLANK($AQ47:$AQ52)), "·", bdRateHermite($P48:$P52,$T48:$T52, $AM48:$AM52,$AQ48:$AQ52))</f>
        <v>·</v>
      </c>
      <c r="CD47" s="84" t="str">
        <f>IF( OR(ISBLANK($P47:$P52),ISBLANK($AM47:$AM52), ISBLANK(U47:U52),ISBLANK(AR47:AR52)), "·", bdRateHermite( $P48:$P52,U48:U52, $AM48:$AM52,AR48:AR52))</f>
        <v>·</v>
      </c>
      <c r="CE47" s="84" t="str">
        <f>IF( OR(ISBLANK($P47:$P52),ISBLANK($AM47:$AM52), ISBLANK(V47:V52),ISBLANK(AS47:AS52)), "·", bdRateHermite( $P48:$P52,V48:V52, $AM48:$AM52,AS48:AS52))</f>
        <v>·</v>
      </c>
      <c r="CF47" s="84" t="str">
        <f>IF( OR(ISBLANK($P47:$P52),ISBLANK($AM47:$AM52), ISBLANK(W47:W52),ISBLANK(AT47:AT52)), "·", bdRateHermite( $P48:$P52,W48:W52, $AM48:$AM52,AT48:AT52))</f>
        <v>·</v>
      </c>
      <c r="CG47" s="84" t="str">
        <f>IF( OR(ISBLANK($P47:$P52),ISBLANK($AM47:$AM52), ISBLANK(X47:X52),ISBLANK(AU47:AU52)), "·", bdRateHermite( $P48:$P52,X48:X52, $AM48:$AM52,AU48:AU52))</f>
        <v>·</v>
      </c>
      <c r="CH47" s="92"/>
      <c r="CJ47" s="83" t="str">
        <f>IF( OR(ISBLANK($Q47:$Q51),ISBLANK($AN47:$AN51), ISBLANK($T47:$T51),ISBLANK($AQ47:$AQ51)), "·", bdRateHermite( $Q47:$Q51,$T47:$T51, $AN47:$AN51,$AQ47:$AQ51))</f>
        <v>·</v>
      </c>
      <c r="CK47" s="84" t="str">
        <f>IF(OR(ISBLANK($Q47:$Q51),ISBLANK($AN47:$AN51),ISBLANK(U47:U51),ISBLANK(AR47:AR51)),"·",bdRateHermite($Q47:$Q51,U47:U51,$AN47:$AN51,AR47:AR51))</f>
        <v>·</v>
      </c>
      <c r="CL47" s="225" t="str">
        <f>IF(OR(ISBLANK($R47:$R52),ISBLANK($AO47:$AO52),ISBLANK($V47:$V52),ISBLANK($AS47:$AS52)),"·",bdRateHermite($R47:$R51,$V47:$V51,$AO47:$AO51,$AS47:$AS51))</f>
        <v>·</v>
      </c>
      <c r="CM47" s="225" t="str">
        <f>IF(OR(ISBLANK($R47:$R52),ISBLANK($AO47:$AO52),ISBLANK($W47:$W52),ISBLANK($AT47:$AT52)),"·",bdRateHermite($R47:$R51,$W47:$W51,$AO47:$AO51,$AT47:$AT51))</f>
        <v>·</v>
      </c>
      <c r="CN47" s="225" t="str">
        <f>IF(OR(ISBLANK($R47:$R52),ISBLANK($AO47:$AO52),ISBLANK($X47:$X52),ISBLANK($AU47:$AU52)),"·",bdRateHermite($R47:$R51,$X47:$X51,$AO47:$AO51,$AU47:$AU51))</f>
        <v>·</v>
      </c>
      <c r="CO47" s="92"/>
      <c r="CQ47" s="83" t="str">
        <f>IF( OR(ISBLANK($P47:$P51),ISBLANK($AM47:$AM51), ISBLANK($T47:$T51),ISBLANK($AQ47:$AQ51)), "·", bdRateHermite($P47:$P51,$T47:$T51, $AM47:$AM51,$AQ47:$AQ51))</f>
        <v>·</v>
      </c>
      <c r="CR47" s="84" t="str">
        <f>IF( OR(ISBLANK($P47:$P51),ISBLANK($AM47:$AM51), ISBLANK(U47:U51),ISBLANK(AR47:AR51)), "·", bdRateHermite( $P47:$P51,U47:U51, $AM47:$AM51,AR47:AR51))</f>
        <v>·</v>
      </c>
      <c r="CS47" s="84" t="str">
        <f>IF( OR(ISBLANK($P47:$P51),ISBLANK($AM47:$AM51), ISBLANK(V47:V51),ISBLANK(AS47:AS51)), "·", bdRateHermite( $P47:$P51,V47:V51, $AM47:$AM51,AS47:AS51))</f>
        <v>·</v>
      </c>
      <c r="CT47" s="84" t="str">
        <f>IF( OR(ISBLANK($P47:$P51),ISBLANK($AM47:$AM51), ISBLANK(W47:W51),ISBLANK(AT47:AT51)), "·", bdRateHermite( $P47:$P51,W47:W51, $AM47:$AM51,AT47:AT51))</f>
        <v>·</v>
      </c>
      <c r="CU47" s="84" t="str">
        <f>IF( OR(ISBLANK($P47:$P51),ISBLANK($AM47:$AM51), ISBLANK(X47:X51),ISBLANK(AU47:AU51)), "·", bdRateHermite( $P47:$P51,X47:X51, $AM47:$AM51,AU47:AU51))</f>
        <v>·</v>
      </c>
      <c r="CV47" s="92"/>
    </row>
    <row r="48" spans="1:100" outlineLevel="1">
      <c r="A48" s="13"/>
      <c r="B48" s="14" t="s">
        <v>1117</v>
      </c>
      <c r="C48" s="15" t="s">
        <v>132</v>
      </c>
      <c r="D48" s="476">
        <v>43399207</v>
      </c>
      <c r="E48" s="15">
        <v>20</v>
      </c>
      <c r="F48" s="15">
        <v>1</v>
      </c>
      <c r="G48" s="16"/>
      <c r="I48" s="30" t="str">
        <f t="shared" si="0"/>
        <v>·</v>
      </c>
      <c r="J48" s="31">
        <f t="shared" si="1"/>
        <v>1.6316677860035553</v>
      </c>
      <c r="K48" s="31">
        <f t="shared" si="2"/>
        <v>1.034492081848408</v>
      </c>
      <c r="L48" s="31">
        <f t="shared" si="16"/>
        <v>0.59716298502873566</v>
      </c>
      <c r="M48" s="51"/>
      <c r="N48" s="31">
        <f t="shared" si="4"/>
        <v>2.9211300406787055</v>
      </c>
      <c r="O48" s="356">
        <v>24241676</v>
      </c>
      <c r="P48" s="357">
        <v>70813088</v>
      </c>
      <c r="Q48" s="357">
        <v>44896136</v>
      </c>
      <c r="R48" s="208">
        <v>25916400</v>
      </c>
      <c r="S48" s="87"/>
      <c r="T48" s="358">
        <v>83.044715999999994</v>
      </c>
      <c r="U48" s="358">
        <v>78.267792</v>
      </c>
      <c r="V48" s="358">
        <v>28.076025000000001</v>
      </c>
      <c r="W48" s="358">
        <v>29.656756999999999</v>
      </c>
      <c r="X48" s="358">
        <v>33.894587999999999</v>
      </c>
      <c r="Y48" s="87">
        <v>0</v>
      </c>
      <c r="Z48" s="359"/>
      <c r="AA48" s="359"/>
      <c r="AB48" s="32">
        <v>0</v>
      </c>
      <c r="AC48" s="32">
        <v>0</v>
      </c>
      <c r="AD48" s="33"/>
      <c r="AF48" s="30" t="str">
        <f t="shared" si="5"/>
        <v>·</v>
      </c>
      <c r="AG48" s="31" t="str">
        <f t="shared" si="6"/>
        <v>·</v>
      </c>
      <c r="AH48" s="31" t="str">
        <f t="shared" si="7"/>
        <v>·</v>
      </c>
      <c r="AI48" s="31" t="str">
        <f t="shared" si="15"/>
        <v>·</v>
      </c>
      <c r="AJ48" s="51"/>
      <c r="AK48" s="31" t="str">
        <f t="shared" si="17"/>
        <v>·</v>
      </c>
      <c r="AL48" s="356"/>
      <c r="AM48" s="357"/>
      <c r="AN48" s="357"/>
      <c r="AO48" s="208"/>
      <c r="AP48" s="87"/>
      <c r="AQ48" s="358"/>
      <c r="AR48" s="358"/>
      <c r="AS48" s="358"/>
      <c r="AT48" s="358"/>
      <c r="AU48" s="358"/>
      <c r="AV48" s="87"/>
      <c r="AW48" s="359"/>
      <c r="AX48" s="359"/>
      <c r="AY48" s="32">
        <v>0</v>
      </c>
      <c r="AZ48" s="32">
        <v>0</v>
      </c>
      <c r="BA48" s="33">
        <v>49152</v>
      </c>
      <c r="BC48" s="56" t="e">
        <f t="shared" si="14"/>
        <v>#DIV/0!</v>
      </c>
      <c r="BD48" s="57" t="e">
        <f t="shared" si="14"/>
        <v>#DIV/0!</v>
      </c>
      <c r="BE48" s="57" t="e">
        <f t="shared" si="10"/>
        <v>#DIV/0!</v>
      </c>
      <c r="BF48" s="58"/>
      <c r="BH48" s="74"/>
      <c r="BI48" s="75"/>
      <c r="BJ48" s="75"/>
      <c r="BK48" s="75"/>
      <c r="BL48" s="75"/>
      <c r="BM48" s="87"/>
      <c r="BO48" s="74"/>
      <c r="BP48" s="75"/>
      <c r="BQ48" s="75"/>
      <c r="BR48" s="75"/>
      <c r="BS48" s="75"/>
      <c r="BT48" s="87"/>
      <c r="BV48" s="74"/>
      <c r="BW48" s="75"/>
      <c r="BX48" s="75"/>
      <c r="BY48" s="75"/>
      <c r="BZ48" s="75"/>
      <c r="CA48" s="87"/>
      <c r="CC48" s="74"/>
      <c r="CD48" s="75"/>
      <c r="CE48" s="75"/>
      <c r="CF48" s="75"/>
      <c r="CG48" s="75"/>
      <c r="CH48" s="87"/>
      <c r="CJ48" s="74"/>
      <c r="CK48" s="75"/>
      <c r="CL48" s="75"/>
      <c r="CM48" s="75"/>
      <c r="CN48" s="75"/>
      <c r="CO48" s="87"/>
      <c r="CQ48" s="74"/>
      <c r="CR48" s="75"/>
      <c r="CS48" s="75"/>
      <c r="CT48" s="75"/>
      <c r="CU48" s="75"/>
      <c r="CV48" s="87"/>
    </row>
    <row r="49" spans="1:100" outlineLevel="1">
      <c r="A49" s="13"/>
      <c r="B49" s="14" t="s">
        <v>1117</v>
      </c>
      <c r="C49" s="15" t="s">
        <v>133</v>
      </c>
      <c r="D49" s="476">
        <v>43399207</v>
      </c>
      <c r="E49" s="15">
        <v>20</v>
      </c>
      <c r="F49" s="15">
        <v>1</v>
      </c>
      <c r="G49" s="16"/>
      <c r="I49" s="30" t="str">
        <f t="shared" si="0"/>
        <v>·</v>
      </c>
      <c r="J49" s="31">
        <f t="shared" si="1"/>
        <v>9.6414895322856928</v>
      </c>
      <c r="K49" s="31">
        <f t="shared" si="2"/>
        <v>7.6008640434374755</v>
      </c>
      <c r="L49" s="31">
        <f t="shared" si="16"/>
        <v>2.0406124010514755</v>
      </c>
      <c r="M49" s="51"/>
      <c r="N49" s="31">
        <f t="shared" si="4"/>
        <v>10.002402873427375</v>
      </c>
      <c r="O49" s="356">
        <v>41833248</v>
      </c>
      <c r="P49" s="357">
        <v>418433000</v>
      </c>
      <c r="Q49" s="357">
        <v>329871472</v>
      </c>
      <c r="R49" s="208">
        <v>88560960</v>
      </c>
      <c r="S49" s="87"/>
      <c r="T49" s="358">
        <v>95.077515000000005</v>
      </c>
      <c r="U49" s="358">
        <v>90.308989999999994</v>
      </c>
      <c r="V49" s="358">
        <v>34.849373</v>
      </c>
      <c r="W49" s="358">
        <v>34.849364999999999</v>
      </c>
      <c r="X49" s="358">
        <v>37.400063000000003</v>
      </c>
      <c r="Y49" s="87">
        <v>0</v>
      </c>
      <c r="Z49" s="359"/>
      <c r="AA49" s="359"/>
      <c r="AB49" s="32">
        <v>0</v>
      </c>
      <c r="AC49" s="32">
        <v>0</v>
      </c>
      <c r="AD49" s="33"/>
      <c r="AF49" s="30" t="str">
        <f t="shared" si="5"/>
        <v>·</v>
      </c>
      <c r="AG49" s="31" t="str">
        <f t="shared" si="6"/>
        <v>·</v>
      </c>
      <c r="AH49" s="31" t="str">
        <f t="shared" si="7"/>
        <v>·</v>
      </c>
      <c r="AI49" s="31" t="str">
        <f t="shared" si="15"/>
        <v>·</v>
      </c>
      <c r="AJ49" s="51"/>
      <c r="AK49" s="31" t="str">
        <f t="shared" si="17"/>
        <v>·</v>
      </c>
      <c r="AL49" s="356"/>
      <c r="AM49" s="357"/>
      <c r="AN49" s="357"/>
      <c r="AO49" s="208"/>
      <c r="AP49" s="87"/>
      <c r="AQ49" s="358"/>
      <c r="AR49" s="358"/>
      <c r="AS49" s="358"/>
      <c r="AT49" s="358"/>
      <c r="AU49" s="358"/>
      <c r="AV49" s="87"/>
      <c r="AW49" s="359"/>
      <c r="AX49" s="359"/>
      <c r="AY49" s="32">
        <v>0</v>
      </c>
      <c r="AZ49" s="32">
        <v>0</v>
      </c>
      <c r="BA49" s="33">
        <v>3072</v>
      </c>
      <c r="BC49" s="56" t="e">
        <f t="shared" si="14"/>
        <v>#DIV/0!</v>
      </c>
      <c r="BD49" s="57" t="e">
        <f t="shared" si="14"/>
        <v>#DIV/0!</v>
      </c>
      <c r="BE49" s="57" t="e">
        <f t="shared" si="10"/>
        <v>#DIV/0!</v>
      </c>
      <c r="BF49" s="58"/>
      <c r="BH49" s="74"/>
      <c r="BI49" s="75"/>
      <c r="BJ49" s="75"/>
      <c r="BK49" s="75"/>
      <c r="BL49" s="75"/>
      <c r="BM49" s="87"/>
      <c r="BO49" s="74"/>
      <c r="BP49" s="75"/>
      <c r="BQ49" s="75"/>
      <c r="BR49" s="75"/>
      <c r="BS49" s="75"/>
      <c r="BT49" s="87"/>
      <c r="BV49" s="74"/>
      <c r="BW49" s="75"/>
      <c r="BX49" s="75"/>
      <c r="BY49" s="75"/>
      <c r="BZ49" s="75"/>
      <c r="CA49" s="87"/>
      <c r="CC49" s="74"/>
      <c r="CD49" s="75"/>
      <c r="CE49" s="75"/>
      <c r="CF49" s="75"/>
      <c r="CG49" s="75"/>
      <c r="CH49" s="87"/>
      <c r="CJ49" s="74"/>
      <c r="CK49" s="75"/>
      <c r="CL49" s="75"/>
      <c r="CM49" s="75"/>
      <c r="CN49" s="75"/>
      <c r="CO49" s="87"/>
      <c r="CQ49" s="74"/>
      <c r="CR49" s="75"/>
      <c r="CS49" s="75"/>
      <c r="CT49" s="75"/>
      <c r="CU49" s="75"/>
      <c r="CV49" s="87"/>
    </row>
    <row r="50" spans="1:100" outlineLevel="1">
      <c r="A50" s="13"/>
      <c r="B50" s="14" t="s">
        <v>1117</v>
      </c>
      <c r="C50" s="15" t="s">
        <v>134</v>
      </c>
      <c r="D50" s="476">
        <v>43399207</v>
      </c>
      <c r="E50" s="15">
        <v>20</v>
      </c>
      <c r="F50" s="15">
        <v>1</v>
      </c>
      <c r="G50" s="16"/>
      <c r="I50" s="30" t="str">
        <f t="shared" si="0"/>
        <v>·</v>
      </c>
      <c r="J50" s="31">
        <f t="shared" si="1"/>
        <v>14.290029953773118</v>
      </c>
      <c r="K50" s="31">
        <f t="shared" si="2"/>
        <v>10.597793641713315</v>
      </c>
      <c r="L50" s="31">
        <f t="shared" si="16"/>
        <v>3.6922232242630608</v>
      </c>
      <c r="M50" s="51"/>
      <c r="N50" s="31">
        <f t="shared" si="4"/>
        <v>14.400584999414619</v>
      </c>
      <c r="O50" s="356">
        <v>43066026</v>
      </c>
      <c r="P50" s="357">
        <v>620175968</v>
      </c>
      <c r="Q50" s="357">
        <v>459935840</v>
      </c>
      <c r="R50" s="208">
        <v>160239560</v>
      </c>
      <c r="S50" s="87"/>
      <c r="T50" s="358">
        <v>101.08657100000001</v>
      </c>
      <c r="U50" s="358">
        <v>96.329589999999996</v>
      </c>
      <c r="V50" s="358">
        <v>40.640490999999997</v>
      </c>
      <c r="W50" s="358">
        <v>40.876854000000002</v>
      </c>
      <c r="X50" s="358">
        <v>41.077007000000002</v>
      </c>
      <c r="Y50" s="87">
        <v>0</v>
      </c>
      <c r="Z50" s="359"/>
      <c r="AA50" s="359"/>
      <c r="AB50" s="32">
        <v>0</v>
      </c>
      <c r="AC50" s="32">
        <v>0</v>
      </c>
      <c r="AD50" s="33"/>
      <c r="AF50" s="30" t="str">
        <f t="shared" si="5"/>
        <v>·</v>
      </c>
      <c r="AG50" s="31" t="str">
        <f t="shared" si="6"/>
        <v>·</v>
      </c>
      <c r="AH50" s="31" t="str">
        <f t="shared" si="7"/>
        <v>·</v>
      </c>
      <c r="AI50" s="31" t="str">
        <f t="shared" si="15"/>
        <v>·</v>
      </c>
      <c r="AJ50" s="51"/>
      <c r="AK50" s="31" t="str">
        <f t="shared" si="17"/>
        <v>·</v>
      </c>
      <c r="AL50" s="356"/>
      <c r="AM50" s="357"/>
      <c r="AN50" s="357"/>
      <c r="AO50" s="208"/>
      <c r="AP50" s="87"/>
      <c r="AQ50" s="358"/>
      <c r="AR50" s="358"/>
      <c r="AS50" s="358"/>
      <c r="AT50" s="358"/>
      <c r="AU50" s="358"/>
      <c r="AV50" s="87"/>
      <c r="AW50" s="359"/>
      <c r="AX50" s="359"/>
      <c r="AY50" s="32">
        <v>0</v>
      </c>
      <c r="AZ50" s="32">
        <v>0</v>
      </c>
      <c r="BA50" s="33">
        <v>768</v>
      </c>
      <c r="BC50" s="56" t="e">
        <f t="shared" si="14"/>
        <v>#DIV/0!</v>
      </c>
      <c r="BD50" s="57" t="e">
        <f t="shared" si="14"/>
        <v>#DIV/0!</v>
      </c>
      <c r="BE50" s="57" t="e">
        <f t="shared" si="10"/>
        <v>#DIV/0!</v>
      </c>
      <c r="BF50" s="58"/>
      <c r="BH50" s="74"/>
      <c r="BI50" s="75"/>
      <c r="BJ50" s="75"/>
      <c r="BK50" s="75"/>
      <c r="BL50" s="75"/>
      <c r="BM50" s="87"/>
      <c r="BO50" s="74"/>
      <c r="BP50" s="75"/>
      <c r="BQ50" s="75"/>
      <c r="BR50" s="75"/>
      <c r="BS50" s="75"/>
      <c r="BT50" s="87"/>
      <c r="BV50" s="74"/>
      <c r="BW50" s="75"/>
      <c r="BX50" s="75"/>
      <c r="BY50" s="75"/>
      <c r="BZ50" s="75"/>
      <c r="CA50" s="87"/>
      <c r="CC50" s="74"/>
      <c r="CD50" s="75"/>
      <c r="CE50" s="75"/>
      <c r="CF50" s="75"/>
      <c r="CG50" s="75"/>
      <c r="CH50" s="87"/>
      <c r="CJ50" s="74"/>
      <c r="CK50" s="75"/>
      <c r="CL50" s="75"/>
      <c r="CM50" s="75"/>
      <c r="CN50" s="75"/>
      <c r="CO50" s="87"/>
      <c r="CQ50" s="74"/>
      <c r="CR50" s="75"/>
      <c r="CS50" s="75"/>
      <c r="CT50" s="75"/>
      <c r="CU50" s="75"/>
      <c r="CV50" s="87"/>
    </row>
    <row r="51" spans="1:100" outlineLevel="1">
      <c r="A51" s="13"/>
      <c r="B51" s="14" t="s">
        <v>1117</v>
      </c>
      <c r="C51" s="15" t="s">
        <v>135</v>
      </c>
      <c r="D51" s="476">
        <v>43399207</v>
      </c>
      <c r="E51" s="15">
        <v>20</v>
      </c>
      <c r="F51" s="15">
        <v>1</v>
      </c>
      <c r="G51" s="16"/>
      <c r="I51" s="30" t="str">
        <f t="shared" si="0"/>
        <v>·</v>
      </c>
      <c r="J51" s="31">
        <f t="shared" si="1"/>
        <v>22.256605932914859</v>
      </c>
      <c r="K51" s="31">
        <f t="shared" si="2"/>
        <v>16.503661737413772</v>
      </c>
      <c r="L51" s="31">
        <f t="shared" si="16"/>
        <v>5.7529312920395066</v>
      </c>
      <c r="M51" s="51"/>
      <c r="N51" s="31">
        <f t="shared" si="4"/>
        <v>22.256605932914859</v>
      </c>
      <c r="O51" s="356">
        <v>43399207</v>
      </c>
      <c r="P51" s="357">
        <v>965919048</v>
      </c>
      <c r="Q51" s="357">
        <v>716245832</v>
      </c>
      <c r="R51" s="208">
        <v>249672656</v>
      </c>
      <c r="S51" s="87"/>
      <c r="T51" s="358">
        <v>113.006905</v>
      </c>
      <c r="U51" s="358">
        <v>108.370789</v>
      </c>
      <c r="V51" s="358">
        <v>46.383183000000002</v>
      </c>
      <c r="W51" s="358">
        <v>46.142403000000002</v>
      </c>
      <c r="X51" s="358">
        <v>46.529881000000003</v>
      </c>
      <c r="Y51" s="87">
        <v>0</v>
      </c>
      <c r="Z51" s="359"/>
      <c r="AA51" s="359"/>
      <c r="AB51" s="32">
        <v>0</v>
      </c>
      <c r="AC51" s="32">
        <v>0</v>
      </c>
      <c r="AD51" s="33"/>
      <c r="AF51" s="30" t="str">
        <f t="shared" si="5"/>
        <v>·</v>
      </c>
      <c r="AG51" s="31" t="str">
        <f t="shared" si="6"/>
        <v>·</v>
      </c>
      <c r="AH51" s="31" t="str">
        <f t="shared" si="7"/>
        <v>·</v>
      </c>
      <c r="AI51" s="31" t="str">
        <f t="shared" si="15"/>
        <v>·</v>
      </c>
      <c r="AJ51" s="51"/>
      <c r="AK51" s="31" t="str">
        <f t="shared" si="17"/>
        <v>·</v>
      </c>
      <c r="AL51" s="356"/>
      <c r="AM51" s="357"/>
      <c r="AN51" s="357"/>
      <c r="AO51" s="208"/>
      <c r="AP51" s="87"/>
      <c r="AQ51" s="358"/>
      <c r="AR51" s="358"/>
      <c r="AS51" s="358"/>
      <c r="AT51" s="358"/>
      <c r="AU51" s="358"/>
      <c r="AV51" s="87"/>
      <c r="AW51" s="359"/>
      <c r="AX51" s="359"/>
      <c r="AY51" s="32">
        <v>0</v>
      </c>
      <c r="AZ51" s="32">
        <v>0</v>
      </c>
      <c r="BA51" s="33">
        <v>48</v>
      </c>
      <c r="BC51" s="56" t="e">
        <f t="shared" si="14"/>
        <v>#DIV/0!</v>
      </c>
      <c r="BD51" s="57" t="e">
        <f t="shared" si="14"/>
        <v>#DIV/0!</v>
      </c>
      <c r="BE51" s="57" t="e">
        <f t="shared" si="10"/>
        <v>#DIV/0!</v>
      </c>
      <c r="BF51" s="58"/>
      <c r="BH51" s="74"/>
      <c r="BI51" s="75"/>
      <c r="BJ51" s="75"/>
      <c r="BK51" s="75"/>
      <c r="BL51" s="75"/>
      <c r="BM51" s="87"/>
      <c r="BO51" s="74"/>
      <c r="BP51" s="75"/>
      <c r="BQ51" s="75"/>
      <c r="BR51" s="75"/>
      <c r="BS51" s="75"/>
      <c r="BT51" s="87"/>
      <c r="BV51" s="74"/>
      <c r="BW51" s="75"/>
      <c r="BX51" s="75"/>
      <c r="BY51" s="75"/>
      <c r="BZ51" s="75"/>
      <c r="CA51" s="87"/>
      <c r="CC51" s="74"/>
      <c r="CD51" s="75"/>
      <c r="CE51" s="75"/>
      <c r="CF51" s="75"/>
      <c r="CG51" s="75"/>
      <c r="CH51" s="87"/>
      <c r="CJ51" s="74"/>
      <c r="CK51" s="75"/>
      <c r="CL51" s="75"/>
      <c r="CM51" s="75"/>
      <c r="CN51" s="75"/>
      <c r="CO51" s="87"/>
      <c r="CQ51" s="74"/>
      <c r="CR51" s="75"/>
      <c r="CS51" s="75"/>
      <c r="CT51" s="75"/>
      <c r="CU51" s="75"/>
      <c r="CV51" s="87"/>
    </row>
    <row r="52" spans="1:100" ht="14.25" outlineLevel="1" thickBot="1">
      <c r="A52" s="13"/>
      <c r="B52" s="18" t="s">
        <v>1117</v>
      </c>
      <c r="C52" s="19" t="s">
        <v>136</v>
      </c>
      <c r="D52" s="477">
        <v>43399207</v>
      </c>
      <c r="E52" s="19">
        <v>20</v>
      </c>
      <c r="F52" s="19">
        <v>1</v>
      </c>
      <c r="G52" s="20"/>
      <c r="I52" s="34" t="str">
        <f t="shared" si="0"/>
        <v>·</v>
      </c>
      <c r="J52" s="35">
        <f t="shared" si="1"/>
        <v>27.464535008669628</v>
      </c>
      <c r="K52" s="35">
        <f t="shared" si="2"/>
        <v>19.486824448197869</v>
      </c>
      <c r="L52" s="35">
        <f t="shared" si="16"/>
        <v>7.977697657010185</v>
      </c>
      <c r="M52" s="52"/>
      <c r="N52" s="35">
        <f t="shared" si="4"/>
        <v>27.464535008669628</v>
      </c>
      <c r="O52" s="360">
        <v>43399207</v>
      </c>
      <c r="P52" s="361">
        <v>1191939040</v>
      </c>
      <c r="Q52" s="361">
        <v>845712728</v>
      </c>
      <c r="R52" s="209">
        <v>346225752</v>
      </c>
      <c r="S52" s="88"/>
      <c r="T52" s="362">
        <v>118.635818</v>
      </c>
      <c r="U52" s="362">
        <v>114.39138800000001</v>
      </c>
      <c r="V52" s="362">
        <v>51.150322000000003</v>
      </c>
      <c r="W52" s="362">
        <v>51.257323999999997</v>
      </c>
      <c r="X52" s="362">
        <v>51.60313</v>
      </c>
      <c r="Y52" s="88">
        <v>0</v>
      </c>
      <c r="Z52" s="363"/>
      <c r="AA52" s="363"/>
      <c r="AB52" s="36">
        <v>0</v>
      </c>
      <c r="AC52" s="36">
        <v>0</v>
      </c>
      <c r="AD52" s="37"/>
      <c r="AF52" s="34" t="str">
        <f t="shared" si="5"/>
        <v>·</v>
      </c>
      <c r="AG52" s="35" t="str">
        <f t="shared" si="6"/>
        <v>·</v>
      </c>
      <c r="AH52" s="35" t="str">
        <f t="shared" si="7"/>
        <v>·</v>
      </c>
      <c r="AI52" s="35" t="str">
        <f t="shared" si="15"/>
        <v>·</v>
      </c>
      <c r="AJ52" s="52"/>
      <c r="AK52" s="35" t="str">
        <f t="shared" si="17"/>
        <v>·</v>
      </c>
      <c r="AL52" s="360"/>
      <c r="AM52" s="361"/>
      <c r="AN52" s="361"/>
      <c r="AO52" s="209"/>
      <c r="AP52" s="88"/>
      <c r="AQ52" s="362"/>
      <c r="AR52" s="362"/>
      <c r="AS52" s="362"/>
      <c r="AT52" s="362"/>
      <c r="AU52" s="362"/>
      <c r="AV52" s="88"/>
      <c r="AW52" s="363"/>
      <c r="AX52" s="363"/>
      <c r="AY52" s="36">
        <v>0</v>
      </c>
      <c r="AZ52" s="36">
        <v>0</v>
      </c>
      <c r="BA52" s="37">
        <v>12</v>
      </c>
      <c r="BC52" s="59" t="e">
        <f t="shared" si="14"/>
        <v>#DIV/0!</v>
      </c>
      <c r="BD52" s="60" t="e">
        <f t="shared" si="14"/>
        <v>#DIV/0!</v>
      </c>
      <c r="BE52" s="60" t="e">
        <f t="shared" si="10"/>
        <v>#DIV/0!</v>
      </c>
      <c r="BF52" s="61"/>
      <c r="BH52" s="80"/>
      <c r="BI52" s="81"/>
      <c r="BJ52" s="81"/>
      <c r="BK52" s="81"/>
      <c r="BL52" s="81"/>
      <c r="BM52" s="88"/>
      <c r="BO52" s="77"/>
      <c r="BP52" s="78"/>
      <c r="BQ52" s="78"/>
      <c r="BR52" s="78"/>
      <c r="BS52" s="78"/>
      <c r="BT52" s="88"/>
      <c r="BV52" s="77"/>
      <c r="BW52" s="78"/>
      <c r="BX52" s="78"/>
      <c r="BY52" s="78"/>
      <c r="BZ52" s="78"/>
      <c r="CA52" s="88"/>
      <c r="CC52" s="77"/>
      <c r="CD52" s="78"/>
      <c r="CE52" s="78"/>
      <c r="CF52" s="78"/>
      <c r="CG52" s="78"/>
      <c r="CH52" s="88"/>
      <c r="CJ52" s="77"/>
      <c r="CK52" s="78"/>
      <c r="CL52" s="78"/>
      <c r="CM52" s="78"/>
      <c r="CN52" s="78"/>
      <c r="CO52" s="88"/>
      <c r="CQ52" s="77"/>
      <c r="CR52" s="78"/>
      <c r="CS52" s="78"/>
      <c r="CT52" s="78"/>
      <c r="CU52" s="78"/>
      <c r="CV52" s="88"/>
    </row>
    <row r="53" spans="1:100">
      <c r="A53" s="13"/>
      <c r="B53" s="27" t="s">
        <v>1118</v>
      </c>
      <c r="C53" s="25" t="s">
        <v>131</v>
      </c>
      <c r="D53" s="475">
        <v>67599953</v>
      </c>
      <c r="E53" s="28">
        <v>16</v>
      </c>
      <c r="F53" s="28">
        <v>1</v>
      </c>
      <c r="G53" s="29"/>
      <c r="I53" s="42" t="str">
        <f t="shared" si="0"/>
        <v>·</v>
      </c>
      <c r="J53" s="43">
        <f t="shared" si="1"/>
        <v>6.9763362113580167E-4</v>
      </c>
      <c r="K53" s="43">
        <f t="shared" si="2"/>
        <v>2.5538479294504837E-4</v>
      </c>
      <c r="L53" s="43">
        <f t="shared" si="16"/>
        <v>4.3195296304421988E-4</v>
      </c>
      <c r="M53" s="55"/>
      <c r="N53" s="43">
        <f t="shared" si="4"/>
        <v>2.6294954000557569</v>
      </c>
      <c r="O53" s="352">
        <v>17935</v>
      </c>
      <c r="P53" s="353">
        <v>47160</v>
      </c>
      <c r="Q53" s="353">
        <v>17264</v>
      </c>
      <c r="R53" s="207">
        <v>29200</v>
      </c>
      <c r="S53" s="90"/>
      <c r="T53" s="354">
        <v>52.800426000000002</v>
      </c>
      <c r="U53" s="354">
        <v>48.164664999999999</v>
      </c>
      <c r="V53" s="354">
        <v>18.190207999999998</v>
      </c>
      <c r="W53" s="354">
        <v>25.630507000000001</v>
      </c>
      <c r="X53" s="354">
        <v>22.202036</v>
      </c>
      <c r="Y53" s="90">
        <v>0</v>
      </c>
      <c r="Z53" s="355"/>
      <c r="AA53" s="355"/>
      <c r="AB53" s="44">
        <v>0</v>
      </c>
      <c r="AC53" s="44">
        <v>0</v>
      </c>
      <c r="AD53" s="45"/>
      <c r="AF53" s="42" t="str">
        <f t="shared" si="5"/>
        <v>·</v>
      </c>
      <c r="AG53" s="43" t="str">
        <f t="shared" si="6"/>
        <v>·</v>
      </c>
      <c r="AH53" s="43" t="str">
        <f t="shared" si="7"/>
        <v>·</v>
      </c>
      <c r="AI53" s="43" t="str">
        <f t="shared" si="15"/>
        <v>·</v>
      </c>
      <c r="AJ53" s="55"/>
      <c r="AK53" s="43" t="str">
        <f t="shared" si="17"/>
        <v>·</v>
      </c>
      <c r="AL53" s="352"/>
      <c r="AM53" s="353"/>
      <c r="AN53" s="353"/>
      <c r="AO53" s="207"/>
      <c r="AP53" s="90"/>
      <c r="AQ53" s="354"/>
      <c r="AR53" s="354"/>
      <c r="AS53" s="354"/>
      <c r="AT53" s="354"/>
      <c r="AU53" s="354"/>
      <c r="AV53" s="90"/>
      <c r="AW53" s="355"/>
      <c r="AX53" s="355"/>
      <c r="AY53" s="44">
        <v>0</v>
      </c>
      <c r="AZ53" s="44">
        <v>0</v>
      </c>
      <c r="BA53" s="45">
        <v>196608</v>
      </c>
      <c r="BC53" s="65" t="e">
        <f t="shared" si="14"/>
        <v>#DIV/0!</v>
      </c>
      <c r="BD53" s="66" t="e">
        <f t="shared" si="14"/>
        <v>#DIV/0!</v>
      </c>
      <c r="BE53" s="66" t="e">
        <f t="shared" si="10"/>
        <v>#DIV/0!</v>
      </c>
      <c r="BF53" s="67" t="e">
        <f t="array" ref="BF53">AVERAGE(AN53:AN58/AM53:AM58) - AVERAGE(Q53:Q58/P53:P58)</f>
        <v>#DIV/0!</v>
      </c>
      <c r="BH53" s="224" t="str">
        <f>IF( OR(ISBLANK($Q53:$Q58),ISBLANK($AN53:$AN58), ISBLANK($T53:$T58),ISBLANK($AQ53:$AQ58)), "·", bdRateHermite( $Q53:$Q58,$T53:$T58, $AN53:$AN58,$AQ53:$AQ58))</f>
        <v>·</v>
      </c>
      <c r="BI53" s="225" t="str">
        <f>IF(OR(ISBLANK(Q53:Q58),ISBLANK(AN53:AN58),ISBLANK(U53:U58),ISBLANK(AR53:AR58)),"·",bdRateHermite(Q53:Q58,U53:U58,AN53:AN58,AR53:AR58))</f>
        <v>·</v>
      </c>
      <c r="BJ53" s="225" t="str">
        <f>IF(OR(ISBLANK($R53:$R58),ISBLANK($AO53:$AO58),ISBLANK(V53:V58),ISBLANK(AS53:AS58)),"·",bdRateHermite($R53:$R58,V53:V58,$AO53:$AO58,AS53:AS58))</f>
        <v>·</v>
      </c>
      <c r="BK53" s="225" t="str">
        <f>IF(OR(ISBLANK($R53:$R58),ISBLANK($AO53:$AO58),ISBLANK(W53:W58),ISBLANK(AT53:AT58)),"·",bdRateHermite($R53:$R58,W53:W58,$AO53:$AO58,AT53:AT58))</f>
        <v>·</v>
      </c>
      <c r="BL53" s="225" t="str">
        <f>IF(OR(ISBLANK($R53:$R58),ISBLANK($AO53:$AO58),ISBLANK(X53:X58),ISBLANK(AU53:AU58)),"·",bdRateHermite($R53:$R58,X53:X58,$AO53:$AO58,AU53:AU58))</f>
        <v>·</v>
      </c>
      <c r="BM53" s="92"/>
      <c r="BO53" s="83" t="str">
        <f>IF( OR(ISBLANK($P53:$P58),ISBLANK($AM53:$AM58), ISBLANK($T53:$T58),ISBLANK($AQ53:$AQ58)), "·", bdRateHermite($P53:$P58,$T53:$T58, $AM53:$AM58,$AQ53:$AQ58))</f>
        <v>·</v>
      </c>
      <c r="BP53" s="84" t="str">
        <f>IF( OR(ISBLANK($P53:$P58),ISBLANK($AM53:$AM58), ISBLANK(U53:U58),ISBLANK(AR53:AR58)), "·", bdRateHermite( $P53:$P58,U53:U58, $AM53:$AM58,AR53:AR58))</f>
        <v>·</v>
      </c>
      <c r="BQ53" s="84" t="str">
        <f>IF( OR(ISBLANK($P53:$P58),ISBLANK($AM53:$AM58), ISBLANK(V53:V58),ISBLANK(AS53:AS58)), "·", bdRateHermite( $P53:$P58,V53:V58, $AM53:$AM58,AS53:AS58))</f>
        <v>·</v>
      </c>
      <c r="BR53" s="84" t="str">
        <f>IF( OR(ISBLANK($P53:$P58),ISBLANK($AM53:$AM58), ISBLANK(W53:W58),ISBLANK(AT53:AT58)), "·", bdRateHermite( $P53:$P58,W53:W58, $AM53:$AM58,AT53:AT58))</f>
        <v>·</v>
      </c>
      <c r="BS53" s="84" t="str">
        <f>IF( OR(ISBLANK($P53:$P58),ISBLANK($AM53:$AM58), ISBLANK(X53:X58),ISBLANK(AU53:AU58)), "·", bdRateHermite( $P53:$P58,X53:X58, $AM53:$AM58,AU53:AU58))</f>
        <v>·</v>
      </c>
      <c r="BT53" s="90"/>
      <c r="BV53" s="83" t="str">
        <f>IF( OR(ISBLANK($Q53:$Q57),ISBLANK($AN53:$AN57), ISBLANK($T53:$T57),ISBLANK($AQ53:$AQ57)), "·", bdRateHermite( $Q54:$Q58,$T54:$T58, $AN54:$AN58,$AQ54:$AQ58))</f>
        <v>·</v>
      </c>
      <c r="BW53" s="84" t="str">
        <f>IF(OR(ISBLANK($Q53:$Q58),ISBLANK($AN53:$AN58),ISBLANK(U53:U58),ISBLANK(AR53:AR58)),"·",bdRateHermite($Q54:$Q58,U54:U58,$AN54:$AN58,AR54:AR58))</f>
        <v>·</v>
      </c>
      <c r="BX53" s="225" t="str">
        <f>IF(OR(ISBLANK($R53:$R58),ISBLANK($AO53:$AO58),ISBLANK($V53:$V58),ISBLANK($AS53:$AS58)),"·",bdRateHermite($R54:$R58,$V54:$V58,$AO54:$AO58,$AS54:$AS58))</f>
        <v>·</v>
      </c>
      <c r="BY53" s="225" t="str">
        <f>IF(OR(ISBLANK($R53:$R58),ISBLANK($AO53:$AO58),ISBLANK($W53:$W58),ISBLANK($AT53:$AT58)),"·",bdRateHermite($R54:$R58,$W54:$W58,$AO54:$AO58,$AT54:$AT58))</f>
        <v>·</v>
      </c>
      <c r="BZ53" s="225" t="str">
        <f>IF(OR(ISBLANK($R53:$R58),ISBLANK($AO53:$AO58),ISBLANK($X53:$X58),ISBLANK($AU53:$AU58)),"·",bdRateHermite($R54:$R58,$X54:$X58,$AO54:$AO58,$AU54:$AU58))</f>
        <v>·</v>
      </c>
      <c r="CA53" s="92"/>
      <c r="CC53" s="83" t="str">
        <f>IF( OR(ISBLANK($P53:$P58),ISBLANK($AM53:$AM58), ISBLANK($T53:$T58),ISBLANK($AQ53:$AQ58)), "·", bdRateHermite($P54:$P58,$T54:$T58, $AM54:$AM58,$AQ54:$AQ58))</f>
        <v>·</v>
      </c>
      <c r="CD53" s="84" t="str">
        <f>IF( OR(ISBLANK($P53:$P58),ISBLANK($AM53:$AM58), ISBLANK(U53:U58),ISBLANK(AR53:AR58)), "·", bdRateHermite( $P54:$P58,U54:U58, $AM54:$AM58,AR54:AR58))</f>
        <v>·</v>
      </c>
      <c r="CE53" s="84" t="str">
        <f>IF( OR(ISBLANK($P53:$P58),ISBLANK($AM53:$AM58), ISBLANK(V53:V58),ISBLANK(AS53:AS58)), "·", bdRateHermite( $P54:$P58,V54:V58, $AM54:$AM58,AS54:AS58))</f>
        <v>·</v>
      </c>
      <c r="CF53" s="84" t="str">
        <f>IF( OR(ISBLANK($P53:$P58),ISBLANK($AM53:$AM58), ISBLANK(W53:W58),ISBLANK(AT53:AT58)), "·", bdRateHermite( $P54:$P58,W54:W58, $AM54:$AM58,AT54:AT58))</f>
        <v>·</v>
      </c>
      <c r="CG53" s="84" t="str">
        <f>IF( OR(ISBLANK($P53:$P58),ISBLANK($AM53:$AM58), ISBLANK(X53:X58),ISBLANK(AU53:AU58)), "·", bdRateHermite( $P54:$P58,X54:X58, $AM54:$AM58,AU54:AU58))</f>
        <v>·</v>
      </c>
      <c r="CH53" s="92"/>
      <c r="CJ53" s="83" t="str">
        <f>IF( OR(ISBLANK($Q53:$Q57),ISBLANK($AN53:$AN57), ISBLANK($T53:$T57),ISBLANK($AQ53:$AQ57)), "·", bdRateHermite( $Q53:$Q57,$T53:$T57, $AN53:$AN57,$AQ53:$AQ57))</f>
        <v>·</v>
      </c>
      <c r="CK53" s="84" t="str">
        <f>IF(OR(ISBLANK($Q53:$Q57),ISBLANK($AN53:$AN57),ISBLANK(U53:U57),ISBLANK(AR53:AR57)),"·",bdRateHermite($Q53:$Q57,U53:U57,$AN53:$AN57,AR53:AR57))</f>
        <v>·</v>
      </c>
      <c r="CL53" s="225" t="str">
        <f>IF(OR(ISBLANK($R53:$R58),ISBLANK($AO53:$AO58),ISBLANK($V53:$V58),ISBLANK($AS53:$AS58)),"·",bdRateHermite($R53:$R57,$V53:$V57,$AO53:$AO57,$AS53:$AS57))</f>
        <v>·</v>
      </c>
      <c r="CM53" s="225" t="str">
        <f>IF(OR(ISBLANK($R53:$R58),ISBLANK($AO53:$AO58),ISBLANK($W53:$W58),ISBLANK($AT53:$AT58)),"·",bdRateHermite($R53:$R57,$W53:$W57,$AO53:$AO57,$AT53:$AT57))</f>
        <v>·</v>
      </c>
      <c r="CN53" s="225" t="str">
        <f>IF(OR(ISBLANK($R53:$R58),ISBLANK($AO53:$AO58),ISBLANK($X53:$X58),ISBLANK($AU53:$AU58)),"·",bdRateHermite($R53:$R57,$X53:$X57,$AO53:$AO57,$AU53:$AU57))</f>
        <v>·</v>
      </c>
      <c r="CO53" s="92"/>
      <c r="CQ53" s="83" t="str">
        <f>IF( OR(ISBLANK($P53:$P57),ISBLANK($AM53:$AM57), ISBLANK($T53:$T57),ISBLANK($AQ53:$AQ57)), "·", bdRateHermite($P53:$P57,$T53:$T57, $AM53:$AM57,$AQ53:$AQ57))</f>
        <v>·</v>
      </c>
      <c r="CR53" s="84" t="str">
        <f>IF( OR(ISBLANK($P53:$P57),ISBLANK($AM53:$AM57), ISBLANK(U53:U57),ISBLANK(AR53:AR57)), "·", bdRateHermite( $P53:$P57,U53:U57, $AM53:$AM57,AR53:AR57))</f>
        <v>·</v>
      </c>
      <c r="CS53" s="84" t="str">
        <f>IF( OR(ISBLANK($P53:$P57),ISBLANK($AM53:$AM57), ISBLANK(V53:V57),ISBLANK(AS53:AS57)), "·", bdRateHermite( $P53:$P57,V53:V57, $AM53:$AM57,AS53:AS57))</f>
        <v>·</v>
      </c>
      <c r="CT53" s="84" t="str">
        <f>IF( OR(ISBLANK($P53:$P57),ISBLANK($AM53:$AM57), ISBLANK(W53:W57),ISBLANK(AT53:AT57)), "·", bdRateHermite( $P53:$P57,W53:W57, $AM53:$AM57,AT53:AT57))</f>
        <v>·</v>
      </c>
      <c r="CU53" s="84" t="str">
        <f>IF( OR(ISBLANK($P53:$P57),ISBLANK($AM53:$AM57), ISBLANK(X53:X57),ISBLANK(AU53:AU57)), "·", bdRateHermite( $P53:$P57,X53:X57, $AM53:$AM57,AU53:AU57))</f>
        <v>·</v>
      </c>
      <c r="CV53" s="92"/>
    </row>
    <row r="54" spans="1:100" outlineLevel="1">
      <c r="A54" s="13"/>
      <c r="B54" s="14" t="s">
        <v>1118</v>
      </c>
      <c r="C54" s="15" t="s">
        <v>132</v>
      </c>
      <c r="D54" s="476">
        <v>67599953</v>
      </c>
      <c r="E54" s="15">
        <v>16</v>
      </c>
      <c r="F54" s="15">
        <v>1</v>
      </c>
      <c r="G54" s="16"/>
      <c r="I54" s="30" t="str">
        <f t="shared" si="0"/>
        <v>·</v>
      </c>
      <c r="J54" s="31">
        <f t="shared" si="1"/>
        <v>3.8874583241204326E-3</v>
      </c>
      <c r="K54" s="31">
        <f t="shared" si="2"/>
        <v>8.958586110259574E-4</v>
      </c>
      <c r="L54" s="31">
        <f t="shared" si="16"/>
        <v>2.9813038479479417E-3</v>
      </c>
      <c r="M54" s="51"/>
      <c r="N54" s="31">
        <f t="shared" si="4"/>
        <v>3.8433368433368433</v>
      </c>
      <c r="O54" s="356">
        <v>68376</v>
      </c>
      <c r="P54" s="357">
        <v>262792</v>
      </c>
      <c r="Q54" s="357">
        <v>60560</v>
      </c>
      <c r="R54" s="208">
        <v>201536</v>
      </c>
      <c r="S54" s="87"/>
      <c r="T54" s="358">
        <v>58.987087000000002</v>
      </c>
      <c r="U54" s="358">
        <v>54.185268000000001</v>
      </c>
      <c r="V54" s="358">
        <v>21.090803000000001</v>
      </c>
      <c r="W54" s="358">
        <v>27.111509000000002</v>
      </c>
      <c r="X54" s="358">
        <v>27.006430000000002</v>
      </c>
      <c r="Y54" s="87">
        <v>0</v>
      </c>
      <c r="Z54" s="359"/>
      <c r="AA54" s="359"/>
      <c r="AB54" s="32">
        <v>0</v>
      </c>
      <c r="AC54" s="32">
        <v>0</v>
      </c>
      <c r="AD54" s="33"/>
      <c r="AF54" s="30" t="str">
        <f t="shared" si="5"/>
        <v>·</v>
      </c>
      <c r="AG54" s="31" t="str">
        <f t="shared" si="6"/>
        <v>·</v>
      </c>
      <c r="AH54" s="31" t="str">
        <f t="shared" si="7"/>
        <v>·</v>
      </c>
      <c r="AI54" s="31" t="str">
        <f t="shared" si="15"/>
        <v>·</v>
      </c>
      <c r="AJ54" s="51"/>
      <c r="AK54" s="31" t="str">
        <f t="shared" si="17"/>
        <v>·</v>
      </c>
      <c r="AL54" s="356"/>
      <c r="AM54" s="357"/>
      <c r="AN54" s="357"/>
      <c r="AO54" s="208"/>
      <c r="AP54" s="87"/>
      <c r="AQ54" s="358"/>
      <c r="AR54" s="358"/>
      <c r="AS54" s="358"/>
      <c r="AT54" s="358"/>
      <c r="AU54" s="358"/>
      <c r="AV54" s="87"/>
      <c r="AW54" s="359"/>
      <c r="AX54" s="359"/>
      <c r="AY54" s="32">
        <v>0</v>
      </c>
      <c r="AZ54" s="32">
        <v>0</v>
      </c>
      <c r="BA54" s="33">
        <v>49152</v>
      </c>
      <c r="BC54" s="56" t="e">
        <f t="shared" si="14"/>
        <v>#DIV/0!</v>
      </c>
      <c r="BD54" s="57" t="e">
        <f t="shared" si="14"/>
        <v>#DIV/0!</v>
      </c>
      <c r="BE54" s="57" t="e">
        <f t="shared" si="10"/>
        <v>#DIV/0!</v>
      </c>
      <c r="BF54" s="58"/>
      <c r="BH54" s="74"/>
      <c r="BI54" s="75"/>
      <c r="BJ54" s="75"/>
      <c r="BK54" s="75"/>
      <c r="BL54" s="75"/>
      <c r="BM54" s="87"/>
      <c r="BO54" s="74"/>
      <c r="BP54" s="75"/>
      <c r="BQ54" s="75"/>
      <c r="BR54" s="75"/>
      <c r="BS54" s="75"/>
      <c r="BT54" s="87"/>
      <c r="BV54" s="74"/>
      <c r="BW54" s="75"/>
      <c r="BX54" s="75"/>
      <c r="BY54" s="75"/>
      <c r="BZ54" s="75"/>
      <c r="CA54" s="87"/>
      <c r="CC54" s="74"/>
      <c r="CD54" s="75"/>
      <c r="CE54" s="75"/>
      <c r="CF54" s="75"/>
      <c r="CG54" s="75"/>
      <c r="CH54" s="87"/>
      <c r="CJ54" s="74"/>
      <c r="CK54" s="75"/>
      <c r="CL54" s="75"/>
      <c r="CM54" s="75"/>
      <c r="CN54" s="75"/>
      <c r="CO54" s="87"/>
      <c r="CQ54" s="74"/>
      <c r="CR54" s="75"/>
      <c r="CS54" s="75"/>
      <c r="CT54" s="75"/>
      <c r="CU54" s="75"/>
      <c r="CV54" s="87"/>
    </row>
    <row r="55" spans="1:100" outlineLevel="1">
      <c r="A55" s="13"/>
      <c r="B55" s="14" t="s">
        <v>1118</v>
      </c>
      <c r="C55" s="15" t="s">
        <v>133</v>
      </c>
      <c r="D55" s="476">
        <v>67599953</v>
      </c>
      <c r="E55" s="15">
        <v>16</v>
      </c>
      <c r="F55" s="15">
        <v>1</v>
      </c>
      <c r="G55" s="16"/>
      <c r="I55" s="30" t="str">
        <f t="shared" si="0"/>
        <v>·</v>
      </c>
      <c r="J55" s="31">
        <f t="shared" si="1"/>
        <v>6.3879571040530159E-2</v>
      </c>
      <c r="K55" s="31">
        <f t="shared" si="2"/>
        <v>1.2504505735381206E-2</v>
      </c>
      <c r="L55" s="31">
        <f t="shared" si="16"/>
        <v>5.1364296066892239E-2</v>
      </c>
      <c r="M55" s="51"/>
      <c r="N55" s="31">
        <f t="shared" si="4"/>
        <v>4.0398988868951502</v>
      </c>
      <c r="O55" s="356">
        <v>1068902</v>
      </c>
      <c r="P55" s="357">
        <v>4318256</v>
      </c>
      <c r="Q55" s="357">
        <v>845304</v>
      </c>
      <c r="R55" s="208">
        <v>3472224</v>
      </c>
      <c r="S55" s="87"/>
      <c r="T55" s="358">
        <v>71.057250999999994</v>
      </c>
      <c r="U55" s="358">
        <v>66.226462999999995</v>
      </c>
      <c r="V55" s="358">
        <v>25.538618</v>
      </c>
      <c r="W55" s="358">
        <v>33.144745</v>
      </c>
      <c r="X55" s="358">
        <v>32.493431000000001</v>
      </c>
      <c r="Y55" s="87">
        <v>0</v>
      </c>
      <c r="Z55" s="359"/>
      <c r="AA55" s="359"/>
      <c r="AB55" s="32">
        <v>0</v>
      </c>
      <c r="AC55" s="32">
        <v>0</v>
      </c>
      <c r="AD55" s="33"/>
      <c r="AF55" s="30" t="str">
        <f t="shared" si="5"/>
        <v>·</v>
      </c>
      <c r="AG55" s="31" t="str">
        <f t="shared" si="6"/>
        <v>·</v>
      </c>
      <c r="AH55" s="31" t="str">
        <f t="shared" si="7"/>
        <v>·</v>
      </c>
      <c r="AI55" s="31" t="str">
        <f t="shared" si="15"/>
        <v>·</v>
      </c>
      <c r="AJ55" s="51"/>
      <c r="AK55" s="31" t="str">
        <f t="shared" si="17"/>
        <v>·</v>
      </c>
      <c r="AL55" s="356"/>
      <c r="AM55" s="357"/>
      <c r="AN55" s="357"/>
      <c r="AO55" s="208"/>
      <c r="AP55" s="87"/>
      <c r="AQ55" s="358"/>
      <c r="AR55" s="358"/>
      <c r="AS55" s="358"/>
      <c r="AT55" s="358"/>
      <c r="AU55" s="358"/>
      <c r="AV55" s="87"/>
      <c r="AW55" s="359"/>
      <c r="AX55" s="359"/>
      <c r="AY55" s="32">
        <v>0</v>
      </c>
      <c r="AZ55" s="32">
        <v>0</v>
      </c>
      <c r="BA55" s="33">
        <v>3072</v>
      </c>
      <c r="BC55" s="56" t="e">
        <f t="shared" si="14"/>
        <v>#DIV/0!</v>
      </c>
      <c r="BD55" s="57" t="e">
        <f t="shared" si="14"/>
        <v>#DIV/0!</v>
      </c>
      <c r="BE55" s="57" t="e">
        <f t="shared" si="10"/>
        <v>#DIV/0!</v>
      </c>
      <c r="BF55" s="58"/>
      <c r="BH55" s="74"/>
      <c r="BI55" s="75"/>
      <c r="BJ55" s="75"/>
      <c r="BK55" s="75"/>
      <c r="BL55" s="75"/>
      <c r="BM55" s="87"/>
      <c r="BO55" s="74"/>
      <c r="BP55" s="75"/>
      <c r="BQ55" s="75"/>
      <c r="BR55" s="75"/>
      <c r="BS55" s="75"/>
      <c r="BT55" s="87"/>
      <c r="BV55" s="74"/>
      <c r="BW55" s="75"/>
      <c r="BX55" s="75"/>
      <c r="BY55" s="75"/>
      <c r="BZ55" s="75"/>
      <c r="CA55" s="87"/>
      <c r="CC55" s="74"/>
      <c r="CD55" s="75"/>
      <c r="CE55" s="75"/>
      <c r="CF55" s="75"/>
      <c r="CG55" s="75"/>
      <c r="CH55" s="87"/>
      <c r="CJ55" s="74"/>
      <c r="CK55" s="75"/>
      <c r="CL55" s="75"/>
      <c r="CM55" s="75"/>
      <c r="CN55" s="75"/>
      <c r="CO55" s="87"/>
      <c r="CQ55" s="74"/>
      <c r="CR55" s="75"/>
      <c r="CS55" s="75"/>
      <c r="CT55" s="75"/>
      <c r="CU55" s="75"/>
      <c r="CV55" s="87"/>
    </row>
    <row r="56" spans="1:100" outlineLevel="1">
      <c r="A56" s="13"/>
      <c r="B56" s="14" t="s">
        <v>1118</v>
      </c>
      <c r="C56" s="15" t="s">
        <v>134</v>
      </c>
      <c r="D56" s="476">
        <v>67599953</v>
      </c>
      <c r="E56" s="15">
        <v>16</v>
      </c>
      <c r="F56" s="15">
        <v>1</v>
      </c>
      <c r="G56" s="16"/>
      <c r="I56" s="30" t="str">
        <f t="shared" si="0"/>
        <v>·</v>
      </c>
      <c r="J56" s="31">
        <f t="shared" si="1"/>
        <v>0.3180880318067677</v>
      </c>
      <c r="K56" s="31">
        <f t="shared" si="2"/>
        <v>4.5517664782991789E-2</v>
      </c>
      <c r="L56" s="31">
        <f t="shared" si="16"/>
        <v>0.27255959778551919</v>
      </c>
      <c r="M56" s="51"/>
      <c r="N56" s="31">
        <f t="shared" si="4"/>
        <v>5.3405578161040301</v>
      </c>
      <c r="O56" s="356">
        <v>4026309</v>
      </c>
      <c r="P56" s="357">
        <v>21502736</v>
      </c>
      <c r="Q56" s="357">
        <v>3076992</v>
      </c>
      <c r="R56" s="208">
        <v>18425016</v>
      </c>
      <c r="S56" s="87"/>
      <c r="T56" s="358">
        <v>77.089759999999998</v>
      </c>
      <c r="U56" s="358">
        <v>72.247062999999997</v>
      </c>
      <c r="V56" s="358">
        <v>28.167299</v>
      </c>
      <c r="W56" s="358">
        <v>36.543185999999999</v>
      </c>
      <c r="X56" s="358">
        <v>35.900196000000001</v>
      </c>
      <c r="Y56" s="87">
        <v>0</v>
      </c>
      <c r="Z56" s="359"/>
      <c r="AA56" s="359"/>
      <c r="AB56" s="32">
        <v>0</v>
      </c>
      <c r="AC56" s="32">
        <v>0</v>
      </c>
      <c r="AD56" s="33"/>
      <c r="AF56" s="30" t="str">
        <f t="shared" si="5"/>
        <v>·</v>
      </c>
      <c r="AG56" s="31" t="str">
        <f t="shared" si="6"/>
        <v>·</v>
      </c>
      <c r="AH56" s="31" t="str">
        <f t="shared" si="7"/>
        <v>·</v>
      </c>
      <c r="AI56" s="31" t="str">
        <f t="shared" si="15"/>
        <v>·</v>
      </c>
      <c r="AJ56" s="51"/>
      <c r="AK56" s="31" t="str">
        <f t="shared" si="17"/>
        <v>·</v>
      </c>
      <c r="AL56" s="356"/>
      <c r="AM56" s="357"/>
      <c r="AN56" s="357"/>
      <c r="AO56" s="208"/>
      <c r="AP56" s="87"/>
      <c r="AQ56" s="358"/>
      <c r="AR56" s="358"/>
      <c r="AS56" s="358"/>
      <c r="AT56" s="358"/>
      <c r="AU56" s="358"/>
      <c r="AV56" s="87"/>
      <c r="AW56" s="359"/>
      <c r="AX56" s="359"/>
      <c r="AY56" s="32">
        <v>0</v>
      </c>
      <c r="AZ56" s="32">
        <v>0</v>
      </c>
      <c r="BA56" s="33">
        <v>768</v>
      </c>
      <c r="BC56" s="56" t="e">
        <f t="shared" si="14"/>
        <v>#DIV/0!</v>
      </c>
      <c r="BD56" s="57" t="e">
        <f t="shared" si="14"/>
        <v>#DIV/0!</v>
      </c>
      <c r="BE56" s="57" t="e">
        <f t="shared" si="10"/>
        <v>#DIV/0!</v>
      </c>
      <c r="BF56" s="58"/>
      <c r="BH56" s="74"/>
      <c r="BI56" s="75"/>
      <c r="BJ56" s="75"/>
      <c r="BK56" s="75"/>
      <c r="BL56" s="75"/>
      <c r="BM56" s="87"/>
      <c r="BO56" s="74"/>
      <c r="BP56" s="75"/>
      <c r="BQ56" s="75"/>
      <c r="BR56" s="75"/>
      <c r="BS56" s="75"/>
      <c r="BT56" s="87"/>
      <c r="BV56" s="74"/>
      <c r="BW56" s="75"/>
      <c r="BX56" s="75"/>
      <c r="BY56" s="75"/>
      <c r="BZ56" s="75"/>
      <c r="CA56" s="87"/>
      <c r="CC56" s="74"/>
      <c r="CD56" s="75"/>
      <c r="CE56" s="75"/>
      <c r="CF56" s="75"/>
      <c r="CG56" s="75"/>
      <c r="CH56" s="87"/>
      <c r="CJ56" s="74"/>
      <c r="CK56" s="75"/>
      <c r="CL56" s="75"/>
      <c r="CM56" s="75"/>
      <c r="CN56" s="75"/>
      <c r="CO56" s="87"/>
      <c r="CQ56" s="74"/>
      <c r="CR56" s="75"/>
      <c r="CS56" s="75"/>
      <c r="CT56" s="75"/>
      <c r="CU56" s="75"/>
      <c r="CV56" s="87"/>
    </row>
    <row r="57" spans="1:100" outlineLevel="1">
      <c r="A57" s="13"/>
      <c r="B57" s="14" t="s">
        <v>1118</v>
      </c>
      <c r="C57" s="15" t="s">
        <v>135</v>
      </c>
      <c r="D57" s="476">
        <v>67599953</v>
      </c>
      <c r="E57" s="15">
        <v>16</v>
      </c>
      <c r="F57" s="15">
        <v>1</v>
      </c>
      <c r="G57" s="16"/>
      <c r="I57" s="30" t="str">
        <f t="shared" si="0"/>
        <v>·</v>
      </c>
      <c r="J57" s="31">
        <f t="shared" si="1"/>
        <v>5.2816429620890419</v>
      </c>
      <c r="K57" s="31">
        <f t="shared" si="2"/>
        <v>0.7456511693136828</v>
      </c>
      <c r="L57" s="31">
        <f t="shared" si="16"/>
        <v>4.5359806685072694</v>
      </c>
      <c r="M57" s="51"/>
      <c r="N57" s="31">
        <f t="shared" si="4"/>
        <v>7.2362920463170433</v>
      </c>
      <c r="O57" s="356">
        <v>49340023</v>
      </c>
      <c r="P57" s="357">
        <v>357038816</v>
      </c>
      <c r="Q57" s="357">
        <v>50405984</v>
      </c>
      <c r="R57" s="208">
        <v>306632080</v>
      </c>
      <c r="S57" s="87"/>
      <c r="T57" s="358">
        <v>88.925788999999995</v>
      </c>
      <c r="U57" s="358">
        <v>84.288269</v>
      </c>
      <c r="V57" s="358">
        <v>35.144835999999998</v>
      </c>
      <c r="W57" s="358">
        <v>42.645316999999999</v>
      </c>
      <c r="X57" s="358">
        <v>42.516621000000001</v>
      </c>
      <c r="Y57" s="87">
        <v>0</v>
      </c>
      <c r="Z57" s="359"/>
      <c r="AA57" s="359"/>
      <c r="AB57" s="32">
        <v>0</v>
      </c>
      <c r="AC57" s="32">
        <v>0</v>
      </c>
      <c r="AD57" s="33"/>
      <c r="AF57" s="30" t="str">
        <f t="shared" si="5"/>
        <v>·</v>
      </c>
      <c r="AG57" s="31" t="str">
        <f t="shared" si="6"/>
        <v>·</v>
      </c>
      <c r="AH57" s="31" t="str">
        <f t="shared" si="7"/>
        <v>·</v>
      </c>
      <c r="AI57" s="31" t="str">
        <f t="shared" si="15"/>
        <v>·</v>
      </c>
      <c r="AJ57" s="51"/>
      <c r="AK57" s="31" t="str">
        <f t="shared" si="17"/>
        <v>·</v>
      </c>
      <c r="AL57" s="356"/>
      <c r="AM57" s="357"/>
      <c r="AN57" s="357"/>
      <c r="AO57" s="208"/>
      <c r="AP57" s="87"/>
      <c r="AQ57" s="358"/>
      <c r="AR57" s="358"/>
      <c r="AS57" s="358"/>
      <c r="AT57" s="358"/>
      <c r="AU57" s="358"/>
      <c r="AV57" s="87"/>
      <c r="AW57" s="359"/>
      <c r="AX57" s="359"/>
      <c r="AY57" s="32">
        <v>0</v>
      </c>
      <c r="AZ57" s="32">
        <v>0</v>
      </c>
      <c r="BA57" s="33">
        <v>48</v>
      </c>
      <c r="BC57" s="56" t="e">
        <f t="shared" si="14"/>
        <v>#DIV/0!</v>
      </c>
      <c r="BD57" s="57" t="e">
        <f t="shared" si="14"/>
        <v>#DIV/0!</v>
      </c>
      <c r="BE57" s="57" t="e">
        <f t="shared" si="10"/>
        <v>#DIV/0!</v>
      </c>
      <c r="BF57" s="58"/>
      <c r="BH57" s="74"/>
      <c r="BI57" s="75"/>
      <c r="BJ57" s="75"/>
      <c r="BK57" s="75"/>
      <c r="BL57" s="75"/>
      <c r="BM57" s="87"/>
      <c r="BO57" s="74"/>
      <c r="BP57" s="75"/>
      <c r="BQ57" s="75"/>
      <c r="BR57" s="75"/>
      <c r="BS57" s="75"/>
      <c r="BT57" s="87"/>
      <c r="BV57" s="74"/>
      <c r="BW57" s="75"/>
      <c r="BX57" s="75"/>
      <c r="BY57" s="75"/>
      <c r="BZ57" s="75"/>
      <c r="CA57" s="87"/>
      <c r="CC57" s="74"/>
      <c r="CD57" s="75"/>
      <c r="CE57" s="75"/>
      <c r="CF57" s="75"/>
      <c r="CG57" s="75"/>
      <c r="CH57" s="87"/>
      <c r="CJ57" s="74"/>
      <c r="CK57" s="75"/>
      <c r="CL57" s="75"/>
      <c r="CM57" s="75"/>
      <c r="CN57" s="75"/>
      <c r="CO57" s="87"/>
      <c r="CQ57" s="74"/>
      <c r="CR57" s="75"/>
      <c r="CS57" s="75"/>
      <c r="CT57" s="75"/>
      <c r="CU57" s="75"/>
      <c r="CV57" s="87"/>
    </row>
    <row r="58" spans="1:100" ht="14.25" outlineLevel="1" thickBot="1">
      <c r="A58" s="215"/>
      <c r="B58" s="18" t="s">
        <v>1118</v>
      </c>
      <c r="C58" s="19" t="s">
        <v>136</v>
      </c>
      <c r="D58" s="477">
        <v>67599953</v>
      </c>
      <c r="E58" s="19">
        <v>16</v>
      </c>
      <c r="F58" s="19">
        <v>1</v>
      </c>
      <c r="G58" s="20"/>
      <c r="I58" s="34" t="str">
        <f t="shared" si="0"/>
        <v>·</v>
      </c>
      <c r="J58" s="35">
        <f t="shared" si="1"/>
        <v>13.439233130827768</v>
      </c>
      <c r="K58" s="35">
        <f t="shared" si="2"/>
        <v>4.2330356058087792</v>
      </c>
      <c r="L58" s="35">
        <f t="shared" si="16"/>
        <v>9.2061864007508998</v>
      </c>
      <c r="M58" s="52"/>
      <c r="N58" s="35">
        <f t="shared" si="4"/>
        <v>13.938700200786663</v>
      </c>
      <c r="O58" s="360">
        <v>65177636</v>
      </c>
      <c r="P58" s="361">
        <v>908491528</v>
      </c>
      <c r="Q58" s="361">
        <v>286153008</v>
      </c>
      <c r="R58" s="209">
        <v>622337768</v>
      </c>
      <c r="S58" s="88"/>
      <c r="T58" s="362">
        <v>94.574066000000002</v>
      </c>
      <c r="U58" s="362">
        <v>90.308868000000004</v>
      </c>
      <c r="V58" s="362">
        <v>41.367542</v>
      </c>
      <c r="W58" s="362">
        <v>48.402424000000003</v>
      </c>
      <c r="X58" s="362">
        <v>48.027954000000001</v>
      </c>
      <c r="Y58" s="88">
        <v>0</v>
      </c>
      <c r="Z58" s="363"/>
      <c r="AA58" s="363"/>
      <c r="AB58" s="36">
        <v>0</v>
      </c>
      <c r="AC58" s="36">
        <v>0</v>
      </c>
      <c r="AD58" s="37"/>
      <c r="AF58" s="34" t="str">
        <f t="shared" si="5"/>
        <v>·</v>
      </c>
      <c r="AG58" s="35" t="str">
        <f t="shared" si="6"/>
        <v>·</v>
      </c>
      <c r="AH58" s="35" t="str">
        <f t="shared" si="7"/>
        <v>·</v>
      </c>
      <c r="AI58" s="35" t="str">
        <f t="shared" si="15"/>
        <v>·</v>
      </c>
      <c r="AJ58" s="52"/>
      <c r="AK58" s="35" t="str">
        <f t="shared" si="17"/>
        <v>·</v>
      </c>
      <c r="AL58" s="360"/>
      <c r="AM58" s="361"/>
      <c r="AN58" s="361"/>
      <c r="AO58" s="209"/>
      <c r="AP58" s="88"/>
      <c r="AQ58" s="362"/>
      <c r="AR58" s="362"/>
      <c r="AS58" s="362"/>
      <c r="AT58" s="362"/>
      <c r="AU58" s="362"/>
      <c r="AV58" s="88"/>
      <c r="AW58" s="363"/>
      <c r="AX58" s="363"/>
      <c r="AY58" s="36">
        <v>0</v>
      </c>
      <c r="AZ58" s="36">
        <v>0</v>
      </c>
      <c r="BA58" s="37">
        <v>12</v>
      </c>
      <c r="BC58" s="59" t="e">
        <f t="shared" si="14"/>
        <v>#DIV/0!</v>
      </c>
      <c r="BD58" s="60" t="e">
        <f t="shared" si="14"/>
        <v>#DIV/0!</v>
      </c>
      <c r="BE58" s="60" t="e">
        <f t="shared" si="10"/>
        <v>#DIV/0!</v>
      </c>
      <c r="BF58" s="61"/>
      <c r="BH58" s="77"/>
      <c r="BI58" s="78"/>
      <c r="BJ58" s="78"/>
      <c r="BK58" s="78"/>
      <c r="BL58" s="78"/>
      <c r="BM58" s="88"/>
      <c r="BO58" s="77"/>
      <c r="BP58" s="78"/>
      <c r="BQ58" s="78"/>
      <c r="BR58" s="78"/>
      <c r="BS58" s="78"/>
      <c r="BT58" s="88"/>
      <c r="BV58" s="77"/>
      <c r="BW58" s="78"/>
      <c r="BX58" s="78"/>
      <c r="BY58" s="78"/>
      <c r="BZ58" s="78"/>
      <c r="CA58" s="88"/>
      <c r="CC58" s="77"/>
      <c r="CD58" s="78"/>
      <c r="CE58" s="78"/>
      <c r="CF58" s="78"/>
      <c r="CG58" s="78"/>
      <c r="CH58" s="88"/>
      <c r="CJ58" s="77"/>
      <c r="CK58" s="78"/>
      <c r="CL58" s="78"/>
      <c r="CM58" s="78"/>
      <c r="CN58" s="78"/>
      <c r="CO58" s="88"/>
      <c r="CQ58" s="77"/>
      <c r="CR58" s="78"/>
      <c r="CS58" s="78"/>
      <c r="CT58" s="78"/>
      <c r="CU58" s="78"/>
      <c r="CV58" s="88"/>
    </row>
    <row r="59" spans="1:100">
      <c r="A59" s="13"/>
      <c r="B59" s="27" t="s">
        <v>1119</v>
      </c>
      <c r="C59" s="25" t="s">
        <v>131</v>
      </c>
      <c r="D59" s="475">
        <v>59136574</v>
      </c>
      <c r="E59" s="28">
        <v>16</v>
      </c>
      <c r="F59" s="28">
        <v>1</v>
      </c>
      <c r="G59" s="29"/>
      <c r="I59" s="42" t="str">
        <f t="shared" si="0"/>
        <v>·</v>
      </c>
      <c r="J59" s="43">
        <f t="shared" si="1"/>
        <v>9.3546169921849035E-4</v>
      </c>
      <c r="K59" s="43">
        <f t="shared" si="2"/>
        <v>4.8267929758663396E-4</v>
      </c>
      <c r="L59" s="43">
        <f t="shared" si="16"/>
        <v>4.415541556397907E-4</v>
      </c>
      <c r="M59" s="55"/>
      <c r="N59" s="43">
        <f t="shared" si="4"/>
        <v>2.7013037745983692</v>
      </c>
      <c r="O59" s="352">
        <v>20479</v>
      </c>
      <c r="P59" s="353">
        <v>55320</v>
      </c>
      <c r="Q59" s="353">
        <v>28544</v>
      </c>
      <c r="R59" s="207">
        <v>26112</v>
      </c>
      <c r="S59" s="90"/>
      <c r="T59" s="354">
        <v>53.023235</v>
      </c>
      <c r="U59" s="354">
        <v>48.164664999999999</v>
      </c>
      <c r="V59" s="354">
        <v>18.382995999999999</v>
      </c>
      <c r="W59" s="354">
        <v>24.267354999999998</v>
      </c>
      <c r="X59" s="354">
        <v>27.933261999999999</v>
      </c>
      <c r="Y59" s="90">
        <v>0</v>
      </c>
      <c r="Z59" s="355"/>
      <c r="AA59" s="355"/>
      <c r="AB59" s="44">
        <v>0</v>
      </c>
      <c r="AC59" s="44">
        <v>0</v>
      </c>
      <c r="AD59" s="45"/>
      <c r="AF59" s="42" t="str">
        <f t="shared" si="5"/>
        <v>·</v>
      </c>
      <c r="AG59" s="43" t="str">
        <f t="shared" si="6"/>
        <v>·</v>
      </c>
      <c r="AH59" s="43" t="str">
        <f t="shared" ref="AH59:AH64" si="18">IF(AN59="","·",AN59/$D59)</f>
        <v>·</v>
      </c>
      <c r="AI59" s="43" t="str">
        <f t="shared" si="15"/>
        <v>·</v>
      </c>
      <c r="AJ59" s="55"/>
      <c r="AK59" s="43" t="str">
        <f t="shared" si="17"/>
        <v>·</v>
      </c>
      <c r="AL59" s="352"/>
      <c r="AM59" s="353"/>
      <c r="AN59" s="353"/>
      <c r="AO59" s="207"/>
      <c r="AP59" s="90"/>
      <c r="AQ59" s="354"/>
      <c r="AR59" s="354"/>
      <c r="AS59" s="354"/>
      <c r="AT59" s="354"/>
      <c r="AU59" s="354"/>
      <c r="AV59" s="90"/>
      <c r="AW59" s="355"/>
      <c r="AX59" s="355"/>
      <c r="AY59" s="44">
        <v>0</v>
      </c>
      <c r="AZ59" s="44">
        <v>0</v>
      </c>
      <c r="BA59" s="45">
        <v>196608</v>
      </c>
      <c r="BC59" s="65" t="e">
        <f t="shared" si="14"/>
        <v>#DIV/0!</v>
      </c>
      <c r="BD59" s="66" t="e">
        <f t="shared" si="14"/>
        <v>#DIV/0!</v>
      </c>
      <c r="BE59" s="66" t="e">
        <f t="shared" si="10"/>
        <v>#DIV/0!</v>
      </c>
      <c r="BF59" s="67" t="e">
        <f t="array" ref="BF59">AVERAGE(AN59:AN64/AM59:AM64) - AVERAGE(Q59:Q64/P59:P64)</f>
        <v>#DIV/0!</v>
      </c>
      <c r="BH59" s="83" t="str">
        <f>IF( OR(ISBLANK($Q59:$Q64),ISBLANK($AN59:$AN64), ISBLANK($T59:$T64),ISBLANK($AQ59:$AQ64)), "·", bdRateHermite( $Q59:$Q64,$T59:$T64, $AN59:$AN64,$AQ59:$AQ64))</f>
        <v>·</v>
      </c>
      <c r="BI59" s="225" t="str">
        <f>IF(OR(ISBLANK(Q59:Q64),ISBLANK(AN59:AN64),ISBLANK(U59:U64),ISBLANK(AR59:AR64)),"·",bdRateHermite(Q59:Q64,U59:U64,AN59:AN64,AR59:AR64))</f>
        <v>·</v>
      </c>
      <c r="BJ59" s="225" t="str">
        <f>IF(OR(ISBLANK($R59:$R64),ISBLANK($AO59:$AO64),ISBLANK(V59:V64),ISBLANK(AS59:AS64)),"·",bdRateHermite($R59:$R64,V59:V64,$AO59:$AO64,AS59:AS64))</f>
        <v>·</v>
      </c>
      <c r="BK59" s="225" t="str">
        <f>IF(OR(ISBLANK($R59:$R64),ISBLANK($AO59:$AO64),ISBLANK(W59:W64),ISBLANK(AT59:AT64)),"·",bdRateHermite($R59:$R64,W59:W64,$AO59:$AO64,AT59:AT64))</f>
        <v>·</v>
      </c>
      <c r="BL59" s="225" t="str">
        <f>IF(OR(ISBLANK($R59:$R64),ISBLANK($AO59:$AO64),ISBLANK(X59:X64),ISBLANK(AU59:AU64)),"·",bdRateHermite($R59:$R64,X59:X64,$AO59:$AO64,AU59:AU64))</f>
        <v>·</v>
      </c>
      <c r="BM59" s="92"/>
      <c r="BO59" s="83" t="str">
        <f>IF( OR(ISBLANK($P59:$P64),ISBLANK($AM59:$AM64), ISBLANK($T59:$T64),ISBLANK($AQ59:$AQ64)), "·", bdRateHermite($P59:$P64,$T59:$T64, $AM59:$AM64,$AQ59:$AQ64))</f>
        <v>·</v>
      </c>
      <c r="BP59" s="84" t="str">
        <f>IF( OR(ISBLANK($P59:$P64),ISBLANK($AM59:$AM64), ISBLANK(U59:U64),ISBLANK(AR59:AR64)), "·", bdRateHermite( $P59:$P64,U59:U64, $AM59:$AM64,AR59:AR64))</f>
        <v>·</v>
      </c>
      <c r="BQ59" s="84" t="str">
        <f>IF( OR(ISBLANK($P59:$P64),ISBLANK($AM59:$AM64), ISBLANK(V59:V64),ISBLANK(AS59:AS64)), "·", bdRateHermite( $P59:$P64,V59:V64, $AM59:$AM64,AS59:AS64))</f>
        <v>·</v>
      </c>
      <c r="BR59" s="84" t="str">
        <f>IF( OR(ISBLANK($P59:$P64),ISBLANK($AM59:$AM64), ISBLANK(W59:W64),ISBLANK(AT59:AT64)), "·", bdRateHermite( $P59:$P64,W59:W64, $AM59:$AM64,AT59:AT64))</f>
        <v>·</v>
      </c>
      <c r="BS59" s="84" t="str">
        <f>IF( OR(ISBLANK($P59:$P64),ISBLANK($AM59:$AM64), ISBLANK(X59:X64),ISBLANK(AU59:AU64)), "·", bdRateHermite( $P59:$P64,X59:X64, $AM59:$AM64,AU59:AU64))</f>
        <v>·</v>
      </c>
      <c r="BT59" s="92"/>
      <c r="BV59" s="83" t="str">
        <f>IF( OR(ISBLANK($Q59:$Q63),ISBLANK($AN59:$AN63), ISBLANK($T59:$T63),ISBLANK($AQ59:$AQ63)), "·", bdRateHermite( $Q60:$Q64,$T60:$T64, $AN60:$AN64,$AQ60:$AQ64))</f>
        <v>·</v>
      </c>
      <c r="BW59" s="84" t="str">
        <f>IF(OR(ISBLANK($Q59:$Q64),ISBLANK($AN59:$AN64),ISBLANK(U59:U64),ISBLANK(AR59:AR64)),"·",bdRateHermite($Q60:$Q64,U60:U64,$AN60:$AN64,AR60:AR64))</f>
        <v>·</v>
      </c>
      <c r="BX59" s="225" t="str">
        <f>IF(OR(ISBLANK($R59:$R64),ISBLANK($AO59:$AO64),ISBLANK($V59:$V64),ISBLANK($AS59:$AS64)),"·",bdRateHermite($R60:$R64,$V60:$V64,$AO60:$AO64,$AS60:$AS64))</f>
        <v>·</v>
      </c>
      <c r="BY59" s="225" t="str">
        <f>IF(OR(ISBLANK($R59:$R64),ISBLANK($AO59:$AO64),ISBLANK($W59:$W64),ISBLANK($AT59:$AT64)),"·",bdRateHermite($R60:$R64,$W60:$W64,$AO60:$AO64,$AT60:$AT64))</f>
        <v>·</v>
      </c>
      <c r="BZ59" s="225" t="str">
        <f>IF(OR(ISBLANK($R59:$R64),ISBLANK($AO59:$AO64),ISBLANK($X59:$X64),ISBLANK($AU59:$AU64)),"·",bdRateHermite($R60:$R64,$X60:$X64,$AO60:$AO64,$AU60:$AU64))</f>
        <v>·</v>
      </c>
      <c r="CA59" s="92"/>
      <c r="CC59" s="83" t="str">
        <f>IF( OR(ISBLANK($P59:$P64),ISBLANK($AM59:$AM64), ISBLANK($T59:$T64),ISBLANK($AQ59:$AQ64)), "·", bdRateHermite($P60:$P64,$T60:$T64, $AM60:$AM64,$AQ60:$AQ64))</f>
        <v>·</v>
      </c>
      <c r="CD59" s="84" t="str">
        <f>IF( OR(ISBLANK($P59:$P64),ISBLANK($AM59:$AM64), ISBLANK(U59:U64),ISBLANK(AR59:AR64)), "·", bdRateHermite( $P60:$P64,U60:U64, $AM60:$AM64,AR60:AR64))</f>
        <v>·</v>
      </c>
      <c r="CE59" s="84" t="str">
        <f>IF( OR(ISBLANK($P59:$P64),ISBLANK($AM59:$AM64), ISBLANK(V59:V64),ISBLANK(AS59:AS64)), "·", bdRateHermite( $P60:$P64,V60:V64, $AM60:$AM64,AS60:AS64))</f>
        <v>·</v>
      </c>
      <c r="CF59" s="84" t="str">
        <f>IF( OR(ISBLANK($P59:$P64),ISBLANK($AM59:$AM64), ISBLANK(W59:W64),ISBLANK(AT59:AT64)), "·", bdRateHermite( $P60:$P64,W60:W64, $AM60:$AM64,AT60:AT64))</f>
        <v>·</v>
      </c>
      <c r="CG59" s="84" t="str">
        <f>IF( OR(ISBLANK($P59:$P64),ISBLANK($AM59:$AM64), ISBLANK(X59:X64),ISBLANK(AU59:AU64)), "·", bdRateHermite( $P60:$P64,X60:X64, $AM60:$AM64,AU60:AU64))</f>
        <v>·</v>
      </c>
      <c r="CH59" s="92"/>
      <c r="CJ59" s="83" t="str">
        <f>IF( OR(ISBLANK($Q59:$Q63),ISBLANK($AN59:$AN63), ISBLANK($T59:$T63),ISBLANK($AQ59:$AQ63)), "·", bdRateHermite( $Q59:$Q63,$T59:$T63, $AN59:$AN63,$AQ59:$AQ63))</f>
        <v>·</v>
      </c>
      <c r="CK59" s="84" t="str">
        <f>IF(OR(ISBLANK($Q59:$Q63),ISBLANK($AN59:$AN63),ISBLANK(U59:U63),ISBLANK(AR59:AR63)),"·",bdRateHermite($Q59:$Q63,U59:U63,$AN59:$AN63,AR59:AR63))</f>
        <v>·</v>
      </c>
      <c r="CL59" s="225" t="str">
        <f>IF(OR(ISBLANK($R59:$R64),ISBLANK($AO59:$AO64),ISBLANK($V59:$V64),ISBLANK($AS59:$AS64)),"·",bdRateHermite($R59:$R63,$V59:$V63,$AO59:$AO63,$AS59:$AS63))</f>
        <v>·</v>
      </c>
      <c r="CM59" s="225" t="str">
        <f>IF(OR(ISBLANK($R59:$R64),ISBLANK($AO59:$AO64),ISBLANK($W59:$W64),ISBLANK($AT59:$AT64)),"·",bdRateHermite($R59:$R63,$W59:$W63,$AO59:$AO63,$AT59:$AT63))</f>
        <v>·</v>
      </c>
      <c r="CN59" s="225" t="str">
        <f>IF(OR(ISBLANK($R59:$R64),ISBLANK($AO59:$AO64),ISBLANK($X59:$X64),ISBLANK($AU59:$AU64)),"·",bdRateHermite($R59:$R63,$X59:$X63,$AO59:$AO63,$AU59:$AU63))</f>
        <v>·</v>
      </c>
      <c r="CO59" s="92"/>
      <c r="CQ59" s="83" t="str">
        <f>IF( OR(ISBLANK($P59:$P63),ISBLANK($AM59:$AM63), ISBLANK($T59:$T63),ISBLANK($AQ59:$AQ63)), "·", bdRateHermite($P59:$P63,$T59:$T63, $AM59:$AM63,$AQ59:$AQ63))</f>
        <v>·</v>
      </c>
      <c r="CR59" s="84" t="str">
        <f>IF( OR(ISBLANK($P59:$P63),ISBLANK($AM59:$AM63), ISBLANK(U59:U63),ISBLANK(AR59:AR63)), "·", bdRateHermite( $P59:$P63,U59:U63, $AM59:$AM63,AR59:AR63))</f>
        <v>·</v>
      </c>
      <c r="CS59" s="84" t="str">
        <f>IF( OR(ISBLANK($P59:$P63),ISBLANK($AM59:$AM63), ISBLANK(V59:V63),ISBLANK(AS59:AS63)), "·", bdRateHermite( $P59:$P63,V59:V63, $AM59:$AM63,AS59:AS63))</f>
        <v>·</v>
      </c>
      <c r="CT59" s="84" t="str">
        <f>IF( OR(ISBLANK($P59:$P63),ISBLANK($AM59:$AM63), ISBLANK(W59:W63),ISBLANK(AT59:AT63)), "·", bdRateHermite( $P59:$P63,W59:W63, $AM59:$AM63,AT59:AT63))</f>
        <v>·</v>
      </c>
      <c r="CU59" s="84" t="str">
        <f>IF( OR(ISBLANK($P59:$P63),ISBLANK($AM59:$AM63), ISBLANK(X59:X63),ISBLANK(AU59:AU63)), "·", bdRateHermite( $P59:$P63,X59:X63, $AM59:$AM63,AU59:AU63))</f>
        <v>·</v>
      </c>
      <c r="CV59" s="92"/>
    </row>
    <row r="60" spans="1:100" outlineLevel="1">
      <c r="A60" s="13"/>
      <c r="B60" s="14" t="s">
        <v>1119</v>
      </c>
      <c r="C60" s="15" t="s">
        <v>132</v>
      </c>
      <c r="D60" s="476">
        <v>59136574</v>
      </c>
      <c r="E60" s="15">
        <v>16</v>
      </c>
      <c r="F60" s="15">
        <v>1</v>
      </c>
      <c r="G60" s="16"/>
      <c r="I60" s="30" t="str">
        <f t="shared" si="0"/>
        <v>·</v>
      </c>
      <c r="J60" s="31">
        <f t="shared" si="1"/>
        <v>5.1622875549063767E-3</v>
      </c>
      <c r="K60" s="31">
        <f t="shared" si="2"/>
        <v>1.7042583494945108E-3</v>
      </c>
      <c r="L60" s="31">
        <f t="shared" si="16"/>
        <v>3.4466656793476066E-3</v>
      </c>
      <c r="M60" s="51"/>
      <c r="N60" s="31">
        <f t="shared" si="4"/>
        <v>3.8323834392025913</v>
      </c>
      <c r="O60" s="356">
        <v>79658</v>
      </c>
      <c r="P60" s="357">
        <v>305280</v>
      </c>
      <c r="Q60" s="357">
        <v>100784</v>
      </c>
      <c r="R60" s="208">
        <v>203824</v>
      </c>
      <c r="S60" s="87"/>
      <c r="T60" s="358">
        <v>58.939529</v>
      </c>
      <c r="U60" s="358">
        <v>54.185268000000001</v>
      </c>
      <c r="V60" s="358">
        <v>21.539494999999999</v>
      </c>
      <c r="W60" s="358">
        <v>27.455062999999999</v>
      </c>
      <c r="X60" s="358">
        <v>28.896286</v>
      </c>
      <c r="Y60" s="87">
        <v>0</v>
      </c>
      <c r="Z60" s="359"/>
      <c r="AA60" s="359"/>
      <c r="AB60" s="32">
        <v>0</v>
      </c>
      <c r="AC60" s="32">
        <v>0</v>
      </c>
      <c r="AD60" s="33"/>
      <c r="AF60" s="30" t="str">
        <f t="shared" si="5"/>
        <v>·</v>
      </c>
      <c r="AG60" s="31" t="str">
        <f t="shared" si="6"/>
        <v>·</v>
      </c>
      <c r="AH60" s="31" t="str">
        <f t="shared" si="18"/>
        <v>·</v>
      </c>
      <c r="AI60" s="31" t="str">
        <f t="shared" si="15"/>
        <v>·</v>
      </c>
      <c r="AJ60" s="51"/>
      <c r="AK60" s="31" t="str">
        <f t="shared" si="17"/>
        <v>·</v>
      </c>
      <c r="AL60" s="356"/>
      <c r="AM60" s="357"/>
      <c r="AN60" s="357"/>
      <c r="AO60" s="208"/>
      <c r="AP60" s="87"/>
      <c r="AQ60" s="358"/>
      <c r="AR60" s="358"/>
      <c r="AS60" s="358"/>
      <c r="AT60" s="358"/>
      <c r="AU60" s="358"/>
      <c r="AV60" s="87"/>
      <c r="AW60" s="359"/>
      <c r="AX60" s="359"/>
      <c r="AY60" s="32">
        <v>0</v>
      </c>
      <c r="AZ60" s="32">
        <v>0</v>
      </c>
      <c r="BA60" s="33">
        <v>49152</v>
      </c>
      <c r="BC60" s="56" t="e">
        <f t="shared" si="14"/>
        <v>#DIV/0!</v>
      </c>
      <c r="BD60" s="57" t="e">
        <f t="shared" si="14"/>
        <v>#DIV/0!</v>
      </c>
      <c r="BE60" s="57" t="e">
        <f t="shared" si="10"/>
        <v>#DIV/0!</v>
      </c>
      <c r="BF60" s="58"/>
      <c r="BH60" s="74"/>
      <c r="BI60" s="75"/>
      <c r="BJ60" s="75"/>
      <c r="BK60" s="75"/>
      <c r="BL60" s="75"/>
      <c r="BM60" s="87"/>
      <c r="BO60" s="74"/>
      <c r="BP60" s="75"/>
      <c r="BQ60" s="75"/>
      <c r="BR60" s="75"/>
      <c r="BS60" s="75"/>
      <c r="BT60" s="87"/>
      <c r="BV60" s="74"/>
      <c r="BW60" s="75"/>
      <c r="BX60" s="75"/>
      <c r="BY60" s="75"/>
      <c r="BZ60" s="75"/>
      <c r="CA60" s="87"/>
      <c r="CC60" s="74"/>
      <c r="CD60" s="75"/>
      <c r="CE60" s="75"/>
      <c r="CF60" s="75"/>
      <c r="CG60" s="75"/>
      <c r="CH60" s="87"/>
      <c r="CJ60" s="74"/>
      <c r="CK60" s="75"/>
      <c r="CL60" s="75"/>
      <c r="CM60" s="75"/>
      <c r="CN60" s="75"/>
      <c r="CO60" s="87"/>
      <c r="CQ60" s="74"/>
      <c r="CR60" s="75"/>
      <c r="CS60" s="75"/>
      <c r="CT60" s="75"/>
      <c r="CU60" s="75"/>
      <c r="CV60" s="87"/>
    </row>
    <row r="61" spans="1:100" outlineLevel="1">
      <c r="A61" s="13"/>
      <c r="B61" s="14" t="s">
        <v>1119</v>
      </c>
      <c r="C61" s="15" t="s">
        <v>133</v>
      </c>
      <c r="D61" s="476">
        <v>59136574</v>
      </c>
      <c r="E61" s="15">
        <v>16</v>
      </c>
      <c r="F61" s="15">
        <v>1</v>
      </c>
      <c r="G61" s="16"/>
      <c r="I61" s="30" t="str">
        <f t="shared" si="0"/>
        <v>·</v>
      </c>
      <c r="J61" s="31">
        <f t="shared" si="1"/>
        <v>8.0658849124401424E-2</v>
      </c>
      <c r="K61" s="31">
        <f t="shared" si="2"/>
        <v>2.176886337717163E-2</v>
      </c>
      <c r="L61" s="31">
        <f t="shared" si="16"/>
        <v>5.8878216380948957E-2</v>
      </c>
      <c r="M61" s="51"/>
      <c r="N61" s="31">
        <f t="shared" si="4"/>
        <v>3.9565253094996162</v>
      </c>
      <c r="O61" s="356">
        <v>1205575</v>
      </c>
      <c r="P61" s="357">
        <v>4769888</v>
      </c>
      <c r="Q61" s="357">
        <v>1287336</v>
      </c>
      <c r="R61" s="208">
        <v>3481856</v>
      </c>
      <c r="S61" s="87"/>
      <c r="T61" s="358">
        <v>70.965805000000003</v>
      </c>
      <c r="U61" s="358">
        <v>66.226462999999995</v>
      </c>
      <c r="V61" s="358">
        <v>26.391825000000001</v>
      </c>
      <c r="W61" s="358">
        <v>33.781143</v>
      </c>
      <c r="X61" s="358">
        <v>33.569572000000001</v>
      </c>
      <c r="Y61" s="87">
        <v>0</v>
      </c>
      <c r="Z61" s="359"/>
      <c r="AA61" s="359"/>
      <c r="AB61" s="32">
        <v>0</v>
      </c>
      <c r="AC61" s="32">
        <v>0</v>
      </c>
      <c r="AD61" s="33"/>
      <c r="AF61" s="30" t="str">
        <f t="shared" si="5"/>
        <v>·</v>
      </c>
      <c r="AG61" s="31" t="str">
        <f t="shared" si="6"/>
        <v>·</v>
      </c>
      <c r="AH61" s="31" t="str">
        <f t="shared" si="18"/>
        <v>·</v>
      </c>
      <c r="AI61" s="31" t="str">
        <f t="shared" si="15"/>
        <v>·</v>
      </c>
      <c r="AJ61" s="51"/>
      <c r="AK61" s="31" t="str">
        <f t="shared" si="17"/>
        <v>·</v>
      </c>
      <c r="AL61" s="356"/>
      <c r="AM61" s="357"/>
      <c r="AN61" s="357"/>
      <c r="AO61" s="208"/>
      <c r="AP61" s="87"/>
      <c r="AQ61" s="358"/>
      <c r="AR61" s="358"/>
      <c r="AS61" s="358"/>
      <c r="AT61" s="358"/>
      <c r="AU61" s="358"/>
      <c r="AV61" s="87"/>
      <c r="AW61" s="359"/>
      <c r="AX61" s="359"/>
      <c r="AY61" s="32">
        <v>0</v>
      </c>
      <c r="AZ61" s="32">
        <v>0</v>
      </c>
      <c r="BA61" s="33">
        <v>3072</v>
      </c>
      <c r="BC61" s="56" t="e">
        <f t="shared" si="14"/>
        <v>#DIV/0!</v>
      </c>
      <c r="BD61" s="57" t="e">
        <f t="shared" si="14"/>
        <v>#DIV/0!</v>
      </c>
      <c r="BE61" s="57" t="e">
        <f t="shared" si="10"/>
        <v>#DIV/0!</v>
      </c>
      <c r="BF61" s="58"/>
      <c r="BH61" s="74"/>
      <c r="BI61" s="75"/>
      <c r="BJ61" s="75"/>
      <c r="BK61" s="75"/>
      <c r="BL61" s="75"/>
      <c r="BM61" s="87"/>
      <c r="BO61" s="74"/>
      <c r="BP61" s="75"/>
      <c r="BQ61" s="75"/>
      <c r="BR61" s="75"/>
      <c r="BS61" s="75"/>
      <c r="BT61" s="87"/>
      <c r="BV61" s="74"/>
      <c r="BW61" s="75"/>
      <c r="BX61" s="75"/>
      <c r="BY61" s="75"/>
      <c r="BZ61" s="75"/>
      <c r="CA61" s="87"/>
      <c r="CC61" s="74"/>
      <c r="CD61" s="75"/>
      <c r="CE61" s="75"/>
      <c r="CF61" s="75"/>
      <c r="CG61" s="75"/>
      <c r="CH61" s="87"/>
      <c r="CJ61" s="74"/>
      <c r="CK61" s="75"/>
      <c r="CL61" s="75"/>
      <c r="CM61" s="75"/>
      <c r="CN61" s="75"/>
      <c r="CO61" s="87"/>
      <c r="CQ61" s="74"/>
      <c r="CR61" s="75"/>
      <c r="CS61" s="75"/>
      <c r="CT61" s="75"/>
      <c r="CU61" s="75"/>
      <c r="CV61" s="87"/>
    </row>
    <row r="62" spans="1:100" outlineLevel="1">
      <c r="A62" s="13"/>
      <c r="B62" s="14" t="s">
        <v>1119</v>
      </c>
      <c r="C62" s="15" t="s">
        <v>134</v>
      </c>
      <c r="D62" s="476">
        <v>59136574</v>
      </c>
      <c r="E62" s="15">
        <v>16</v>
      </c>
      <c r="F62" s="15">
        <v>1</v>
      </c>
      <c r="G62" s="16"/>
      <c r="I62" s="30" t="str">
        <f t="shared" si="0"/>
        <v>·</v>
      </c>
      <c r="J62" s="31">
        <f t="shared" si="1"/>
        <v>0.3984502720769722</v>
      </c>
      <c r="K62" s="31">
        <f t="shared" si="2"/>
        <v>8.1334843645152657E-2</v>
      </c>
      <c r="L62" s="31">
        <f t="shared" si="16"/>
        <v>0.31710365906553872</v>
      </c>
      <c r="M62" s="51"/>
      <c r="N62" s="31">
        <f t="shared" si="4"/>
        <v>5.1276838317140161</v>
      </c>
      <c r="O62" s="356">
        <v>4595249</v>
      </c>
      <c r="P62" s="357">
        <v>23562984</v>
      </c>
      <c r="Q62" s="357">
        <v>4809864</v>
      </c>
      <c r="R62" s="208">
        <v>18752424</v>
      </c>
      <c r="S62" s="87"/>
      <c r="T62" s="358">
        <v>77.002876000000001</v>
      </c>
      <c r="U62" s="358">
        <v>72.247062999999997</v>
      </c>
      <c r="V62" s="358">
        <v>29.0105</v>
      </c>
      <c r="W62" s="358">
        <v>38.360942999999999</v>
      </c>
      <c r="X62" s="358">
        <v>38.658188000000003</v>
      </c>
      <c r="Y62" s="87">
        <v>0</v>
      </c>
      <c r="Z62" s="359"/>
      <c r="AA62" s="359"/>
      <c r="AB62" s="32">
        <v>0</v>
      </c>
      <c r="AC62" s="32">
        <v>0</v>
      </c>
      <c r="AD62" s="33"/>
      <c r="AF62" s="30" t="str">
        <f t="shared" si="5"/>
        <v>·</v>
      </c>
      <c r="AG62" s="31" t="str">
        <f t="shared" si="6"/>
        <v>·</v>
      </c>
      <c r="AH62" s="31" t="str">
        <f t="shared" si="18"/>
        <v>·</v>
      </c>
      <c r="AI62" s="31" t="str">
        <f t="shared" si="15"/>
        <v>·</v>
      </c>
      <c r="AJ62" s="51"/>
      <c r="AK62" s="31" t="str">
        <f t="shared" si="17"/>
        <v>·</v>
      </c>
      <c r="AL62" s="356"/>
      <c r="AM62" s="357"/>
      <c r="AN62" s="357"/>
      <c r="AO62" s="208"/>
      <c r="AP62" s="87"/>
      <c r="AQ62" s="358"/>
      <c r="AR62" s="358"/>
      <c r="AS62" s="358"/>
      <c r="AT62" s="358"/>
      <c r="AU62" s="358"/>
      <c r="AV62" s="87"/>
      <c r="AW62" s="359"/>
      <c r="AX62" s="359"/>
      <c r="AY62" s="32">
        <v>0</v>
      </c>
      <c r="AZ62" s="32">
        <v>0</v>
      </c>
      <c r="BA62" s="33">
        <v>768</v>
      </c>
      <c r="BC62" s="56" t="e">
        <f t="shared" si="14"/>
        <v>#DIV/0!</v>
      </c>
      <c r="BD62" s="57" t="e">
        <f t="shared" si="14"/>
        <v>#DIV/0!</v>
      </c>
      <c r="BE62" s="57" t="e">
        <f t="shared" si="10"/>
        <v>#DIV/0!</v>
      </c>
      <c r="BF62" s="58"/>
      <c r="BH62" s="74"/>
      <c r="BI62" s="75"/>
      <c r="BJ62" s="75"/>
      <c r="BK62" s="75"/>
      <c r="BL62" s="75"/>
      <c r="BM62" s="87"/>
      <c r="BO62" s="74"/>
      <c r="BP62" s="75"/>
      <c r="BQ62" s="75"/>
      <c r="BR62" s="75"/>
      <c r="BS62" s="75"/>
      <c r="BT62" s="87"/>
      <c r="BV62" s="74"/>
      <c r="BW62" s="75"/>
      <c r="BX62" s="75"/>
      <c r="BY62" s="75"/>
      <c r="BZ62" s="75"/>
      <c r="CA62" s="87"/>
      <c r="CC62" s="74"/>
      <c r="CD62" s="75"/>
      <c r="CE62" s="75"/>
      <c r="CF62" s="75"/>
      <c r="CG62" s="75"/>
      <c r="CH62" s="87"/>
      <c r="CJ62" s="74"/>
      <c r="CK62" s="75"/>
      <c r="CL62" s="75"/>
      <c r="CM62" s="75"/>
      <c r="CN62" s="75"/>
      <c r="CO62" s="87"/>
      <c r="CQ62" s="74"/>
      <c r="CR62" s="75"/>
      <c r="CS62" s="75"/>
      <c r="CT62" s="75"/>
      <c r="CU62" s="75"/>
      <c r="CV62" s="87"/>
    </row>
    <row r="63" spans="1:100" outlineLevel="1">
      <c r="A63" s="13"/>
      <c r="B63" s="14" t="s">
        <v>1119</v>
      </c>
      <c r="C63" s="15" t="s">
        <v>135</v>
      </c>
      <c r="D63" s="476">
        <v>59136574</v>
      </c>
      <c r="E63" s="15">
        <v>16</v>
      </c>
      <c r="F63" s="15">
        <v>1</v>
      </c>
      <c r="G63" s="16"/>
      <c r="I63" s="30" t="str">
        <f t="shared" si="0"/>
        <v>·</v>
      </c>
      <c r="J63" s="31">
        <f t="shared" si="1"/>
        <v>6.1097998676757976</v>
      </c>
      <c r="K63" s="31">
        <f t="shared" si="2"/>
        <v>1.5873190083686619</v>
      </c>
      <c r="L63" s="31">
        <f t="shared" si="16"/>
        <v>4.5224686841006383</v>
      </c>
      <c r="M63" s="51"/>
      <c r="N63" s="31">
        <f t="shared" si="4"/>
        <v>7.936471611576783</v>
      </c>
      <c r="O63" s="356">
        <v>45525600</v>
      </c>
      <c r="P63" s="357">
        <v>361312632</v>
      </c>
      <c r="Q63" s="357">
        <v>93868608</v>
      </c>
      <c r="R63" s="208">
        <v>267443304</v>
      </c>
      <c r="S63" s="87"/>
      <c r="T63" s="358">
        <v>88.930076999999997</v>
      </c>
      <c r="U63" s="358">
        <v>84.288269</v>
      </c>
      <c r="V63" s="358">
        <v>35.786181999999997</v>
      </c>
      <c r="W63" s="358">
        <v>44.652026999999997</v>
      </c>
      <c r="X63" s="358">
        <v>44.729197999999997</v>
      </c>
      <c r="Y63" s="87">
        <v>0</v>
      </c>
      <c r="Z63" s="359"/>
      <c r="AA63" s="359"/>
      <c r="AB63" s="32">
        <v>0</v>
      </c>
      <c r="AC63" s="32">
        <v>0</v>
      </c>
      <c r="AD63" s="33"/>
      <c r="AF63" s="30" t="str">
        <f t="shared" si="5"/>
        <v>·</v>
      </c>
      <c r="AG63" s="31" t="str">
        <f t="shared" si="6"/>
        <v>·</v>
      </c>
      <c r="AH63" s="31" t="str">
        <f t="shared" si="18"/>
        <v>·</v>
      </c>
      <c r="AI63" s="31" t="str">
        <f t="shared" si="15"/>
        <v>·</v>
      </c>
      <c r="AJ63" s="51"/>
      <c r="AK63" s="31" t="str">
        <f t="shared" si="17"/>
        <v>·</v>
      </c>
      <c r="AL63" s="356"/>
      <c r="AM63" s="357"/>
      <c r="AN63" s="357"/>
      <c r="AO63" s="208"/>
      <c r="AP63" s="87"/>
      <c r="AQ63" s="358"/>
      <c r="AR63" s="358"/>
      <c r="AS63" s="358"/>
      <c r="AT63" s="358"/>
      <c r="AU63" s="358"/>
      <c r="AV63" s="87"/>
      <c r="AW63" s="359"/>
      <c r="AX63" s="359"/>
      <c r="AY63" s="32">
        <v>0</v>
      </c>
      <c r="AZ63" s="32">
        <v>0</v>
      </c>
      <c r="BA63" s="33">
        <v>48</v>
      </c>
      <c r="BC63" s="56" t="e">
        <f t="shared" si="14"/>
        <v>#DIV/0!</v>
      </c>
      <c r="BD63" s="57" t="e">
        <f t="shared" si="14"/>
        <v>#DIV/0!</v>
      </c>
      <c r="BE63" s="57" t="e">
        <f t="shared" si="10"/>
        <v>#DIV/0!</v>
      </c>
      <c r="BF63" s="58"/>
      <c r="BH63" s="74"/>
      <c r="BI63" s="75"/>
      <c r="BJ63" s="75"/>
      <c r="BK63" s="75"/>
      <c r="BL63" s="75"/>
      <c r="BM63" s="87"/>
      <c r="BO63" s="74"/>
      <c r="BP63" s="75"/>
      <c r="BQ63" s="75"/>
      <c r="BR63" s="75"/>
      <c r="BS63" s="75"/>
      <c r="BT63" s="87"/>
      <c r="BV63" s="74"/>
      <c r="BW63" s="75"/>
      <c r="BX63" s="75"/>
      <c r="BY63" s="75"/>
      <c r="BZ63" s="75"/>
      <c r="CA63" s="87"/>
      <c r="CC63" s="74"/>
      <c r="CD63" s="75"/>
      <c r="CE63" s="75"/>
      <c r="CF63" s="75"/>
      <c r="CG63" s="75"/>
      <c r="CH63" s="87"/>
      <c r="CJ63" s="74"/>
      <c r="CK63" s="75"/>
      <c r="CL63" s="75"/>
      <c r="CM63" s="75"/>
      <c r="CN63" s="75"/>
      <c r="CO63" s="87"/>
      <c r="CQ63" s="74"/>
      <c r="CR63" s="75"/>
      <c r="CS63" s="75"/>
      <c r="CT63" s="75"/>
      <c r="CU63" s="75"/>
      <c r="CV63" s="87"/>
    </row>
    <row r="64" spans="1:100" ht="14.25" outlineLevel="1" thickBot="1">
      <c r="A64" s="13"/>
      <c r="B64" s="18" t="s">
        <v>1119</v>
      </c>
      <c r="C64" s="19" t="s">
        <v>136</v>
      </c>
      <c r="D64" s="477">
        <v>59136574</v>
      </c>
      <c r="E64" s="19">
        <v>16</v>
      </c>
      <c r="F64" s="19">
        <v>1</v>
      </c>
      <c r="G64" s="20"/>
      <c r="I64" s="34" t="str">
        <f t="shared" si="0"/>
        <v>·</v>
      </c>
      <c r="J64" s="35">
        <f t="shared" si="1"/>
        <v>14.09473304963524</v>
      </c>
      <c r="K64" s="35">
        <f t="shared" si="2"/>
        <v>5.3317702171924939</v>
      </c>
      <c r="L64" s="35">
        <f t="shared" si="16"/>
        <v>8.7629505219561761</v>
      </c>
      <c r="M64" s="52"/>
      <c r="N64" s="35">
        <f t="shared" si="4"/>
        <v>14.263405785463796</v>
      </c>
      <c r="O64" s="360">
        <v>58437251</v>
      </c>
      <c r="P64" s="361">
        <v>833514224</v>
      </c>
      <c r="Q64" s="361">
        <v>315302624</v>
      </c>
      <c r="R64" s="209">
        <v>518210872</v>
      </c>
      <c r="S64" s="88"/>
      <c r="T64" s="362">
        <v>94.567154000000002</v>
      </c>
      <c r="U64" s="362">
        <v>90.308868000000004</v>
      </c>
      <c r="V64" s="362">
        <v>43.753203999999997</v>
      </c>
      <c r="W64" s="362">
        <v>50.369892</v>
      </c>
      <c r="X64" s="362">
        <v>50.424515</v>
      </c>
      <c r="Y64" s="88">
        <v>0</v>
      </c>
      <c r="Z64" s="363"/>
      <c r="AA64" s="363"/>
      <c r="AB64" s="36">
        <v>0</v>
      </c>
      <c r="AC64" s="36">
        <v>0</v>
      </c>
      <c r="AD64" s="37"/>
      <c r="AF64" s="34" t="str">
        <f t="shared" si="5"/>
        <v>·</v>
      </c>
      <c r="AG64" s="35" t="str">
        <f t="shared" si="6"/>
        <v>·</v>
      </c>
      <c r="AH64" s="35" t="str">
        <f t="shared" si="18"/>
        <v>·</v>
      </c>
      <c r="AI64" s="35" t="str">
        <f t="shared" si="15"/>
        <v>·</v>
      </c>
      <c r="AJ64" s="52"/>
      <c r="AK64" s="35" t="str">
        <f t="shared" si="17"/>
        <v>·</v>
      </c>
      <c r="AL64" s="360"/>
      <c r="AM64" s="361"/>
      <c r="AN64" s="361"/>
      <c r="AO64" s="209"/>
      <c r="AP64" s="88"/>
      <c r="AQ64" s="362"/>
      <c r="AR64" s="362"/>
      <c r="AS64" s="362"/>
      <c r="AT64" s="362"/>
      <c r="AU64" s="362"/>
      <c r="AV64" s="88"/>
      <c r="AW64" s="363"/>
      <c r="AX64" s="363"/>
      <c r="AY64" s="36">
        <v>0</v>
      </c>
      <c r="AZ64" s="36">
        <v>0</v>
      </c>
      <c r="BA64" s="37">
        <v>12</v>
      </c>
      <c r="BC64" s="59" t="e">
        <f t="shared" si="14"/>
        <v>#DIV/0!</v>
      </c>
      <c r="BD64" s="60" t="e">
        <f t="shared" si="14"/>
        <v>#DIV/0!</v>
      </c>
      <c r="BE64" s="60" t="e">
        <f t="shared" si="10"/>
        <v>#DIV/0!</v>
      </c>
      <c r="BF64" s="61"/>
      <c r="BH64" s="77"/>
      <c r="BI64" s="78"/>
      <c r="BJ64" s="78"/>
      <c r="BK64" s="78"/>
      <c r="BL64" s="78"/>
      <c r="BM64" s="88"/>
      <c r="BO64" s="77"/>
      <c r="BP64" s="78"/>
      <c r="BQ64" s="78"/>
      <c r="BR64" s="78"/>
      <c r="BS64" s="78"/>
      <c r="BT64" s="88"/>
      <c r="BV64" s="77"/>
      <c r="BW64" s="78"/>
      <c r="BX64" s="78"/>
      <c r="BY64" s="78"/>
      <c r="BZ64" s="78"/>
      <c r="CA64" s="88"/>
      <c r="CC64" s="77"/>
      <c r="CD64" s="78"/>
      <c r="CE64" s="78"/>
      <c r="CF64" s="78"/>
      <c r="CG64" s="78"/>
      <c r="CH64" s="88"/>
      <c r="CJ64" s="77"/>
      <c r="CK64" s="78"/>
      <c r="CL64" s="78"/>
      <c r="CM64" s="78"/>
      <c r="CN64" s="78"/>
      <c r="CO64" s="88"/>
      <c r="CQ64" s="77"/>
      <c r="CR64" s="78"/>
      <c r="CS64" s="78"/>
      <c r="CT64" s="78"/>
      <c r="CU64" s="78"/>
      <c r="CV64" s="88"/>
    </row>
    <row r="65" spans="1:100">
      <c r="A65" s="91"/>
      <c r="B65" s="27" t="s">
        <v>1120</v>
      </c>
      <c r="C65" s="28" t="s">
        <v>131</v>
      </c>
      <c r="D65" s="475">
        <v>4649702</v>
      </c>
      <c r="E65" s="28">
        <v>11</v>
      </c>
      <c r="F65" s="28">
        <v>1</v>
      </c>
      <c r="G65" s="29"/>
      <c r="I65" s="46" t="str">
        <f t="shared" si="0"/>
        <v>·</v>
      </c>
      <c r="J65" s="47">
        <f t="shared" si="1"/>
        <v>1.5362704964748279E-2</v>
      </c>
      <c r="K65" s="47">
        <f t="shared" si="2"/>
        <v>9.1033790982733946E-3</v>
      </c>
      <c r="L65" s="43">
        <f t="shared" si="16"/>
        <v>6.1492112827875849E-3</v>
      </c>
      <c r="M65" s="55"/>
      <c r="N65" s="47">
        <f t="shared" si="4"/>
        <v>2.1192665994185012</v>
      </c>
      <c r="O65" s="352">
        <v>33706</v>
      </c>
      <c r="P65" s="353">
        <v>71432</v>
      </c>
      <c r="Q65" s="353">
        <v>42328</v>
      </c>
      <c r="R65" s="207">
        <v>28592</v>
      </c>
      <c r="S65" s="90"/>
      <c r="T65" s="354">
        <v>52.996338000000002</v>
      </c>
      <c r="U65" s="354">
        <v>48.160556999999997</v>
      </c>
      <c r="V65" s="354">
        <v>21.287047999999999</v>
      </c>
      <c r="W65" s="354">
        <v>22.998995000000001</v>
      </c>
      <c r="X65" s="354">
        <v>28.533909000000001</v>
      </c>
      <c r="Y65" s="90">
        <v>0</v>
      </c>
      <c r="Z65" s="355"/>
      <c r="AA65" s="355"/>
      <c r="AB65" s="48">
        <v>0</v>
      </c>
      <c r="AC65" s="48">
        <v>0</v>
      </c>
      <c r="AD65" s="49"/>
      <c r="AF65" s="46" t="str">
        <f t="shared" si="5"/>
        <v>·</v>
      </c>
      <c r="AG65" s="47" t="str">
        <f t="shared" si="6"/>
        <v>·</v>
      </c>
      <c r="AH65" s="47" t="str">
        <f t="shared" ref="AH65:AH76" si="19">IF(AN65="","·",AN65/D65)</f>
        <v>·</v>
      </c>
      <c r="AI65" s="43" t="str">
        <f t="shared" si="15"/>
        <v>·</v>
      </c>
      <c r="AJ65" s="55"/>
      <c r="AK65" s="47" t="str">
        <f t="shared" si="17"/>
        <v>·</v>
      </c>
      <c r="AL65" s="352"/>
      <c r="AM65" s="353"/>
      <c r="AN65" s="353"/>
      <c r="AO65" s="207"/>
      <c r="AP65" s="90"/>
      <c r="AQ65" s="354"/>
      <c r="AR65" s="354"/>
      <c r="AS65" s="354"/>
      <c r="AT65" s="354"/>
      <c r="AU65" s="354"/>
      <c r="AV65" s="90"/>
      <c r="AW65" s="355"/>
      <c r="AX65" s="355"/>
      <c r="AY65" s="48">
        <v>0</v>
      </c>
      <c r="AZ65" s="48">
        <v>0</v>
      </c>
      <c r="BA65" s="49">
        <v>192</v>
      </c>
      <c r="BC65" s="68" t="e">
        <f t="shared" si="14"/>
        <v>#DIV/0!</v>
      </c>
      <c r="BD65" s="69" t="e">
        <f t="shared" si="14"/>
        <v>#DIV/0!</v>
      </c>
      <c r="BE65" s="69" t="e">
        <f t="shared" si="10"/>
        <v>#DIV/0!</v>
      </c>
      <c r="BF65" s="70" t="e">
        <f t="array" ref="BF65">AVERAGE(AN65:AN70/AM65:AM70) - AVERAGE(Q65:Q70/P65:P70)</f>
        <v>#DIV/0!</v>
      </c>
      <c r="BH65" s="224" t="str">
        <f>IF( OR(ISBLANK($Q65:$Q70),ISBLANK($AN65:$AN70), ISBLANK($T65:$T70),ISBLANK($AQ65:$AQ70)), "·", bdRateHermite( $Q65:$Q70,$T65:$T70, $AN65:$AN70,$AQ65:$AQ70))</f>
        <v>·</v>
      </c>
      <c r="BI65" s="225" t="str">
        <f>IF(OR(ISBLANK(Q65:Q70),ISBLANK(AN65:AN70),ISBLANK(U65:U70),ISBLANK(AR65:AR70)),"·",bdRateHermite(Q65:Q70,U65:U70,AN65:AN70,AR65:AR70))</f>
        <v>·</v>
      </c>
      <c r="BJ65" s="225" t="str">
        <f>IF(OR(ISBLANK($R65:$R70),ISBLANK($AO65:$AO70),ISBLANK(V65:V70),ISBLANK(AS65:AS70)),"·",bdRateHermite($R65:$R70,V65:V70,$AO65:$AO70,AS65:AS70))</f>
        <v>·</v>
      </c>
      <c r="BK65" s="225" t="str">
        <f>IF(OR(ISBLANK($R65:$R70),ISBLANK($AO65:$AO70),ISBLANK(W65:W70),ISBLANK(AT65:AT70)),"·",bdRateHermite($R65:$R70,W65:W70,$AO65:$AO70,AT65:AT70))</f>
        <v>·</v>
      </c>
      <c r="BL65" s="225" t="str">
        <f>IF(OR(ISBLANK($R65:$R70),ISBLANK($AO65:$AO70),ISBLANK(X65:X70),ISBLANK(AU65:AU70)),"·",bdRateHermite($R65:$R70,X65:X70,$AO65:$AO70,AU65:AU70))</f>
        <v>·</v>
      </c>
      <c r="BM65" s="92"/>
      <c r="BO65" s="224" t="str">
        <f>IF( OR(ISBLANK($P65:$P70),ISBLANK($AM65:$AM70), ISBLANK($T65:$T70),ISBLANK($AQ65:$AQ70)), "·", bdRateHermite($P65:$P70,$T65:$T70, $AM65:$AM70,$AQ65:$AQ70))</f>
        <v>·</v>
      </c>
      <c r="BP65" s="84" t="str">
        <f>IF( OR(ISBLANK($P65:$P70),ISBLANK($AM65:$AM70), ISBLANK(U65:U70),ISBLANK(AR65:AR70)), "·", bdRateHermite( $P65:$P70,U65:U70, $AM65:$AM70,AR65:AR70))</f>
        <v>·</v>
      </c>
      <c r="BQ65" s="84" t="str">
        <f>IF( OR(ISBLANK($P65:$P70),ISBLANK($AM65:$AM70), ISBLANK(V65:V70),ISBLANK(AS65:AS70)), "·", bdRateHermite( $P65:$P70,V65:V70, $AM65:$AM70,AS65:AS70))</f>
        <v>·</v>
      </c>
      <c r="BR65" s="84" t="str">
        <f>IF( OR(ISBLANK($P65:$P70),ISBLANK($AM65:$AM70), ISBLANK(W65:W70),ISBLANK(AT65:AT70)), "·", bdRateHermite( $P65:$P70,W65:W70, $AM65:$AM70,AT65:AT70))</f>
        <v>·</v>
      </c>
      <c r="BS65" s="84" t="str">
        <f>IF( OR(ISBLANK($P65:$P70),ISBLANK($AM65:$AM70), ISBLANK(X65:X70),ISBLANK(AU65:AU70)), "·", bdRateHermite( $P65:$P70,X65:X70, $AM65:$AM70,AU65:AU70))</f>
        <v>·</v>
      </c>
      <c r="BT65" s="90"/>
      <c r="BV65" s="83" t="str">
        <f>IF( OR(ISBLANK($Q65:$Q69),ISBLANK($AN65:$AN69), ISBLANK($T65:$T69),ISBLANK($AQ65:$AQ69)), "·", bdRateHermite( $Q66:$Q70,$T66:$T70, $AN66:$AN70,$AQ66:$AQ70))</f>
        <v>·</v>
      </c>
      <c r="BW65" s="84" t="str">
        <f>IF(OR(ISBLANK($Q65:$Q70),ISBLANK($AN65:$AN70),ISBLANK(U65:U70),ISBLANK(AR65:AR70)),"·",bdRateHermite($Q66:$Q70,U66:U70,$AN66:$AN70,AR66:AR70))</f>
        <v>·</v>
      </c>
      <c r="BX65" s="225" t="str">
        <f>IF(OR(ISBLANK($R65:$R70),ISBLANK($AO65:$AO70),ISBLANK($V65:$V70),ISBLANK($AS65:$AS70)),"·",bdRateHermite($R66:$R70,$V66:$V70,$AO66:$AO70,$AS66:$AS70))</f>
        <v>·</v>
      </c>
      <c r="BY65" s="225" t="str">
        <f>IF(OR(ISBLANK($R65:$R70),ISBLANK($AO65:$AO70),ISBLANK($W65:$W70),ISBLANK($AT65:$AT70)),"·",bdRateHermite($R66:$R70,$W66:$W70,$AO66:$AO70,$AT66:$AT70))</f>
        <v>·</v>
      </c>
      <c r="BZ65" s="225" t="str">
        <f>IF(OR(ISBLANK($R65:$R70),ISBLANK($AO65:$AO70),ISBLANK($X65:$X70),ISBLANK($AU65:$AU70)),"·",bdRateHermite($R66:$R70,$X66:$X70,$AO66:$AO70,$AU66:$AU70))</f>
        <v>·</v>
      </c>
      <c r="CA65" s="92"/>
      <c r="CC65" s="83" t="str">
        <f>IF( OR(ISBLANK($P65:$P70),ISBLANK($AM65:$AM70), ISBLANK($T65:$T70),ISBLANK($AQ65:$AQ70)), "·", bdRateHermite($P66:$P70,$T66:$T70, $AM66:$AM70,$AQ66:$AQ70))</f>
        <v>·</v>
      </c>
      <c r="CD65" s="84" t="str">
        <f>IF( OR(ISBLANK($P65:$P70),ISBLANK($AM65:$AM70), ISBLANK(U65:U70),ISBLANK(AR65:AR70)), "·", bdRateHermite( $P66:$P70,U66:U70, $AM66:$AM70,AR66:AR70))</f>
        <v>·</v>
      </c>
      <c r="CE65" s="84" t="str">
        <f>IF( OR(ISBLANK($P65:$P70),ISBLANK($AM65:$AM70), ISBLANK(V65:V70),ISBLANK(AS65:AS70)), "·", bdRateHermite( $P66:$P70,V66:V70, $AM66:$AM70,AS66:AS70))</f>
        <v>·</v>
      </c>
      <c r="CF65" s="84" t="str">
        <f>IF( OR(ISBLANK($P65:$P70),ISBLANK($AM65:$AM70), ISBLANK(W65:W70),ISBLANK(AT65:AT70)), "·", bdRateHermite( $P66:$P70,W66:W70, $AM66:$AM70,AT66:AT70))</f>
        <v>·</v>
      </c>
      <c r="CG65" s="84" t="str">
        <f>IF( OR(ISBLANK($P65:$P70),ISBLANK($AM65:$AM70), ISBLANK(X65:X70),ISBLANK(AU65:AU70)), "·", bdRateHermite( $P66:$P70,X66:X70, $AM66:$AM70,AU66:AU70))</f>
        <v>·</v>
      </c>
      <c r="CH65" s="92"/>
      <c r="CJ65" s="83" t="str">
        <f>IF( OR(ISBLANK($Q65:$Q69),ISBLANK($AN65:$AN69), ISBLANK($T65:$T69),ISBLANK($AQ65:$AQ69)), "·", bdRateHermite( $Q65:$Q69,$T65:$T69, $AN65:$AN69,$AQ65:$AQ69))</f>
        <v>·</v>
      </c>
      <c r="CK65" s="84" t="str">
        <f>IF(OR(ISBLANK($Q65:$Q69),ISBLANK($AN65:$AN69),ISBLANK(U65:U69),ISBLANK(AR65:AR69)),"·",bdRateHermite($Q65:$Q69,U65:U69,$AN65:$AN69,AR65:AR69))</f>
        <v>·</v>
      </c>
      <c r="CL65" s="225" t="str">
        <f>IF(OR(ISBLANK($R65:$R70),ISBLANK($AO65:$AO70),ISBLANK($V65:$V70),ISBLANK($AS65:$AS70)),"·",bdRateHermite($R65:$R69,$V65:$V69,$AO65:$AO69,$AS65:$AS69))</f>
        <v>·</v>
      </c>
      <c r="CM65" s="225" t="str">
        <f>IF(OR(ISBLANK($R65:$R70),ISBLANK($AO65:$AO70),ISBLANK($W65:$W70),ISBLANK($AT65:$AT70)),"·",bdRateHermite($R65:$R69,$W65:$W69,$AO65:$AO69,$AT65:$AT69))</f>
        <v>·</v>
      </c>
      <c r="CN65" s="225" t="str">
        <f>IF(OR(ISBLANK($R65:$R70),ISBLANK($AO65:$AO70),ISBLANK($X65:$X70),ISBLANK($AU65:$AU70)),"·",bdRateHermite($R65:$R69,$X65:$X69,$AO65:$AO69,$AU65:$AU69))</f>
        <v>·</v>
      </c>
      <c r="CO65" s="92"/>
      <c r="CQ65" s="83" t="str">
        <f>IF( OR(ISBLANK($P65:$P69),ISBLANK($AM65:$AM69), ISBLANK($T65:$T69),ISBLANK($AQ65:$AQ69)), "·", bdRateHermite($P65:$P69,$T65:$T69, $AM65:$AM69,$AQ65:$AQ69))</f>
        <v>·</v>
      </c>
      <c r="CR65" s="84" t="str">
        <f>IF( OR(ISBLANK($P65:$P69),ISBLANK($AM65:$AM69), ISBLANK(U65:U69),ISBLANK(AR65:AR69)), "·", bdRateHermite( $P65:$P69,U65:U69, $AM65:$AM69,AR65:AR69))</f>
        <v>·</v>
      </c>
      <c r="CS65" s="84" t="str">
        <f>IF( OR(ISBLANK($P65:$P69),ISBLANK($AM65:$AM69), ISBLANK(V65:V69),ISBLANK(AS65:AS69)), "·", bdRateHermite( $P65:$P69,V65:V69, $AM65:$AM69,AS65:AS69))</f>
        <v>·</v>
      </c>
      <c r="CT65" s="84" t="str">
        <f>IF( OR(ISBLANK($P65:$P69),ISBLANK($AM65:$AM69), ISBLANK(W65:W69),ISBLANK(AT65:AT69)), "·", bdRateHermite( $P65:$P69,W65:W69, $AM65:$AM69,AT65:AT69))</f>
        <v>·</v>
      </c>
      <c r="CU65" s="84" t="str">
        <f>IF( OR(ISBLANK($P65:$P69),ISBLANK($AM65:$AM69), ISBLANK(X65:X69),ISBLANK(AU65:AU69)), "·", bdRateHermite( $P65:$P69,X65:X69, $AM65:$AM69,AU65:AU69))</f>
        <v>·</v>
      </c>
      <c r="CV65" s="92"/>
    </row>
    <row r="66" spans="1:100" outlineLevel="1">
      <c r="A66" s="13"/>
      <c r="B66" s="14" t="s">
        <v>1120</v>
      </c>
      <c r="C66" s="15" t="s">
        <v>132</v>
      </c>
      <c r="D66" s="476">
        <v>4649702</v>
      </c>
      <c r="E66" s="15">
        <v>11</v>
      </c>
      <c r="F66" s="15">
        <v>1</v>
      </c>
      <c r="G66" s="16"/>
      <c r="I66" s="30" t="str">
        <f t="shared" si="0"/>
        <v>·</v>
      </c>
      <c r="J66" s="31">
        <f t="shared" si="1"/>
        <v>8.9280560345587734E-2</v>
      </c>
      <c r="K66" s="31">
        <f t="shared" si="2"/>
        <v>3.4042611763076429E-2</v>
      </c>
      <c r="L66" s="31">
        <f t="shared" si="16"/>
        <v>5.5127833998824011E-2</v>
      </c>
      <c r="M66" s="51"/>
      <c r="N66" s="31">
        <f t="shared" si="4"/>
        <v>3.0781231462806975</v>
      </c>
      <c r="O66" s="356">
        <v>134864</v>
      </c>
      <c r="P66" s="357">
        <v>415128</v>
      </c>
      <c r="Q66" s="357">
        <v>158288</v>
      </c>
      <c r="R66" s="208">
        <v>256328</v>
      </c>
      <c r="S66" s="87"/>
      <c r="T66" s="358">
        <v>58.874374000000003</v>
      </c>
      <c r="U66" s="358">
        <v>54.181156000000001</v>
      </c>
      <c r="V66" s="358">
        <v>24.561985</v>
      </c>
      <c r="W66" s="358">
        <v>27.870031000000001</v>
      </c>
      <c r="X66" s="358">
        <v>29.292750999999999</v>
      </c>
      <c r="Y66" s="87">
        <v>0</v>
      </c>
      <c r="Z66" s="359"/>
      <c r="AA66" s="359"/>
      <c r="AB66" s="32">
        <v>0</v>
      </c>
      <c r="AC66" s="32">
        <v>0</v>
      </c>
      <c r="AD66" s="33"/>
      <c r="AF66" s="30" t="str">
        <f t="shared" si="5"/>
        <v>·</v>
      </c>
      <c r="AG66" s="31" t="str">
        <f t="shared" si="6"/>
        <v>·</v>
      </c>
      <c r="AH66" s="31" t="str">
        <f t="shared" si="19"/>
        <v>·</v>
      </c>
      <c r="AI66" s="31" t="str">
        <f t="shared" si="15"/>
        <v>·</v>
      </c>
      <c r="AJ66" s="51"/>
      <c r="AK66" s="31" t="str">
        <f t="shared" si="17"/>
        <v>·</v>
      </c>
      <c r="AL66" s="356"/>
      <c r="AM66" s="357"/>
      <c r="AN66" s="357"/>
      <c r="AO66" s="208"/>
      <c r="AP66" s="87"/>
      <c r="AQ66" s="358"/>
      <c r="AR66" s="358"/>
      <c r="AS66" s="358"/>
      <c r="AT66" s="358"/>
      <c r="AU66" s="358"/>
      <c r="AV66" s="87"/>
      <c r="AW66" s="359"/>
      <c r="AX66" s="359"/>
      <c r="AY66" s="32">
        <v>0</v>
      </c>
      <c r="AZ66" s="32">
        <v>0</v>
      </c>
      <c r="BA66" s="33">
        <v>48</v>
      </c>
      <c r="BC66" s="56" t="e">
        <f t="shared" si="14"/>
        <v>#DIV/0!</v>
      </c>
      <c r="BD66" s="57" t="e">
        <f t="shared" si="14"/>
        <v>#DIV/0!</v>
      </c>
      <c r="BE66" s="57" t="e">
        <f t="shared" si="10"/>
        <v>#DIV/0!</v>
      </c>
      <c r="BF66" s="58"/>
      <c r="BH66" s="74"/>
      <c r="BI66" s="75"/>
      <c r="BJ66" s="75"/>
      <c r="BK66" s="75"/>
      <c r="BL66" s="75"/>
      <c r="BM66" s="87"/>
      <c r="BO66" s="74"/>
      <c r="BP66" s="75"/>
      <c r="BQ66" s="75"/>
      <c r="BR66" s="75"/>
      <c r="BS66" s="75"/>
      <c r="BT66" s="87"/>
      <c r="BV66" s="74"/>
      <c r="BW66" s="75"/>
      <c r="BX66" s="75"/>
      <c r="BY66" s="75"/>
      <c r="BZ66" s="75"/>
      <c r="CA66" s="87"/>
      <c r="CC66" s="74"/>
      <c r="CD66" s="75"/>
      <c r="CE66" s="75"/>
      <c r="CF66" s="75"/>
      <c r="CG66" s="75"/>
      <c r="CH66" s="87"/>
      <c r="CJ66" s="74"/>
      <c r="CK66" s="75"/>
      <c r="CL66" s="75"/>
      <c r="CM66" s="75"/>
      <c r="CN66" s="75"/>
      <c r="CO66" s="87"/>
      <c r="CQ66" s="74"/>
      <c r="CR66" s="75"/>
      <c r="CS66" s="75"/>
      <c r="CT66" s="75"/>
      <c r="CU66" s="75"/>
      <c r="CV66" s="87"/>
    </row>
    <row r="67" spans="1:100" outlineLevel="1">
      <c r="A67" s="13"/>
      <c r="B67" s="14" t="s">
        <v>1120</v>
      </c>
      <c r="C67" s="15" t="s">
        <v>133</v>
      </c>
      <c r="D67" s="476">
        <v>4649702</v>
      </c>
      <c r="E67" s="15">
        <v>11</v>
      </c>
      <c r="F67" s="15">
        <v>1</v>
      </c>
      <c r="G67" s="16"/>
      <c r="I67" s="30" t="str">
        <f t="shared" si="0"/>
        <v>·</v>
      </c>
      <c r="J67" s="31">
        <f t="shared" si="1"/>
        <v>0.48594253997352949</v>
      </c>
      <c r="K67" s="31">
        <f t="shared" si="2"/>
        <v>0.13003844117321928</v>
      </c>
      <c r="L67" s="31">
        <f t="shared" si="16"/>
        <v>0.35579226367625277</v>
      </c>
      <c r="M67" s="51"/>
      <c r="N67" s="31">
        <f t="shared" si="4"/>
        <v>4.2206282315669927</v>
      </c>
      <c r="O67" s="356">
        <v>535344</v>
      </c>
      <c r="P67" s="357">
        <v>2259488</v>
      </c>
      <c r="Q67" s="357">
        <v>604640</v>
      </c>
      <c r="R67" s="208">
        <v>1654328</v>
      </c>
      <c r="S67" s="87"/>
      <c r="T67" s="358">
        <v>64.457237000000006</v>
      </c>
      <c r="U67" s="358">
        <v>60.201756000000003</v>
      </c>
      <c r="V67" s="358">
        <v>27.164027999999998</v>
      </c>
      <c r="W67" s="358">
        <v>33.779308</v>
      </c>
      <c r="X67" s="358">
        <v>34.400505000000003</v>
      </c>
      <c r="Y67" s="87">
        <v>0</v>
      </c>
      <c r="Z67" s="359"/>
      <c r="AA67" s="359"/>
      <c r="AB67" s="32">
        <v>0</v>
      </c>
      <c r="AC67" s="32">
        <v>0</v>
      </c>
      <c r="AD67" s="33"/>
      <c r="AF67" s="30" t="str">
        <f t="shared" si="5"/>
        <v>·</v>
      </c>
      <c r="AG67" s="31" t="str">
        <f t="shared" si="6"/>
        <v>·</v>
      </c>
      <c r="AH67" s="31" t="str">
        <f t="shared" si="19"/>
        <v>·</v>
      </c>
      <c r="AI67" s="31" t="str">
        <f t="shared" si="15"/>
        <v>·</v>
      </c>
      <c r="AJ67" s="51"/>
      <c r="AK67" s="31" t="str">
        <f t="shared" si="17"/>
        <v>·</v>
      </c>
      <c r="AL67" s="356"/>
      <c r="AM67" s="357"/>
      <c r="AN67" s="357"/>
      <c r="AO67" s="208"/>
      <c r="AP67" s="87"/>
      <c r="AQ67" s="358"/>
      <c r="AR67" s="358"/>
      <c r="AS67" s="358"/>
      <c r="AT67" s="358"/>
      <c r="AU67" s="358"/>
      <c r="AV67" s="87"/>
      <c r="AW67" s="359"/>
      <c r="AX67" s="359"/>
      <c r="AY67" s="32">
        <v>0</v>
      </c>
      <c r="AZ67" s="32">
        <v>0</v>
      </c>
      <c r="BA67" s="33">
        <v>12</v>
      </c>
      <c r="BC67" s="56" t="e">
        <f t="shared" si="14"/>
        <v>#DIV/0!</v>
      </c>
      <c r="BD67" s="57" t="e">
        <f t="shared" si="14"/>
        <v>#DIV/0!</v>
      </c>
      <c r="BE67" s="57" t="e">
        <f t="shared" si="10"/>
        <v>#DIV/0!</v>
      </c>
      <c r="BF67" s="58"/>
      <c r="BH67" s="74"/>
      <c r="BI67" s="75"/>
      <c r="BJ67" s="75"/>
      <c r="BK67" s="75"/>
      <c r="BL67" s="75"/>
      <c r="BM67" s="87"/>
      <c r="BO67" s="74"/>
      <c r="BP67" s="75"/>
      <c r="BQ67" s="75"/>
      <c r="BR67" s="75"/>
      <c r="BS67" s="75"/>
      <c r="BT67" s="87"/>
      <c r="BV67" s="74"/>
      <c r="BW67" s="75"/>
      <c r="BX67" s="75"/>
      <c r="BY67" s="75"/>
      <c r="BZ67" s="75"/>
      <c r="CA67" s="87"/>
      <c r="CC67" s="74"/>
      <c r="CD67" s="75"/>
      <c r="CE67" s="75"/>
      <c r="CF67" s="75"/>
      <c r="CG67" s="75"/>
      <c r="CH67" s="87"/>
      <c r="CJ67" s="74"/>
      <c r="CK67" s="75"/>
      <c r="CL67" s="75"/>
      <c r="CM67" s="75"/>
      <c r="CN67" s="75"/>
      <c r="CO67" s="87"/>
      <c r="CQ67" s="74"/>
      <c r="CR67" s="75"/>
      <c r="CS67" s="75"/>
      <c r="CT67" s="75"/>
      <c r="CU67" s="75"/>
      <c r="CV67" s="87"/>
    </row>
    <row r="68" spans="1:100" outlineLevel="1">
      <c r="A68" s="13"/>
      <c r="B68" s="14" t="s">
        <v>1120</v>
      </c>
      <c r="C68" s="15" t="s">
        <v>134</v>
      </c>
      <c r="D68" s="476">
        <v>4649702</v>
      </c>
      <c r="E68" s="15">
        <v>11</v>
      </c>
      <c r="F68" s="15">
        <v>1</v>
      </c>
      <c r="G68" s="16"/>
      <c r="I68" s="30" t="str">
        <f t="shared" si="0"/>
        <v>·</v>
      </c>
      <c r="J68" s="31">
        <f t="shared" si="1"/>
        <v>2.6305840675380918</v>
      </c>
      <c r="K68" s="31">
        <f t="shared" si="2"/>
        <v>0.55710064860070607</v>
      </c>
      <c r="L68" s="31">
        <f t="shared" si="16"/>
        <v>2.0733681427325878</v>
      </c>
      <c r="M68" s="51"/>
      <c r="N68" s="31">
        <f t="shared" si="4"/>
        <v>6.0717775815312489</v>
      </c>
      <c r="O68" s="356">
        <v>2014473</v>
      </c>
      <c r="P68" s="357">
        <v>12231432</v>
      </c>
      <c r="Q68" s="357">
        <v>2590352</v>
      </c>
      <c r="R68" s="208">
        <v>9640544</v>
      </c>
      <c r="S68" s="87"/>
      <c r="T68" s="358">
        <v>69.191811000000001</v>
      </c>
      <c r="U68" s="358">
        <v>66.222358999999997</v>
      </c>
      <c r="V68" s="358">
        <v>29.090537999999999</v>
      </c>
      <c r="W68" s="358">
        <v>38.907654000000001</v>
      </c>
      <c r="X68" s="358">
        <v>39.617415999999999</v>
      </c>
      <c r="Y68" s="87">
        <v>0</v>
      </c>
      <c r="Z68" s="359"/>
      <c r="AA68" s="359"/>
      <c r="AB68" s="32">
        <v>0</v>
      </c>
      <c r="AC68" s="32">
        <v>0</v>
      </c>
      <c r="AD68" s="33"/>
      <c r="AF68" s="30" t="str">
        <f t="shared" si="5"/>
        <v>·</v>
      </c>
      <c r="AG68" s="31" t="str">
        <f t="shared" si="6"/>
        <v>·</v>
      </c>
      <c r="AH68" s="31" t="str">
        <f t="shared" si="19"/>
        <v>·</v>
      </c>
      <c r="AI68" s="31" t="str">
        <f t="shared" si="15"/>
        <v>·</v>
      </c>
      <c r="AJ68" s="51"/>
      <c r="AK68" s="31" t="str">
        <f t="shared" si="17"/>
        <v>·</v>
      </c>
      <c r="AL68" s="356"/>
      <c r="AM68" s="357"/>
      <c r="AN68" s="357"/>
      <c r="AO68" s="208"/>
      <c r="AP68" s="87"/>
      <c r="AQ68" s="358"/>
      <c r="AR68" s="358"/>
      <c r="AS68" s="358"/>
      <c r="AT68" s="358"/>
      <c r="AU68" s="358"/>
      <c r="AV68" s="87"/>
      <c r="AW68" s="359"/>
      <c r="AX68" s="359"/>
      <c r="AY68" s="32">
        <v>0</v>
      </c>
      <c r="AZ68" s="32">
        <v>0</v>
      </c>
      <c r="BA68" s="33">
        <v>3</v>
      </c>
      <c r="BC68" s="56" t="e">
        <f t="shared" si="14"/>
        <v>#DIV/0!</v>
      </c>
      <c r="BD68" s="57" t="e">
        <f t="shared" si="14"/>
        <v>#DIV/0!</v>
      </c>
      <c r="BE68" s="57" t="e">
        <f t="shared" si="10"/>
        <v>#DIV/0!</v>
      </c>
      <c r="BF68" s="58"/>
      <c r="BH68" s="74"/>
      <c r="BI68" s="75"/>
      <c r="BJ68" s="75"/>
      <c r="BK68" s="75"/>
      <c r="BL68" s="75"/>
      <c r="BM68" s="87"/>
      <c r="BO68" s="74"/>
      <c r="BP68" s="75"/>
      <c r="BQ68" s="75"/>
      <c r="BR68" s="75"/>
      <c r="BS68" s="75"/>
      <c r="BT68" s="87"/>
      <c r="BV68" s="74"/>
      <c r="BW68" s="75"/>
      <c r="BX68" s="75"/>
      <c r="BY68" s="75"/>
      <c r="BZ68" s="75"/>
      <c r="CA68" s="87"/>
      <c r="CC68" s="74"/>
      <c r="CD68" s="75"/>
      <c r="CE68" s="75"/>
      <c r="CF68" s="75"/>
      <c r="CG68" s="75"/>
      <c r="CH68" s="87"/>
      <c r="CJ68" s="74"/>
      <c r="CK68" s="75"/>
      <c r="CL68" s="75"/>
      <c r="CM68" s="75"/>
      <c r="CN68" s="75"/>
      <c r="CO68" s="87"/>
      <c r="CQ68" s="74"/>
      <c r="CR68" s="75"/>
      <c r="CS68" s="75"/>
      <c r="CT68" s="75"/>
      <c r="CU68" s="75"/>
      <c r="CV68" s="87"/>
    </row>
    <row r="69" spans="1:100" outlineLevel="1">
      <c r="A69" s="13"/>
      <c r="B69" s="14" t="s">
        <v>1120</v>
      </c>
      <c r="C69" s="15" t="s">
        <v>135</v>
      </c>
      <c r="D69" s="476">
        <v>4649702</v>
      </c>
      <c r="E69" s="15">
        <v>11</v>
      </c>
      <c r="F69" s="15">
        <v>1</v>
      </c>
      <c r="G69" s="16"/>
      <c r="I69" s="30" t="str">
        <f t="shared" ref="I69:I132" si="20">IF(OR(ISBLANK(P69),ISBLANK(G69)),"·",P69*G69/F69/1000000)</f>
        <v>·</v>
      </c>
      <c r="J69" s="31">
        <f t="shared" ref="J69:J132" si="21">IF(ISBLANK(P69),"·",P69/D69)</f>
        <v>7.062635842038909</v>
      </c>
      <c r="K69" s="31">
        <f t="shared" ref="K69:K132" si="22">IF(Q69="","·",Q69/D69)</f>
        <v>1.6996960235301102</v>
      </c>
      <c r="L69" s="31">
        <f t="shared" si="16"/>
        <v>5.3628228217636309</v>
      </c>
      <c r="M69" s="51"/>
      <c r="N69" s="31">
        <f t="shared" ref="N69:N132" si="23">IF(ISBLANK(P69),"·",P69/O69)</f>
        <v>9.5981369079230223</v>
      </c>
      <c r="O69" s="356">
        <v>3421409</v>
      </c>
      <c r="P69" s="357">
        <v>32839152</v>
      </c>
      <c r="Q69" s="357">
        <v>7903080</v>
      </c>
      <c r="R69" s="208">
        <v>24935528</v>
      </c>
      <c r="S69" s="87"/>
      <c r="T69" s="358">
        <v>74.014458000000005</v>
      </c>
      <c r="U69" s="358">
        <v>69.749465999999998</v>
      </c>
      <c r="V69" s="358">
        <v>33.766899000000002</v>
      </c>
      <c r="W69" s="358">
        <v>42.786484000000002</v>
      </c>
      <c r="X69" s="358">
        <v>43.684238000000001</v>
      </c>
      <c r="Y69" s="87">
        <v>0</v>
      </c>
      <c r="Z69" s="359"/>
      <c r="AA69" s="359"/>
      <c r="AB69" s="32">
        <v>0</v>
      </c>
      <c r="AC69" s="32">
        <v>0</v>
      </c>
      <c r="AD69" s="33"/>
      <c r="AF69" s="30" t="str">
        <f t="shared" ref="AF69:AF132" si="24">IF(OR(ISBLANK(AM69),ISBLANK(G69)),"·",AM69*G69/F69/1000000)</f>
        <v>·</v>
      </c>
      <c r="AG69" s="31" t="str">
        <f t="shared" ref="AG69:AG132" si="25">IF(ISBLANK(AM69),"·",AM69/D69)</f>
        <v>·</v>
      </c>
      <c r="AH69" s="31" t="str">
        <f t="shared" si="19"/>
        <v>·</v>
      </c>
      <c r="AI69" s="31" t="str">
        <f t="shared" si="15"/>
        <v>·</v>
      </c>
      <c r="AJ69" s="51"/>
      <c r="AK69" s="31" t="str">
        <f t="shared" si="17"/>
        <v>·</v>
      </c>
      <c r="AL69" s="356"/>
      <c r="AM69" s="357"/>
      <c r="AN69" s="357"/>
      <c r="AO69" s="208"/>
      <c r="AP69" s="87"/>
      <c r="AQ69" s="358"/>
      <c r="AR69" s="358"/>
      <c r="AS69" s="358"/>
      <c r="AT69" s="358"/>
      <c r="AU69" s="358"/>
      <c r="AV69" s="87"/>
      <c r="AW69" s="359"/>
      <c r="AX69" s="359"/>
      <c r="AY69" s="32">
        <v>0</v>
      </c>
      <c r="AZ69" s="32">
        <v>0</v>
      </c>
      <c r="BA69" s="33">
        <v>1.331712</v>
      </c>
      <c r="BC69" s="56" t="e">
        <f t="shared" si="14"/>
        <v>#DIV/0!</v>
      </c>
      <c r="BD69" s="57" t="e">
        <f t="shared" si="14"/>
        <v>#DIV/0!</v>
      </c>
      <c r="BE69" s="57" t="e">
        <f t="shared" ref="BE69:BE132" si="26">(AN69/AM69) - (Q69/P69)</f>
        <v>#DIV/0!</v>
      </c>
      <c r="BF69" s="58"/>
      <c r="BH69" s="74"/>
      <c r="BI69" s="75"/>
      <c r="BJ69" s="75"/>
      <c r="BK69" s="75"/>
      <c r="BL69" s="75"/>
      <c r="BM69" s="87"/>
      <c r="BO69" s="74"/>
      <c r="BP69" s="75"/>
      <c r="BQ69" s="75"/>
      <c r="BR69" s="75"/>
      <c r="BS69" s="75"/>
      <c r="BT69" s="87"/>
      <c r="BV69" s="74"/>
      <c r="BW69" s="75"/>
      <c r="BX69" s="75"/>
      <c r="BY69" s="75"/>
      <c r="BZ69" s="75"/>
      <c r="CA69" s="87"/>
      <c r="CC69" s="74"/>
      <c r="CD69" s="75"/>
      <c r="CE69" s="75"/>
      <c r="CF69" s="75"/>
      <c r="CG69" s="75"/>
      <c r="CH69" s="87"/>
      <c r="CJ69" s="74"/>
      <c r="CK69" s="75"/>
      <c r="CL69" s="75"/>
      <c r="CM69" s="75"/>
      <c r="CN69" s="75"/>
      <c r="CO69" s="87"/>
      <c r="CQ69" s="74"/>
      <c r="CR69" s="75"/>
      <c r="CS69" s="75"/>
      <c r="CT69" s="75"/>
      <c r="CU69" s="75"/>
      <c r="CV69" s="87"/>
    </row>
    <row r="70" spans="1:100" ht="14.25" outlineLevel="1" thickBot="1">
      <c r="A70" s="13"/>
      <c r="B70" s="18" t="s">
        <v>1120</v>
      </c>
      <c r="C70" s="19" t="s">
        <v>136</v>
      </c>
      <c r="D70" s="477">
        <v>4649702</v>
      </c>
      <c r="E70" s="19">
        <v>11</v>
      </c>
      <c r="F70" s="19">
        <v>1</v>
      </c>
      <c r="G70" s="20"/>
      <c r="I70" s="34" t="str">
        <f t="shared" si="20"/>
        <v>·</v>
      </c>
      <c r="J70" s="35">
        <f t="shared" si="21"/>
        <v>11.384380332330975</v>
      </c>
      <c r="K70" s="35">
        <f t="shared" si="22"/>
        <v>2.3633342523886478</v>
      </c>
      <c r="L70" s="35">
        <f t="shared" si="16"/>
        <v>9.0209308037375298</v>
      </c>
      <c r="M70" s="52"/>
      <c r="N70" s="35">
        <f t="shared" si="23"/>
        <v>12.97891899340388</v>
      </c>
      <c r="O70" s="360">
        <v>4078458</v>
      </c>
      <c r="P70" s="361">
        <v>52933976</v>
      </c>
      <c r="Q70" s="361">
        <v>10988800</v>
      </c>
      <c r="R70" s="209">
        <v>41944640</v>
      </c>
      <c r="S70" s="88"/>
      <c r="T70" s="362">
        <v>75.786011000000002</v>
      </c>
      <c r="U70" s="362">
        <v>71.089554000000007</v>
      </c>
      <c r="V70" s="362">
        <v>37.294646999999998</v>
      </c>
      <c r="W70" s="362">
        <v>46.758960999999999</v>
      </c>
      <c r="X70" s="362">
        <v>47.684029000000002</v>
      </c>
      <c r="Y70" s="88">
        <v>0</v>
      </c>
      <c r="Z70" s="363"/>
      <c r="AA70" s="363"/>
      <c r="AB70" s="36">
        <v>0</v>
      </c>
      <c r="AC70" s="36">
        <v>0</v>
      </c>
      <c r="AD70" s="37"/>
      <c r="AF70" s="34" t="str">
        <f t="shared" si="24"/>
        <v>·</v>
      </c>
      <c r="AG70" s="35" t="str">
        <f t="shared" si="25"/>
        <v>·</v>
      </c>
      <c r="AH70" s="35" t="str">
        <f t="shared" si="19"/>
        <v>·</v>
      </c>
      <c r="AI70" s="35" t="str">
        <f t="shared" si="15"/>
        <v>·</v>
      </c>
      <c r="AJ70" s="52"/>
      <c r="AK70" s="35" t="str">
        <f t="shared" si="17"/>
        <v>·</v>
      </c>
      <c r="AL70" s="360"/>
      <c r="AM70" s="361"/>
      <c r="AN70" s="361"/>
      <c r="AO70" s="209"/>
      <c r="AP70" s="88"/>
      <c r="AQ70" s="362"/>
      <c r="AR70" s="362"/>
      <c r="AS70" s="362"/>
      <c r="AT70" s="362"/>
      <c r="AU70" s="362"/>
      <c r="AV70" s="88"/>
      <c r="AW70" s="363"/>
      <c r="AX70" s="363"/>
      <c r="AY70" s="36">
        <v>0</v>
      </c>
      <c r="AZ70" s="36">
        <v>0</v>
      </c>
      <c r="BA70" s="37">
        <v>0.97814199999999996</v>
      </c>
      <c r="BC70" s="59" t="e">
        <f t="shared" si="14"/>
        <v>#DIV/0!</v>
      </c>
      <c r="BD70" s="60" t="e">
        <f t="shared" si="14"/>
        <v>#DIV/0!</v>
      </c>
      <c r="BE70" s="60" t="e">
        <f t="shared" si="26"/>
        <v>#DIV/0!</v>
      </c>
      <c r="BF70" s="61"/>
      <c r="BH70" s="80"/>
      <c r="BI70" s="81"/>
      <c r="BJ70" s="81"/>
      <c r="BK70" s="81"/>
      <c r="BL70" s="81"/>
      <c r="BM70" s="88"/>
      <c r="BO70" s="77"/>
      <c r="BP70" s="78"/>
      <c r="BQ70" s="78"/>
      <c r="BR70" s="78"/>
      <c r="BS70" s="78"/>
      <c r="BT70" s="88"/>
      <c r="BV70" s="77"/>
      <c r="BW70" s="78"/>
      <c r="BX70" s="78"/>
      <c r="BY70" s="78"/>
      <c r="BZ70" s="78"/>
      <c r="CA70" s="88"/>
      <c r="CC70" s="77"/>
      <c r="CD70" s="78"/>
      <c r="CE70" s="78"/>
      <c r="CF70" s="78"/>
      <c r="CG70" s="78"/>
      <c r="CH70" s="88"/>
      <c r="CJ70" s="77"/>
      <c r="CK70" s="78"/>
      <c r="CL70" s="78"/>
      <c r="CM70" s="78"/>
      <c r="CN70" s="78"/>
      <c r="CO70" s="88"/>
      <c r="CQ70" s="77"/>
      <c r="CR70" s="78"/>
      <c r="CS70" s="78"/>
      <c r="CT70" s="78"/>
      <c r="CU70" s="78"/>
      <c r="CV70" s="88"/>
    </row>
    <row r="71" spans="1:100">
      <c r="A71" s="13"/>
      <c r="B71" s="27" t="s">
        <v>1121</v>
      </c>
      <c r="C71" s="25" t="s">
        <v>131</v>
      </c>
      <c r="D71" s="475">
        <v>2096385</v>
      </c>
      <c r="E71" s="28">
        <v>15</v>
      </c>
      <c r="F71" s="28">
        <v>1</v>
      </c>
      <c r="G71" s="29"/>
      <c r="I71" s="42" t="str">
        <f t="shared" si="20"/>
        <v>·</v>
      </c>
      <c r="J71" s="43">
        <f t="shared" si="21"/>
        <v>6.6934270184150334E-3</v>
      </c>
      <c r="K71" s="43">
        <f t="shared" si="22"/>
        <v>3.7931963832979151E-3</v>
      </c>
      <c r="L71" s="43">
        <f t="shared" si="16"/>
        <v>2.5720466421959706E-3</v>
      </c>
      <c r="M71" s="55"/>
      <c r="N71" s="43">
        <f t="shared" si="23"/>
        <v>2.4892673407841048</v>
      </c>
      <c r="O71" s="352">
        <v>5637</v>
      </c>
      <c r="P71" s="353">
        <v>14032</v>
      </c>
      <c r="Q71" s="353">
        <v>7952</v>
      </c>
      <c r="R71" s="207">
        <v>5392</v>
      </c>
      <c r="S71" s="90"/>
      <c r="T71" s="354">
        <v>46.894753000000001</v>
      </c>
      <c r="U71" s="354">
        <v>42.177886999999998</v>
      </c>
      <c r="V71" s="354">
        <v>20.381610999999999</v>
      </c>
      <c r="W71" s="354">
        <v>27.114298000000002</v>
      </c>
      <c r="X71" s="354">
        <v>28.429283000000002</v>
      </c>
      <c r="Y71" s="90">
        <v>0</v>
      </c>
      <c r="Z71" s="355"/>
      <c r="AA71" s="355"/>
      <c r="AB71" s="44">
        <v>0</v>
      </c>
      <c r="AC71" s="44">
        <v>0</v>
      </c>
      <c r="AD71" s="45"/>
      <c r="AF71" s="42" t="str">
        <f t="shared" si="24"/>
        <v>·</v>
      </c>
      <c r="AG71" s="43" t="str">
        <f t="shared" si="25"/>
        <v>·</v>
      </c>
      <c r="AH71" s="43" t="str">
        <f t="shared" si="19"/>
        <v>·</v>
      </c>
      <c r="AI71" s="43" t="str">
        <f t="shared" si="15"/>
        <v>·</v>
      </c>
      <c r="AJ71" s="55"/>
      <c r="AK71" s="43" t="str">
        <f t="shared" si="17"/>
        <v>·</v>
      </c>
      <c r="AL71" s="352"/>
      <c r="AM71" s="353"/>
      <c r="AN71" s="353"/>
      <c r="AO71" s="207"/>
      <c r="AP71" s="90"/>
      <c r="AQ71" s="354"/>
      <c r="AR71" s="354"/>
      <c r="AS71" s="354"/>
      <c r="AT71" s="354"/>
      <c r="AU71" s="354"/>
      <c r="AV71" s="90"/>
      <c r="AW71" s="355"/>
      <c r="AX71" s="355"/>
      <c r="AY71" s="44">
        <v>0</v>
      </c>
      <c r="AZ71" s="44">
        <v>0</v>
      </c>
      <c r="BA71" s="45">
        <v>195077</v>
      </c>
      <c r="BC71" s="65" t="e">
        <f t="shared" si="14"/>
        <v>#DIV/0!</v>
      </c>
      <c r="BD71" s="66" t="e">
        <f t="shared" si="14"/>
        <v>#DIV/0!</v>
      </c>
      <c r="BE71" s="66" t="e">
        <f t="shared" si="26"/>
        <v>#DIV/0!</v>
      </c>
      <c r="BF71" s="67" t="e">
        <f t="array" ref="BF71">AVERAGE(AN71:AN76/AM71:AM76) - AVERAGE(Q71:Q76/P71:P76)</f>
        <v>#DIV/0!</v>
      </c>
      <c r="BH71" s="224" t="str">
        <f>IF( OR(ISBLANK($Q71:$Q76),ISBLANK($AN71:$AN76), ISBLANK($T71:$T76),ISBLANK($AQ71:$AQ76)), "·", bdRateHermite( $Q71:$Q76,$T71:$T76, $AN71:$AN76,$AQ71:$AQ76))</f>
        <v>·</v>
      </c>
      <c r="BI71" s="225" t="str">
        <f>IF(OR(ISBLANK(Q71:Q76),ISBLANK(AN71:AN76),ISBLANK(U71:U76),ISBLANK(AR71:AR76)),"·",bdRateHermite(Q71:Q76,U71:U76,AN71:AN76,AR71:AR76))</f>
        <v>·</v>
      </c>
      <c r="BJ71" s="225" t="str">
        <f>IF(OR(ISBLANK($R71:$R76),ISBLANK($AO71:$AO76),ISBLANK(V71:V76),ISBLANK(AS71:AS76)),"·",bdRateHermite($R71:$R76,V71:V76,$AO71:$AO76,AS71:AS76))</f>
        <v>·</v>
      </c>
      <c r="BK71" s="225" t="str">
        <f>IF(OR(ISBLANK($R71:$R76),ISBLANK($AO71:$AO76),ISBLANK(W71:W76),ISBLANK(AT71:AT76)),"·",bdRateHermite($R71:$R76,W71:W76,$AO71:$AO76,AT71:AT76))</f>
        <v>·</v>
      </c>
      <c r="BL71" s="225" t="str">
        <f>IF(OR(ISBLANK($R71:$R76),ISBLANK($AO71:$AO76),ISBLANK(X71:X76),ISBLANK(AU71:AU76)),"·",bdRateHermite($R71:$R76,X71:X76,$AO71:$AO76,AU71:AU76))</f>
        <v>·</v>
      </c>
      <c r="BM71" s="92"/>
      <c r="BO71" s="83" t="str">
        <f>IF( OR(ISBLANK($P71:$P76),ISBLANK($AM71:$AM76), ISBLANK($T71:$T76),ISBLANK($AQ71:$AQ76)), "·", bdRateHermite($P71:$P76,$T71:$T76, $AM71:$AM76,$AQ71:$AQ76))</f>
        <v>·</v>
      </c>
      <c r="BP71" s="84" t="str">
        <f>IF( OR(ISBLANK($P71:$P76),ISBLANK($AM71:$AM76), ISBLANK(U71:U76),ISBLANK(AR71:AR76)), "·", bdRateHermite( $P71:$P76,U71:U76, $AM71:$AM76,AR71:AR76))</f>
        <v>·</v>
      </c>
      <c r="BQ71" s="84" t="str">
        <f>IF( OR(ISBLANK($P71:$P76),ISBLANK($AM71:$AM76), ISBLANK(V71:V76),ISBLANK(AS71:AS76)), "·", bdRateHermite( $P71:$P76,V71:V76, $AM71:$AM76,AS71:AS76))</f>
        <v>·</v>
      </c>
      <c r="BR71" s="84" t="str">
        <f>IF( OR(ISBLANK($P71:$P76),ISBLANK($AM71:$AM76), ISBLANK(W71:W76),ISBLANK(AT71:AT76)), "·", bdRateHermite( $P71:$P76,W71:W76, $AM71:$AM76,AT71:AT76))</f>
        <v>·</v>
      </c>
      <c r="BS71" s="84" t="str">
        <f>IF( OR(ISBLANK($P71:$P76),ISBLANK($AM71:$AM76), ISBLANK(X71:X76),ISBLANK(AU71:AU76)), "·", bdRateHermite( $P71:$P76,X71:X76, $AM71:$AM76,AU71:AU76))</f>
        <v>·</v>
      </c>
      <c r="BT71" s="90"/>
      <c r="BV71" s="83" t="str">
        <f>IF( OR(ISBLANK($Q71:$Q75),ISBLANK($AN71:$AN75), ISBLANK($T71:$T75),ISBLANK($AQ71:$AQ75)), "·", bdRateHermite( $Q72:$Q76,$T72:$T76, $AN72:$AN76,$AQ72:$AQ76))</f>
        <v>·</v>
      </c>
      <c r="BW71" s="84" t="str">
        <f>IF(OR(ISBLANK($Q71:$Q76),ISBLANK($AN71:$AN76),ISBLANK(U71:U76),ISBLANK(AR71:AR76)),"·",bdRateHermite($Q72:$Q76,U72:U76,$AN72:$AN76,AR72:AR76))</f>
        <v>·</v>
      </c>
      <c r="BX71" s="225" t="str">
        <f>IF(OR(ISBLANK($R71:$R76),ISBLANK($AO71:$AO76),ISBLANK($V71:$V76),ISBLANK($AS71:$AS76)),"·",bdRateHermite($R72:$R76,$V72:$V76,$AO72:$AO76,$AS72:$AS76))</f>
        <v>·</v>
      </c>
      <c r="BY71" s="225" t="str">
        <f>IF(OR(ISBLANK($R71:$R76),ISBLANK($AO71:$AO76),ISBLANK($W71:$W76),ISBLANK($AT71:$AT76)),"·",bdRateHermite($R72:$R76,$W72:$W76,$AO72:$AO76,$AT72:$AT76))</f>
        <v>·</v>
      </c>
      <c r="BZ71" s="225" t="str">
        <f>IF(OR(ISBLANK($R71:$R76),ISBLANK($AO71:$AO76),ISBLANK($X71:$X76),ISBLANK($AU71:$AU76)),"·",bdRateHermite($R72:$R76,$X72:$X76,$AO72:$AO76,$AU72:$AU76))</f>
        <v>·</v>
      </c>
      <c r="CA71" s="92"/>
      <c r="CC71" s="83" t="str">
        <f>IF( OR(ISBLANK($P71:$P76),ISBLANK($AM71:$AM76), ISBLANK($T71:$T76),ISBLANK($AQ71:$AQ76)), "·", bdRateHermite($P72:$P76,$T72:$T76, $AM72:$AM76,$AQ72:$AQ76))</f>
        <v>·</v>
      </c>
      <c r="CD71" s="84" t="str">
        <f>IF( OR(ISBLANK($P71:$P76),ISBLANK($AM71:$AM76), ISBLANK(U71:U76),ISBLANK(AR71:AR76)), "·", bdRateHermite( $P72:$P76,U72:U76, $AM72:$AM76,AR72:AR76))</f>
        <v>·</v>
      </c>
      <c r="CE71" s="84" t="str">
        <f>IF( OR(ISBLANK($P71:$P76),ISBLANK($AM71:$AM76), ISBLANK(V71:V76),ISBLANK(AS71:AS76)), "·", bdRateHermite( $P72:$P76,V72:V76, $AM72:$AM76,AS72:AS76))</f>
        <v>·</v>
      </c>
      <c r="CF71" s="84" t="str">
        <f>IF( OR(ISBLANK($P71:$P76),ISBLANK($AM71:$AM76), ISBLANK(W71:W76),ISBLANK(AT71:AT76)), "·", bdRateHermite( $P72:$P76,W72:W76, $AM72:$AM76,AT72:AT76))</f>
        <v>·</v>
      </c>
      <c r="CG71" s="84" t="str">
        <f>IF( OR(ISBLANK($P71:$P76),ISBLANK($AM71:$AM76), ISBLANK(X71:X76),ISBLANK(AU71:AU76)), "·", bdRateHermite( $P72:$P76,X72:X76, $AM72:$AM76,AU72:AU76))</f>
        <v>·</v>
      </c>
      <c r="CH71" s="92"/>
      <c r="CJ71" s="83" t="str">
        <f>IF( OR(ISBLANK($Q71:$Q75),ISBLANK($AN71:$AN75), ISBLANK($T71:$T75),ISBLANK($AQ71:$AQ75)), "·", bdRateHermite( $Q71:$Q75,$T71:$T75, $AN71:$AN75,$AQ71:$AQ75))</f>
        <v>·</v>
      </c>
      <c r="CK71" s="84" t="str">
        <f>IF(OR(ISBLANK($Q71:$Q75),ISBLANK($AN71:$AN75),ISBLANK(U71:U75),ISBLANK(AR71:AR75)),"·",bdRateHermite($Q71:$Q75,U71:U75,$AN71:$AN75,AR71:AR75))</f>
        <v>·</v>
      </c>
      <c r="CL71" s="225" t="str">
        <f>IF(OR(ISBLANK($R71:$R76),ISBLANK($AO71:$AO76),ISBLANK($V71:$V76),ISBLANK($AS71:$AS76)),"·",bdRateHermite($R71:$R75,$V71:$V75,$AO71:$AO75,$AS71:$AS75))</f>
        <v>·</v>
      </c>
      <c r="CM71" s="225" t="str">
        <f>IF(OR(ISBLANK($R71:$R76),ISBLANK($AO71:$AO76),ISBLANK($W71:$W76),ISBLANK($AT71:$AT76)),"·",bdRateHermite($R71:$R75,$W71:$W75,$AO71:$AO75,$AT71:$AT75))</f>
        <v>·</v>
      </c>
      <c r="CN71" s="225" t="str">
        <f>IF(OR(ISBLANK($R71:$R76),ISBLANK($AO71:$AO76),ISBLANK($X71:$X76),ISBLANK($AU71:$AU76)),"·",bdRateHermite($R71:$R75,$X71:$X75,$AO71:$AO75,$AU71:$AU75))</f>
        <v>·</v>
      </c>
      <c r="CO71" s="92"/>
      <c r="CQ71" s="83" t="str">
        <f>IF( OR(ISBLANK($P71:$P75),ISBLANK($AM71:$AM75), ISBLANK($T71:$T75),ISBLANK($AQ71:$AQ75)), "·", bdRateHermite($P71:$P75,$T71:$T75, $AM71:$AM75,$AQ71:$AQ75))</f>
        <v>·</v>
      </c>
      <c r="CR71" s="84" t="str">
        <f>IF( OR(ISBLANK($P71:$P75),ISBLANK($AM71:$AM75), ISBLANK(U71:U75),ISBLANK(AR71:AR75)), "·", bdRateHermite( $P71:$P75,U71:U75, $AM71:$AM75,AR71:AR75))</f>
        <v>·</v>
      </c>
      <c r="CS71" s="84" t="str">
        <f>IF( OR(ISBLANK($P71:$P75),ISBLANK($AM71:$AM75), ISBLANK(V71:V75),ISBLANK(AS71:AS75)), "·", bdRateHermite( $P71:$P75,V71:V75, $AM71:$AM75,AS71:AS75))</f>
        <v>·</v>
      </c>
      <c r="CT71" s="84" t="str">
        <f>IF( OR(ISBLANK($P71:$P75),ISBLANK($AM71:$AM75), ISBLANK(W71:W75),ISBLANK(AT71:AT75)), "·", bdRateHermite( $P71:$P75,W71:W75, $AM71:$AM75,AT71:AT75))</f>
        <v>·</v>
      </c>
      <c r="CU71" s="84" t="str">
        <f>IF( OR(ISBLANK($P71:$P75),ISBLANK($AM71:$AM75), ISBLANK(X71:X75),ISBLANK(AU71:AU75)), "·", bdRateHermite( $P71:$P75,X71:X75, $AM71:$AM75,AU71:AU75))</f>
        <v>·</v>
      </c>
      <c r="CV71" s="92"/>
    </row>
    <row r="72" spans="1:100" outlineLevel="1">
      <c r="A72" s="13"/>
      <c r="B72" s="14" t="s">
        <v>1121</v>
      </c>
      <c r="C72" s="15" t="s">
        <v>132</v>
      </c>
      <c r="D72" s="476">
        <v>2096385</v>
      </c>
      <c r="E72" s="15">
        <v>15</v>
      </c>
      <c r="F72" s="15">
        <v>1</v>
      </c>
      <c r="G72" s="16"/>
      <c r="I72" s="30" t="str">
        <f t="shared" si="20"/>
        <v>·</v>
      </c>
      <c r="J72" s="31">
        <f t="shared" si="21"/>
        <v>2.8246719948864355E-2</v>
      </c>
      <c r="K72" s="31">
        <f t="shared" si="22"/>
        <v>1.4344693365006905E-2</v>
      </c>
      <c r="L72" s="31">
        <f t="shared" si="16"/>
        <v>1.3566210405054416E-2</v>
      </c>
      <c r="M72" s="51"/>
      <c r="N72" s="31">
        <f t="shared" si="23"/>
        <v>2.6849240535026073</v>
      </c>
      <c r="O72" s="356">
        <v>22055</v>
      </c>
      <c r="P72" s="357">
        <v>59216</v>
      </c>
      <c r="Q72" s="357">
        <v>30072</v>
      </c>
      <c r="R72" s="208">
        <v>28440</v>
      </c>
      <c r="S72" s="87"/>
      <c r="T72" s="358">
        <v>52.946823000000002</v>
      </c>
      <c r="U72" s="358">
        <v>48.232478999999998</v>
      </c>
      <c r="V72" s="358">
        <v>24.785288000000001</v>
      </c>
      <c r="W72" s="358">
        <v>28.414915000000001</v>
      </c>
      <c r="X72" s="358">
        <v>29.583373999999999</v>
      </c>
      <c r="Y72" s="87">
        <v>0</v>
      </c>
      <c r="Z72" s="359"/>
      <c r="AA72" s="359"/>
      <c r="AB72" s="32">
        <v>0</v>
      </c>
      <c r="AC72" s="32">
        <v>0</v>
      </c>
      <c r="AD72" s="33"/>
      <c r="AF72" s="30" t="str">
        <f t="shared" si="24"/>
        <v>·</v>
      </c>
      <c r="AG72" s="31" t="str">
        <f t="shared" si="25"/>
        <v>·</v>
      </c>
      <c r="AH72" s="31" t="str">
        <f t="shared" si="19"/>
        <v>·</v>
      </c>
      <c r="AI72" s="31" t="str">
        <f t="shared" si="15"/>
        <v>·</v>
      </c>
      <c r="AJ72" s="51"/>
      <c r="AK72" s="31" t="str">
        <f t="shared" si="17"/>
        <v>·</v>
      </c>
      <c r="AL72" s="356"/>
      <c r="AM72" s="357"/>
      <c r="AN72" s="357"/>
      <c r="AO72" s="208"/>
      <c r="AP72" s="87"/>
      <c r="AQ72" s="358"/>
      <c r="AR72" s="358"/>
      <c r="AS72" s="358"/>
      <c r="AT72" s="358"/>
      <c r="AU72" s="358"/>
      <c r="AV72" s="87"/>
      <c r="AW72" s="359"/>
      <c r="AX72" s="359"/>
      <c r="AY72" s="32">
        <v>0</v>
      </c>
      <c r="AZ72" s="32">
        <v>0</v>
      </c>
      <c r="BA72" s="33">
        <v>48389</v>
      </c>
      <c r="BC72" s="56" t="e">
        <f t="shared" si="14"/>
        <v>#DIV/0!</v>
      </c>
      <c r="BD72" s="57" t="e">
        <f t="shared" si="14"/>
        <v>#DIV/0!</v>
      </c>
      <c r="BE72" s="57" t="e">
        <f t="shared" si="26"/>
        <v>#DIV/0!</v>
      </c>
      <c r="BF72" s="58"/>
      <c r="BH72" s="74"/>
      <c r="BI72" s="75"/>
      <c r="BJ72" s="75"/>
      <c r="BK72" s="75"/>
      <c r="BL72" s="75"/>
      <c r="BM72" s="87"/>
      <c r="BO72" s="74"/>
      <c r="BP72" s="75"/>
      <c r="BQ72" s="75"/>
      <c r="BR72" s="75"/>
      <c r="BS72" s="75"/>
      <c r="BT72" s="87"/>
      <c r="BV72" s="74"/>
      <c r="BW72" s="75"/>
      <c r="BX72" s="75"/>
      <c r="BY72" s="75"/>
      <c r="BZ72" s="75"/>
      <c r="CA72" s="87"/>
      <c r="CC72" s="74"/>
      <c r="CD72" s="75"/>
      <c r="CE72" s="75"/>
      <c r="CF72" s="75"/>
      <c r="CG72" s="75"/>
      <c r="CH72" s="87"/>
      <c r="CJ72" s="74"/>
      <c r="CK72" s="75"/>
      <c r="CL72" s="75"/>
      <c r="CM72" s="75"/>
      <c r="CN72" s="75"/>
      <c r="CO72" s="87"/>
      <c r="CQ72" s="74"/>
      <c r="CR72" s="75"/>
      <c r="CS72" s="75"/>
      <c r="CT72" s="75"/>
      <c r="CU72" s="75"/>
      <c r="CV72" s="87"/>
    </row>
    <row r="73" spans="1:100" outlineLevel="1">
      <c r="A73" s="13"/>
      <c r="B73" s="14" t="s">
        <v>1121</v>
      </c>
      <c r="C73" s="15" t="s">
        <v>133</v>
      </c>
      <c r="D73" s="476">
        <v>2096385</v>
      </c>
      <c r="E73" s="15">
        <v>15</v>
      </c>
      <c r="F73" s="15">
        <v>1</v>
      </c>
      <c r="G73" s="16"/>
      <c r="I73" s="30" t="str">
        <f t="shared" si="20"/>
        <v>·</v>
      </c>
      <c r="J73" s="31">
        <f t="shared" si="21"/>
        <v>0.36355535839075359</v>
      </c>
      <c r="K73" s="31">
        <f t="shared" si="22"/>
        <v>0.19470469403282317</v>
      </c>
      <c r="L73" s="31">
        <f t="shared" si="16"/>
        <v>0.16850721599324553</v>
      </c>
      <c r="M73" s="51"/>
      <c r="N73" s="31">
        <f t="shared" si="23"/>
        <v>2.3898729731678943</v>
      </c>
      <c r="O73" s="356">
        <v>318909</v>
      </c>
      <c r="P73" s="357">
        <v>762152</v>
      </c>
      <c r="Q73" s="357">
        <v>408176</v>
      </c>
      <c r="R73" s="208">
        <v>353256</v>
      </c>
      <c r="S73" s="87"/>
      <c r="T73" s="358">
        <v>64.974898999999994</v>
      </c>
      <c r="U73" s="358">
        <v>60.205734</v>
      </c>
      <c r="V73" s="358">
        <v>32.404758000000001</v>
      </c>
      <c r="W73" s="358">
        <v>35.918182000000002</v>
      </c>
      <c r="X73" s="358">
        <v>34.657578000000001</v>
      </c>
      <c r="Y73" s="87">
        <v>0</v>
      </c>
      <c r="Z73" s="359"/>
      <c r="AA73" s="359"/>
      <c r="AB73" s="32">
        <v>0</v>
      </c>
      <c r="AC73" s="32">
        <v>0</v>
      </c>
      <c r="AD73" s="33"/>
      <c r="AF73" s="30" t="str">
        <f t="shared" si="24"/>
        <v>·</v>
      </c>
      <c r="AG73" s="31" t="str">
        <f t="shared" si="25"/>
        <v>·</v>
      </c>
      <c r="AH73" s="31" t="str">
        <f t="shared" si="19"/>
        <v>·</v>
      </c>
      <c r="AI73" s="31" t="str">
        <f t="shared" si="15"/>
        <v>·</v>
      </c>
      <c r="AJ73" s="51"/>
      <c r="AK73" s="31" t="str">
        <f t="shared" si="17"/>
        <v>·</v>
      </c>
      <c r="AL73" s="356"/>
      <c r="AM73" s="357"/>
      <c r="AN73" s="357"/>
      <c r="AO73" s="208"/>
      <c r="AP73" s="87"/>
      <c r="AQ73" s="358"/>
      <c r="AR73" s="358"/>
      <c r="AS73" s="358"/>
      <c r="AT73" s="358"/>
      <c r="AU73" s="358"/>
      <c r="AV73" s="87"/>
      <c r="AW73" s="359"/>
      <c r="AX73" s="359"/>
      <c r="AY73" s="32">
        <v>0</v>
      </c>
      <c r="AZ73" s="32">
        <v>0</v>
      </c>
      <c r="BA73" s="33">
        <v>3072</v>
      </c>
      <c r="BC73" s="56" t="e">
        <f t="shared" si="14"/>
        <v>#DIV/0!</v>
      </c>
      <c r="BD73" s="57" t="e">
        <f t="shared" si="14"/>
        <v>#DIV/0!</v>
      </c>
      <c r="BE73" s="57" t="e">
        <f t="shared" si="26"/>
        <v>#DIV/0!</v>
      </c>
      <c r="BF73" s="58"/>
      <c r="BH73" s="74"/>
      <c r="BI73" s="75"/>
      <c r="BJ73" s="75"/>
      <c r="BK73" s="75"/>
      <c r="BL73" s="75"/>
      <c r="BM73" s="87"/>
      <c r="BO73" s="74"/>
      <c r="BP73" s="75"/>
      <c r="BQ73" s="75"/>
      <c r="BR73" s="75"/>
      <c r="BS73" s="75"/>
      <c r="BT73" s="87"/>
      <c r="BV73" s="74"/>
      <c r="BW73" s="75"/>
      <c r="BX73" s="75"/>
      <c r="BY73" s="75"/>
      <c r="BZ73" s="75"/>
      <c r="CA73" s="87"/>
      <c r="CC73" s="74"/>
      <c r="CD73" s="75"/>
      <c r="CE73" s="75"/>
      <c r="CF73" s="75"/>
      <c r="CG73" s="75"/>
      <c r="CH73" s="87"/>
      <c r="CJ73" s="74"/>
      <c r="CK73" s="75"/>
      <c r="CL73" s="75"/>
      <c r="CM73" s="75"/>
      <c r="CN73" s="75"/>
      <c r="CO73" s="87"/>
      <c r="CQ73" s="74"/>
      <c r="CR73" s="75"/>
      <c r="CS73" s="75"/>
      <c r="CT73" s="75"/>
      <c r="CU73" s="75"/>
      <c r="CV73" s="87"/>
    </row>
    <row r="74" spans="1:100" outlineLevel="1">
      <c r="A74" s="13"/>
      <c r="B74" s="14" t="s">
        <v>1121</v>
      </c>
      <c r="C74" s="15" t="s">
        <v>134</v>
      </c>
      <c r="D74" s="476">
        <v>2096385</v>
      </c>
      <c r="E74" s="15">
        <v>15</v>
      </c>
      <c r="F74" s="15">
        <v>1</v>
      </c>
      <c r="G74" s="16"/>
      <c r="I74" s="30" t="str">
        <f t="shared" si="20"/>
        <v>·</v>
      </c>
      <c r="J74" s="31">
        <f t="shared" si="21"/>
        <v>2.2952119958881601</v>
      </c>
      <c r="K74" s="31">
        <f t="shared" si="22"/>
        <v>0.7770557411925767</v>
      </c>
      <c r="L74" s="31">
        <f t="shared" si="16"/>
        <v>1.5178128063308982</v>
      </c>
      <c r="M74" s="51"/>
      <c r="N74" s="31">
        <f t="shared" si="23"/>
        <v>4.5676921309766669</v>
      </c>
      <c r="O74" s="356">
        <v>1053409</v>
      </c>
      <c r="P74" s="357">
        <v>4811648</v>
      </c>
      <c r="Q74" s="357">
        <v>1629008</v>
      </c>
      <c r="R74" s="208">
        <v>3181920</v>
      </c>
      <c r="S74" s="87"/>
      <c r="T74" s="358">
        <v>70.988747000000004</v>
      </c>
      <c r="U74" s="358">
        <v>66.226333999999994</v>
      </c>
      <c r="V74" s="358">
        <v>37.276848000000001</v>
      </c>
      <c r="W74" s="358">
        <v>38.814239999999998</v>
      </c>
      <c r="X74" s="358">
        <v>38.604069000000003</v>
      </c>
      <c r="Y74" s="87">
        <v>0</v>
      </c>
      <c r="Z74" s="359"/>
      <c r="AA74" s="359"/>
      <c r="AB74" s="32">
        <v>0</v>
      </c>
      <c r="AC74" s="32">
        <v>0</v>
      </c>
      <c r="AD74" s="33"/>
      <c r="AF74" s="30" t="str">
        <f t="shared" si="24"/>
        <v>·</v>
      </c>
      <c r="AG74" s="31" t="str">
        <f t="shared" si="25"/>
        <v>·</v>
      </c>
      <c r="AH74" s="31" t="str">
        <f t="shared" si="19"/>
        <v>·</v>
      </c>
      <c r="AI74" s="31" t="str">
        <f t="shared" si="15"/>
        <v>·</v>
      </c>
      <c r="AJ74" s="51"/>
      <c r="AK74" s="31" t="str">
        <f t="shared" si="17"/>
        <v>·</v>
      </c>
      <c r="AL74" s="356"/>
      <c r="AM74" s="357"/>
      <c r="AN74" s="357"/>
      <c r="AO74" s="208"/>
      <c r="AP74" s="87"/>
      <c r="AQ74" s="358"/>
      <c r="AR74" s="358"/>
      <c r="AS74" s="358"/>
      <c r="AT74" s="358"/>
      <c r="AU74" s="358"/>
      <c r="AV74" s="87"/>
      <c r="AW74" s="359"/>
      <c r="AX74" s="359"/>
      <c r="AY74" s="32">
        <v>0</v>
      </c>
      <c r="AZ74" s="32">
        <v>0</v>
      </c>
      <c r="BA74" s="33">
        <v>768</v>
      </c>
      <c r="BC74" s="56" t="e">
        <f t="shared" si="14"/>
        <v>#DIV/0!</v>
      </c>
      <c r="BD74" s="57" t="e">
        <f t="shared" si="14"/>
        <v>#DIV/0!</v>
      </c>
      <c r="BE74" s="57" t="e">
        <f t="shared" si="26"/>
        <v>#DIV/0!</v>
      </c>
      <c r="BF74" s="58"/>
      <c r="BH74" s="74"/>
      <c r="BI74" s="75"/>
      <c r="BJ74" s="75"/>
      <c r="BK74" s="75"/>
      <c r="BL74" s="75"/>
      <c r="BM74" s="87"/>
      <c r="BO74" s="74"/>
      <c r="BP74" s="75"/>
      <c r="BQ74" s="75"/>
      <c r="BR74" s="75"/>
      <c r="BS74" s="75"/>
      <c r="BT74" s="87"/>
      <c r="BV74" s="74"/>
      <c r="BW74" s="75"/>
      <c r="BX74" s="75"/>
      <c r="BY74" s="75"/>
      <c r="BZ74" s="75"/>
      <c r="CA74" s="87"/>
      <c r="CC74" s="74"/>
      <c r="CD74" s="75"/>
      <c r="CE74" s="75"/>
      <c r="CF74" s="75"/>
      <c r="CG74" s="75"/>
      <c r="CH74" s="87"/>
      <c r="CJ74" s="74"/>
      <c r="CK74" s="75"/>
      <c r="CL74" s="75"/>
      <c r="CM74" s="75"/>
      <c r="CN74" s="75"/>
      <c r="CO74" s="87"/>
      <c r="CQ74" s="74"/>
      <c r="CR74" s="75"/>
      <c r="CS74" s="75"/>
      <c r="CT74" s="75"/>
      <c r="CU74" s="75"/>
      <c r="CV74" s="87"/>
    </row>
    <row r="75" spans="1:100" outlineLevel="1">
      <c r="A75" s="13"/>
      <c r="B75" s="14" t="s">
        <v>1121</v>
      </c>
      <c r="C75" s="15" t="s">
        <v>135</v>
      </c>
      <c r="D75" s="476">
        <v>2096385</v>
      </c>
      <c r="E75" s="15">
        <v>15</v>
      </c>
      <c r="F75" s="15">
        <v>1</v>
      </c>
      <c r="G75" s="16"/>
      <c r="I75" s="30" t="str">
        <f t="shared" si="20"/>
        <v>·</v>
      </c>
      <c r="J75" s="31">
        <f t="shared" si="21"/>
        <v>11.317982145455153</v>
      </c>
      <c r="K75" s="31">
        <f t="shared" si="22"/>
        <v>7.4214535975023672</v>
      </c>
      <c r="L75" s="31">
        <f t="shared" si="16"/>
        <v>3.8961774674022185</v>
      </c>
      <c r="M75" s="51"/>
      <c r="N75" s="31">
        <f t="shared" si="23"/>
        <v>11.333779484041514</v>
      </c>
      <c r="O75" s="356">
        <v>2093463</v>
      </c>
      <c r="P75" s="357">
        <v>23726848</v>
      </c>
      <c r="Q75" s="357">
        <v>15558224</v>
      </c>
      <c r="R75" s="208">
        <v>8167888</v>
      </c>
      <c r="S75" s="87"/>
      <c r="T75" s="358">
        <v>82.905715999999998</v>
      </c>
      <c r="U75" s="358">
        <v>78.267532000000003</v>
      </c>
      <c r="V75" s="358">
        <v>46.321849999999998</v>
      </c>
      <c r="W75" s="358">
        <v>46.937496000000003</v>
      </c>
      <c r="X75" s="358">
        <v>47.165874000000002</v>
      </c>
      <c r="Y75" s="87">
        <v>0</v>
      </c>
      <c r="Z75" s="359"/>
      <c r="AA75" s="359"/>
      <c r="AB75" s="32">
        <v>0</v>
      </c>
      <c r="AC75" s="32">
        <v>0</v>
      </c>
      <c r="AD75" s="33"/>
      <c r="AF75" s="30" t="str">
        <f t="shared" si="24"/>
        <v>·</v>
      </c>
      <c r="AG75" s="31" t="str">
        <f t="shared" si="25"/>
        <v>·</v>
      </c>
      <c r="AH75" s="31" t="str">
        <f t="shared" si="19"/>
        <v>·</v>
      </c>
      <c r="AI75" s="31" t="str">
        <f t="shared" si="15"/>
        <v>·</v>
      </c>
      <c r="AJ75" s="51"/>
      <c r="AK75" s="31" t="str">
        <f t="shared" si="17"/>
        <v>·</v>
      </c>
      <c r="AL75" s="356"/>
      <c r="AM75" s="357"/>
      <c r="AN75" s="357"/>
      <c r="AO75" s="208"/>
      <c r="AP75" s="87"/>
      <c r="AQ75" s="358"/>
      <c r="AR75" s="358"/>
      <c r="AS75" s="358"/>
      <c r="AT75" s="358"/>
      <c r="AU75" s="358"/>
      <c r="AV75" s="87"/>
      <c r="AW75" s="359"/>
      <c r="AX75" s="359"/>
      <c r="AY75" s="32">
        <v>0</v>
      </c>
      <c r="AZ75" s="32">
        <v>0</v>
      </c>
      <c r="BA75" s="33">
        <v>48</v>
      </c>
      <c r="BC75" s="56" t="e">
        <f t="shared" si="14"/>
        <v>#DIV/0!</v>
      </c>
      <c r="BD75" s="57" t="e">
        <f t="shared" si="14"/>
        <v>#DIV/0!</v>
      </c>
      <c r="BE75" s="57" t="e">
        <f t="shared" si="26"/>
        <v>#DIV/0!</v>
      </c>
      <c r="BF75" s="58"/>
      <c r="BH75" s="74"/>
      <c r="BI75" s="75"/>
      <c r="BJ75" s="75"/>
      <c r="BK75" s="75"/>
      <c r="BL75" s="75"/>
      <c r="BM75" s="87"/>
      <c r="BO75" s="74"/>
      <c r="BP75" s="75"/>
      <c r="BQ75" s="75"/>
      <c r="BR75" s="75"/>
      <c r="BS75" s="75"/>
      <c r="BT75" s="87"/>
      <c r="BV75" s="74"/>
      <c r="BW75" s="75"/>
      <c r="BX75" s="75"/>
      <c r="BY75" s="75"/>
      <c r="BZ75" s="75"/>
      <c r="CA75" s="87"/>
      <c r="CC75" s="74"/>
      <c r="CD75" s="75"/>
      <c r="CE75" s="75"/>
      <c r="CF75" s="75"/>
      <c r="CG75" s="75"/>
      <c r="CH75" s="87"/>
      <c r="CJ75" s="74"/>
      <c r="CK75" s="75"/>
      <c r="CL75" s="75"/>
      <c r="CM75" s="75"/>
      <c r="CN75" s="75"/>
      <c r="CO75" s="87"/>
      <c r="CQ75" s="74"/>
      <c r="CR75" s="75"/>
      <c r="CS75" s="75"/>
      <c r="CT75" s="75"/>
      <c r="CU75" s="75"/>
      <c r="CV75" s="87"/>
    </row>
    <row r="76" spans="1:100" ht="14.25" outlineLevel="1" thickBot="1">
      <c r="A76" s="215"/>
      <c r="B76" s="18" t="s">
        <v>1121</v>
      </c>
      <c r="C76" s="19" t="s">
        <v>136</v>
      </c>
      <c r="D76" s="477">
        <v>2096385</v>
      </c>
      <c r="E76" s="19">
        <v>15</v>
      </c>
      <c r="F76" s="19">
        <v>1</v>
      </c>
      <c r="G76" s="20"/>
      <c r="I76" s="34" t="str">
        <f t="shared" si="20"/>
        <v>·</v>
      </c>
      <c r="J76" s="35">
        <f t="shared" si="21"/>
        <v>17.422612735733178</v>
      </c>
      <c r="K76" s="35">
        <f t="shared" si="22"/>
        <v>11.107059056423319</v>
      </c>
      <c r="L76" s="35">
        <f t="shared" si="16"/>
        <v>6.3151987826663518</v>
      </c>
      <c r="M76" s="52"/>
      <c r="N76" s="35">
        <f t="shared" si="23"/>
        <v>17.423393984899999</v>
      </c>
      <c r="O76" s="360">
        <v>2096291</v>
      </c>
      <c r="P76" s="361">
        <v>36524504</v>
      </c>
      <c r="Q76" s="361">
        <v>23284672</v>
      </c>
      <c r="R76" s="209">
        <v>13239088</v>
      </c>
      <c r="S76" s="88"/>
      <c r="T76" s="362">
        <v>88.548316999999997</v>
      </c>
      <c r="U76" s="362">
        <v>84.288132000000004</v>
      </c>
      <c r="V76" s="362">
        <v>51.013367000000002</v>
      </c>
      <c r="W76" s="362">
        <v>51.343837999999998</v>
      </c>
      <c r="X76" s="362">
        <v>51.132603000000003</v>
      </c>
      <c r="Y76" s="88">
        <v>0</v>
      </c>
      <c r="Z76" s="363"/>
      <c r="AA76" s="363"/>
      <c r="AB76" s="36">
        <v>0</v>
      </c>
      <c r="AC76" s="36">
        <v>0</v>
      </c>
      <c r="AD76" s="37"/>
      <c r="AF76" s="34" t="str">
        <f t="shared" si="24"/>
        <v>·</v>
      </c>
      <c r="AG76" s="35" t="str">
        <f t="shared" si="25"/>
        <v>·</v>
      </c>
      <c r="AH76" s="35" t="str">
        <f t="shared" si="19"/>
        <v>·</v>
      </c>
      <c r="AI76" s="35" t="str">
        <f t="shared" si="15"/>
        <v>·</v>
      </c>
      <c r="AJ76" s="52"/>
      <c r="AK76" s="35" t="str">
        <f t="shared" si="17"/>
        <v>·</v>
      </c>
      <c r="AL76" s="360"/>
      <c r="AM76" s="361"/>
      <c r="AN76" s="361"/>
      <c r="AO76" s="209"/>
      <c r="AP76" s="88"/>
      <c r="AQ76" s="362"/>
      <c r="AR76" s="362"/>
      <c r="AS76" s="362"/>
      <c r="AT76" s="362"/>
      <c r="AU76" s="362"/>
      <c r="AV76" s="88"/>
      <c r="AW76" s="363"/>
      <c r="AX76" s="363"/>
      <c r="AY76" s="36">
        <v>0</v>
      </c>
      <c r="AZ76" s="36">
        <v>0</v>
      </c>
      <c r="BA76" s="37">
        <v>12</v>
      </c>
      <c r="BC76" s="59" t="e">
        <f t="shared" si="14"/>
        <v>#DIV/0!</v>
      </c>
      <c r="BD76" s="60" t="e">
        <f t="shared" si="14"/>
        <v>#DIV/0!</v>
      </c>
      <c r="BE76" s="60" t="e">
        <f t="shared" si="26"/>
        <v>#DIV/0!</v>
      </c>
      <c r="BF76" s="61"/>
      <c r="BH76" s="77"/>
      <c r="BI76" s="78"/>
      <c r="BJ76" s="78"/>
      <c r="BK76" s="78"/>
      <c r="BL76" s="78"/>
      <c r="BM76" s="88"/>
      <c r="BO76" s="77"/>
      <c r="BP76" s="78"/>
      <c r="BQ76" s="78"/>
      <c r="BR76" s="78"/>
      <c r="BS76" s="78"/>
      <c r="BT76" s="88"/>
      <c r="BV76" s="77"/>
      <c r="BW76" s="78"/>
      <c r="BX76" s="78"/>
      <c r="BY76" s="78"/>
      <c r="BZ76" s="78"/>
      <c r="CA76" s="88"/>
      <c r="CC76" s="77"/>
      <c r="CD76" s="78"/>
      <c r="CE76" s="78"/>
      <c r="CF76" s="78"/>
      <c r="CG76" s="78"/>
      <c r="CH76" s="88"/>
      <c r="CJ76" s="77"/>
      <c r="CK76" s="78"/>
      <c r="CL76" s="78"/>
      <c r="CM76" s="78"/>
      <c r="CN76" s="78"/>
      <c r="CO76" s="88"/>
      <c r="CQ76" s="77"/>
      <c r="CR76" s="78"/>
      <c r="CS76" s="78"/>
      <c r="CT76" s="78"/>
      <c r="CU76" s="78"/>
      <c r="CV76" s="88"/>
    </row>
    <row r="77" spans="1:100">
      <c r="A77" s="13"/>
      <c r="B77" s="27" t="s">
        <v>1122</v>
      </c>
      <c r="C77" s="28" t="s">
        <v>131</v>
      </c>
      <c r="D77" s="478">
        <v>8046105</v>
      </c>
      <c r="E77" s="28">
        <v>15</v>
      </c>
      <c r="F77" s="28">
        <v>1</v>
      </c>
      <c r="G77" s="29"/>
      <c r="I77" s="42" t="str">
        <f t="shared" si="20"/>
        <v>·</v>
      </c>
      <c r="J77" s="43">
        <f t="shared" si="21"/>
        <v>2.3663623579359207E-4</v>
      </c>
      <c r="K77" s="43">
        <f t="shared" si="22"/>
        <v>8.1530131659977097E-5</v>
      </c>
      <c r="L77" s="43">
        <f t="shared" si="16"/>
        <v>7.1587432677053058E-5</v>
      </c>
      <c r="M77" s="55"/>
      <c r="N77" s="43">
        <f t="shared" si="23"/>
        <v>5.44</v>
      </c>
      <c r="O77" s="352">
        <v>350</v>
      </c>
      <c r="P77" s="353">
        <v>1904</v>
      </c>
      <c r="Q77" s="353">
        <v>656</v>
      </c>
      <c r="R77" s="207">
        <v>576</v>
      </c>
      <c r="S77" s="90"/>
      <c r="T77" s="354">
        <v>47.284027000000002</v>
      </c>
      <c r="U77" s="354">
        <v>42.189053000000001</v>
      </c>
      <c r="V77" s="354">
        <v>15.679442999999999</v>
      </c>
      <c r="W77" s="354">
        <v>25.272789</v>
      </c>
      <c r="X77" s="354">
        <v>26.235082999999999</v>
      </c>
      <c r="Y77" s="90">
        <v>0</v>
      </c>
      <c r="Z77" s="355"/>
      <c r="AA77" s="355"/>
      <c r="AB77" s="44">
        <v>0</v>
      </c>
      <c r="AC77" s="44">
        <v>0</v>
      </c>
      <c r="AD77" s="45"/>
      <c r="AF77" s="42" t="str">
        <f t="shared" si="24"/>
        <v>·</v>
      </c>
      <c r="AG77" s="43" t="str">
        <f t="shared" si="25"/>
        <v>·</v>
      </c>
      <c r="AH77" s="43" t="str">
        <f t="shared" ref="AH77:AI82" si="27">IF(AN77="","·",AN77/$D77)</f>
        <v>·</v>
      </c>
      <c r="AI77" s="43" t="str">
        <f>IF(AO77="","·",AO77/$D77)</f>
        <v>·</v>
      </c>
      <c r="AJ77" s="55"/>
      <c r="AK77" s="43" t="str">
        <f t="shared" si="17"/>
        <v>·</v>
      </c>
      <c r="AL77" s="352"/>
      <c r="AM77" s="353"/>
      <c r="AN77" s="353"/>
      <c r="AO77" s="207"/>
      <c r="AP77" s="90"/>
      <c r="AQ77" s="354"/>
      <c r="AR77" s="354"/>
      <c r="AS77" s="354"/>
      <c r="AT77" s="354"/>
      <c r="AU77" s="354"/>
      <c r="AV77" s="90"/>
      <c r="AW77" s="355"/>
      <c r="AX77" s="355"/>
      <c r="AY77" s="44">
        <v>0</v>
      </c>
      <c r="AZ77" s="44">
        <v>0</v>
      </c>
      <c r="BA77" s="45">
        <v>194576</v>
      </c>
      <c r="BC77" s="65" t="e">
        <f t="shared" si="14"/>
        <v>#DIV/0!</v>
      </c>
      <c r="BD77" s="66" t="e">
        <f t="shared" si="14"/>
        <v>#DIV/0!</v>
      </c>
      <c r="BE77" s="66" t="e">
        <f t="shared" si="26"/>
        <v>#DIV/0!</v>
      </c>
      <c r="BF77" s="67" t="e">
        <f t="array" ref="BF77">AVERAGE(AN77:AN82/AM77:AM82) - AVERAGE(Q77:Q82/P77:P82)</f>
        <v>#DIV/0!</v>
      </c>
      <c r="BH77" s="83" t="str">
        <f>IF( OR(ISBLANK($Q77:$Q82),ISBLANK($AN77:$AN82), ISBLANK($T77:$T82),ISBLANK($AQ77:$AQ82)), "·", bdRateHermite( $Q77:$Q82,$T77:$T82, $AN77:$AN82,$AQ77:$AQ82))</f>
        <v>·</v>
      </c>
      <c r="BI77" s="225" t="str">
        <f>IF(OR(ISBLANK(Q77:Q82),ISBLANK(AN77:AN82),ISBLANK(U77:U82),ISBLANK(AR77:AR82)),"·",bdRateHermite(Q77:Q82,U77:U82,AN77:AN82,AR77:AR82))</f>
        <v>·</v>
      </c>
      <c r="BJ77" s="225" t="str">
        <f>IF(OR(ISBLANK($R77:$R82),ISBLANK($AO77:$AO82),ISBLANK(V77:V82),ISBLANK(AS77:AS82)),"·",bdRateHermite($R77:$R82,V77:V82,$AO77:$AO82,AS77:AS82))</f>
        <v>·</v>
      </c>
      <c r="BK77" s="225" t="str">
        <f>IF(OR(ISBLANK($R77:$R82),ISBLANK($AO77:$AO82),ISBLANK(W77:W82),ISBLANK(AT77:AT82)),"·",bdRateHermite($R77:$R82,W77:W82,$AO77:$AO82,AT77:AT82))</f>
        <v>·</v>
      </c>
      <c r="BL77" s="225" t="str">
        <f>IF(OR(ISBLANK($R77:$R82),ISBLANK($AO77:$AO82),ISBLANK(X77:X82),ISBLANK(AU77:AU82)),"·",bdRateHermite($R77:$R82,X77:X82,$AO77:$AO82,AU77:AU82))</f>
        <v>·</v>
      </c>
      <c r="BM77" s="92"/>
      <c r="BO77" s="83" t="str">
        <f>IF( OR(ISBLANK($P77:$P82),ISBLANK($AM77:$AM82), ISBLANK($T77:$T82),ISBLANK($AQ77:$AQ82)), "·", bdRateHermite($P77:$P82,$T77:$T82, $AM77:$AM82,$AQ77:$AQ82))</f>
        <v>·</v>
      </c>
      <c r="BP77" s="84" t="str">
        <f>IF( OR(ISBLANK($P77:$P82),ISBLANK($AM77:$AM82), ISBLANK(U77:U82),ISBLANK(AR77:AR82)), "·", bdRateHermite( $P77:$P82,U77:U82, $AM77:$AM82,AR77:AR82))</f>
        <v>·</v>
      </c>
      <c r="BQ77" s="84" t="str">
        <f>IF( OR(ISBLANK($P77:$P82),ISBLANK($AM77:$AM82), ISBLANK(V77:V82),ISBLANK(AS77:AS82)), "·", bdRateHermite( $P77:$P82,V77:V82, $AM77:$AM82,AS77:AS82))</f>
        <v>·</v>
      </c>
      <c r="BR77" s="84" t="str">
        <f>IF( OR(ISBLANK($P77:$P82),ISBLANK($AM77:$AM82), ISBLANK(W77:W82),ISBLANK(AT77:AT82)), "·", bdRateHermite( $P77:$P82,W77:W82, $AM77:$AM82,AT77:AT82))</f>
        <v>·</v>
      </c>
      <c r="BS77" s="84" t="str">
        <f>IF( OR(ISBLANK($P77:$P82),ISBLANK($AM77:$AM82), ISBLANK(X77:X82),ISBLANK(AU77:AU82)), "·", bdRateHermite( $P77:$P82,X77:X82, $AM77:$AM82,AU77:AU82))</f>
        <v>·</v>
      </c>
      <c r="BT77" s="92"/>
      <c r="BV77" s="83" t="str">
        <f>IF( OR(ISBLANK($Q77:$Q81),ISBLANK($AN77:$AN81), ISBLANK($T77:$T81),ISBLANK($AQ77:$AQ81)), "·", bdRateHermite( $Q78:$Q82,$T78:$T82, $AN78:$AN82,$AQ78:$AQ82))</f>
        <v>·</v>
      </c>
      <c r="BW77" s="84" t="str">
        <f>IF(OR(ISBLANK($Q77:$Q82),ISBLANK($AN77:$AN82),ISBLANK(U77:U82),ISBLANK(AR77:AR82)),"·",bdRateHermite($Q78:$Q82,U78:U82,$AN78:$AN82,AR78:AR82))</f>
        <v>·</v>
      </c>
      <c r="BX77" s="225" t="str">
        <f>IF(OR(ISBLANK($R77:$R82),ISBLANK($AO77:$AO82),ISBLANK($V77:$V82),ISBLANK($AS77:$AS82)),"·",bdRateHermite($R78:$R82,$V78:$V82,$AO78:$AO82,$AS78:$AS82))</f>
        <v>·</v>
      </c>
      <c r="BY77" s="225" t="str">
        <f>IF(OR(ISBLANK($R77:$R82),ISBLANK($AO77:$AO82),ISBLANK($W77:$W82),ISBLANK($AT77:$AT82)),"·",bdRateHermite($R78:$R82,$W78:$W82,$AO78:$AO82,$AT78:$AT82))</f>
        <v>·</v>
      </c>
      <c r="BZ77" s="225" t="str">
        <f>IF(OR(ISBLANK($R77:$R82),ISBLANK($AO77:$AO82),ISBLANK($X77:$X82),ISBLANK($AU77:$AU82)),"·",bdRateHermite($R78:$R82,$X78:$X82,$AO78:$AO82,$AU78:$AU82))</f>
        <v>·</v>
      </c>
      <c r="CA77" s="92"/>
      <c r="CC77" s="83" t="str">
        <f>IF( OR(ISBLANK($P77:$P82),ISBLANK($AM77:$AM82), ISBLANK($T77:$T82),ISBLANK($AQ77:$AQ82)), "·", bdRateHermite($P78:$P82,$T78:$T82, $AM78:$AM82,$AQ78:$AQ82))</f>
        <v>·</v>
      </c>
      <c r="CD77" s="84" t="str">
        <f>IF( OR(ISBLANK($P77:$P82),ISBLANK($AM77:$AM82), ISBLANK(U77:U82),ISBLANK(AR77:AR82)), "·", bdRateHermite( $P78:$P82,U78:U82, $AM78:$AM82,AR78:AR82))</f>
        <v>·</v>
      </c>
      <c r="CE77" s="84" t="str">
        <f>IF( OR(ISBLANK($P77:$P82),ISBLANK($AM77:$AM82), ISBLANK(V77:V82),ISBLANK(AS77:AS82)), "·", bdRateHermite( $P78:$P82,V78:V82, $AM78:$AM82,AS78:AS82))</f>
        <v>·</v>
      </c>
      <c r="CF77" s="84" t="str">
        <f>IF( OR(ISBLANK($P77:$P82),ISBLANK($AM77:$AM82), ISBLANK(W77:W82),ISBLANK(AT77:AT82)), "·", bdRateHermite( $P78:$P82,W78:W82, $AM78:$AM82,AT78:AT82))</f>
        <v>·</v>
      </c>
      <c r="CG77" s="84" t="str">
        <f>IF( OR(ISBLANK($P77:$P82),ISBLANK($AM77:$AM82), ISBLANK(X77:X82),ISBLANK(AU77:AU82)), "·", bdRateHermite( $P78:$P82,X78:X82, $AM78:$AM82,AU78:AU82))</f>
        <v>·</v>
      </c>
      <c r="CH77" s="92"/>
      <c r="CJ77" s="83" t="str">
        <f>IF( OR(ISBLANK($Q77:$Q81),ISBLANK($AN77:$AN81), ISBLANK($T77:$T81),ISBLANK($AQ77:$AQ81)), "·", bdRateHermite( $Q77:$Q81,$T77:$T81, $AN77:$AN81,$AQ77:$AQ81))</f>
        <v>·</v>
      </c>
      <c r="CK77" s="84" t="str">
        <f>IF(OR(ISBLANK($Q77:$Q81),ISBLANK($AN77:$AN81),ISBLANK(U77:U81),ISBLANK(AR77:AR81)),"·",bdRateHermite($Q77:$Q81,U77:U81,$AN77:$AN81,AR77:AR81))</f>
        <v>·</v>
      </c>
      <c r="CL77" s="225" t="str">
        <f>IF(OR(ISBLANK($R77:$R82),ISBLANK($AO77:$AO82),ISBLANK($V77:$V82),ISBLANK($AS77:$AS82)),"·",bdRateHermite($R77:$R81,$V77:$V81,$AO77:$AO81,$AS77:$AS81))</f>
        <v>·</v>
      </c>
      <c r="CM77" s="225" t="str">
        <f>IF(OR(ISBLANK($R77:$R82),ISBLANK($AO77:$AO82),ISBLANK($W77:$W82),ISBLANK($AT77:$AT82)),"·",bdRateHermite($R77:$R81,$W77:$W81,$AO77:$AO81,$AT77:$AT81))</f>
        <v>·</v>
      </c>
      <c r="CN77" s="225" t="str">
        <f>IF(OR(ISBLANK($R77:$R82),ISBLANK($AO77:$AO82),ISBLANK($X77:$X82),ISBLANK($AU77:$AU82)),"·",bdRateHermite($R77:$R81,$X77:$X81,$AO77:$AO81,$AU77:$AU81))</f>
        <v>·</v>
      </c>
      <c r="CO77" s="92"/>
      <c r="CQ77" s="83" t="str">
        <f>IF( OR(ISBLANK($P77:$P81),ISBLANK($AM77:$AM81), ISBLANK($T77:$T81),ISBLANK($AQ77:$AQ81)), "·", bdRateHermite($P77:$P81,$T77:$T81, $AM77:$AM81,$AQ77:$AQ81))</f>
        <v>·</v>
      </c>
      <c r="CR77" s="84" t="str">
        <f>IF( OR(ISBLANK($P77:$P81),ISBLANK($AM77:$AM81), ISBLANK(U77:U81),ISBLANK(AR77:AR81)), "·", bdRateHermite( $P77:$P81,U77:U81, $AM77:$AM81,AR77:AR81))</f>
        <v>·</v>
      </c>
      <c r="CS77" s="84" t="str">
        <f>IF( OR(ISBLANK($P77:$P81),ISBLANK($AM77:$AM81), ISBLANK(V77:V81),ISBLANK(AS77:AS81)), "·", bdRateHermite( $P77:$P81,V77:V81, $AM77:$AM81,AS77:AS81))</f>
        <v>·</v>
      </c>
      <c r="CT77" s="84" t="str">
        <f>IF( OR(ISBLANK($P77:$P81),ISBLANK($AM77:$AM81), ISBLANK(W77:W81),ISBLANK(AT77:AT81)), "·", bdRateHermite( $P77:$P81,W77:W81, $AM77:$AM81,AT77:AT81))</f>
        <v>·</v>
      </c>
      <c r="CU77" s="84" t="str">
        <f>IF( OR(ISBLANK($P77:$P81),ISBLANK($AM77:$AM81), ISBLANK(X77:X81),ISBLANK(AU77:AU81)), "·", bdRateHermite( $P77:$P81,X77:X81, $AM77:$AM81,AU77:AU81))</f>
        <v>·</v>
      </c>
      <c r="CV77" s="92"/>
    </row>
    <row r="78" spans="1:100" outlineLevel="1">
      <c r="A78" s="13"/>
      <c r="B78" s="14" t="s">
        <v>1122</v>
      </c>
      <c r="C78" s="15" t="s">
        <v>132</v>
      </c>
      <c r="D78" s="479">
        <v>8046105</v>
      </c>
      <c r="E78" s="15">
        <v>15</v>
      </c>
      <c r="F78" s="15">
        <v>1</v>
      </c>
      <c r="G78" s="16"/>
      <c r="I78" s="30" t="str">
        <f t="shared" si="20"/>
        <v>·</v>
      </c>
      <c r="J78" s="31">
        <f t="shared" si="21"/>
        <v>1.0062011370719124E-3</v>
      </c>
      <c r="K78" s="31">
        <f t="shared" si="22"/>
        <v>2.9629242969113627E-4</v>
      </c>
      <c r="L78" s="31">
        <f t="shared" si="16"/>
        <v>6.2539576602592189E-4</v>
      </c>
      <c r="M78" s="51"/>
      <c r="N78" s="31">
        <f t="shared" si="23"/>
        <v>5.5528120713305897</v>
      </c>
      <c r="O78" s="356">
        <v>1458</v>
      </c>
      <c r="P78" s="357">
        <v>8096</v>
      </c>
      <c r="Q78" s="357">
        <v>2384</v>
      </c>
      <c r="R78" s="208">
        <v>5032</v>
      </c>
      <c r="S78" s="87"/>
      <c r="T78" s="358">
        <v>52.845157999999998</v>
      </c>
      <c r="U78" s="358">
        <v>48.187122000000002</v>
      </c>
      <c r="V78" s="358">
        <v>17.537374</v>
      </c>
      <c r="W78" s="358">
        <v>26.701878000000001</v>
      </c>
      <c r="X78" s="358">
        <v>26.779684</v>
      </c>
      <c r="Y78" s="87">
        <v>0</v>
      </c>
      <c r="Z78" s="359"/>
      <c r="AA78" s="359"/>
      <c r="AB78" s="32">
        <v>0</v>
      </c>
      <c r="AC78" s="32">
        <v>0</v>
      </c>
      <c r="AD78" s="33"/>
      <c r="AF78" s="30" t="str">
        <f t="shared" si="24"/>
        <v>·</v>
      </c>
      <c r="AG78" s="31" t="str">
        <f t="shared" si="25"/>
        <v>·</v>
      </c>
      <c r="AH78" s="31" t="str">
        <f t="shared" si="27"/>
        <v>·</v>
      </c>
      <c r="AI78" s="31" t="str">
        <f t="shared" si="27"/>
        <v>·</v>
      </c>
      <c r="AJ78" s="51"/>
      <c r="AK78" s="31" t="str">
        <f t="shared" si="17"/>
        <v>·</v>
      </c>
      <c r="AL78" s="356"/>
      <c r="AM78" s="357"/>
      <c r="AN78" s="357"/>
      <c r="AO78" s="208"/>
      <c r="AP78" s="87"/>
      <c r="AQ78" s="358"/>
      <c r="AR78" s="358"/>
      <c r="AS78" s="358"/>
      <c r="AT78" s="358"/>
      <c r="AU78" s="358"/>
      <c r="AV78" s="87"/>
      <c r="AW78" s="359"/>
      <c r="AX78" s="359"/>
      <c r="AY78" s="32">
        <v>0</v>
      </c>
      <c r="AZ78" s="32">
        <v>0</v>
      </c>
      <c r="BA78" s="33">
        <v>48897</v>
      </c>
      <c r="BC78" s="56" t="e">
        <f t="shared" si="14"/>
        <v>#DIV/0!</v>
      </c>
      <c r="BD78" s="57" t="e">
        <f t="shared" si="14"/>
        <v>#DIV/0!</v>
      </c>
      <c r="BE78" s="57" t="e">
        <f t="shared" si="26"/>
        <v>#DIV/0!</v>
      </c>
      <c r="BF78" s="58"/>
      <c r="BH78" s="74"/>
      <c r="BI78" s="75"/>
      <c r="BJ78" s="75"/>
      <c r="BK78" s="75"/>
      <c r="BL78" s="75"/>
      <c r="BM78" s="87"/>
      <c r="BO78" s="74"/>
      <c r="BP78" s="75"/>
      <c r="BQ78" s="75"/>
      <c r="BR78" s="75"/>
      <c r="BS78" s="75"/>
      <c r="BT78" s="87"/>
      <c r="BV78" s="74"/>
      <c r="BW78" s="75"/>
      <c r="BX78" s="75"/>
      <c r="BY78" s="75"/>
      <c r="BZ78" s="75"/>
      <c r="CA78" s="87"/>
      <c r="CC78" s="74"/>
      <c r="CD78" s="75"/>
      <c r="CE78" s="75"/>
      <c r="CF78" s="75"/>
      <c r="CG78" s="75"/>
      <c r="CH78" s="87"/>
      <c r="CJ78" s="74"/>
      <c r="CK78" s="75"/>
      <c r="CL78" s="75"/>
      <c r="CM78" s="75"/>
      <c r="CN78" s="75"/>
      <c r="CO78" s="87"/>
      <c r="CQ78" s="74"/>
      <c r="CR78" s="75"/>
      <c r="CS78" s="75"/>
      <c r="CT78" s="75"/>
      <c r="CU78" s="75"/>
      <c r="CV78" s="87"/>
    </row>
    <row r="79" spans="1:100" outlineLevel="1">
      <c r="A79" s="13"/>
      <c r="B79" s="14" t="s">
        <v>1122</v>
      </c>
      <c r="C79" s="15" t="s">
        <v>133</v>
      </c>
      <c r="D79" s="479">
        <v>8046105</v>
      </c>
      <c r="E79" s="15">
        <v>15</v>
      </c>
      <c r="F79" s="15">
        <v>1</v>
      </c>
      <c r="G79" s="16"/>
      <c r="I79" s="30" t="str">
        <f t="shared" si="20"/>
        <v>·</v>
      </c>
      <c r="J79" s="31">
        <f t="shared" si="21"/>
        <v>1.3293388540169437E-2</v>
      </c>
      <c r="K79" s="31">
        <f t="shared" si="22"/>
        <v>3.2472854878229903E-3</v>
      </c>
      <c r="L79" s="31">
        <f t="shared" si="16"/>
        <v>9.9586073012967145E-3</v>
      </c>
      <c r="M79" s="51"/>
      <c r="N79" s="31">
        <f t="shared" si="23"/>
        <v>5.1998055420515312</v>
      </c>
      <c r="O79" s="356">
        <v>20570</v>
      </c>
      <c r="P79" s="357">
        <v>106960</v>
      </c>
      <c r="Q79" s="357">
        <v>26128</v>
      </c>
      <c r="R79" s="208">
        <v>80128</v>
      </c>
      <c r="S79" s="87"/>
      <c r="T79" s="358">
        <v>64.872756999999993</v>
      </c>
      <c r="U79" s="358">
        <v>60.205734</v>
      </c>
      <c r="V79" s="358">
        <v>20.156883000000001</v>
      </c>
      <c r="W79" s="358">
        <v>31.716532000000001</v>
      </c>
      <c r="X79" s="358">
        <v>31.328970000000002</v>
      </c>
      <c r="Y79" s="87">
        <v>0</v>
      </c>
      <c r="Z79" s="359"/>
      <c r="AA79" s="359"/>
      <c r="AB79" s="32">
        <v>0</v>
      </c>
      <c r="AC79" s="32">
        <v>0</v>
      </c>
      <c r="AD79" s="33"/>
      <c r="AF79" s="30" t="str">
        <f t="shared" si="24"/>
        <v>·</v>
      </c>
      <c r="AG79" s="31" t="str">
        <f t="shared" si="25"/>
        <v>·</v>
      </c>
      <c r="AH79" s="31" t="str">
        <f t="shared" si="27"/>
        <v>·</v>
      </c>
      <c r="AI79" s="31" t="str">
        <f t="shared" si="27"/>
        <v>·</v>
      </c>
      <c r="AJ79" s="51"/>
      <c r="AK79" s="31" t="str">
        <f t="shared" si="17"/>
        <v>·</v>
      </c>
      <c r="AL79" s="356"/>
      <c r="AM79" s="357"/>
      <c r="AN79" s="357"/>
      <c r="AO79" s="208"/>
      <c r="AP79" s="87"/>
      <c r="AQ79" s="358"/>
      <c r="AR79" s="358"/>
      <c r="AS79" s="358"/>
      <c r="AT79" s="358"/>
      <c r="AU79" s="358"/>
      <c r="AV79" s="87"/>
      <c r="AW79" s="359"/>
      <c r="AX79" s="359"/>
      <c r="AY79" s="32">
        <v>0</v>
      </c>
      <c r="AZ79" s="32">
        <v>0</v>
      </c>
      <c r="BA79" s="33">
        <v>3072</v>
      </c>
      <c r="BC79" s="56" t="e">
        <f t="shared" si="14"/>
        <v>#DIV/0!</v>
      </c>
      <c r="BD79" s="57" t="e">
        <f t="shared" si="14"/>
        <v>#DIV/0!</v>
      </c>
      <c r="BE79" s="57" t="e">
        <f t="shared" si="26"/>
        <v>#DIV/0!</v>
      </c>
      <c r="BF79" s="58"/>
      <c r="BH79" s="74"/>
      <c r="BI79" s="75"/>
      <c r="BJ79" s="75"/>
      <c r="BK79" s="75"/>
      <c r="BL79" s="75"/>
      <c r="BM79" s="87"/>
      <c r="BO79" s="74"/>
      <c r="BP79" s="75"/>
      <c r="BQ79" s="75"/>
      <c r="BR79" s="75"/>
      <c r="BS79" s="75"/>
      <c r="BT79" s="87"/>
      <c r="BV79" s="74"/>
      <c r="BW79" s="75"/>
      <c r="BX79" s="75"/>
      <c r="BY79" s="75"/>
      <c r="BZ79" s="75"/>
      <c r="CA79" s="87"/>
      <c r="CC79" s="74"/>
      <c r="CD79" s="75"/>
      <c r="CE79" s="75"/>
      <c r="CF79" s="75"/>
      <c r="CG79" s="75"/>
      <c r="CH79" s="87"/>
      <c r="CJ79" s="74"/>
      <c r="CK79" s="75"/>
      <c r="CL79" s="75"/>
      <c r="CM79" s="75"/>
      <c r="CN79" s="75"/>
      <c r="CO79" s="87"/>
      <c r="CQ79" s="74"/>
      <c r="CR79" s="75"/>
      <c r="CS79" s="75"/>
      <c r="CT79" s="75"/>
      <c r="CU79" s="75"/>
      <c r="CV79" s="87"/>
    </row>
    <row r="80" spans="1:100" outlineLevel="1">
      <c r="A80" s="13"/>
      <c r="B80" s="14" t="s">
        <v>1122</v>
      </c>
      <c r="C80" s="15" t="s">
        <v>134</v>
      </c>
      <c r="D80" s="479">
        <v>8046105</v>
      </c>
      <c r="E80" s="15">
        <v>15</v>
      </c>
      <c r="F80" s="15">
        <v>1</v>
      </c>
      <c r="G80" s="16"/>
      <c r="I80" s="30" t="str">
        <f t="shared" si="20"/>
        <v>·</v>
      </c>
      <c r="J80" s="31">
        <f t="shared" si="21"/>
        <v>6.2271123730053238E-2</v>
      </c>
      <c r="K80" s="31">
        <f t="shared" si="22"/>
        <v>1.0377194928477817E-2</v>
      </c>
      <c r="L80" s="31">
        <f t="shared" si="16"/>
        <v>5.1805438780627398E-2</v>
      </c>
      <c r="M80" s="51"/>
      <c r="N80" s="31">
        <f t="shared" si="23"/>
        <v>6.3940786115364983</v>
      </c>
      <c r="O80" s="356">
        <v>78360</v>
      </c>
      <c r="P80" s="357">
        <v>501040</v>
      </c>
      <c r="Q80" s="357">
        <v>83496</v>
      </c>
      <c r="R80" s="208">
        <v>416832</v>
      </c>
      <c r="S80" s="87"/>
      <c r="T80" s="358">
        <v>71.001998999999998</v>
      </c>
      <c r="U80" s="358">
        <v>66.226333999999994</v>
      </c>
      <c r="V80" s="358">
        <v>21.120981</v>
      </c>
      <c r="W80" s="358">
        <v>34.207797999999997</v>
      </c>
      <c r="X80" s="358">
        <v>34.068626000000002</v>
      </c>
      <c r="Y80" s="87">
        <v>0</v>
      </c>
      <c r="Z80" s="359"/>
      <c r="AA80" s="359"/>
      <c r="AB80" s="32">
        <v>0</v>
      </c>
      <c r="AC80" s="32">
        <v>0</v>
      </c>
      <c r="AD80" s="33"/>
      <c r="AF80" s="30" t="str">
        <f t="shared" si="24"/>
        <v>·</v>
      </c>
      <c r="AG80" s="31" t="str">
        <f t="shared" si="25"/>
        <v>·</v>
      </c>
      <c r="AH80" s="31" t="str">
        <f t="shared" si="27"/>
        <v>·</v>
      </c>
      <c r="AI80" s="31" t="str">
        <f t="shared" si="27"/>
        <v>·</v>
      </c>
      <c r="AJ80" s="51"/>
      <c r="AK80" s="31" t="str">
        <f t="shared" si="17"/>
        <v>·</v>
      </c>
      <c r="AL80" s="356"/>
      <c r="AM80" s="357"/>
      <c r="AN80" s="357"/>
      <c r="AO80" s="208"/>
      <c r="AP80" s="87"/>
      <c r="AQ80" s="358"/>
      <c r="AR80" s="358"/>
      <c r="AS80" s="358"/>
      <c r="AT80" s="358"/>
      <c r="AU80" s="358"/>
      <c r="AV80" s="87"/>
      <c r="AW80" s="359"/>
      <c r="AX80" s="359"/>
      <c r="AY80" s="32">
        <v>0</v>
      </c>
      <c r="AZ80" s="32">
        <v>0</v>
      </c>
      <c r="BA80" s="33">
        <v>768</v>
      </c>
      <c r="BC80" s="56" t="e">
        <f t="shared" si="14"/>
        <v>#DIV/0!</v>
      </c>
      <c r="BD80" s="57" t="e">
        <f t="shared" si="14"/>
        <v>#DIV/0!</v>
      </c>
      <c r="BE80" s="57" t="e">
        <f t="shared" si="26"/>
        <v>#DIV/0!</v>
      </c>
      <c r="BF80" s="58"/>
      <c r="BH80" s="74"/>
      <c r="BI80" s="75"/>
      <c r="BJ80" s="75"/>
      <c r="BK80" s="75"/>
      <c r="BL80" s="75"/>
      <c r="BM80" s="87"/>
      <c r="BO80" s="74"/>
      <c r="BP80" s="75"/>
      <c r="BQ80" s="75"/>
      <c r="BR80" s="75"/>
      <c r="BS80" s="75"/>
      <c r="BT80" s="87"/>
      <c r="BV80" s="74"/>
      <c r="BW80" s="75"/>
      <c r="BX80" s="75"/>
      <c r="BY80" s="75"/>
      <c r="BZ80" s="75"/>
      <c r="CA80" s="87"/>
      <c r="CC80" s="74"/>
      <c r="CD80" s="75"/>
      <c r="CE80" s="75"/>
      <c r="CF80" s="75"/>
      <c r="CG80" s="75"/>
      <c r="CH80" s="87"/>
      <c r="CJ80" s="74"/>
      <c r="CK80" s="75"/>
      <c r="CL80" s="75"/>
      <c r="CM80" s="75"/>
      <c r="CN80" s="75"/>
      <c r="CO80" s="87"/>
      <c r="CQ80" s="74"/>
      <c r="CR80" s="75"/>
      <c r="CS80" s="75"/>
      <c r="CT80" s="75"/>
      <c r="CU80" s="75"/>
      <c r="CV80" s="87"/>
    </row>
    <row r="81" spans="1:100" outlineLevel="1">
      <c r="A81" s="13"/>
      <c r="B81" s="14" t="s">
        <v>1122</v>
      </c>
      <c r="C81" s="15" t="s">
        <v>135</v>
      </c>
      <c r="D81" s="479">
        <v>8046105</v>
      </c>
      <c r="E81" s="15">
        <v>15</v>
      </c>
      <c r="F81" s="15">
        <v>1</v>
      </c>
      <c r="G81" s="16"/>
      <c r="I81" s="30" t="str">
        <f t="shared" si="20"/>
        <v>·</v>
      </c>
      <c r="J81" s="31">
        <f t="shared" si="21"/>
        <v>1.2417098708008409</v>
      </c>
      <c r="K81" s="31">
        <f t="shared" si="22"/>
        <v>0.13816374506671239</v>
      </c>
      <c r="L81" s="31">
        <f t="shared" si="16"/>
        <v>1.1034556471733838</v>
      </c>
      <c r="M81" s="51"/>
      <c r="N81" s="31">
        <f t="shared" si="23"/>
        <v>8.515796229702282</v>
      </c>
      <c r="O81" s="356">
        <v>1173223</v>
      </c>
      <c r="P81" s="357">
        <v>9990928</v>
      </c>
      <c r="Q81" s="357">
        <v>1111680</v>
      </c>
      <c r="R81" s="208">
        <v>8878520</v>
      </c>
      <c r="S81" s="87"/>
      <c r="T81" s="358">
        <v>82.892189000000002</v>
      </c>
      <c r="U81" s="358">
        <v>78.267532000000003</v>
      </c>
      <c r="V81" s="358">
        <v>22.926966</v>
      </c>
      <c r="W81" s="358">
        <v>37.018535999999997</v>
      </c>
      <c r="X81" s="358">
        <v>37.804771000000002</v>
      </c>
      <c r="Y81" s="87">
        <v>0</v>
      </c>
      <c r="Z81" s="359"/>
      <c r="AA81" s="359"/>
      <c r="AB81" s="32">
        <v>0</v>
      </c>
      <c r="AC81" s="32">
        <v>0</v>
      </c>
      <c r="AD81" s="33"/>
      <c r="AF81" s="30" t="str">
        <f t="shared" si="24"/>
        <v>·</v>
      </c>
      <c r="AG81" s="31" t="str">
        <f t="shared" si="25"/>
        <v>·</v>
      </c>
      <c r="AH81" s="31" t="str">
        <f t="shared" si="27"/>
        <v>·</v>
      </c>
      <c r="AI81" s="31" t="str">
        <f t="shared" si="27"/>
        <v>·</v>
      </c>
      <c r="AJ81" s="51"/>
      <c r="AK81" s="31" t="str">
        <f t="shared" si="17"/>
        <v>·</v>
      </c>
      <c r="AL81" s="356"/>
      <c r="AM81" s="357"/>
      <c r="AN81" s="357"/>
      <c r="AO81" s="208"/>
      <c r="AP81" s="87"/>
      <c r="AQ81" s="358"/>
      <c r="AR81" s="358"/>
      <c r="AS81" s="358"/>
      <c r="AT81" s="358"/>
      <c r="AU81" s="358"/>
      <c r="AV81" s="87"/>
      <c r="AW81" s="359"/>
      <c r="AX81" s="359"/>
      <c r="AY81" s="32">
        <v>0</v>
      </c>
      <c r="AZ81" s="32">
        <v>0</v>
      </c>
      <c r="BA81" s="33">
        <v>48</v>
      </c>
      <c r="BC81" s="56" t="e">
        <f t="shared" si="14"/>
        <v>#DIV/0!</v>
      </c>
      <c r="BD81" s="57" t="e">
        <f t="shared" si="14"/>
        <v>#DIV/0!</v>
      </c>
      <c r="BE81" s="57" t="e">
        <f t="shared" si="26"/>
        <v>#DIV/0!</v>
      </c>
      <c r="BF81" s="58"/>
      <c r="BH81" s="74"/>
      <c r="BI81" s="75"/>
      <c r="BJ81" s="75"/>
      <c r="BK81" s="75"/>
      <c r="BL81" s="75"/>
      <c r="BM81" s="87"/>
      <c r="BO81" s="74"/>
      <c r="BP81" s="75"/>
      <c r="BQ81" s="75"/>
      <c r="BR81" s="75"/>
      <c r="BS81" s="75"/>
      <c r="BT81" s="87"/>
      <c r="BV81" s="74"/>
      <c r="BW81" s="75"/>
      <c r="BX81" s="75"/>
      <c r="BY81" s="75"/>
      <c r="BZ81" s="75"/>
      <c r="CA81" s="87"/>
      <c r="CC81" s="74"/>
      <c r="CD81" s="75"/>
      <c r="CE81" s="75"/>
      <c r="CF81" s="75"/>
      <c r="CG81" s="75"/>
      <c r="CH81" s="87"/>
      <c r="CJ81" s="74"/>
      <c r="CK81" s="75"/>
      <c r="CL81" s="75"/>
      <c r="CM81" s="75"/>
      <c r="CN81" s="75"/>
      <c r="CO81" s="87"/>
      <c r="CQ81" s="74"/>
      <c r="CR81" s="75"/>
      <c r="CS81" s="75"/>
      <c r="CT81" s="75"/>
      <c r="CU81" s="75"/>
      <c r="CV81" s="87"/>
    </row>
    <row r="82" spans="1:100" ht="14.25" outlineLevel="1" thickBot="1">
      <c r="A82" s="17"/>
      <c r="B82" s="18" t="s">
        <v>1122</v>
      </c>
      <c r="C82" s="19" t="s">
        <v>136</v>
      </c>
      <c r="D82" s="480">
        <v>8046105</v>
      </c>
      <c r="E82" s="19">
        <v>15</v>
      </c>
      <c r="F82" s="19">
        <v>1</v>
      </c>
      <c r="G82" s="20"/>
      <c r="I82" s="34" t="str">
        <f t="shared" si="20"/>
        <v>·</v>
      </c>
      <c r="J82" s="35">
        <f t="shared" si="21"/>
        <v>6.2634410065491313</v>
      </c>
      <c r="K82" s="35">
        <f t="shared" si="22"/>
        <v>0.66023896034168084</v>
      </c>
      <c r="L82" s="35">
        <f t="shared" si="16"/>
        <v>5.6031105733768074</v>
      </c>
      <c r="M82" s="52"/>
      <c r="N82" s="35">
        <f t="shared" si="23"/>
        <v>12.500224226814352</v>
      </c>
      <c r="O82" s="360">
        <v>4031632</v>
      </c>
      <c r="P82" s="361">
        <v>50396304</v>
      </c>
      <c r="Q82" s="361">
        <v>5312352</v>
      </c>
      <c r="R82" s="209">
        <v>45083216</v>
      </c>
      <c r="S82" s="88"/>
      <c r="T82" s="362">
        <v>88.548454000000007</v>
      </c>
      <c r="U82" s="362">
        <v>84.288132000000004</v>
      </c>
      <c r="V82" s="362">
        <v>24.669461999999999</v>
      </c>
      <c r="W82" s="362">
        <v>39.252330999999998</v>
      </c>
      <c r="X82" s="362">
        <v>40.636391000000003</v>
      </c>
      <c r="Y82" s="88">
        <v>0</v>
      </c>
      <c r="Z82" s="363"/>
      <c r="AA82" s="363"/>
      <c r="AB82" s="36">
        <v>0</v>
      </c>
      <c r="AC82" s="36">
        <v>0</v>
      </c>
      <c r="AD82" s="37"/>
      <c r="AF82" s="34" t="str">
        <f t="shared" si="24"/>
        <v>·</v>
      </c>
      <c r="AG82" s="35" t="str">
        <f t="shared" si="25"/>
        <v>·</v>
      </c>
      <c r="AH82" s="35" t="str">
        <f t="shared" si="27"/>
        <v>·</v>
      </c>
      <c r="AI82" s="35" t="str">
        <f t="shared" si="27"/>
        <v>·</v>
      </c>
      <c r="AJ82" s="52"/>
      <c r="AK82" s="35" t="str">
        <f t="shared" si="17"/>
        <v>·</v>
      </c>
      <c r="AL82" s="360"/>
      <c r="AM82" s="361"/>
      <c r="AN82" s="361"/>
      <c r="AO82" s="209"/>
      <c r="AP82" s="88"/>
      <c r="AQ82" s="362"/>
      <c r="AR82" s="362"/>
      <c r="AS82" s="362"/>
      <c r="AT82" s="362"/>
      <c r="AU82" s="362"/>
      <c r="AV82" s="88"/>
      <c r="AW82" s="363"/>
      <c r="AX82" s="363"/>
      <c r="AY82" s="36">
        <v>0</v>
      </c>
      <c r="AZ82" s="36">
        <v>0</v>
      </c>
      <c r="BA82" s="37">
        <v>12</v>
      </c>
      <c r="BC82" s="59" t="e">
        <f t="shared" si="14"/>
        <v>#DIV/0!</v>
      </c>
      <c r="BD82" s="60" t="e">
        <f t="shared" si="14"/>
        <v>#DIV/0!</v>
      </c>
      <c r="BE82" s="60" t="e">
        <f t="shared" si="26"/>
        <v>#DIV/0!</v>
      </c>
      <c r="BF82" s="61"/>
      <c r="BH82" s="77"/>
      <c r="BI82" s="78"/>
      <c r="BJ82" s="78"/>
      <c r="BK82" s="78"/>
      <c r="BL82" s="78"/>
      <c r="BM82" s="88"/>
      <c r="BO82" s="77"/>
      <c r="BP82" s="78"/>
      <c r="BQ82" s="78"/>
      <c r="BR82" s="78"/>
      <c r="BS82" s="78"/>
      <c r="BT82" s="88"/>
      <c r="BV82" s="77"/>
      <c r="BW82" s="78"/>
      <c r="BX82" s="78"/>
      <c r="BY82" s="78"/>
      <c r="BZ82" s="78"/>
      <c r="CA82" s="88"/>
      <c r="CC82" s="77"/>
      <c r="CD82" s="78"/>
      <c r="CE82" s="78"/>
      <c r="CF82" s="78"/>
      <c r="CG82" s="78"/>
      <c r="CH82" s="88"/>
      <c r="CJ82" s="77"/>
      <c r="CK82" s="78"/>
      <c r="CL82" s="78"/>
      <c r="CM82" s="78"/>
      <c r="CN82" s="78"/>
      <c r="CO82" s="88"/>
      <c r="CQ82" s="77"/>
      <c r="CR82" s="78"/>
      <c r="CS82" s="78"/>
      <c r="CT82" s="78"/>
      <c r="CU82" s="78"/>
      <c r="CV82" s="88"/>
    </row>
    <row r="83" spans="1:100">
      <c r="A83" s="91" t="s">
        <v>178</v>
      </c>
      <c r="B83" s="24" t="s">
        <v>466</v>
      </c>
      <c r="C83" s="25" t="s">
        <v>131</v>
      </c>
      <c r="D83" s="464">
        <v>59931072</v>
      </c>
      <c r="E83" s="25">
        <v>18</v>
      </c>
      <c r="F83" s="25">
        <v>600</v>
      </c>
      <c r="G83" s="26">
        <v>10</v>
      </c>
      <c r="I83" s="42">
        <f t="shared" si="20"/>
        <v>0.7628969333333333</v>
      </c>
      <c r="J83" s="43">
        <f t="shared" si="21"/>
        <v>0.76377435731501686</v>
      </c>
      <c r="K83" s="43">
        <f t="shared" si="22"/>
        <v>0.60619679888255629</v>
      </c>
      <c r="L83" s="55"/>
      <c r="M83" s="43">
        <f t="shared" ref="M83:M112" si="28">IF(ISBLANK(Q83),"·",S83/D83)</f>
        <v>0.15071153741418142</v>
      </c>
      <c r="N83" s="43">
        <f t="shared" si="23"/>
        <v>4.6622157438975336</v>
      </c>
      <c r="O83" s="352">
        <v>9818039</v>
      </c>
      <c r="P83" s="353">
        <v>45773816</v>
      </c>
      <c r="Q83" s="353">
        <v>36330024</v>
      </c>
      <c r="R83" s="55"/>
      <c r="S83" s="353">
        <v>9032304</v>
      </c>
      <c r="T83" s="354">
        <v>46.157924999999999</v>
      </c>
      <c r="U83" s="354">
        <v>41.486091999999999</v>
      </c>
      <c r="V83" s="87"/>
      <c r="W83" s="87"/>
      <c r="X83" s="87"/>
      <c r="Y83" s="354">
        <v>68.382857999999999</v>
      </c>
      <c r="Z83" s="355"/>
      <c r="AA83" s="355"/>
      <c r="AB83" s="48">
        <v>0</v>
      </c>
      <c r="AC83" s="48">
        <v>0</v>
      </c>
      <c r="AD83" s="49"/>
      <c r="AF83" s="42" t="str">
        <f t="shared" si="24"/>
        <v>·</v>
      </c>
      <c r="AG83" s="43" t="str">
        <f t="shared" si="25"/>
        <v>·</v>
      </c>
      <c r="AH83" s="43" t="str">
        <f t="shared" ref="AH83:AH130" si="29">IF(AN83="","·",AN83/D83)</f>
        <v>·</v>
      </c>
      <c r="AI83" s="55"/>
      <c r="AJ83" s="43" t="str">
        <f t="shared" ref="AJ83:AJ112" si="30">IF(ISBLANK(AN83),"·",AP83/D83)</f>
        <v>·</v>
      </c>
      <c r="AK83" s="43" t="str">
        <f t="shared" si="17"/>
        <v>·</v>
      </c>
      <c r="AL83" s="352"/>
      <c r="AM83" s="353"/>
      <c r="AN83" s="353"/>
      <c r="AO83" s="55"/>
      <c r="AP83" s="353"/>
      <c r="AQ83" s="354"/>
      <c r="AR83" s="354"/>
      <c r="AS83" s="87"/>
      <c r="AT83" s="87"/>
      <c r="AU83" s="87"/>
      <c r="AV83" s="354"/>
      <c r="AW83" s="355"/>
      <c r="AX83" s="355"/>
      <c r="AY83" s="48">
        <v>0</v>
      </c>
      <c r="AZ83" s="48">
        <v>0</v>
      </c>
      <c r="BA83" s="49"/>
      <c r="BB83" s="281"/>
      <c r="BC83" s="65" t="e">
        <f>AY83/AB83</f>
        <v>#DIV/0!</v>
      </c>
      <c r="BD83" s="280" t="e">
        <f>AZ83/AC83</f>
        <v>#DIV/0!</v>
      </c>
      <c r="BE83" s="66" t="e">
        <f t="shared" si="26"/>
        <v>#DIV/0!</v>
      </c>
      <c r="BF83" s="67" t="e">
        <f t="array" ref="BF83">AVERAGE(AN83:AN88/AM83:AM88) - AVERAGE(Q83:Q88/P83:P88)</f>
        <v>#DIV/0!</v>
      </c>
      <c r="BH83" s="83" t="str">
        <f>IF( OR(ISBLANK($Q83:$Q88),ISBLANK($AN83:$AN88), ISBLANK($T83:$T88),ISBLANK($AQ83:$AQ88)), "·", bdRateHermite( $Q83:$Q88,$T83:$T88, $AN83:$AN88,$AQ83:$AQ88))</f>
        <v>·</v>
      </c>
      <c r="BI83" s="84" t="str">
        <f>IF(OR(ISBLANK($Q83:$Q88),ISBLANK($AN83:$AN88),ISBLANK($U83:$U88),ISBLANK($AR83:$AR88)),"·",bdRateHermite($Q83:$Q88,$U83:$U88,$AN83:$AN88,$AR83:$AR88))</f>
        <v>·</v>
      </c>
      <c r="BJ83" s="92"/>
      <c r="BK83" s="92"/>
      <c r="BL83" s="92"/>
      <c r="BM83" s="184" t="str">
        <f>IF( OR(ISBLANK($S83:$S88),ISBLANK($AP83:$AP88), ISBLANK($Y83:$Y88),ISBLANK($AV83:$AV88)), "·", bdRateHermite($S83:$S88,$Y83:$Y88, $AP83:$AP88,$AV83:$AV88))</f>
        <v>·</v>
      </c>
      <c r="BO83" s="83" t="str">
        <f>IF( OR(ISBLANK($P83:$P88),ISBLANK($AM83:$AM88), ISBLANK($T83:$T88),ISBLANK($AQ83:$AQ88)), "·", bdRateHermite($P83:$P88,$T83:$T88, $AM83:$AM88,$AQ83:$AQ88))</f>
        <v>·</v>
      </c>
      <c r="BP83" s="84" t="str">
        <f>IF( OR(ISBLANK($P83:$P88),ISBLANK($AM83:$AM88), ISBLANK($U83:$U88),ISBLANK($AR83:$AR88)), "·", bdRateHermite( $P83:$P88,$U83:$U88, $AM83:$AM88,$AR83:$AR88))</f>
        <v>·</v>
      </c>
      <c r="BQ83" s="92"/>
      <c r="BR83" s="87"/>
      <c r="BS83" s="92"/>
      <c r="BT83" s="85" t="str">
        <f>IF( OR(ISBLANK($P83:$P88),ISBLANK($AM83:$AM88), ISBLANK($Y83:$Y88),ISBLANK($AV83:$AV88)), "·", bdRateHermite( $P83:$P88,$Y83:$Y88, $AM83:$AM88,$AV83:$AV88))</f>
        <v>·</v>
      </c>
      <c r="BV83" s="83" t="str">
        <f>IF( OR(ISBLANK($Q83:$Q88),ISBLANK($AN83:$AN88), ISBLANK($T83:$T88),ISBLANK($AQ83:$AQ88)), "·", bdRateHermite( $Q84:$Q88,$T84:$T88, $AN84:$AN88,$AQ84:$AQ88))</f>
        <v>·</v>
      </c>
      <c r="BW83" s="84" t="str">
        <f>IF(OR(ISBLANK($Q83:$Q88),ISBLANK($AN83:$AN88),ISBLANK($U83:$U88),ISBLANK($AR83:$AR88)),"·",bdRateHermite($Q84:$Q88,$U84:$U88,$AN84:$AN88,$AR84:$AR88))</f>
        <v>·</v>
      </c>
      <c r="BX83" s="92"/>
      <c r="BY83" s="92"/>
      <c r="BZ83" s="92"/>
      <c r="CA83" s="184" t="str">
        <f>IF( OR(ISBLANK($S83:$S88),ISBLANK($AP83:$AP88), ISBLANK($Y83:$Y88),ISBLANK($AV83:$AV88)), "·", bdRateHermite($S84:$S88,$Y84:$Y88, $AP84:$AP88,$AV84:$AV88))</f>
        <v>·</v>
      </c>
      <c r="CC83" s="83" t="str">
        <f>IF( OR(ISBLANK($P83:$P88),ISBLANK($AM83:$AM88), ISBLANK($T83:$T88),ISBLANK($AQ83:$AQ88)), "·", bdRateHermite($P84:$P88,$T84:$T88, $AM84:$AM88,$AQ84:$AQ88))</f>
        <v>·</v>
      </c>
      <c r="CD83" s="84" t="str">
        <f>IF( OR(ISBLANK($P83:$P88),ISBLANK($AM83:$AM88), ISBLANK($U83:$U88),ISBLANK($AR83:$AR88)), "·", bdRateHermite( $P84:$P88,$U84:$U88, $AM84:$AM88,$AR84:$AR88))</f>
        <v>·</v>
      </c>
      <c r="CE83" s="92"/>
      <c r="CF83" s="92"/>
      <c r="CG83" s="92"/>
      <c r="CH83" s="85" t="str">
        <f>IF( OR(ISBLANK($P83:$P88),ISBLANK($AM83:$AM88), ISBLANK($Y83:$Y88),ISBLANK($AV83:$AV88)), "·", bdRateHermite( $P84:$P88,$Y84:$Y88, $AM84:$AM88,$AV84:$AV88))</f>
        <v>·</v>
      </c>
      <c r="CJ83" s="83" t="str">
        <f>IF( OR(ISBLANK($Q83:$Q87),ISBLANK($AN83:$AN87), ISBLANK($T83:$T87),ISBLANK($AQ83:$AQ87)), "·", bdRateHermite( $Q83:$Q87,$T83:$T87, $AN83:$AN87,$AQ83:$AQ87))</f>
        <v>·</v>
      </c>
      <c r="CK83" s="84" t="str">
        <f>IF(OR(ISBLANK($Q83:$Q87),ISBLANK($AN83:$AN87),ISBLANK($U83:$U87),ISBLANK($AR83:$AR87)),"·",bdRateHermite($Q83:$Q87,$U83:$U87,$AN83:$AN87,$AR83:$AR87))</f>
        <v>·</v>
      </c>
      <c r="CL83" s="92"/>
      <c r="CM83" s="92"/>
      <c r="CN83" s="92"/>
      <c r="CO83" s="184" t="str">
        <f>IF( OR(ISBLANK($S83:$S88),ISBLANK($AP83:$AP88), ISBLANK($Y83:$Y88),ISBLANK($AV83:$AV88)), "·", bdRateHermite($S83:$S87,$Y83:$Y87, $AP83:$AP87,$AV83:$AV87))</f>
        <v>·</v>
      </c>
      <c r="CQ83" s="83" t="str">
        <f>IF( OR(ISBLANK($P83:$P87),ISBLANK($AM83:$AM87), ISBLANK($T83:$T87),ISBLANK($AQ83:$AQ87)), "·", bdRateHermite($P83:$P87,$T83:$T87, $AM83:$AM87,$AQ83:$AQ87))</f>
        <v>·</v>
      </c>
      <c r="CR83" s="84" t="str">
        <f>IF( OR(ISBLANK($P83:$P87),ISBLANK($AM83:$AM87), ISBLANK($U83:$U87),ISBLANK($AR83:$AR87)), "·", bdRateHermite( $P83:$P87,$U83:$U87, $AM83:$AM87,$AR83:$AR87))</f>
        <v>·</v>
      </c>
      <c r="CS83" s="92"/>
      <c r="CT83" s="92"/>
      <c r="CU83" s="92"/>
      <c r="CV83" s="85" t="str">
        <f>IF( OR(ISBLANK($P83:$P88),ISBLANK($AM83:$AM88), ISBLANK($Y83:$Y88),ISBLANK($AV83:$AV88)), "·", bdRateHermite( $P83:$P87,$Y83:$Y87, $AM83:$AM87,$AV83:$AV87))</f>
        <v>·</v>
      </c>
    </row>
    <row r="84" spans="1:100" outlineLevel="1">
      <c r="A84" s="13"/>
      <c r="B84" s="14" t="s">
        <v>466</v>
      </c>
      <c r="C84" s="15" t="s">
        <v>132</v>
      </c>
      <c r="D84" s="465">
        <f>D$83</f>
        <v>59931072</v>
      </c>
      <c r="E84" s="15">
        <v>18</v>
      </c>
      <c r="F84" s="25">
        <v>600</v>
      </c>
      <c r="G84" s="16">
        <v>10</v>
      </c>
      <c r="I84" s="30">
        <f t="shared" si="20"/>
        <v>1.8017661333333332</v>
      </c>
      <c r="J84" s="31">
        <f t="shared" si="21"/>
        <v>1.8038383828675717</v>
      </c>
      <c r="K84" s="31">
        <f t="shared" si="22"/>
        <v>1.3263940281261781</v>
      </c>
      <c r="L84" s="51"/>
      <c r="M84" s="31">
        <f t="shared" si="28"/>
        <v>0.47047928660445121</v>
      </c>
      <c r="N84" s="31">
        <f t="shared" si="23"/>
        <v>5.6485335758567938</v>
      </c>
      <c r="O84" s="356">
        <v>19138767</v>
      </c>
      <c r="P84" s="357">
        <v>108105968</v>
      </c>
      <c r="Q84" s="357">
        <v>79492216</v>
      </c>
      <c r="R84" s="51"/>
      <c r="S84" s="357">
        <v>28196328</v>
      </c>
      <c r="T84" s="358">
        <v>52.170566999999998</v>
      </c>
      <c r="U84" s="358">
        <v>47.506638000000002</v>
      </c>
      <c r="V84" s="87"/>
      <c r="W84" s="87"/>
      <c r="X84" s="87"/>
      <c r="Y84" s="358">
        <v>72.232590000000002</v>
      </c>
      <c r="Z84" s="359"/>
      <c r="AA84" s="359"/>
      <c r="AB84" s="32">
        <v>0</v>
      </c>
      <c r="AC84" s="32">
        <v>0</v>
      </c>
      <c r="AD84" s="33"/>
      <c r="AF84" s="30" t="str">
        <f t="shared" si="24"/>
        <v>·</v>
      </c>
      <c r="AG84" s="31" t="str">
        <f t="shared" si="25"/>
        <v>·</v>
      </c>
      <c r="AH84" s="31" t="str">
        <f t="shared" si="29"/>
        <v>·</v>
      </c>
      <c r="AI84" s="51"/>
      <c r="AJ84" s="31" t="str">
        <f t="shared" si="30"/>
        <v>·</v>
      </c>
      <c r="AK84" s="31" t="str">
        <f t="shared" si="17"/>
        <v>·</v>
      </c>
      <c r="AL84" s="356"/>
      <c r="AM84" s="357"/>
      <c r="AN84" s="357"/>
      <c r="AO84" s="51"/>
      <c r="AP84" s="357"/>
      <c r="AQ84" s="358"/>
      <c r="AR84" s="358"/>
      <c r="AS84" s="87"/>
      <c r="AT84" s="87"/>
      <c r="AU84" s="87"/>
      <c r="AV84" s="358"/>
      <c r="AW84" s="359"/>
      <c r="AX84" s="359"/>
      <c r="AY84" s="32">
        <v>0</v>
      </c>
      <c r="AZ84" s="32">
        <v>0</v>
      </c>
      <c r="BA84" s="33"/>
      <c r="BB84" s="281"/>
      <c r="BC84" s="65" t="e">
        <f t="shared" ref="BC84:BD99" si="31">AY84/AB84</f>
        <v>#DIV/0!</v>
      </c>
      <c r="BD84" s="280" t="e">
        <f t="shared" si="31"/>
        <v>#DIV/0!</v>
      </c>
      <c r="BE84" s="57" t="e">
        <f t="shared" si="26"/>
        <v>#DIV/0!</v>
      </c>
      <c r="BF84" s="58"/>
      <c r="BH84" s="74"/>
      <c r="BI84" s="75"/>
      <c r="BJ84" s="87"/>
      <c r="BK84" s="87"/>
      <c r="BL84" s="87"/>
      <c r="BM84" s="76"/>
      <c r="BO84" s="74"/>
      <c r="BP84" s="75"/>
      <c r="BQ84" s="87"/>
      <c r="BR84" s="87"/>
      <c r="BS84" s="87"/>
      <c r="BT84" s="76"/>
      <c r="BV84" s="74"/>
      <c r="BW84" s="75"/>
      <c r="BX84" s="87"/>
      <c r="BY84" s="87"/>
      <c r="BZ84" s="87"/>
      <c r="CA84" s="76"/>
      <c r="CC84" s="74"/>
      <c r="CD84" s="75"/>
      <c r="CE84" s="87"/>
      <c r="CF84" s="87"/>
      <c r="CG84" s="87"/>
      <c r="CH84" s="76"/>
      <c r="CJ84" s="74"/>
      <c r="CK84" s="75"/>
      <c r="CL84" s="87"/>
      <c r="CM84" s="87"/>
      <c r="CN84" s="87"/>
      <c r="CO84" s="76"/>
      <c r="CQ84" s="74"/>
      <c r="CR84" s="75"/>
      <c r="CS84" s="87"/>
      <c r="CT84" s="87"/>
      <c r="CU84" s="87"/>
      <c r="CV84" s="76"/>
    </row>
    <row r="85" spans="1:100" outlineLevel="1">
      <c r="A85" s="13"/>
      <c r="B85" s="14" t="s">
        <v>466</v>
      </c>
      <c r="C85" s="15" t="s">
        <v>133</v>
      </c>
      <c r="D85" s="465">
        <f t="shared" ref="D85:D88" si="32">D$83</f>
        <v>59931072</v>
      </c>
      <c r="E85" s="15">
        <v>18</v>
      </c>
      <c r="F85" s="25">
        <v>600</v>
      </c>
      <c r="G85" s="16">
        <v>10</v>
      </c>
      <c r="I85" s="30">
        <f t="shared" si="20"/>
        <v>5.6624469333333334</v>
      </c>
      <c r="J85" s="31">
        <f t="shared" si="21"/>
        <v>5.6689594339310334</v>
      </c>
      <c r="K85" s="31">
        <f t="shared" si="22"/>
        <v>4.372921078401534</v>
      </c>
      <c r="L85" s="51"/>
      <c r="M85" s="31">
        <f t="shared" si="28"/>
        <v>1.2889926614361245</v>
      </c>
      <c r="N85" s="31">
        <f t="shared" si="23"/>
        <v>8.0966931770415815</v>
      </c>
      <c r="O85" s="356">
        <v>41961182</v>
      </c>
      <c r="P85" s="357">
        <v>339746816</v>
      </c>
      <c r="Q85" s="357">
        <v>262073848</v>
      </c>
      <c r="R85" s="51"/>
      <c r="S85" s="357">
        <v>77250712</v>
      </c>
      <c r="T85" s="358">
        <v>64.207802000000001</v>
      </c>
      <c r="U85" s="358">
        <v>59.515568000000002</v>
      </c>
      <c r="V85" s="87"/>
      <c r="W85" s="87"/>
      <c r="X85" s="87"/>
      <c r="Y85" s="358">
        <v>79.863647</v>
      </c>
      <c r="Z85" s="359"/>
      <c r="AA85" s="359"/>
      <c r="AB85" s="32">
        <v>0</v>
      </c>
      <c r="AC85" s="32">
        <v>0</v>
      </c>
      <c r="AD85" s="33"/>
      <c r="AF85" s="30" t="str">
        <f t="shared" si="24"/>
        <v>·</v>
      </c>
      <c r="AG85" s="31" t="str">
        <f t="shared" si="25"/>
        <v>·</v>
      </c>
      <c r="AH85" s="31" t="str">
        <f t="shared" si="29"/>
        <v>·</v>
      </c>
      <c r="AI85" s="51"/>
      <c r="AJ85" s="31" t="str">
        <f t="shared" si="30"/>
        <v>·</v>
      </c>
      <c r="AK85" s="31" t="str">
        <f t="shared" si="17"/>
        <v>·</v>
      </c>
      <c r="AL85" s="356"/>
      <c r="AM85" s="357"/>
      <c r="AN85" s="357"/>
      <c r="AO85" s="51"/>
      <c r="AP85" s="357"/>
      <c r="AQ85" s="358"/>
      <c r="AR85" s="358"/>
      <c r="AS85" s="87"/>
      <c r="AT85" s="87"/>
      <c r="AU85" s="87"/>
      <c r="AV85" s="358"/>
      <c r="AW85" s="359"/>
      <c r="AX85" s="359"/>
      <c r="AY85" s="32">
        <v>0</v>
      </c>
      <c r="AZ85" s="32">
        <v>0</v>
      </c>
      <c r="BA85" s="33"/>
      <c r="BB85" s="281"/>
      <c r="BC85" s="65" t="e">
        <f t="shared" si="31"/>
        <v>#DIV/0!</v>
      </c>
      <c r="BD85" s="280" t="e">
        <f t="shared" si="31"/>
        <v>#DIV/0!</v>
      </c>
      <c r="BE85" s="57" t="e">
        <f t="shared" si="26"/>
        <v>#DIV/0!</v>
      </c>
      <c r="BF85" s="58"/>
      <c r="BH85" s="74"/>
      <c r="BI85" s="75"/>
      <c r="BJ85" s="87"/>
      <c r="BK85" s="87"/>
      <c r="BL85" s="87"/>
      <c r="BM85" s="76"/>
      <c r="BO85" s="74"/>
      <c r="BP85" s="75"/>
      <c r="BQ85" s="87"/>
      <c r="BR85" s="87"/>
      <c r="BS85" s="87"/>
      <c r="BT85" s="76"/>
      <c r="BV85" s="74"/>
      <c r="BW85" s="75"/>
      <c r="BX85" s="87"/>
      <c r="BY85" s="87"/>
      <c r="BZ85" s="87"/>
      <c r="CA85" s="76"/>
      <c r="CC85" s="74"/>
      <c r="CD85" s="75"/>
      <c r="CE85" s="87"/>
      <c r="CF85" s="87"/>
      <c r="CG85" s="87"/>
      <c r="CH85" s="76"/>
      <c r="CJ85" s="74"/>
      <c r="CK85" s="75"/>
      <c r="CL85" s="87"/>
      <c r="CM85" s="87"/>
      <c r="CN85" s="87"/>
      <c r="CO85" s="76"/>
      <c r="CQ85" s="74"/>
      <c r="CR85" s="75"/>
      <c r="CS85" s="87"/>
      <c r="CT85" s="87"/>
      <c r="CU85" s="87"/>
      <c r="CV85" s="76"/>
    </row>
    <row r="86" spans="1:100" outlineLevel="1">
      <c r="A86" s="13"/>
      <c r="B86" s="14" t="s">
        <v>466</v>
      </c>
      <c r="C86" s="15" t="s">
        <v>134</v>
      </c>
      <c r="D86" s="465">
        <f t="shared" si="32"/>
        <v>59931072</v>
      </c>
      <c r="E86" s="15">
        <v>18</v>
      </c>
      <c r="F86" s="25">
        <v>600</v>
      </c>
      <c r="G86" s="16">
        <v>10</v>
      </c>
      <c r="I86" s="30">
        <f t="shared" si="20"/>
        <v>8.6016668000000003</v>
      </c>
      <c r="J86" s="31">
        <f t="shared" si="21"/>
        <v>8.6115597598521187</v>
      </c>
      <c r="K86" s="31">
        <f t="shared" si="22"/>
        <v>6.5689953952433893</v>
      </c>
      <c r="L86" s="51"/>
      <c r="M86" s="31">
        <f t="shared" si="28"/>
        <v>2.0354391124523854</v>
      </c>
      <c r="N86" s="31">
        <f t="shared" si="23"/>
        <v>11.101301059127774</v>
      </c>
      <c r="O86" s="356">
        <v>46490047</v>
      </c>
      <c r="P86" s="357">
        <v>516100008</v>
      </c>
      <c r="Q86" s="357">
        <v>393686936</v>
      </c>
      <c r="R86" s="51"/>
      <c r="S86" s="357">
        <v>121986048</v>
      </c>
      <c r="T86" s="358">
        <v>70.222740000000002</v>
      </c>
      <c r="U86" s="358">
        <v>65.479270999999997</v>
      </c>
      <c r="V86" s="87"/>
      <c r="W86" s="87"/>
      <c r="X86" s="87"/>
      <c r="Y86" s="358">
        <v>85.786063999999996</v>
      </c>
      <c r="Z86" s="359"/>
      <c r="AA86" s="359"/>
      <c r="AB86" s="32">
        <v>0</v>
      </c>
      <c r="AC86" s="32">
        <v>0</v>
      </c>
      <c r="AD86" s="33"/>
      <c r="AF86" s="30" t="str">
        <f t="shared" si="24"/>
        <v>·</v>
      </c>
      <c r="AG86" s="31" t="str">
        <f t="shared" si="25"/>
        <v>·</v>
      </c>
      <c r="AH86" s="31" t="str">
        <f t="shared" si="29"/>
        <v>·</v>
      </c>
      <c r="AI86" s="51"/>
      <c r="AJ86" s="31" t="str">
        <f t="shared" si="30"/>
        <v>·</v>
      </c>
      <c r="AK86" s="31" t="str">
        <f t="shared" si="17"/>
        <v>·</v>
      </c>
      <c r="AL86" s="356"/>
      <c r="AM86" s="357"/>
      <c r="AN86" s="357"/>
      <c r="AO86" s="51"/>
      <c r="AP86" s="357"/>
      <c r="AQ86" s="358"/>
      <c r="AR86" s="358"/>
      <c r="AS86" s="87"/>
      <c r="AT86" s="87"/>
      <c r="AU86" s="87"/>
      <c r="AV86" s="358"/>
      <c r="AW86" s="359"/>
      <c r="AX86" s="359"/>
      <c r="AY86" s="32">
        <v>0</v>
      </c>
      <c r="AZ86" s="32">
        <v>0</v>
      </c>
      <c r="BA86" s="33"/>
      <c r="BB86" s="281"/>
      <c r="BC86" s="65" t="e">
        <f t="shared" si="31"/>
        <v>#DIV/0!</v>
      </c>
      <c r="BD86" s="280" t="e">
        <f t="shared" si="31"/>
        <v>#DIV/0!</v>
      </c>
      <c r="BE86" s="57" t="e">
        <f t="shared" si="26"/>
        <v>#DIV/0!</v>
      </c>
      <c r="BF86" s="58"/>
      <c r="BH86" s="74"/>
      <c r="BI86" s="75"/>
      <c r="BJ86" s="87"/>
      <c r="BK86" s="87"/>
      <c r="BL86" s="87"/>
      <c r="BM86" s="76"/>
      <c r="BO86" s="74"/>
      <c r="BP86" s="75"/>
      <c r="BQ86" s="87"/>
      <c r="BR86" s="87"/>
      <c r="BS86" s="87"/>
      <c r="BT86" s="76"/>
      <c r="BV86" s="74"/>
      <c r="BW86" s="75"/>
      <c r="BX86" s="87"/>
      <c r="BY86" s="87"/>
      <c r="BZ86" s="87"/>
      <c r="CA86" s="76"/>
      <c r="CC86" s="74"/>
      <c r="CD86" s="75"/>
      <c r="CE86" s="87"/>
      <c r="CF86" s="87"/>
      <c r="CG86" s="87"/>
      <c r="CH86" s="76"/>
      <c r="CJ86" s="74"/>
      <c r="CK86" s="75"/>
      <c r="CL86" s="87"/>
      <c r="CM86" s="87"/>
      <c r="CN86" s="87"/>
      <c r="CO86" s="76"/>
      <c r="CQ86" s="74"/>
      <c r="CR86" s="75"/>
      <c r="CS86" s="87"/>
      <c r="CT86" s="87"/>
      <c r="CU86" s="87"/>
      <c r="CV86" s="76"/>
    </row>
    <row r="87" spans="1:100" outlineLevel="1">
      <c r="A87" s="13"/>
      <c r="B87" s="14" t="s">
        <v>466</v>
      </c>
      <c r="C87" s="15" t="s">
        <v>135</v>
      </c>
      <c r="D87" s="465">
        <f t="shared" si="32"/>
        <v>59931072</v>
      </c>
      <c r="E87" s="15">
        <v>18</v>
      </c>
      <c r="F87" s="25">
        <v>600</v>
      </c>
      <c r="G87" s="16">
        <v>10</v>
      </c>
      <c r="I87" s="30">
        <f t="shared" si="20"/>
        <v>14.147436666666666</v>
      </c>
      <c r="J87" s="31">
        <f t="shared" si="21"/>
        <v>14.163707934341639</v>
      </c>
      <c r="K87" s="31">
        <f t="shared" si="22"/>
        <v>11.282636826519639</v>
      </c>
      <c r="L87" s="51"/>
      <c r="M87" s="31">
        <f t="shared" si="28"/>
        <v>2.8738541503145481</v>
      </c>
      <c r="N87" s="31">
        <f t="shared" si="23"/>
        <v>17.730284497510606</v>
      </c>
      <c r="O87" s="356">
        <v>47875498</v>
      </c>
      <c r="P87" s="357">
        <v>848846200</v>
      </c>
      <c r="Q87" s="357">
        <v>676180520</v>
      </c>
      <c r="R87" s="51"/>
      <c r="S87" s="357">
        <v>172233160</v>
      </c>
      <c r="T87" s="358">
        <v>82.134231999999997</v>
      </c>
      <c r="U87" s="358">
        <v>77.501091000000002</v>
      </c>
      <c r="V87" s="87"/>
      <c r="W87" s="87"/>
      <c r="X87" s="87"/>
      <c r="Y87" s="358">
        <v>94.230048999999994</v>
      </c>
      <c r="Z87" s="359"/>
      <c r="AA87" s="359"/>
      <c r="AB87" s="32">
        <v>0</v>
      </c>
      <c r="AC87" s="32">
        <v>0</v>
      </c>
      <c r="AD87" s="33"/>
      <c r="AF87" s="30" t="str">
        <f t="shared" si="24"/>
        <v>·</v>
      </c>
      <c r="AG87" s="31" t="str">
        <f t="shared" si="25"/>
        <v>·</v>
      </c>
      <c r="AH87" s="31" t="str">
        <f t="shared" si="29"/>
        <v>·</v>
      </c>
      <c r="AI87" s="51"/>
      <c r="AJ87" s="31" t="str">
        <f t="shared" si="30"/>
        <v>·</v>
      </c>
      <c r="AK87" s="31" t="str">
        <f t="shared" si="17"/>
        <v>·</v>
      </c>
      <c r="AL87" s="356"/>
      <c r="AM87" s="357"/>
      <c r="AN87" s="357"/>
      <c r="AO87" s="51"/>
      <c r="AP87" s="357"/>
      <c r="AQ87" s="358"/>
      <c r="AR87" s="358"/>
      <c r="AS87" s="87"/>
      <c r="AT87" s="87"/>
      <c r="AU87" s="87"/>
      <c r="AV87" s="358"/>
      <c r="AW87" s="359"/>
      <c r="AX87" s="359"/>
      <c r="AY87" s="32">
        <v>0</v>
      </c>
      <c r="AZ87" s="32">
        <v>0</v>
      </c>
      <c r="BA87" s="33"/>
      <c r="BB87" s="281"/>
      <c r="BC87" s="65" t="e">
        <f t="shared" si="31"/>
        <v>#DIV/0!</v>
      </c>
      <c r="BD87" s="280" t="e">
        <f t="shared" si="31"/>
        <v>#DIV/0!</v>
      </c>
      <c r="BE87" s="57" t="e">
        <f t="shared" si="26"/>
        <v>#DIV/0!</v>
      </c>
      <c r="BF87" s="58"/>
      <c r="BH87" s="74"/>
      <c r="BI87" s="75"/>
      <c r="BJ87" s="87"/>
      <c r="BK87" s="87"/>
      <c r="BL87" s="87"/>
      <c r="BM87" s="76"/>
      <c r="BO87" s="74"/>
      <c r="BP87" s="75"/>
      <c r="BQ87" s="87"/>
      <c r="BR87" s="87"/>
      <c r="BS87" s="87"/>
      <c r="BT87" s="76"/>
      <c r="BV87" s="74"/>
      <c r="BW87" s="75"/>
      <c r="BX87" s="87"/>
      <c r="BY87" s="87"/>
      <c r="BZ87" s="87"/>
      <c r="CA87" s="76"/>
      <c r="CC87" s="74"/>
      <c r="CD87" s="75"/>
      <c r="CE87" s="87"/>
      <c r="CF87" s="87"/>
      <c r="CG87" s="87"/>
      <c r="CH87" s="76"/>
      <c r="CJ87" s="74"/>
      <c r="CK87" s="75"/>
      <c r="CL87" s="87"/>
      <c r="CM87" s="87"/>
      <c r="CN87" s="87"/>
      <c r="CO87" s="76"/>
      <c r="CQ87" s="74"/>
      <c r="CR87" s="75"/>
      <c r="CS87" s="87"/>
      <c r="CT87" s="87"/>
      <c r="CU87" s="87"/>
      <c r="CV87" s="76"/>
    </row>
    <row r="88" spans="1:100" ht="14.25" outlineLevel="1" thickBot="1">
      <c r="A88" s="13"/>
      <c r="B88" s="21" t="s">
        <v>466</v>
      </c>
      <c r="C88" s="22" t="s">
        <v>136</v>
      </c>
      <c r="D88" s="465">
        <f t="shared" si="32"/>
        <v>59931072</v>
      </c>
      <c r="E88" s="22">
        <v>18</v>
      </c>
      <c r="F88" s="25">
        <v>600</v>
      </c>
      <c r="G88" s="23">
        <v>10</v>
      </c>
      <c r="I88" s="38">
        <f t="shared" si="20"/>
        <v>17.427124266666667</v>
      </c>
      <c r="J88" s="39">
        <f t="shared" si="21"/>
        <v>17.447167572774269</v>
      </c>
      <c r="K88" s="39">
        <f t="shared" si="22"/>
        <v>13.659572116447375</v>
      </c>
      <c r="L88" s="54"/>
      <c r="M88" s="39">
        <f t="shared" si="28"/>
        <v>3.7803008095700341</v>
      </c>
      <c r="N88" s="39">
        <f t="shared" si="23"/>
        <v>21.764824836892991</v>
      </c>
      <c r="O88" s="360">
        <v>48042080</v>
      </c>
      <c r="P88" s="361">
        <v>1045627456</v>
      </c>
      <c r="Q88" s="361">
        <v>818632800</v>
      </c>
      <c r="R88" s="54"/>
      <c r="S88" s="361">
        <v>226557480</v>
      </c>
      <c r="T88" s="362">
        <v>87.779342999999997</v>
      </c>
      <c r="U88" s="362">
        <v>83.522223999999994</v>
      </c>
      <c r="V88" s="89"/>
      <c r="W88" s="89"/>
      <c r="X88" s="89"/>
      <c r="Y88" s="362">
        <v>98.953247000000005</v>
      </c>
      <c r="Z88" s="363"/>
      <c r="AA88" s="363"/>
      <c r="AB88" s="36">
        <v>0</v>
      </c>
      <c r="AC88" s="36">
        <v>0</v>
      </c>
      <c r="AD88" s="37"/>
      <c r="AF88" s="38" t="str">
        <f t="shared" si="24"/>
        <v>·</v>
      </c>
      <c r="AG88" s="39" t="str">
        <f t="shared" si="25"/>
        <v>·</v>
      </c>
      <c r="AH88" s="39" t="str">
        <f t="shared" si="29"/>
        <v>·</v>
      </c>
      <c r="AI88" s="54"/>
      <c r="AJ88" s="39" t="str">
        <f t="shared" si="30"/>
        <v>·</v>
      </c>
      <c r="AK88" s="39" t="str">
        <f t="shared" si="17"/>
        <v>·</v>
      </c>
      <c r="AL88" s="360"/>
      <c r="AM88" s="361"/>
      <c r="AN88" s="361"/>
      <c r="AO88" s="54"/>
      <c r="AP88" s="361"/>
      <c r="AQ88" s="362"/>
      <c r="AR88" s="362"/>
      <c r="AS88" s="89"/>
      <c r="AT88" s="89"/>
      <c r="AU88" s="89"/>
      <c r="AV88" s="362"/>
      <c r="AW88" s="363"/>
      <c r="AX88" s="363"/>
      <c r="AY88" s="36">
        <v>0</v>
      </c>
      <c r="AZ88" s="36">
        <v>0</v>
      </c>
      <c r="BA88" s="37"/>
      <c r="BB88" s="281"/>
      <c r="BC88" s="65" t="e">
        <f t="shared" si="31"/>
        <v>#DIV/0!</v>
      </c>
      <c r="BD88" s="280" t="e">
        <f t="shared" si="31"/>
        <v>#DIV/0!</v>
      </c>
      <c r="BE88" s="63" t="e">
        <f t="shared" si="26"/>
        <v>#DIV/0!</v>
      </c>
      <c r="BF88" s="64"/>
      <c r="BH88" s="80"/>
      <c r="BI88" s="81"/>
      <c r="BJ88" s="89"/>
      <c r="BK88" s="89"/>
      <c r="BL88" s="89"/>
      <c r="BM88" s="82"/>
      <c r="BO88" s="80"/>
      <c r="BP88" s="81"/>
      <c r="BQ88" s="89"/>
      <c r="BR88" s="89"/>
      <c r="BS88" s="89"/>
      <c r="BT88" s="82"/>
      <c r="BV88" s="77"/>
      <c r="BW88" s="78"/>
      <c r="BX88" s="88"/>
      <c r="BY88" s="88"/>
      <c r="BZ88" s="88"/>
      <c r="CA88" s="79"/>
      <c r="CC88" s="80"/>
      <c r="CD88" s="81"/>
      <c r="CE88" s="89"/>
      <c r="CF88" s="89"/>
      <c r="CG88" s="89"/>
      <c r="CH88" s="82"/>
      <c r="CJ88" s="80"/>
      <c r="CK88" s="81"/>
      <c r="CL88" s="89"/>
      <c r="CM88" s="89"/>
      <c r="CN88" s="89"/>
      <c r="CO88" s="82"/>
      <c r="CQ88" s="80"/>
      <c r="CR88" s="81"/>
      <c r="CS88" s="89"/>
      <c r="CT88" s="89"/>
      <c r="CU88" s="89"/>
      <c r="CV88" s="82"/>
    </row>
    <row r="89" spans="1:100">
      <c r="A89" s="13"/>
      <c r="B89" s="27" t="s">
        <v>469</v>
      </c>
      <c r="C89" s="28" t="s">
        <v>131</v>
      </c>
      <c r="D89" s="466">
        <v>59935680</v>
      </c>
      <c r="E89" s="28">
        <v>18</v>
      </c>
      <c r="F89" s="28">
        <v>600</v>
      </c>
      <c r="G89" s="29">
        <v>10</v>
      </c>
      <c r="I89" s="46">
        <f t="shared" si="20"/>
        <v>0.61547613333333329</v>
      </c>
      <c r="J89" s="47">
        <f t="shared" si="21"/>
        <v>0.61613663180262579</v>
      </c>
      <c r="K89" s="47">
        <f t="shared" si="22"/>
        <v>0.48848512271822059</v>
      </c>
      <c r="L89" s="50"/>
      <c r="M89" s="47">
        <f t="shared" si="28"/>
        <v>0.12083019663746203</v>
      </c>
      <c r="N89" s="47">
        <f t="shared" si="23"/>
        <v>4.6022647809402768</v>
      </c>
      <c r="O89" s="352">
        <v>8023999</v>
      </c>
      <c r="P89" s="353">
        <v>36928568</v>
      </c>
      <c r="Q89" s="353">
        <v>29277688</v>
      </c>
      <c r="R89" s="50"/>
      <c r="S89" s="353">
        <v>7242040</v>
      </c>
      <c r="T89" s="354">
        <v>46.135216</v>
      </c>
      <c r="U89" s="354">
        <v>41.482909999999997</v>
      </c>
      <c r="V89" s="87"/>
      <c r="W89" s="87"/>
      <c r="X89" s="87"/>
      <c r="Y89" s="354">
        <v>68.195267000000001</v>
      </c>
      <c r="Z89" s="355"/>
      <c r="AA89" s="355"/>
      <c r="AB89" s="48">
        <v>0</v>
      </c>
      <c r="AC89" s="48">
        <v>0</v>
      </c>
      <c r="AD89" s="49"/>
      <c r="AF89" s="46" t="str">
        <f t="shared" si="24"/>
        <v>·</v>
      </c>
      <c r="AG89" s="47" t="str">
        <f t="shared" si="25"/>
        <v>·</v>
      </c>
      <c r="AH89" s="47" t="str">
        <f t="shared" si="29"/>
        <v>·</v>
      </c>
      <c r="AI89" s="50"/>
      <c r="AJ89" s="47" t="str">
        <f t="shared" si="30"/>
        <v>·</v>
      </c>
      <c r="AK89" s="47" t="str">
        <f t="shared" si="17"/>
        <v>·</v>
      </c>
      <c r="AL89" s="352"/>
      <c r="AM89" s="353"/>
      <c r="AN89" s="353"/>
      <c r="AO89" s="50"/>
      <c r="AP89" s="353"/>
      <c r="AQ89" s="354"/>
      <c r="AR89" s="354"/>
      <c r="AS89" s="87"/>
      <c r="AT89" s="87"/>
      <c r="AU89" s="87"/>
      <c r="AV89" s="354"/>
      <c r="AW89" s="355"/>
      <c r="AX89" s="355"/>
      <c r="AY89" s="48">
        <v>0</v>
      </c>
      <c r="AZ89" s="48">
        <v>0</v>
      </c>
      <c r="BA89" s="49"/>
      <c r="BC89" s="65" t="e">
        <f>AY89/AB89</f>
        <v>#DIV/0!</v>
      </c>
      <c r="BD89" s="69" t="e">
        <f t="shared" si="31"/>
        <v>#DIV/0!</v>
      </c>
      <c r="BE89" s="69" t="e">
        <f t="shared" si="26"/>
        <v>#DIV/0!</v>
      </c>
      <c r="BF89" s="70" t="e">
        <f t="array" ref="BF89">AVERAGE(AN89:AN94/AM89:AM94) - AVERAGE(Q89:Q94/P89:P94)</f>
        <v>#DIV/0!</v>
      </c>
      <c r="BH89" s="224" t="str">
        <f>IF( OR(ISBLANK($Q89:$Q94),ISBLANK($AN89:$AN94), ISBLANK($T89:$T94),ISBLANK($AQ89:$AQ94)), "·", bdRateHermite( $Q89:$Q94,$T89:$T94, $AN89:$AN94,$AQ89:$AQ94))</f>
        <v>·</v>
      </c>
      <c r="BI89" s="225" t="str">
        <f>IF(OR(ISBLANK($Q89:$Q94),ISBLANK($AN89:$AN94),ISBLANK($U89:$U94),ISBLANK($AR89:$AR94)),"·",bdRateHermite($Q89:$Q94,$U89:$U94,$AN89:$AN94,$AR89:$AR94))</f>
        <v>·</v>
      </c>
      <c r="BJ89" s="90"/>
      <c r="BK89" s="90"/>
      <c r="BL89" s="90"/>
      <c r="BM89" s="226" t="str">
        <f>IF( OR(ISBLANK($S89:$S94),ISBLANK($AP89:$AP94), ISBLANK($Y89:$Y94),ISBLANK($AV89:$AV94)), "·", bdRateHermite($S89:$S94,$Y89:$Y94, $AP89:$AP94,$AV89:$AV94))</f>
        <v>·</v>
      </c>
      <c r="BO89" s="224" t="str">
        <f>IF( OR(ISBLANK($P89:$P94),ISBLANK($AM89:$AM94), ISBLANK($T89:$T94),ISBLANK($AQ89:$AQ94)), "·", bdRateHermite($P89:$P94,$T89:$T94, $AM89:$AM94,$AQ89:$AQ94))</f>
        <v>·</v>
      </c>
      <c r="BP89" s="225" t="str">
        <f>IF( OR(ISBLANK($P89:$P94),ISBLANK($AM89:$AM94), ISBLANK($U89:$U94),ISBLANK($AR89:$AR94)), "·", bdRateHermite( $P89:$P94,$U89:$U94, $AM89:$AM94,$AR89:$AR94))</f>
        <v>·</v>
      </c>
      <c r="BQ89" s="90"/>
      <c r="BR89" s="90"/>
      <c r="BS89" s="90"/>
      <c r="BT89" s="86" t="str">
        <f>IF( OR(ISBLANK($P89:$P94),ISBLANK($AM89:$AM94), ISBLANK($Y89:$Y94),ISBLANK($AV89:$AV94)), "·", bdRateHermite( $P89:$P94,$Y89:$Y94, $AM89:$AM94,$AV89:$AV94))</f>
        <v>·</v>
      </c>
      <c r="BV89" s="83" t="str">
        <f>IF( OR(ISBLANK($Q89:$Q93),ISBLANK($AN89:$AN93), ISBLANK($T89:$T93),ISBLANK($AQ89:$AQ93)), "·", bdRateHermite( $Q90:$Q94,$T90:$T94, $AN90:$AN94,$AQ90:$AQ94))</f>
        <v>·</v>
      </c>
      <c r="BW89" s="84" t="str">
        <f>IF(OR(ISBLANK($Q89:$Q94),ISBLANK($AN89:$AN94),ISBLANK($U89:$U94),ISBLANK($AR89:$AR94)),"·",bdRateHermite($Q90:$Q94,$U90:$U94,$AN90:$AN94,$AR90:$AR94))</f>
        <v>·</v>
      </c>
      <c r="BX89" s="92"/>
      <c r="BY89" s="92"/>
      <c r="BZ89" s="92"/>
      <c r="CA89" s="184" t="str">
        <f>IF( OR(ISBLANK($S89:$S94),ISBLANK($AP89:$AP94), ISBLANK($Y89:$Y94),ISBLANK($AV89:$AV94)), "·", bdRateHermite($S90:$S94,$Y90:$Y94, $AP90:$AP94,$AV90:$AV94))</f>
        <v>·</v>
      </c>
      <c r="CC89" s="224" t="str">
        <f>IF( OR(ISBLANK($P89:$P94),ISBLANK($AM89:$AM94), ISBLANK($T89:$T94),ISBLANK($AQ89:$AQ94)), "·", bdRateHermite($P90:$P94,$T90:$T94, $AM90:$AM94,$AQ90:$AQ94))</f>
        <v>·</v>
      </c>
      <c r="CD89" s="225" t="str">
        <f>IF( OR(ISBLANK($P89:$P94),ISBLANK($AM89:$AM94), ISBLANK($U89:$U94),ISBLANK($AR89:$AR94)), "·", bdRateHermite( $P90:$P94,$U90:$U94, $AM90:$AM94,$AR90:$AR94))</f>
        <v>·</v>
      </c>
      <c r="CE89" s="90"/>
      <c r="CF89" s="90"/>
      <c r="CG89" s="90"/>
      <c r="CH89" s="86" t="str">
        <f>IF( OR(ISBLANK($P89:$P94),ISBLANK($AM89:$AM94), ISBLANK($Y89:$Y94),ISBLANK($AV89:$AV94)), "·", bdRateHermite( $P90:$P94,$Y90:$Y94, $AM90:$AM94,$AV90:$AV94))</f>
        <v>·</v>
      </c>
      <c r="CJ89" s="224" t="str">
        <f>IF( OR(ISBLANK($Q89:$Q93),ISBLANK($AN89:$AN93), ISBLANK($T89:$T93),ISBLANK($AQ89:$AQ93)), "·", bdRateHermite( $Q89:$Q93,$T89:$T93, $AN89:$AN93,$AQ89:$AQ93))</f>
        <v>·</v>
      </c>
      <c r="CK89" s="225" t="str">
        <f>IF(OR(ISBLANK($Q89:$Q93),ISBLANK($AN89:$AN93),ISBLANK($U89:$U93),ISBLANK($AR89:$AR93)),"·",bdRateHermite($Q89:$Q93,$U89:$U93,$AN89:$AN93,$AR89:$AR93))</f>
        <v>·</v>
      </c>
      <c r="CL89" s="90"/>
      <c r="CM89" s="90"/>
      <c r="CN89" s="90"/>
      <c r="CO89" s="226" t="str">
        <f>IF( OR(ISBLANK($S89:$S93),ISBLANK($AP89:$AP93), ISBLANK($Y89:$Y93),ISBLANK($AV89:$AV93)), "·", bdRateHermite($S89:$S93,$Y89:$Y93, $AP89:$AP93,$AV89:$AV93))</f>
        <v>·</v>
      </c>
      <c r="CQ89" s="224" t="str">
        <f>IF( OR(ISBLANK($P89:$P93),ISBLANK($AM89:$AM93), ISBLANK($T89:$T93),ISBLANK($AQ89:$AQ93)), "·", bdRateHermite($P89:$P93,$T89:$T93, $AM89:$AM93,$AQ89:$AQ93))</f>
        <v>·</v>
      </c>
      <c r="CR89" s="225" t="str">
        <f>IF( OR(ISBLANK($P89:$P93),ISBLANK($AM89:$AM93), ISBLANK($U89:$U93),ISBLANK($AR89:$AR93)), "·", bdRateHermite( $P89:$P93,$U89:$U93, $AM89:$AM93,$AR89:$AR93))</f>
        <v>·</v>
      </c>
      <c r="CS89" s="90"/>
      <c r="CT89" s="90"/>
      <c r="CU89" s="90"/>
      <c r="CV89" s="86" t="str">
        <f>IF( OR(ISBLANK($P89:$P93),ISBLANK($AM89:$AM93), ISBLANK($Y89:$Y93),ISBLANK($AV89:$AV93)), "·", bdRateHermite( $P89:$P93,$Y89:$Y93, $AM89:$AM93,$AV89:$AV93))</f>
        <v>·</v>
      </c>
    </row>
    <row r="90" spans="1:100" outlineLevel="1">
      <c r="A90" s="13"/>
      <c r="B90" s="14" t="s">
        <v>469</v>
      </c>
      <c r="C90" s="15" t="s">
        <v>132</v>
      </c>
      <c r="D90" s="465">
        <f>D$89</f>
        <v>59935680</v>
      </c>
      <c r="E90" s="15">
        <v>18</v>
      </c>
      <c r="F90" s="15">
        <v>600</v>
      </c>
      <c r="G90" s="16">
        <v>10</v>
      </c>
      <c r="I90" s="30">
        <f t="shared" si="20"/>
        <v>1.5965290666666667</v>
      </c>
      <c r="J90" s="31">
        <f t="shared" si="21"/>
        <v>1.5982423825007075</v>
      </c>
      <c r="K90" s="31">
        <f t="shared" si="22"/>
        <v>1.1604038195612363</v>
      </c>
      <c r="L90" s="51"/>
      <c r="M90" s="31">
        <f t="shared" si="28"/>
        <v>0.43088550926593305</v>
      </c>
      <c r="N90" s="31">
        <f t="shared" si="23"/>
        <v>5.6578432143855322</v>
      </c>
      <c r="O90" s="356">
        <v>16930788</v>
      </c>
      <c r="P90" s="357">
        <v>95791744</v>
      </c>
      <c r="Q90" s="357">
        <v>69549592</v>
      </c>
      <c r="R90" s="51"/>
      <c r="S90" s="357">
        <v>25825416</v>
      </c>
      <c r="T90" s="358">
        <v>52.178482000000002</v>
      </c>
      <c r="U90" s="358">
        <v>47.507323999999997</v>
      </c>
      <c r="V90" s="87"/>
      <c r="W90" s="87"/>
      <c r="X90" s="87"/>
      <c r="Y90" s="358">
        <v>71.850921999999997</v>
      </c>
      <c r="Z90" s="359"/>
      <c r="AA90" s="359"/>
      <c r="AB90" s="32">
        <v>0</v>
      </c>
      <c r="AC90" s="32">
        <v>0</v>
      </c>
      <c r="AD90" s="33"/>
      <c r="AF90" s="30" t="str">
        <f t="shared" si="24"/>
        <v>·</v>
      </c>
      <c r="AG90" s="31" t="str">
        <f t="shared" si="25"/>
        <v>·</v>
      </c>
      <c r="AH90" s="31" t="str">
        <f t="shared" si="29"/>
        <v>·</v>
      </c>
      <c r="AI90" s="51"/>
      <c r="AJ90" s="31" t="str">
        <f t="shared" si="30"/>
        <v>·</v>
      </c>
      <c r="AK90" s="31" t="str">
        <f t="shared" si="17"/>
        <v>·</v>
      </c>
      <c r="AL90" s="356"/>
      <c r="AM90" s="357"/>
      <c r="AN90" s="357"/>
      <c r="AO90" s="51"/>
      <c r="AP90" s="357"/>
      <c r="AQ90" s="358"/>
      <c r="AR90" s="358"/>
      <c r="AS90" s="87"/>
      <c r="AT90" s="87"/>
      <c r="AU90" s="87"/>
      <c r="AV90" s="358"/>
      <c r="AW90" s="359"/>
      <c r="AX90" s="359"/>
      <c r="AY90" s="32">
        <v>0</v>
      </c>
      <c r="AZ90" s="32">
        <v>0</v>
      </c>
      <c r="BA90" s="33"/>
      <c r="BC90" s="65" t="e">
        <f t="shared" ref="BC90:BD105" si="33">AY90/AB90</f>
        <v>#DIV/0!</v>
      </c>
      <c r="BD90" s="57" t="e">
        <f t="shared" si="31"/>
        <v>#DIV/0!</v>
      </c>
      <c r="BE90" s="57" t="e">
        <f t="shared" si="26"/>
        <v>#DIV/0!</v>
      </c>
      <c r="BF90" s="58"/>
      <c r="BH90" s="74"/>
      <c r="BI90" s="75"/>
      <c r="BJ90" s="87"/>
      <c r="BK90" s="87"/>
      <c r="BL90" s="87"/>
      <c r="BM90" s="76"/>
      <c r="BO90" s="74"/>
      <c r="BP90" s="75"/>
      <c r="BQ90" s="87"/>
      <c r="BR90" s="87"/>
      <c r="BS90" s="87"/>
      <c r="BT90" s="76"/>
      <c r="BV90" s="74"/>
      <c r="BW90" s="75"/>
      <c r="BX90" s="87"/>
      <c r="BY90" s="87"/>
      <c r="BZ90" s="87"/>
      <c r="CA90" s="76"/>
      <c r="CC90" s="74"/>
      <c r="CD90" s="75"/>
      <c r="CE90" s="87"/>
      <c r="CF90" s="87"/>
      <c r="CG90" s="87"/>
      <c r="CH90" s="76"/>
      <c r="CJ90" s="74"/>
      <c r="CK90" s="75"/>
      <c r="CL90" s="87"/>
      <c r="CM90" s="87"/>
      <c r="CN90" s="87"/>
      <c r="CO90" s="76"/>
      <c r="CQ90" s="74"/>
      <c r="CR90" s="75"/>
      <c r="CS90" s="87"/>
      <c r="CT90" s="87"/>
      <c r="CU90" s="87"/>
      <c r="CV90" s="76"/>
    </row>
    <row r="91" spans="1:100" outlineLevel="1">
      <c r="A91" s="13"/>
      <c r="B91" s="14" t="s">
        <v>467</v>
      </c>
      <c r="C91" s="15" t="s">
        <v>133</v>
      </c>
      <c r="D91" s="465">
        <f t="shared" ref="D91:D94" si="34">D$89</f>
        <v>59935680</v>
      </c>
      <c r="E91" s="15">
        <v>18</v>
      </c>
      <c r="F91" s="15">
        <v>600</v>
      </c>
      <c r="G91" s="16">
        <v>10</v>
      </c>
      <c r="I91" s="30">
        <f t="shared" si="20"/>
        <v>5.6695262666666668</v>
      </c>
      <c r="J91" s="31">
        <f t="shared" si="21"/>
        <v>5.6756105211453347</v>
      </c>
      <c r="K91" s="31">
        <f t="shared" si="22"/>
        <v>4.2849632138986324</v>
      </c>
      <c r="L91" s="51"/>
      <c r="M91" s="31">
        <f t="shared" si="28"/>
        <v>1.3836367252361197</v>
      </c>
      <c r="N91" s="31">
        <f t="shared" si="23"/>
        <v>8.1124499547362827</v>
      </c>
      <c r="O91" s="356">
        <v>41932040</v>
      </c>
      <c r="P91" s="357">
        <v>340171576</v>
      </c>
      <c r="Q91" s="357">
        <v>256822184</v>
      </c>
      <c r="R91" s="51"/>
      <c r="S91" s="357">
        <v>82929208</v>
      </c>
      <c r="T91" s="358">
        <v>64.208916000000002</v>
      </c>
      <c r="U91" s="358">
        <v>59.516635999999998</v>
      </c>
      <c r="V91" s="87"/>
      <c r="W91" s="87"/>
      <c r="X91" s="87"/>
      <c r="Y91" s="358">
        <v>79.600616000000002</v>
      </c>
      <c r="Z91" s="359"/>
      <c r="AA91" s="359"/>
      <c r="AB91" s="32">
        <v>0</v>
      </c>
      <c r="AC91" s="32">
        <v>0</v>
      </c>
      <c r="AD91" s="33"/>
      <c r="AF91" s="30" t="str">
        <f t="shared" si="24"/>
        <v>·</v>
      </c>
      <c r="AG91" s="31" t="str">
        <f t="shared" si="25"/>
        <v>·</v>
      </c>
      <c r="AH91" s="31" t="str">
        <f t="shared" si="29"/>
        <v>·</v>
      </c>
      <c r="AI91" s="51"/>
      <c r="AJ91" s="31" t="str">
        <f t="shared" si="30"/>
        <v>·</v>
      </c>
      <c r="AK91" s="31" t="str">
        <f t="shared" si="17"/>
        <v>·</v>
      </c>
      <c r="AL91" s="356"/>
      <c r="AM91" s="357"/>
      <c r="AN91" s="357"/>
      <c r="AO91" s="51"/>
      <c r="AP91" s="357"/>
      <c r="AQ91" s="358"/>
      <c r="AR91" s="358"/>
      <c r="AS91" s="87"/>
      <c r="AT91" s="87"/>
      <c r="AU91" s="87"/>
      <c r="AV91" s="358"/>
      <c r="AW91" s="359"/>
      <c r="AX91" s="359"/>
      <c r="AY91" s="32">
        <v>0</v>
      </c>
      <c r="AZ91" s="32">
        <v>0</v>
      </c>
      <c r="BA91" s="33"/>
      <c r="BC91" s="65" t="e">
        <f t="shared" si="33"/>
        <v>#DIV/0!</v>
      </c>
      <c r="BD91" s="57" t="e">
        <f t="shared" si="31"/>
        <v>#DIV/0!</v>
      </c>
      <c r="BE91" s="57" t="e">
        <f t="shared" si="26"/>
        <v>#DIV/0!</v>
      </c>
      <c r="BF91" s="58"/>
      <c r="BH91" s="74"/>
      <c r="BI91" s="75"/>
      <c r="BJ91" s="87"/>
      <c r="BK91" s="87"/>
      <c r="BL91" s="87"/>
      <c r="BM91" s="76"/>
      <c r="BO91" s="74"/>
      <c r="BP91" s="75"/>
      <c r="BQ91" s="87"/>
      <c r="BR91" s="87"/>
      <c r="BS91" s="87"/>
      <c r="BT91" s="76"/>
      <c r="BV91" s="74"/>
      <c r="BW91" s="75"/>
      <c r="BX91" s="87"/>
      <c r="BY91" s="87"/>
      <c r="BZ91" s="87"/>
      <c r="CA91" s="76"/>
      <c r="CC91" s="74"/>
      <c r="CD91" s="75"/>
      <c r="CE91" s="87"/>
      <c r="CF91" s="87"/>
      <c r="CG91" s="87"/>
      <c r="CH91" s="76"/>
      <c r="CJ91" s="74"/>
      <c r="CK91" s="75"/>
      <c r="CL91" s="87"/>
      <c r="CM91" s="87"/>
      <c r="CN91" s="87"/>
      <c r="CO91" s="76"/>
      <c r="CQ91" s="74"/>
      <c r="CR91" s="75"/>
      <c r="CS91" s="87"/>
      <c r="CT91" s="87"/>
      <c r="CU91" s="87"/>
      <c r="CV91" s="76"/>
    </row>
    <row r="92" spans="1:100" outlineLevel="1">
      <c r="A92" s="13"/>
      <c r="B92" s="14" t="s">
        <v>467</v>
      </c>
      <c r="C92" s="15" t="s">
        <v>134</v>
      </c>
      <c r="D92" s="465">
        <f t="shared" si="34"/>
        <v>59935680</v>
      </c>
      <c r="E92" s="15">
        <v>18</v>
      </c>
      <c r="F92" s="15">
        <v>600</v>
      </c>
      <c r="G92" s="16">
        <v>10</v>
      </c>
      <c r="I92" s="30">
        <f t="shared" si="20"/>
        <v>8.7892497333333317</v>
      </c>
      <c r="J92" s="31">
        <f t="shared" si="21"/>
        <v>8.7986819203519513</v>
      </c>
      <c r="K92" s="31">
        <f t="shared" si="22"/>
        <v>6.5798299777361331</v>
      </c>
      <c r="L92" s="51"/>
      <c r="M92" s="31">
        <f t="shared" si="28"/>
        <v>2.2117389841910526</v>
      </c>
      <c r="N92" s="31">
        <f t="shared" si="23"/>
        <v>11.092490832243412</v>
      </c>
      <c r="O92" s="356">
        <v>47541620</v>
      </c>
      <c r="P92" s="357">
        <v>527354984</v>
      </c>
      <c r="Q92" s="357">
        <v>394366584</v>
      </c>
      <c r="R92" s="51"/>
      <c r="S92" s="357">
        <v>132562080</v>
      </c>
      <c r="T92" s="358">
        <v>70.221480999999997</v>
      </c>
      <c r="U92" s="358">
        <v>65.474525</v>
      </c>
      <c r="V92" s="87"/>
      <c r="W92" s="87"/>
      <c r="X92" s="87"/>
      <c r="Y92" s="358">
        <v>85.548171999999994</v>
      </c>
      <c r="Z92" s="359"/>
      <c r="AA92" s="359"/>
      <c r="AB92" s="32">
        <v>0</v>
      </c>
      <c r="AC92" s="32">
        <v>0</v>
      </c>
      <c r="AD92" s="33"/>
      <c r="AF92" s="30" t="str">
        <f t="shared" si="24"/>
        <v>·</v>
      </c>
      <c r="AG92" s="31" t="str">
        <f t="shared" si="25"/>
        <v>·</v>
      </c>
      <c r="AH92" s="31" t="str">
        <f t="shared" si="29"/>
        <v>·</v>
      </c>
      <c r="AI92" s="51"/>
      <c r="AJ92" s="31" t="str">
        <f t="shared" si="30"/>
        <v>·</v>
      </c>
      <c r="AK92" s="31" t="str">
        <f t="shared" si="17"/>
        <v>·</v>
      </c>
      <c r="AL92" s="356"/>
      <c r="AM92" s="357"/>
      <c r="AN92" s="357"/>
      <c r="AO92" s="51"/>
      <c r="AP92" s="357"/>
      <c r="AQ92" s="358"/>
      <c r="AR92" s="358"/>
      <c r="AS92" s="87"/>
      <c r="AT92" s="87"/>
      <c r="AU92" s="87"/>
      <c r="AV92" s="358"/>
      <c r="AW92" s="359"/>
      <c r="AX92" s="359"/>
      <c r="AY92" s="32">
        <v>0</v>
      </c>
      <c r="AZ92" s="32">
        <v>0</v>
      </c>
      <c r="BA92" s="33"/>
      <c r="BC92" s="65" t="e">
        <f t="shared" si="33"/>
        <v>#DIV/0!</v>
      </c>
      <c r="BD92" s="57" t="e">
        <f t="shared" si="31"/>
        <v>#DIV/0!</v>
      </c>
      <c r="BE92" s="57" t="e">
        <f t="shared" si="26"/>
        <v>#DIV/0!</v>
      </c>
      <c r="BF92" s="58"/>
      <c r="BH92" s="74"/>
      <c r="BI92" s="75"/>
      <c r="BJ92" s="87"/>
      <c r="BK92" s="87"/>
      <c r="BL92" s="87"/>
      <c r="BM92" s="76"/>
      <c r="BO92" s="74"/>
      <c r="BP92" s="75"/>
      <c r="BQ92" s="87"/>
      <c r="BR92" s="87"/>
      <c r="BS92" s="87"/>
      <c r="BT92" s="76"/>
      <c r="BV92" s="74"/>
      <c r="BW92" s="75"/>
      <c r="BX92" s="87"/>
      <c r="BY92" s="87"/>
      <c r="BZ92" s="87"/>
      <c r="CA92" s="76"/>
      <c r="CC92" s="74"/>
      <c r="CD92" s="75"/>
      <c r="CE92" s="87"/>
      <c r="CF92" s="87"/>
      <c r="CG92" s="87"/>
      <c r="CH92" s="76"/>
      <c r="CJ92" s="74"/>
      <c r="CK92" s="75"/>
      <c r="CL92" s="87"/>
      <c r="CM92" s="87"/>
      <c r="CN92" s="87"/>
      <c r="CO92" s="76"/>
      <c r="CQ92" s="74"/>
      <c r="CR92" s="75"/>
      <c r="CS92" s="87"/>
      <c r="CT92" s="87"/>
      <c r="CU92" s="87"/>
      <c r="CV92" s="76"/>
    </row>
    <row r="93" spans="1:100" outlineLevel="1">
      <c r="A93" s="13"/>
      <c r="B93" s="14" t="s">
        <v>467</v>
      </c>
      <c r="C93" s="15" t="s">
        <v>135</v>
      </c>
      <c r="D93" s="465">
        <f t="shared" si="34"/>
        <v>59935680</v>
      </c>
      <c r="E93" s="15">
        <v>18</v>
      </c>
      <c r="F93" s="15">
        <v>600</v>
      </c>
      <c r="G93" s="16">
        <v>10</v>
      </c>
      <c r="I93" s="30">
        <f t="shared" si="20"/>
        <v>14.522336666666666</v>
      </c>
      <c r="J93" s="31">
        <f t="shared" si="21"/>
        <v>14.537921318319906</v>
      </c>
      <c r="K93" s="31">
        <f t="shared" si="22"/>
        <v>11.419800025627472</v>
      </c>
      <c r="L93" s="51"/>
      <c r="M93" s="31">
        <f t="shared" si="28"/>
        <v>3.1108816651450355</v>
      </c>
      <c r="N93" s="31">
        <f t="shared" si="23"/>
        <v>17.640797457639643</v>
      </c>
      <c r="O93" s="356">
        <v>49393470</v>
      </c>
      <c r="P93" s="357">
        <v>871340200</v>
      </c>
      <c r="Q93" s="357">
        <v>684453480</v>
      </c>
      <c r="R93" s="51"/>
      <c r="S93" s="357">
        <v>186452808</v>
      </c>
      <c r="T93" s="358">
        <v>82.135581999999999</v>
      </c>
      <c r="U93" s="358">
        <v>77.501091000000002</v>
      </c>
      <c r="V93" s="87"/>
      <c r="W93" s="87"/>
      <c r="X93" s="87"/>
      <c r="Y93" s="358">
        <v>94.133606</v>
      </c>
      <c r="Z93" s="359"/>
      <c r="AA93" s="359"/>
      <c r="AB93" s="32">
        <v>0</v>
      </c>
      <c r="AC93" s="32">
        <v>0</v>
      </c>
      <c r="AD93" s="33"/>
      <c r="AF93" s="30" t="str">
        <f t="shared" si="24"/>
        <v>·</v>
      </c>
      <c r="AG93" s="31" t="str">
        <f t="shared" si="25"/>
        <v>·</v>
      </c>
      <c r="AH93" s="31" t="str">
        <f t="shared" si="29"/>
        <v>·</v>
      </c>
      <c r="AI93" s="51"/>
      <c r="AJ93" s="31" t="str">
        <f t="shared" si="30"/>
        <v>·</v>
      </c>
      <c r="AK93" s="31" t="str">
        <f t="shared" si="17"/>
        <v>·</v>
      </c>
      <c r="AL93" s="356"/>
      <c r="AM93" s="357"/>
      <c r="AN93" s="357"/>
      <c r="AO93" s="51"/>
      <c r="AP93" s="357"/>
      <c r="AQ93" s="358"/>
      <c r="AR93" s="358"/>
      <c r="AS93" s="87"/>
      <c r="AT93" s="87"/>
      <c r="AU93" s="87"/>
      <c r="AV93" s="358"/>
      <c r="AW93" s="359"/>
      <c r="AX93" s="359"/>
      <c r="AY93" s="32">
        <v>0</v>
      </c>
      <c r="AZ93" s="32">
        <v>0</v>
      </c>
      <c r="BA93" s="33"/>
      <c r="BC93" s="65" t="e">
        <f t="shared" si="33"/>
        <v>#DIV/0!</v>
      </c>
      <c r="BD93" s="57" t="e">
        <f t="shared" si="31"/>
        <v>#DIV/0!</v>
      </c>
      <c r="BE93" s="57" t="e">
        <f t="shared" si="26"/>
        <v>#DIV/0!</v>
      </c>
      <c r="BF93" s="58"/>
      <c r="BH93" s="74"/>
      <c r="BI93" s="75"/>
      <c r="BJ93" s="87"/>
      <c r="BK93" s="87"/>
      <c r="BL93" s="87"/>
      <c r="BM93" s="76"/>
      <c r="BO93" s="74"/>
      <c r="BP93" s="75"/>
      <c r="BQ93" s="87"/>
      <c r="BR93" s="87"/>
      <c r="BS93" s="87"/>
      <c r="BT93" s="76"/>
      <c r="BV93" s="74"/>
      <c r="BW93" s="75"/>
      <c r="BX93" s="87"/>
      <c r="BY93" s="87"/>
      <c r="BZ93" s="87"/>
      <c r="CA93" s="76"/>
      <c r="CC93" s="74"/>
      <c r="CD93" s="75"/>
      <c r="CE93" s="87"/>
      <c r="CF93" s="87"/>
      <c r="CG93" s="87"/>
      <c r="CH93" s="76"/>
      <c r="CJ93" s="74"/>
      <c r="CK93" s="75"/>
      <c r="CL93" s="87"/>
      <c r="CM93" s="87"/>
      <c r="CN93" s="87"/>
      <c r="CO93" s="76"/>
      <c r="CQ93" s="74"/>
      <c r="CR93" s="75"/>
      <c r="CS93" s="87"/>
      <c r="CT93" s="87"/>
      <c r="CU93" s="87"/>
      <c r="CV93" s="76"/>
    </row>
    <row r="94" spans="1:100" ht="14.25" outlineLevel="1" thickBot="1">
      <c r="A94" s="13"/>
      <c r="B94" s="18" t="s">
        <v>467</v>
      </c>
      <c r="C94" s="19" t="s">
        <v>136</v>
      </c>
      <c r="D94" s="467">
        <f t="shared" si="34"/>
        <v>59935680</v>
      </c>
      <c r="E94" s="19">
        <v>18</v>
      </c>
      <c r="F94" s="188">
        <v>600</v>
      </c>
      <c r="G94" s="20">
        <v>10</v>
      </c>
      <c r="I94" s="34">
        <f t="shared" si="20"/>
        <v>17.915015733333334</v>
      </c>
      <c r="J94" s="35">
        <f t="shared" si="21"/>
        <v>17.934241239942551</v>
      </c>
      <c r="K94" s="35">
        <f t="shared" si="22"/>
        <v>13.849262008873513</v>
      </c>
      <c r="L94" s="52"/>
      <c r="M94" s="35">
        <f t="shared" si="28"/>
        <v>4.0776619202451698</v>
      </c>
      <c r="N94" s="35">
        <f t="shared" si="23"/>
        <v>21.6849968983562</v>
      </c>
      <c r="O94" s="360">
        <v>49568877</v>
      </c>
      <c r="P94" s="361">
        <v>1074900944</v>
      </c>
      <c r="Q94" s="361">
        <v>830064936</v>
      </c>
      <c r="R94" s="52"/>
      <c r="S94" s="361">
        <v>244397440</v>
      </c>
      <c r="T94" s="362">
        <v>87.781433000000007</v>
      </c>
      <c r="U94" s="362">
        <v>83.522223999999994</v>
      </c>
      <c r="V94" s="89"/>
      <c r="W94" s="89"/>
      <c r="X94" s="89"/>
      <c r="Y94" s="362">
        <v>98.780265999999997</v>
      </c>
      <c r="Z94" s="363"/>
      <c r="AA94" s="363"/>
      <c r="AB94" s="36">
        <v>0</v>
      </c>
      <c r="AC94" s="36">
        <v>0</v>
      </c>
      <c r="AD94" s="37"/>
      <c r="AF94" s="34" t="str">
        <f t="shared" si="24"/>
        <v>·</v>
      </c>
      <c r="AG94" s="35" t="str">
        <f t="shared" si="25"/>
        <v>·</v>
      </c>
      <c r="AH94" s="35" t="str">
        <f t="shared" si="29"/>
        <v>·</v>
      </c>
      <c r="AI94" s="52"/>
      <c r="AJ94" s="35" t="str">
        <f t="shared" si="30"/>
        <v>·</v>
      </c>
      <c r="AK94" s="35" t="str">
        <f t="shared" si="17"/>
        <v>·</v>
      </c>
      <c r="AL94" s="360"/>
      <c r="AM94" s="361"/>
      <c r="AN94" s="361"/>
      <c r="AO94" s="52"/>
      <c r="AP94" s="361"/>
      <c r="AQ94" s="362"/>
      <c r="AR94" s="362"/>
      <c r="AS94" s="89"/>
      <c r="AT94" s="89"/>
      <c r="AU94" s="89"/>
      <c r="AV94" s="362"/>
      <c r="AW94" s="363"/>
      <c r="AX94" s="363"/>
      <c r="AY94" s="36">
        <v>0</v>
      </c>
      <c r="AZ94" s="36">
        <v>0</v>
      </c>
      <c r="BA94" s="37"/>
      <c r="BC94" s="65" t="e">
        <f t="shared" si="33"/>
        <v>#DIV/0!</v>
      </c>
      <c r="BD94" s="60" t="e">
        <f t="shared" si="31"/>
        <v>#DIV/0!</v>
      </c>
      <c r="BE94" s="60" t="e">
        <f t="shared" si="26"/>
        <v>#DIV/0!</v>
      </c>
      <c r="BF94" s="61"/>
      <c r="BH94" s="77"/>
      <c r="BI94" s="78"/>
      <c r="BJ94" s="88"/>
      <c r="BK94" s="88"/>
      <c r="BL94" s="88"/>
      <c r="BM94" s="79"/>
      <c r="BO94" s="77"/>
      <c r="BP94" s="78"/>
      <c r="BQ94" s="88"/>
      <c r="BR94" s="88"/>
      <c r="BS94" s="88"/>
      <c r="BT94" s="79"/>
      <c r="BV94" s="77"/>
      <c r="BW94" s="78"/>
      <c r="BX94" s="88"/>
      <c r="BY94" s="88"/>
      <c r="BZ94" s="88"/>
      <c r="CA94" s="79"/>
      <c r="CC94" s="77"/>
      <c r="CD94" s="78"/>
      <c r="CE94" s="88"/>
      <c r="CF94" s="88"/>
      <c r="CG94" s="88"/>
      <c r="CH94" s="79"/>
      <c r="CJ94" s="77"/>
      <c r="CK94" s="78"/>
      <c r="CL94" s="88"/>
      <c r="CM94" s="88"/>
      <c r="CN94" s="88"/>
      <c r="CO94" s="79"/>
      <c r="CQ94" s="77"/>
      <c r="CR94" s="78"/>
      <c r="CS94" s="88"/>
      <c r="CT94" s="88"/>
      <c r="CU94" s="88"/>
      <c r="CV94" s="79"/>
    </row>
    <row r="95" spans="1:100">
      <c r="A95" s="13"/>
      <c r="B95" s="24" t="s">
        <v>470</v>
      </c>
      <c r="C95" s="25" t="s">
        <v>131</v>
      </c>
      <c r="D95" s="464">
        <v>59948032</v>
      </c>
      <c r="E95" s="25">
        <v>18</v>
      </c>
      <c r="F95" s="28">
        <v>600</v>
      </c>
      <c r="G95" s="26">
        <v>10</v>
      </c>
      <c r="I95" s="42">
        <f t="shared" si="20"/>
        <v>0.56579893333333331</v>
      </c>
      <c r="J95" s="43">
        <f t="shared" si="21"/>
        <v>0.56628941547238787</v>
      </c>
      <c r="K95" s="43">
        <f t="shared" si="22"/>
        <v>0.48053887740635087</v>
      </c>
      <c r="L95" s="55"/>
      <c r="M95" s="43">
        <f t="shared" si="28"/>
        <v>7.8926360751925939E-2</v>
      </c>
      <c r="N95" s="43">
        <f t="shared" si="23"/>
        <v>3.9665944535108482</v>
      </c>
      <c r="O95" s="364">
        <v>8558459</v>
      </c>
      <c r="P95" s="365">
        <v>33947936</v>
      </c>
      <c r="Q95" s="365">
        <v>28807360</v>
      </c>
      <c r="R95" s="55"/>
      <c r="S95" s="365">
        <v>4731480</v>
      </c>
      <c r="T95" s="366">
        <v>46.141876000000003</v>
      </c>
      <c r="U95" s="366">
        <v>41.485118999999997</v>
      </c>
      <c r="V95" s="90"/>
      <c r="W95" s="90"/>
      <c r="X95" s="90"/>
      <c r="Y95" s="366">
        <v>69.684714999999997</v>
      </c>
      <c r="Z95" s="367"/>
      <c r="AA95" s="367"/>
      <c r="AB95" s="44">
        <v>0</v>
      </c>
      <c r="AC95" s="44">
        <v>0</v>
      </c>
      <c r="AD95" s="45" t="s">
        <v>1370</v>
      </c>
      <c r="AF95" s="42" t="str">
        <f t="shared" si="24"/>
        <v>·</v>
      </c>
      <c r="AG95" s="43" t="str">
        <f t="shared" si="25"/>
        <v>·</v>
      </c>
      <c r="AH95" s="43" t="str">
        <f t="shared" si="29"/>
        <v>·</v>
      </c>
      <c r="AI95" s="55"/>
      <c r="AJ95" s="43" t="str">
        <f t="shared" si="30"/>
        <v>·</v>
      </c>
      <c r="AK95" s="43" t="str">
        <f t="shared" si="17"/>
        <v>·</v>
      </c>
      <c r="AL95" s="364"/>
      <c r="AM95" s="365"/>
      <c r="AN95" s="365"/>
      <c r="AO95" s="55"/>
      <c r="AP95" s="365"/>
      <c r="AQ95" s="366"/>
      <c r="AR95" s="366"/>
      <c r="AS95" s="90"/>
      <c r="AT95" s="90"/>
      <c r="AU95" s="90"/>
      <c r="AV95" s="366"/>
      <c r="AW95" s="367"/>
      <c r="AX95" s="367"/>
      <c r="AY95" s="44">
        <v>0</v>
      </c>
      <c r="AZ95" s="44">
        <v>0</v>
      </c>
      <c r="BA95" s="45"/>
      <c r="BC95" s="65" t="e">
        <f t="shared" si="33"/>
        <v>#DIV/0!</v>
      </c>
      <c r="BD95" s="66" t="e">
        <f t="shared" si="31"/>
        <v>#DIV/0!</v>
      </c>
      <c r="BE95" s="66" t="e">
        <f t="shared" si="26"/>
        <v>#DIV/0!</v>
      </c>
      <c r="BF95" s="67" t="e">
        <f t="array" ref="BF95">AVERAGE(AN95:AN100/AM95:AM100) - AVERAGE(Q95:Q100/P95:P100)</f>
        <v>#DIV/0!</v>
      </c>
      <c r="BH95" s="83" t="str">
        <f>IF( OR(ISBLANK($Q95:$Q100),ISBLANK($AN95:$AN100), ISBLANK($T95:$T100),ISBLANK($AQ95:$AQ100)), "·", bdRateHermite( $Q95:$Q100,$T95:$T100, $AN95:$AN100,$AQ95:$AQ100))</f>
        <v>·</v>
      </c>
      <c r="BI95" s="84" t="str">
        <f>IF(OR(ISBLANK($Q95:$Q100),ISBLANK($AN95:$AN100),ISBLANK($U95:$U100),ISBLANK($AR95:$AR100)),"·",bdRateHermite($Q95:$Q100,$U95:$U100,$AN95:$AN100,$AR95:$AR100))</f>
        <v>·</v>
      </c>
      <c r="BJ95" s="92"/>
      <c r="BK95" s="92"/>
      <c r="BL95" s="92"/>
      <c r="BM95" s="184" t="str">
        <f>IF( OR(ISBLANK($S95:$S100),ISBLANK($AP95:$AP100), ISBLANK($Y95:$Y100),ISBLANK($AV95:$AV100)), "·", bdRateHermite($S95:$S100,$Y95:$Y100, $AP95:$AP100,$AV95:$AV100))</f>
        <v>·</v>
      </c>
      <c r="BO95" s="83" t="str">
        <f>IF( OR(ISBLANK($P95:$P100),ISBLANK($AM95:$AM100), ISBLANK($T95:$T100),ISBLANK($AQ95:$AQ100)), "·", bdRateHermite($P95:$P100,$T95:$T100, $AM95:$AM100,$AQ95:$AQ100))</f>
        <v>·</v>
      </c>
      <c r="BP95" s="84" t="str">
        <f>IF( OR(ISBLANK($P95:$P100),ISBLANK($AM95:$AM100), ISBLANK($U95:$U100),ISBLANK($AR95:$AR100)), "·", bdRateHermite( $P95:$P100,$U95:$U100, $AM95:$AM100,$AR95:$AR100))</f>
        <v>·</v>
      </c>
      <c r="BQ95" s="92"/>
      <c r="BR95" s="92"/>
      <c r="BS95" s="92"/>
      <c r="BT95" s="85" t="str">
        <f>IF( OR(ISBLANK($P95:$P100),ISBLANK($AM95:$AM100), ISBLANK($Y95:$Y100),ISBLANK($AV95:$AV100)), "·", bdRateHermite( $P95:$P100,$Y95:$Y100, $AM95:$AM100,$AV95:$AV100))</f>
        <v>·</v>
      </c>
      <c r="BV95" s="83" t="str">
        <f>IF( OR(ISBLANK($Q95:$Q99),ISBLANK($AN95:$AN99), ISBLANK($T95:$T99),ISBLANK($AQ95:$AQ99)), "·", bdRateHermite( $Q96:$Q100,$T96:$T100, $AN96:$AN100,$AQ96:$AQ100))</f>
        <v>·</v>
      </c>
      <c r="BW95" s="84" t="str">
        <f>IF(OR(ISBLANK($Q95:$Q100),ISBLANK($AN95:$AN100),ISBLANK($U95:$U100),ISBLANK($AR95:$AR100)),"·",bdRateHermite($Q96:$Q100,$U96:$U100,$AN96:$AN100,$AR96:$AR100))</f>
        <v>·</v>
      </c>
      <c r="BX95" s="92"/>
      <c r="BY95" s="92"/>
      <c r="BZ95" s="92"/>
      <c r="CA95" s="184" t="str">
        <f>IF( OR(ISBLANK($S95:$S100),ISBLANK($AP95:$AP100), ISBLANK($Y95:$Y100),ISBLANK($AV95:$AV100)), "·", bdRateHermite($S96:$S100,$Y96:$Y100, $AP96:$AP100,$AV96:$AV100))</f>
        <v>·</v>
      </c>
      <c r="CC95" s="83" t="str">
        <f>IF( OR(ISBLANK($P95:$P100),ISBLANK($AM95:$AM100), ISBLANK($T95:$T100),ISBLANK($AQ95:$AQ100)), "·", bdRateHermite($P96:$P100,$T96:$T100, $AM96:$AM100,$AQ96:$AQ100))</f>
        <v>·</v>
      </c>
      <c r="CD95" s="84" t="str">
        <f>IF( OR(ISBLANK($P95:$P100),ISBLANK($AM95:$AM100), ISBLANK($U95:$U100),ISBLANK($AR95:$AR100)), "·", bdRateHermite( $P96:$P100,$U96:$U100, $AM96:$AM100,$AR96:$AR100))</f>
        <v>·</v>
      </c>
      <c r="CE95" s="92"/>
      <c r="CF95" s="92"/>
      <c r="CG95" s="92"/>
      <c r="CH95" s="85" t="str">
        <f>IF( OR(ISBLANK($P95:$P100),ISBLANK($AM95:$AM100), ISBLANK($Y95:$Y100),ISBLANK($AV95:$AV100)), "·", bdRateHermite( $P96:$P100,$Y96:$Y100, $AM96:$AM100,$AV96:$AV100))</f>
        <v>·</v>
      </c>
      <c r="CJ95" s="83" t="str">
        <f>IF( OR(ISBLANK($Q95:$Q99),ISBLANK($AN95:$AN99), ISBLANK($T95:$T99),ISBLANK($AQ95:$AQ99)), "·", bdRateHermite( $Q95:$Q99,$T95:$T99, $AN95:$AN99,$AQ95:$AQ99))</f>
        <v>·</v>
      </c>
      <c r="CK95" s="84" t="str">
        <f>IF(OR(ISBLANK($Q95:$Q99),ISBLANK($AN95:$AN99),ISBLANK($U95:$U99),ISBLANK($AR95:$AR99)),"·",bdRateHermite($Q95:$Q99,$U95:$U99,$AN95:$AN99,$AR95:$AR99))</f>
        <v>·</v>
      </c>
      <c r="CL95" s="92"/>
      <c r="CM95" s="92"/>
      <c r="CN95" s="92"/>
      <c r="CO95" s="184" t="str">
        <f>IF( OR(ISBLANK($S95:$S99),ISBLANK($AP95:$AP99), ISBLANK($Y95:$Y99),ISBLANK($AV95:$AV99)), "·", bdRateHermite($S95:$S99,$Y95:$Y99, $AP95:$AP99,$AV95:$AV99))</f>
        <v>·</v>
      </c>
      <c r="CQ95" s="83" t="str">
        <f>IF( OR(ISBLANK($P95:$P99),ISBLANK($AM95:$AM99), ISBLANK($T95:$T99),ISBLANK($AQ95:$AQ99)), "·", bdRateHermite($P95:$P99,$T95:$T99, $AM95:$AM99,$AQ95:$AQ99))</f>
        <v>·</v>
      </c>
      <c r="CR95" s="84" t="str">
        <f>IF( OR(ISBLANK($P95:$P99),ISBLANK($AM95:$AM99), ISBLANK($U95:$U99),ISBLANK($AR95:$AR99)), "·", bdRateHermite( $P95:$P99,$U95:$U99, $AM95:$AM99,$AR95:$AR99))</f>
        <v>·</v>
      </c>
      <c r="CS95" s="92"/>
      <c r="CT95" s="92"/>
      <c r="CU95" s="92"/>
      <c r="CV95" s="85" t="str">
        <f>IF( OR(ISBLANK($P95:$P99),ISBLANK($AM95:$AM99), ISBLANK($Y95:$Y99),ISBLANK($AV95:$AV99)), "·", bdRateHermite( $P95:$P99,$Y95:$Y99, $AM95:$AM99,$AV95:$AV99))</f>
        <v>·</v>
      </c>
    </row>
    <row r="96" spans="1:100" outlineLevel="1">
      <c r="A96" s="13"/>
      <c r="B96" s="14" t="s">
        <v>470</v>
      </c>
      <c r="C96" s="15" t="s">
        <v>132</v>
      </c>
      <c r="D96" s="465">
        <f>D$95</f>
        <v>59948032</v>
      </c>
      <c r="E96" s="15">
        <v>18</v>
      </c>
      <c r="F96" s="15">
        <v>600</v>
      </c>
      <c r="G96" s="16">
        <v>10</v>
      </c>
      <c r="I96" s="30">
        <f t="shared" si="20"/>
        <v>1.5384714666666666</v>
      </c>
      <c r="J96" s="31">
        <f t="shared" si="21"/>
        <v>1.5398051432280546</v>
      </c>
      <c r="K96" s="31">
        <f t="shared" si="22"/>
        <v>1.1716537416941393</v>
      </c>
      <c r="L96" s="51"/>
      <c r="M96" s="31">
        <f t="shared" si="28"/>
        <v>0.36118683595818457</v>
      </c>
      <c r="N96" s="31">
        <f t="shared" si="23"/>
        <v>5.0984950185327182</v>
      </c>
      <c r="O96" s="356">
        <v>18105007</v>
      </c>
      <c r="P96" s="357">
        <v>92308288</v>
      </c>
      <c r="Q96" s="357">
        <v>70238336</v>
      </c>
      <c r="R96" s="51"/>
      <c r="S96" s="357">
        <v>21652440</v>
      </c>
      <c r="T96" s="358">
        <v>52.168838999999998</v>
      </c>
      <c r="U96" s="358">
        <v>47.504413999999997</v>
      </c>
      <c r="V96" s="87"/>
      <c r="W96" s="87"/>
      <c r="X96" s="87"/>
      <c r="Y96" s="358">
        <v>72.911507</v>
      </c>
      <c r="Z96" s="359"/>
      <c r="AA96" s="359"/>
      <c r="AB96" s="32">
        <v>0</v>
      </c>
      <c r="AC96" s="32">
        <v>0</v>
      </c>
      <c r="AD96" s="33"/>
      <c r="AF96" s="30" t="str">
        <f t="shared" si="24"/>
        <v>·</v>
      </c>
      <c r="AG96" s="31" t="str">
        <f t="shared" si="25"/>
        <v>·</v>
      </c>
      <c r="AH96" s="31" t="str">
        <f t="shared" si="29"/>
        <v>·</v>
      </c>
      <c r="AI96" s="51"/>
      <c r="AJ96" s="31" t="str">
        <f t="shared" si="30"/>
        <v>·</v>
      </c>
      <c r="AK96" s="31" t="str">
        <f t="shared" si="17"/>
        <v>·</v>
      </c>
      <c r="AL96" s="356"/>
      <c r="AM96" s="357"/>
      <c r="AN96" s="357"/>
      <c r="AO96" s="51"/>
      <c r="AP96" s="357"/>
      <c r="AQ96" s="358"/>
      <c r="AR96" s="358"/>
      <c r="AS96" s="87"/>
      <c r="AT96" s="87"/>
      <c r="AU96" s="87"/>
      <c r="AV96" s="358"/>
      <c r="AW96" s="359"/>
      <c r="AX96" s="359"/>
      <c r="AY96" s="32">
        <v>0</v>
      </c>
      <c r="AZ96" s="32">
        <v>0</v>
      </c>
      <c r="BA96" s="33"/>
      <c r="BC96" s="56" t="e">
        <f t="shared" si="33"/>
        <v>#DIV/0!</v>
      </c>
      <c r="BD96" s="57" t="e">
        <f t="shared" si="31"/>
        <v>#DIV/0!</v>
      </c>
      <c r="BE96" s="57" t="e">
        <f t="shared" si="26"/>
        <v>#DIV/0!</v>
      </c>
      <c r="BF96" s="58"/>
      <c r="BH96" s="74"/>
      <c r="BI96" s="75"/>
      <c r="BJ96" s="87"/>
      <c r="BK96" s="87"/>
      <c r="BL96" s="87"/>
      <c r="BM96" s="76"/>
      <c r="BO96" s="74"/>
      <c r="BP96" s="75"/>
      <c r="BQ96" s="87"/>
      <c r="BR96" s="87"/>
      <c r="BS96" s="87"/>
      <c r="BT96" s="76"/>
      <c r="BV96" s="74"/>
      <c r="BW96" s="75"/>
      <c r="BX96" s="87"/>
      <c r="BY96" s="87"/>
      <c r="BZ96" s="87"/>
      <c r="CA96" s="76"/>
      <c r="CC96" s="74"/>
      <c r="CD96" s="75"/>
      <c r="CE96" s="87"/>
      <c r="CF96" s="87"/>
      <c r="CG96" s="87"/>
      <c r="CH96" s="76"/>
      <c r="CJ96" s="74"/>
      <c r="CK96" s="75"/>
      <c r="CL96" s="87"/>
      <c r="CM96" s="87"/>
      <c r="CN96" s="87"/>
      <c r="CO96" s="76"/>
      <c r="CQ96" s="74"/>
      <c r="CR96" s="75"/>
      <c r="CS96" s="87"/>
      <c r="CT96" s="87"/>
      <c r="CU96" s="87"/>
      <c r="CV96" s="76"/>
    </row>
    <row r="97" spans="1:100" outlineLevel="1">
      <c r="A97" s="13"/>
      <c r="B97" s="14" t="s">
        <v>468</v>
      </c>
      <c r="C97" s="15" t="s">
        <v>133</v>
      </c>
      <c r="D97" s="465">
        <f t="shared" ref="D97:D100" si="35">D$95</f>
        <v>59948032</v>
      </c>
      <c r="E97" s="15">
        <v>18</v>
      </c>
      <c r="F97" s="15">
        <v>600</v>
      </c>
      <c r="G97" s="16">
        <v>10</v>
      </c>
      <c r="I97" s="30">
        <f t="shared" si="20"/>
        <v>6.0037693333333326</v>
      </c>
      <c r="J97" s="31">
        <f t="shared" si="21"/>
        <v>6.0089739059323914</v>
      </c>
      <c r="K97" s="31">
        <f t="shared" si="22"/>
        <v>4.6192503533727347</v>
      </c>
      <c r="L97" s="51"/>
      <c r="M97" s="31">
        <f t="shared" si="28"/>
        <v>1.3826722451872981</v>
      </c>
      <c r="N97" s="31">
        <f t="shared" si="23"/>
        <v>8.0975296168341568</v>
      </c>
      <c r="O97" s="356">
        <v>44485933</v>
      </c>
      <c r="P97" s="357">
        <v>360226160</v>
      </c>
      <c r="Q97" s="357">
        <v>276914968</v>
      </c>
      <c r="R97" s="51"/>
      <c r="S97" s="357">
        <v>82888480</v>
      </c>
      <c r="T97" s="358">
        <v>64.207481000000001</v>
      </c>
      <c r="U97" s="358">
        <v>59.512123000000003</v>
      </c>
      <c r="V97" s="87"/>
      <c r="W97" s="87"/>
      <c r="X97" s="87"/>
      <c r="Y97" s="358">
        <v>80.127739000000005</v>
      </c>
      <c r="Z97" s="359"/>
      <c r="AA97" s="359"/>
      <c r="AB97" s="32">
        <v>0</v>
      </c>
      <c r="AC97" s="32">
        <v>0</v>
      </c>
      <c r="AD97" s="33"/>
      <c r="AF97" s="30" t="str">
        <f t="shared" si="24"/>
        <v>·</v>
      </c>
      <c r="AG97" s="31" t="str">
        <f t="shared" si="25"/>
        <v>·</v>
      </c>
      <c r="AH97" s="31" t="str">
        <f t="shared" si="29"/>
        <v>·</v>
      </c>
      <c r="AI97" s="51"/>
      <c r="AJ97" s="31" t="str">
        <f t="shared" si="30"/>
        <v>·</v>
      </c>
      <c r="AK97" s="31" t="str">
        <f t="shared" si="17"/>
        <v>·</v>
      </c>
      <c r="AL97" s="356"/>
      <c r="AM97" s="357"/>
      <c r="AN97" s="357"/>
      <c r="AO97" s="51"/>
      <c r="AP97" s="357"/>
      <c r="AQ97" s="358"/>
      <c r="AR97" s="358"/>
      <c r="AS97" s="87"/>
      <c r="AT97" s="87"/>
      <c r="AU97" s="87"/>
      <c r="AV97" s="358"/>
      <c r="AW97" s="359"/>
      <c r="AX97" s="359"/>
      <c r="AY97" s="32">
        <v>0</v>
      </c>
      <c r="AZ97" s="32">
        <v>0</v>
      </c>
      <c r="BA97" s="33"/>
      <c r="BC97" s="56" t="e">
        <f t="shared" si="33"/>
        <v>#DIV/0!</v>
      </c>
      <c r="BD97" s="57" t="e">
        <f t="shared" si="31"/>
        <v>#DIV/0!</v>
      </c>
      <c r="BE97" s="57" t="e">
        <f t="shared" si="26"/>
        <v>#DIV/0!</v>
      </c>
      <c r="BF97" s="58"/>
      <c r="BH97" s="74"/>
      <c r="BI97" s="75"/>
      <c r="BJ97" s="87"/>
      <c r="BK97" s="87"/>
      <c r="BL97" s="87"/>
      <c r="BM97" s="76"/>
      <c r="BO97" s="74"/>
      <c r="BP97" s="75"/>
      <c r="BQ97" s="87"/>
      <c r="BR97" s="87"/>
      <c r="BS97" s="87"/>
      <c r="BT97" s="76"/>
      <c r="BV97" s="74"/>
      <c r="BW97" s="75"/>
      <c r="BX97" s="87"/>
      <c r="BY97" s="87"/>
      <c r="BZ97" s="87"/>
      <c r="CA97" s="76"/>
      <c r="CC97" s="74"/>
      <c r="CD97" s="75"/>
      <c r="CE97" s="87"/>
      <c r="CF97" s="87"/>
      <c r="CG97" s="87"/>
      <c r="CH97" s="76"/>
      <c r="CJ97" s="74"/>
      <c r="CK97" s="75"/>
      <c r="CL97" s="87"/>
      <c r="CM97" s="87"/>
      <c r="CN97" s="87"/>
      <c r="CO97" s="76"/>
      <c r="CQ97" s="74"/>
      <c r="CR97" s="75"/>
      <c r="CS97" s="87"/>
      <c r="CT97" s="87"/>
      <c r="CU97" s="87"/>
      <c r="CV97" s="76"/>
    </row>
    <row r="98" spans="1:100" outlineLevel="1">
      <c r="A98" s="13"/>
      <c r="B98" s="14" t="s">
        <v>468</v>
      </c>
      <c r="C98" s="15" t="s">
        <v>134</v>
      </c>
      <c r="D98" s="465">
        <f t="shared" si="35"/>
        <v>59948032</v>
      </c>
      <c r="E98" s="15">
        <v>18</v>
      </c>
      <c r="F98" s="15">
        <v>600</v>
      </c>
      <c r="G98" s="16">
        <v>10</v>
      </c>
      <c r="I98" s="30">
        <f t="shared" si="20"/>
        <v>9.4018585333333338</v>
      </c>
      <c r="J98" s="31">
        <f t="shared" si="21"/>
        <v>9.410008855670192</v>
      </c>
      <c r="K98" s="31">
        <f t="shared" si="22"/>
        <v>7.1160701322105115</v>
      </c>
      <c r="L98" s="51"/>
      <c r="M98" s="31">
        <f t="shared" si="28"/>
        <v>2.2868145529781527</v>
      </c>
      <c r="N98" s="31">
        <f t="shared" si="23"/>
        <v>11.286565635591943</v>
      </c>
      <c r="O98" s="356">
        <v>49980794</v>
      </c>
      <c r="P98" s="357">
        <v>564111512</v>
      </c>
      <c r="Q98" s="357">
        <v>426594400</v>
      </c>
      <c r="R98" s="51"/>
      <c r="S98" s="357">
        <v>137090032</v>
      </c>
      <c r="T98" s="358">
        <v>70.221642000000003</v>
      </c>
      <c r="U98" s="358">
        <v>65.473327999999995</v>
      </c>
      <c r="V98" s="87"/>
      <c r="W98" s="87"/>
      <c r="X98" s="87"/>
      <c r="Y98" s="358">
        <v>86.343192999999999</v>
      </c>
      <c r="Z98" s="359"/>
      <c r="AA98" s="359"/>
      <c r="AB98" s="32">
        <v>0</v>
      </c>
      <c r="AC98" s="32">
        <v>0</v>
      </c>
      <c r="AD98" s="33"/>
      <c r="AF98" s="30" t="str">
        <f t="shared" si="24"/>
        <v>·</v>
      </c>
      <c r="AG98" s="31" t="str">
        <f t="shared" si="25"/>
        <v>·</v>
      </c>
      <c r="AH98" s="31" t="str">
        <f t="shared" si="29"/>
        <v>·</v>
      </c>
      <c r="AI98" s="51"/>
      <c r="AJ98" s="31" t="str">
        <f t="shared" si="30"/>
        <v>·</v>
      </c>
      <c r="AK98" s="31" t="str">
        <f t="shared" si="17"/>
        <v>·</v>
      </c>
      <c r="AL98" s="356"/>
      <c r="AM98" s="357"/>
      <c r="AN98" s="357"/>
      <c r="AO98" s="51"/>
      <c r="AP98" s="357"/>
      <c r="AQ98" s="358"/>
      <c r="AR98" s="358"/>
      <c r="AS98" s="87"/>
      <c r="AT98" s="87"/>
      <c r="AU98" s="87"/>
      <c r="AV98" s="358"/>
      <c r="AW98" s="359"/>
      <c r="AX98" s="359"/>
      <c r="AY98" s="32">
        <v>0</v>
      </c>
      <c r="AZ98" s="32">
        <v>0</v>
      </c>
      <c r="BA98" s="33"/>
      <c r="BC98" s="56" t="e">
        <f t="shared" si="33"/>
        <v>#DIV/0!</v>
      </c>
      <c r="BD98" s="57" t="e">
        <f t="shared" si="31"/>
        <v>#DIV/0!</v>
      </c>
      <c r="BE98" s="57" t="e">
        <f t="shared" si="26"/>
        <v>#DIV/0!</v>
      </c>
      <c r="BF98" s="58"/>
      <c r="BH98" s="74"/>
      <c r="BI98" s="75"/>
      <c r="BJ98" s="87"/>
      <c r="BK98" s="87"/>
      <c r="BL98" s="87"/>
      <c r="BM98" s="76"/>
      <c r="BO98" s="74"/>
      <c r="BP98" s="75"/>
      <c r="BQ98" s="87"/>
      <c r="BR98" s="87"/>
      <c r="BS98" s="87"/>
      <c r="BT98" s="76"/>
      <c r="BV98" s="74"/>
      <c r="BW98" s="75"/>
      <c r="BX98" s="87"/>
      <c r="BY98" s="87"/>
      <c r="BZ98" s="87"/>
      <c r="CA98" s="76"/>
      <c r="CC98" s="74"/>
      <c r="CD98" s="75"/>
      <c r="CE98" s="87"/>
      <c r="CF98" s="87"/>
      <c r="CG98" s="87"/>
      <c r="CH98" s="76"/>
      <c r="CJ98" s="74"/>
      <c r="CK98" s="75"/>
      <c r="CL98" s="87"/>
      <c r="CM98" s="87"/>
      <c r="CN98" s="87"/>
      <c r="CO98" s="76"/>
      <c r="CQ98" s="74"/>
      <c r="CR98" s="75"/>
      <c r="CS98" s="87"/>
      <c r="CT98" s="87"/>
      <c r="CU98" s="87"/>
      <c r="CV98" s="76"/>
    </row>
    <row r="99" spans="1:100" outlineLevel="1">
      <c r="A99" s="13"/>
      <c r="B99" s="14" t="s">
        <v>468</v>
      </c>
      <c r="C99" s="15" t="s">
        <v>135</v>
      </c>
      <c r="D99" s="465">
        <f t="shared" si="35"/>
        <v>59948032</v>
      </c>
      <c r="E99" s="15">
        <v>18</v>
      </c>
      <c r="F99" s="15">
        <v>600</v>
      </c>
      <c r="G99" s="16">
        <v>10</v>
      </c>
      <c r="I99" s="30">
        <f t="shared" si="20"/>
        <v>15.423549333333334</v>
      </c>
      <c r="J99" s="31">
        <f t="shared" si="21"/>
        <v>15.436919764105017</v>
      </c>
      <c r="K99" s="31">
        <f t="shared" si="22"/>
        <v>12.207207202398237</v>
      </c>
      <c r="L99" s="51"/>
      <c r="M99" s="31">
        <f t="shared" si="28"/>
        <v>3.2224181104060263</v>
      </c>
      <c r="N99" s="31">
        <f t="shared" si="23"/>
        <v>17.963389711330198</v>
      </c>
      <c r="O99" s="356">
        <v>51516611</v>
      </c>
      <c r="P99" s="357">
        <v>925412960</v>
      </c>
      <c r="Q99" s="357">
        <v>731798048</v>
      </c>
      <c r="R99" s="51"/>
      <c r="S99" s="357">
        <v>193177624</v>
      </c>
      <c r="T99" s="358">
        <v>82.135459999999995</v>
      </c>
      <c r="U99" s="358">
        <v>77.501091000000002</v>
      </c>
      <c r="V99" s="87"/>
      <c r="W99" s="87"/>
      <c r="X99" s="87"/>
      <c r="Y99" s="358">
        <v>94.322226999999998</v>
      </c>
      <c r="Z99" s="359"/>
      <c r="AA99" s="359"/>
      <c r="AB99" s="32">
        <v>0</v>
      </c>
      <c r="AC99" s="32">
        <v>0</v>
      </c>
      <c r="AD99" s="33"/>
      <c r="AF99" s="30" t="str">
        <f t="shared" si="24"/>
        <v>·</v>
      </c>
      <c r="AG99" s="31" t="str">
        <f t="shared" si="25"/>
        <v>·</v>
      </c>
      <c r="AH99" s="31" t="str">
        <f t="shared" si="29"/>
        <v>·</v>
      </c>
      <c r="AI99" s="51"/>
      <c r="AJ99" s="31" t="str">
        <f t="shared" si="30"/>
        <v>·</v>
      </c>
      <c r="AK99" s="31" t="str">
        <f t="shared" si="17"/>
        <v>·</v>
      </c>
      <c r="AL99" s="356"/>
      <c r="AM99" s="357"/>
      <c r="AN99" s="357"/>
      <c r="AO99" s="51"/>
      <c r="AP99" s="357"/>
      <c r="AQ99" s="358"/>
      <c r="AR99" s="358"/>
      <c r="AS99" s="87"/>
      <c r="AT99" s="87"/>
      <c r="AU99" s="87"/>
      <c r="AV99" s="358"/>
      <c r="AW99" s="359"/>
      <c r="AX99" s="359"/>
      <c r="AY99" s="32">
        <v>0</v>
      </c>
      <c r="AZ99" s="32">
        <v>0</v>
      </c>
      <c r="BA99" s="33"/>
      <c r="BC99" s="56" t="e">
        <f t="shared" si="33"/>
        <v>#DIV/0!</v>
      </c>
      <c r="BD99" s="57" t="e">
        <f t="shared" si="31"/>
        <v>#DIV/0!</v>
      </c>
      <c r="BE99" s="57" t="e">
        <f t="shared" si="26"/>
        <v>#DIV/0!</v>
      </c>
      <c r="BF99" s="58"/>
      <c r="BH99" s="74"/>
      <c r="BI99" s="75"/>
      <c r="BJ99" s="87"/>
      <c r="BK99" s="87"/>
      <c r="BL99" s="87"/>
      <c r="BM99" s="76"/>
      <c r="BO99" s="74"/>
      <c r="BP99" s="75"/>
      <c r="BQ99" s="87"/>
      <c r="BR99" s="87"/>
      <c r="BS99" s="87"/>
      <c r="BT99" s="76"/>
      <c r="BV99" s="74"/>
      <c r="BW99" s="75"/>
      <c r="BX99" s="87"/>
      <c r="BY99" s="87"/>
      <c r="BZ99" s="87"/>
      <c r="CA99" s="76"/>
      <c r="CC99" s="74"/>
      <c r="CD99" s="75"/>
      <c r="CE99" s="87"/>
      <c r="CF99" s="87"/>
      <c r="CG99" s="87"/>
      <c r="CH99" s="76"/>
      <c r="CJ99" s="74"/>
      <c r="CK99" s="75"/>
      <c r="CL99" s="87"/>
      <c r="CM99" s="87"/>
      <c r="CN99" s="87"/>
      <c r="CO99" s="76"/>
      <c r="CQ99" s="74"/>
      <c r="CR99" s="75"/>
      <c r="CS99" s="87"/>
      <c r="CT99" s="87"/>
      <c r="CU99" s="87"/>
      <c r="CV99" s="76"/>
    </row>
    <row r="100" spans="1:100" ht="14.25" outlineLevel="1" thickBot="1">
      <c r="A100" s="215"/>
      <c r="B100" s="18" t="s">
        <v>812</v>
      </c>
      <c r="C100" s="19" t="s">
        <v>136</v>
      </c>
      <c r="D100" s="468">
        <f t="shared" si="35"/>
        <v>59948032</v>
      </c>
      <c r="E100" s="19">
        <v>18</v>
      </c>
      <c r="F100" s="189">
        <v>600</v>
      </c>
      <c r="G100" s="20">
        <v>10</v>
      </c>
      <c r="I100" s="34">
        <f t="shared" si="20"/>
        <v>18.982871066666668</v>
      </c>
      <c r="J100" s="35">
        <f t="shared" si="21"/>
        <v>18.999327017107085</v>
      </c>
      <c r="K100" s="35">
        <f t="shared" si="22"/>
        <v>14.745684128546538</v>
      </c>
      <c r="L100" s="52"/>
      <c r="M100" s="35">
        <f t="shared" si="28"/>
        <v>4.2462845152281226</v>
      </c>
      <c r="N100" s="35">
        <f t="shared" si="23"/>
        <v>22.044129396035952</v>
      </c>
      <c r="O100" s="360">
        <v>51667827</v>
      </c>
      <c r="P100" s="361">
        <v>1138972264</v>
      </c>
      <c r="Q100" s="361">
        <v>883974744</v>
      </c>
      <c r="R100" s="52"/>
      <c r="S100" s="361">
        <v>254556400</v>
      </c>
      <c r="T100" s="362">
        <v>87.779921999999999</v>
      </c>
      <c r="U100" s="362">
        <v>83.522223999999994</v>
      </c>
      <c r="V100" s="88"/>
      <c r="W100" s="88"/>
      <c r="X100" s="88"/>
      <c r="Y100" s="362">
        <v>99.025360000000006</v>
      </c>
      <c r="Z100" s="363"/>
      <c r="AA100" s="363"/>
      <c r="AB100" s="36">
        <v>0</v>
      </c>
      <c r="AC100" s="36">
        <v>0</v>
      </c>
      <c r="AD100" s="37"/>
      <c r="AF100" s="34" t="str">
        <f t="shared" si="24"/>
        <v>·</v>
      </c>
      <c r="AG100" s="35" t="str">
        <f t="shared" si="25"/>
        <v>·</v>
      </c>
      <c r="AH100" s="35" t="str">
        <f t="shared" si="29"/>
        <v>·</v>
      </c>
      <c r="AI100" s="52"/>
      <c r="AJ100" s="35" t="str">
        <f t="shared" si="30"/>
        <v>·</v>
      </c>
      <c r="AK100" s="35" t="str">
        <f t="shared" si="17"/>
        <v>·</v>
      </c>
      <c r="AL100" s="360"/>
      <c r="AM100" s="361"/>
      <c r="AN100" s="361"/>
      <c r="AO100" s="52"/>
      <c r="AP100" s="361"/>
      <c r="AQ100" s="362"/>
      <c r="AR100" s="362"/>
      <c r="AS100" s="88"/>
      <c r="AT100" s="88"/>
      <c r="AU100" s="88"/>
      <c r="AV100" s="362"/>
      <c r="AW100" s="363"/>
      <c r="AX100" s="363"/>
      <c r="AY100" s="36">
        <v>0</v>
      </c>
      <c r="AZ100" s="36">
        <v>0</v>
      </c>
      <c r="BA100" s="37"/>
      <c r="BC100" s="59" t="e">
        <f t="shared" si="33"/>
        <v>#DIV/0!</v>
      </c>
      <c r="BD100" s="60" t="e">
        <f t="shared" si="33"/>
        <v>#DIV/0!</v>
      </c>
      <c r="BE100" s="60" t="e">
        <f t="shared" si="26"/>
        <v>#DIV/0!</v>
      </c>
      <c r="BF100" s="61"/>
      <c r="BH100" s="77"/>
      <c r="BI100" s="78"/>
      <c r="BJ100" s="88"/>
      <c r="BK100" s="88"/>
      <c r="BL100" s="88"/>
      <c r="BM100" s="79"/>
      <c r="BO100" s="77"/>
      <c r="BP100" s="78"/>
      <c r="BQ100" s="88"/>
      <c r="BR100" s="88"/>
      <c r="BS100" s="88"/>
      <c r="BT100" s="79"/>
      <c r="BV100" s="77"/>
      <c r="BW100" s="78"/>
      <c r="BX100" s="88"/>
      <c r="BY100" s="88"/>
      <c r="BZ100" s="88"/>
      <c r="CA100" s="79"/>
      <c r="CC100" s="77"/>
      <c r="CD100" s="78"/>
      <c r="CE100" s="88"/>
      <c r="CF100" s="88"/>
      <c r="CG100" s="88"/>
      <c r="CH100" s="79"/>
      <c r="CJ100" s="77"/>
      <c r="CK100" s="78"/>
      <c r="CL100" s="88"/>
      <c r="CM100" s="88"/>
      <c r="CN100" s="88"/>
      <c r="CO100" s="79"/>
      <c r="CQ100" s="77"/>
      <c r="CR100" s="78"/>
      <c r="CS100" s="88"/>
      <c r="CT100" s="88"/>
      <c r="CU100" s="88"/>
      <c r="CV100" s="79"/>
    </row>
    <row r="101" spans="1:100">
      <c r="A101" s="13"/>
      <c r="B101" s="24" t="s">
        <v>814</v>
      </c>
      <c r="C101" s="25" t="s">
        <v>131</v>
      </c>
      <c r="D101" s="466">
        <v>40386600</v>
      </c>
      <c r="E101" s="25">
        <v>20</v>
      </c>
      <c r="F101" s="25">
        <v>387</v>
      </c>
      <c r="G101" s="26">
        <v>20</v>
      </c>
      <c r="I101" s="42">
        <f t="shared" si="20"/>
        <v>1.4018344186046512</v>
      </c>
      <c r="J101" s="43">
        <f t="shared" si="21"/>
        <v>0.6716459419708517</v>
      </c>
      <c r="K101" s="43">
        <f t="shared" si="22"/>
        <v>0.61812442740909113</v>
      </c>
      <c r="L101" s="55"/>
      <c r="M101" s="43">
        <f t="shared" si="28"/>
        <v>4.6889017644466235E-2</v>
      </c>
      <c r="N101" s="43">
        <f t="shared" si="23"/>
        <v>4.9681360114317235</v>
      </c>
      <c r="O101" s="364">
        <v>5459894</v>
      </c>
      <c r="P101" s="365">
        <v>27125496</v>
      </c>
      <c r="Q101" s="365">
        <v>24963944</v>
      </c>
      <c r="R101" s="55"/>
      <c r="S101" s="365">
        <v>1893688</v>
      </c>
      <c r="T101" s="366">
        <v>46.136325999999997</v>
      </c>
      <c r="U101" s="366">
        <v>41.497287999999998</v>
      </c>
      <c r="V101" s="92"/>
      <c r="W101" s="92"/>
      <c r="X101" s="92"/>
      <c r="Y101" s="366">
        <v>70.723151999999999</v>
      </c>
      <c r="Z101" s="367"/>
      <c r="AA101" s="367"/>
      <c r="AB101" s="44">
        <v>0</v>
      </c>
      <c r="AC101" s="44">
        <v>0</v>
      </c>
      <c r="AD101" s="45"/>
      <c r="AF101" s="42" t="str">
        <f t="shared" si="24"/>
        <v>·</v>
      </c>
      <c r="AG101" s="43" t="str">
        <f t="shared" si="25"/>
        <v>·</v>
      </c>
      <c r="AH101" s="43" t="str">
        <f t="shared" si="29"/>
        <v>·</v>
      </c>
      <c r="AI101" s="55"/>
      <c r="AJ101" s="43" t="str">
        <f t="shared" si="30"/>
        <v>·</v>
      </c>
      <c r="AK101" s="43" t="str">
        <f t="shared" si="17"/>
        <v>·</v>
      </c>
      <c r="AL101" s="364"/>
      <c r="AM101" s="365"/>
      <c r="AN101" s="365"/>
      <c r="AO101" s="55"/>
      <c r="AP101" s="365"/>
      <c r="AQ101" s="366"/>
      <c r="AR101" s="366"/>
      <c r="AS101" s="92"/>
      <c r="AT101" s="92"/>
      <c r="AU101" s="92"/>
      <c r="AV101" s="366"/>
      <c r="AW101" s="367"/>
      <c r="AX101" s="367"/>
      <c r="AY101" s="44">
        <v>0</v>
      </c>
      <c r="AZ101" s="44">
        <v>0</v>
      </c>
      <c r="BA101" s="45"/>
      <c r="BC101" s="65" t="e">
        <f t="shared" si="33"/>
        <v>#DIV/0!</v>
      </c>
      <c r="BD101" s="66" t="e">
        <f t="shared" si="33"/>
        <v>#DIV/0!</v>
      </c>
      <c r="BE101" s="66" t="e">
        <f t="shared" si="26"/>
        <v>#DIV/0!</v>
      </c>
      <c r="BF101" s="67" t="e">
        <f t="array" ref="BF101">AVERAGE(AN101:AN106/AM101:AM106) - AVERAGE(Q101:Q106/P101:P106)</f>
        <v>#DIV/0!</v>
      </c>
      <c r="BH101" s="83" t="str">
        <f>IF( OR(ISBLANK($Q101:$Q106),ISBLANK($AN101:$AN106), ISBLANK($T101:$T106),ISBLANK($AQ101:$AQ106)), "·", bdRateHermite( $Q101:$Q106,$T101:$T106, $AN101:$AN106,$AQ101:$AQ106))</f>
        <v>·</v>
      </c>
      <c r="BI101" s="84" t="str">
        <f>IF(OR(ISBLANK($Q101:$Q106),ISBLANK($AN101:$AN106),ISBLANK($U101:$U106),ISBLANK($AR101:$AR106)),"·",bdRateHermite($Q101:$Q106,$U101:$U106,$AN101:$AN106,$AR101:$AR106))</f>
        <v>·</v>
      </c>
      <c r="BJ101" s="92"/>
      <c r="BK101" s="92"/>
      <c r="BL101" s="92"/>
      <c r="BM101" s="184" t="str">
        <f>IF( OR(ISBLANK($S101:$S106),ISBLANK($AP101:$AP106), ISBLANK($Y101:$Y106),ISBLANK($AV101:$AV106)), "·", bdRateHermite($S101:$S106,$Y101:$Y106, $AP101:$AP106,$AV101:$AV106))</f>
        <v>·</v>
      </c>
      <c r="BO101" s="83" t="str">
        <f>IF( OR(ISBLANK($P101:$P106),ISBLANK($AM101:$AM106), ISBLANK($T101:$T106),ISBLANK($AQ101:$AQ106)), "·", bdRateHermite($P101:$P106,$T101:$T106, $AM101:$AM106,$AQ101:$AQ106))</f>
        <v>·</v>
      </c>
      <c r="BP101" s="84" t="str">
        <f>IF( OR(ISBLANK($P101:$P106),ISBLANK($AM101:$AM106), ISBLANK($U101:$U106),ISBLANK($AR101:$AR106)), "·", bdRateHermite( $P101:$P106,$U101:$U106, $AM101:$AM106,$AR101:$AR106))</f>
        <v>·</v>
      </c>
      <c r="BQ101" s="92"/>
      <c r="BR101" s="87"/>
      <c r="BS101" s="92"/>
      <c r="BT101" s="85" t="str">
        <f>IF( OR(ISBLANK($P101:$P106),ISBLANK($AM101:$AM106), ISBLANK($Y101:$Y106),ISBLANK($AV101:$AV106)), "·", bdRateHermite( $P101:$P106,$Y101:$Y106, $AM101:$AM106,$AV101:$AV106))</f>
        <v>·</v>
      </c>
      <c r="BV101" s="83" t="str">
        <f>IF( OR(ISBLANK($Q101:$Q105),ISBLANK($AN101:$AN105), ISBLANK($T101:$T105),ISBLANK($AQ101:$AQ105)), "·", bdRateHermite( $Q102:$Q106,$T102:$T106, $AN102:$AN106,$AQ102:$AQ106))</f>
        <v>·</v>
      </c>
      <c r="BW101" s="84" t="str">
        <f>IF(OR(ISBLANK($Q101:$Q106),ISBLANK($AN101:$AN106),ISBLANK($U101:$U106),ISBLANK($AR101:$AR106)),"·",bdRateHermite($Q102:$Q106,$U102:$U106,$AN102:$AN106,$AR102:$AR106))</f>
        <v>·</v>
      </c>
      <c r="BX101" s="92"/>
      <c r="BY101" s="92"/>
      <c r="BZ101" s="92"/>
      <c r="CA101" s="184" t="str">
        <f>IF( OR(ISBLANK($S101:$S106),ISBLANK($AP101:$AP106), ISBLANK($Y101:$Y106),ISBLANK($AV101:$AV106)), "·", bdRateHermite($S102:$S106,$Y102:$Y106, $AP102:$AP106,$AV102:$AV106))</f>
        <v>·</v>
      </c>
      <c r="CC101" s="83" t="str">
        <f>IF( OR(ISBLANK($P101:$P106),ISBLANK($AM101:$AM106), ISBLANK($T101:$T106),ISBLANK($AQ101:$AQ106)), "·", bdRateHermite($P102:$P106,$T102:$T106, $AM102:$AM106,$AQ102:$AQ106))</f>
        <v>·</v>
      </c>
      <c r="CD101" s="84" t="str">
        <f>IF( OR(ISBLANK($P101:$P106),ISBLANK($AM101:$AM106), ISBLANK($U101:$U106),ISBLANK($AR101:$AR106)), "·", bdRateHermite( $P102:$P106,$U102:$U106, $AM102:$AM106,$AR102:$AR106))</f>
        <v>·</v>
      </c>
      <c r="CE101" s="92"/>
      <c r="CF101" s="92"/>
      <c r="CG101" s="92"/>
      <c r="CH101" s="85" t="str">
        <f>IF( OR(ISBLANK($P101:$P106),ISBLANK($AM101:$AM106), ISBLANK($Y101:$Y106),ISBLANK($AV101:$AV106)), "·", bdRateHermite( $P102:$P106,$Y102:$Y106, $AM102:$AM106,$AV102:$AV106))</f>
        <v>·</v>
      </c>
      <c r="CJ101" s="83" t="str">
        <f>IF( OR(ISBLANK($Q101:$Q105),ISBLANK($AN101:$AN105), ISBLANK($T101:$T105),ISBLANK($AQ101:$AQ105)), "·", bdRateHermite( $Q101:$Q105,$T101:$T105, $AN101:$AN105,$AQ101:$AQ105))</f>
        <v>·</v>
      </c>
      <c r="CK101" s="84" t="str">
        <f>IF(OR(ISBLANK($Q101:$Q105),ISBLANK($AN101:$AN105),ISBLANK($U101:$U105),ISBLANK($AR101:$AR105)),"·",bdRateHermite($Q101:$Q105,$U101:$U105,$AN101:$AN105,$AR101:$AR105))</f>
        <v>·</v>
      </c>
      <c r="CL101" s="92"/>
      <c r="CM101" s="92"/>
      <c r="CN101" s="92"/>
      <c r="CO101" s="184" t="str">
        <f>IF( OR(ISBLANK($S101:$S105),ISBLANK($AP101:$AP105), ISBLANK($Y101:$Y105),ISBLANK($AV101:$AV105)), "·", bdRateHermite($S101:$S105,$Y101:$Y105, $AP101:$AP105,$AV101:$AV105))</f>
        <v>·</v>
      </c>
      <c r="CQ101" s="83" t="str">
        <f>IF( OR(ISBLANK($P101:$P105),ISBLANK($AM101:$AM105), ISBLANK($T101:$T105),ISBLANK($AQ101:$AQ105)), "·", bdRateHermite($P101:$P105,$T101:$T105, $AM101:$AM105,$AQ101:$AQ105))</f>
        <v>·</v>
      </c>
      <c r="CR101" s="84" t="str">
        <f>IF( OR(ISBLANK($P101:$P105),ISBLANK($AM101:$AM105), ISBLANK($U101:$U105),ISBLANK($AR101:$AR105)), "·", bdRateHermite( $P101:$P105,$U101:$U105, $AM101:$AM105,$AR101:$AR105))</f>
        <v>·</v>
      </c>
      <c r="CS101" s="92"/>
      <c r="CT101" s="92"/>
      <c r="CU101" s="92"/>
      <c r="CV101" s="85" t="str">
        <f>IF( OR(ISBLANK($P101:$P105),ISBLANK($AM101:$AM105), ISBLANK($Y101:$Y105),ISBLANK($AV101:$AV105)), "·", bdRateHermite( $P101:$P105,$Y101:$Y105, $AM101:$AM105,$AV101:$AV105))</f>
        <v>·</v>
      </c>
    </row>
    <row r="102" spans="1:100" outlineLevel="1">
      <c r="A102" s="13"/>
      <c r="B102" s="24" t="s">
        <v>813</v>
      </c>
      <c r="C102" s="15" t="s">
        <v>132</v>
      </c>
      <c r="D102" s="464">
        <v>40386600</v>
      </c>
      <c r="E102" s="15">
        <v>20</v>
      </c>
      <c r="F102" s="25">
        <v>387</v>
      </c>
      <c r="G102" s="26">
        <v>20</v>
      </c>
      <c r="I102" s="30">
        <f t="shared" si="20"/>
        <v>3.1631185529715764</v>
      </c>
      <c r="J102" s="31">
        <f t="shared" si="21"/>
        <v>1.5155111844027473</v>
      </c>
      <c r="K102" s="31">
        <f t="shared" si="22"/>
        <v>1.2940464411463208</v>
      </c>
      <c r="L102" s="51"/>
      <c r="M102" s="31">
        <f t="shared" si="28"/>
        <v>0.21474865425660986</v>
      </c>
      <c r="N102" s="31">
        <f t="shared" si="23"/>
        <v>6.2388201126866916</v>
      </c>
      <c r="O102" s="356">
        <v>9810564</v>
      </c>
      <c r="P102" s="357">
        <v>61206344</v>
      </c>
      <c r="Q102" s="357">
        <v>52262136</v>
      </c>
      <c r="R102" s="51"/>
      <c r="S102" s="357">
        <v>8672968</v>
      </c>
      <c r="T102" s="358">
        <v>52.177750000000003</v>
      </c>
      <c r="U102" s="358">
        <v>47.516537</v>
      </c>
      <c r="V102" s="87"/>
      <c r="W102" s="87"/>
      <c r="X102" s="87"/>
      <c r="Y102" s="358">
        <v>74.520042000000004</v>
      </c>
      <c r="Z102" s="359"/>
      <c r="AA102" s="359"/>
      <c r="AB102" s="32">
        <v>0</v>
      </c>
      <c r="AC102" s="32">
        <v>0</v>
      </c>
      <c r="AD102" s="33"/>
      <c r="AF102" s="30" t="str">
        <f t="shared" si="24"/>
        <v>·</v>
      </c>
      <c r="AG102" s="31" t="str">
        <f t="shared" si="25"/>
        <v>·</v>
      </c>
      <c r="AH102" s="31" t="str">
        <f t="shared" si="29"/>
        <v>·</v>
      </c>
      <c r="AI102" s="51"/>
      <c r="AJ102" s="31" t="str">
        <f t="shared" si="30"/>
        <v>·</v>
      </c>
      <c r="AK102" s="31" t="str">
        <f t="shared" si="17"/>
        <v>·</v>
      </c>
      <c r="AL102" s="356"/>
      <c r="AM102" s="357"/>
      <c r="AN102" s="357"/>
      <c r="AO102" s="51"/>
      <c r="AP102" s="357"/>
      <c r="AQ102" s="358"/>
      <c r="AR102" s="358"/>
      <c r="AS102" s="87"/>
      <c r="AT102" s="87"/>
      <c r="AU102" s="87"/>
      <c r="AV102" s="358"/>
      <c r="AW102" s="359"/>
      <c r="AX102" s="359"/>
      <c r="AY102" s="32">
        <v>0</v>
      </c>
      <c r="AZ102" s="32">
        <v>0</v>
      </c>
      <c r="BA102" s="33"/>
      <c r="BC102" s="56" t="e">
        <f t="shared" si="33"/>
        <v>#DIV/0!</v>
      </c>
      <c r="BD102" s="57" t="e">
        <f t="shared" si="33"/>
        <v>#DIV/0!</v>
      </c>
      <c r="BE102" s="57" t="e">
        <f t="shared" si="26"/>
        <v>#DIV/0!</v>
      </c>
      <c r="BF102" s="58"/>
      <c r="BH102" s="74"/>
      <c r="BI102" s="75"/>
      <c r="BJ102" s="87"/>
      <c r="BK102" s="87"/>
      <c r="BL102" s="87"/>
      <c r="BM102" s="76"/>
      <c r="BO102" s="74"/>
      <c r="BP102" s="75"/>
      <c r="BQ102" s="87"/>
      <c r="BR102" s="87"/>
      <c r="BS102" s="87"/>
      <c r="BT102" s="76"/>
      <c r="BV102" s="74"/>
      <c r="BW102" s="75"/>
      <c r="BX102" s="87"/>
      <c r="BY102" s="87"/>
      <c r="BZ102" s="87"/>
      <c r="CA102" s="76"/>
      <c r="CC102" s="74"/>
      <c r="CD102" s="75"/>
      <c r="CE102" s="87"/>
      <c r="CF102" s="87"/>
      <c r="CG102" s="87"/>
      <c r="CH102" s="76"/>
      <c r="CJ102" s="74"/>
      <c r="CK102" s="75"/>
      <c r="CL102" s="87"/>
      <c r="CM102" s="87"/>
      <c r="CN102" s="87"/>
      <c r="CO102" s="76"/>
      <c r="CQ102" s="74"/>
      <c r="CR102" s="75"/>
      <c r="CS102" s="87"/>
      <c r="CT102" s="87"/>
      <c r="CU102" s="87"/>
      <c r="CV102" s="76"/>
    </row>
    <row r="103" spans="1:100" outlineLevel="1">
      <c r="A103" s="13"/>
      <c r="B103" s="24" t="s">
        <v>813</v>
      </c>
      <c r="C103" s="15" t="s">
        <v>133</v>
      </c>
      <c r="D103" s="464">
        <v>40386600</v>
      </c>
      <c r="E103" s="15">
        <v>20</v>
      </c>
      <c r="F103" s="25">
        <v>387</v>
      </c>
      <c r="G103" s="26">
        <v>20</v>
      </c>
      <c r="I103" s="30">
        <f t="shared" si="20"/>
        <v>9.5064256330749348</v>
      </c>
      <c r="J103" s="31">
        <f t="shared" si="21"/>
        <v>4.554712107481194</v>
      </c>
      <c r="K103" s="31">
        <f t="shared" si="22"/>
        <v>3.8812402133380872</v>
      </c>
      <c r="L103" s="51"/>
      <c r="M103" s="31">
        <f t="shared" si="28"/>
        <v>0.66664051938019042</v>
      </c>
      <c r="N103" s="31">
        <f t="shared" si="23"/>
        <v>9.6239240471626815</v>
      </c>
      <c r="O103" s="356">
        <v>19113756</v>
      </c>
      <c r="P103" s="357">
        <v>183949336</v>
      </c>
      <c r="Q103" s="357">
        <v>156750096</v>
      </c>
      <c r="R103" s="51"/>
      <c r="S103" s="357">
        <v>26923344</v>
      </c>
      <c r="T103" s="358">
        <v>64.208884999999995</v>
      </c>
      <c r="U103" s="358">
        <v>59.524718999999997</v>
      </c>
      <c r="V103" s="87"/>
      <c r="W103" s="87"/>
      <c r="X103" s="87"/>
      <c r="Y103" s="358">
        <v>81.317695999999998</v>
      </c>
      <c r="Z103" s="359"/>
      <c r="AA103" s="359"/>
      <c r="AB103" s="32">
        <v>0</v>
      </c>
      <c r="AC103" s="32">
        <v>0</v>
      </c>
      <c r="AD103" s="33"/>
      <c r="AF103" s="30" t="str">
        <f t="shared" si="24"/>
        <v>·</v>
      </c>
      <c r="AG103" s="31" t="str">
        <f t="shared" si="25"/>
        <v>·</v>
      </c>
      <c r="AH103" s="31" t="str">
        <f t="shared" si="29"/>
        <v>·</v>
      </c>
      <c r="AI103" s="51"/>
      <c r="AJ103" s="31" t="str">
        <f t="shared" si="30"/>
        <v>·</v>
      </c>
      <c r="AK103" s="31" t="str">
        <f t="shared" si="17"/>
        <v>·</v>
      </c>
      <c r="AL103" s="356"/>
      <c r="AM103" s="357"/>
      <c r="AN103" s="357"/>
      <c r="AO103" s="51"/>
      <c r="AP103" s="357"/>
      <c r="AQ103" s="358"/>
      <c r="AR103" s="358"/>
      <c r="AS103" s="87"/>
      <c r="AT103" s="87"/>
      <c r="AU103" s="87"/>
      <c r="AV103" s="358"/>
      <c r="AW103" s="359"/>
      <c r="AX103" s="359"/>
      <c r="AY103" s="32">
        <v>0</v>
      </c>
      <c r="AZ103" s="32">
        <v>0</v>
      </c>
      <c r="BA103" s="33"/>
      <c r="BC103" s="56" t="e">
        <f t="shared" si="33"/>
        <v>#DIV/0!</v>
      </c>
      <c r="BD103" s="57" t="e">
        <f t="shared" si="33"/>
        <v>#DIV/0!</v>
      </c>
      <c r="BE103" s="57" t="e">
        <f t="shared" si="26"/>
        <v>#DIV/0!</v>
      </c>
      <c r="BF103" s="58"/>
      <c r="BH103" s="74"/>
      <c r="BI103" s="75"/>
      <c r="BJ103" s="87"/>
      <c r="BK103" s="87"/>
      <c r="BL103" s="87"/>
      <c r="BM103" s="76"/>
      <c r="BO103" s="74"/>
      <c r="BP103" s="75"/>
      <c r="BQ103" s="87"/>
      <c r="BR103" s="87"/>
      <c r="BS103" s="87"/>
      <c r="BT103" s="76"/>
      <c r="BV103" s="74"/>
      <c r="BW103" s="75"/>
      <c r="BX103" s="87"/>
      <c r="BY103" s="87"/>
      <c r="BZ103" s="87"/>
      <c r="CA103" s="76"/>
      <c r="CC103" s="74"/>
      <c r="CD103" s="75"/>
      <c r="CE103" s="87"/>
      <c r="CF103" s="87"/>
      <c r="CG103" s="87"/>
      <c r="CH103" s="76"/>
      <c r="CJ103" s="74"/>
      <c r="CK103" s="75"/>
      <c r="CL103" s="87"/>
      <c r="CM103" s="87"/>
      <c r="CN103" s="87"/>
      <c r="CO103" s="76"/>
      <c r="CQ103" s="74"/>
      <c r="CR103" s="75"/>
      <c r="CS103" s="87"/>
      <c r="CT103" s="87"/>
      <c r="CU103" s="87"/>
      <c r="CV103" s="76"/>
    </row>
    <row r="104" spans="1:100" outlineLevel="1">
      <c r="A104" s="13"/>
      <c r="B104" s="24" t="s">
        <v>813</v>
      </c>
      <c r="C104" s="15" t="s">
        <v>134</v>
      </c>
      <c r="D104" s="464">
        <v>40386600</v>
      </c>
      <c r="E104" s="15">
        <v>20</v>
      </c>
      <c r="F104" s="25">
        <v>387</v>
      </c>
      <c r="G104" s="26">
        <v>20</v>
      </c>
      <c r="I104" s="30">
        <f t="shared" si="20"/>
        <v>14.067842067183463</v>
      </c>
      <c r="J104" s="31">
        <f t="shared" si="21"/>
        <v>6.7401748104569341</v>
      </c>
      <c r="K104" s="31">
        <f t="shared" si="22"/>
        <v>5.5887614208673178</v>
      </c>
      <c r="L104" s="51"/>
      <c r="M104" s="31">
        <f t="shared" si="28"/>
        <v>1.1445398226144314</v>
      </c>
      <c r="N104" s="31">
        <f t="shared" si="23"/>
        <v>12.303511520849385</v>
      </c>
      <c r="O104" s="356">
        <v>22124801</v>
      </c>
      <c r="P104" s="357">
        <v>272212744</v>
      </c>
      <c r="Q104" s="357">
        <v>225711072</v>
      </c>
      <c r="R104" s="51"/>
      <c r="S104" s="357">
        <v>46224072</v>
      </c>
      <c r="T104" s="358">
        <v>70.224318999999994</v>
      </c>
      <c r="U104" s="358">
        <v>65.484275999999994</v>
      </c>
      <c r="V104" s="87"/>
      <c r="W104" s="87"/>
      <c r="X104" s="87"/>
      <c r="Y104" s="358">
        <v>87.059882999999999</v>
      </c>
      <c r="Z104" s="359"/>
      <c r="AA104" s="359"/>
      <c r="AB104" s="32">
        <v>0</v>
      </c>
      <c r="AC104" s="32">
        <v>0</v>
      </c>
      <c r="AD104" s="33"/>
      <c r="AF104" s="30" t="str">
        <f t="shared" si="24"/>
        <v>·</v>
      </c>
      <c r="AG104" s="31" t="str">
        <f t="shared" si="25"/>
        <v>·</v>
      </c>
      <c r="AH104" s="31" t="str">
        <f t="shared" si="29"/>
        <v>·</v>
      </c>
      <c r="AI104" s="51"/>
      <c r="AJ104" s="31" t="str">
        <f t="shared" si="30"/>
        <v>·</v>
      </c>
      <c r="AK104" s="31" t="str">
        <f t="shared" si="17"/>
        <v>·</v>
      </c>
      <c r="AL104" s="356"/>
      <c r="AM104" s="357"/>
      <c r="AN104" s="357"/>
      <c r="AO104" s="51"/>
      <c r="AP104" s="357"/>
      <c r="AQ104" s="358"/>
      <c r="AR104" s="358"/>
      <c r="AS104" s="87"/>
      <c r="AT104" s="87"/>
      <c r="AU104" s="87"/>
      <c r="AV104" s="358"/>
      <c r="AW104" s="359"/>
      <c r="AX104" s="359"/>
      <c r="AY104" s="32">
        <v>0</v>
      </c>
      <c r="AZ104" s="32">
        <v>0</v>
      </c>
      <c r="BA104" s="33"/>
      <c r="BC104" s="56" t="e">
        <f t="shared" si="33"/>
        <v>#DIV/0!</v>
      </c>
      <c r="BD104" s="57" t="e">
        <f t="shared" si="33"/>
        <v>#DIV/0!</v>
      </c>
      <c r="BE104" s="57" t="e">
        <f t="shared" si="26"/>
        <v>#DIV/0!</v>
      </c>
      <c r="BF104" s="58"/>
      <c r="BH104" s="74"/>
      <c r="BI104" s="75"/>
      <c r="BJ104" s="87"/>
      <c r="BK104" s="87"/>
      <c r="BL104" s="87"/>
      <c r="BM104" s="76"/>
      <c r="BO104" s="74"/>
      <c r="BP104" s="75"/>
      <c r="BQ104" s="87"/>
      <c r="BR104" s="87"/>
      <c r="BS104" s="87"/>
      <c r="BT104" s="76"/>
      <c r="BV104" s="74"/>
      <c r="BW104" s="75"/>
      <c r="BX104" s="87"/>
      <c r="BY104" s="87"/>
      <c r="BZ104" s="87"/>
      <c r="CA104" s="76"/>
      <c r="CC104" s="74"/>
      <c r="CD104" s="75"/>
      <c r="CE104" s="87"/>
      <c r="CF104" s="87"/>
      <c r="CG104" s="87"/>
      <c r="CH104" s="76"/>
      <c r="CJ104" s="74"/>
      <c r="CK104" s="75"/>
      <c r="CL104" s="87"/>
      <c r="CM104" s="87"/>
      <c r="CN104" s="87"/>
      <c r="CO104" s="76"/>
      <c r="CQ104" s="74"/>
      <c r="CR104" s="75"/>
      <c r="CS104" s="87"/>
      <c r="CT104" s="87"/>
      <c r="CU104" s="87"/>
      <c r="CV104" s="76"/>
    </row>
    <row r="105" spans="1:100" outlineLevel="1">
      <c r="A105" s="13"/>
      <c r="B105" s="24" t="s">
        <v>813</v>
      </c>
      <c r="C105" s="15" t="s">
        <v>135</v>
      </c>
      <c r="D105" s="464">
        <v>40386600</v>
      </c>
      <c r="E105" s="15">
        <v>20</v>
      </c>
      <c r="F105" s="25">
        <v>387</v>
      </c>
      <c r="G105" s="26">
        <v>20</v>
      </c>
      <c r="I105" s="30">
        <f t="shared" si="20"/>
        <v>23.039153281653746</v>
      </c>
      <c r="J105" s="31">
        <f t="shared" si="21"/>
        <v>11.038503265934741</v>
      </c>
      <c r="K105" s="31">
        <f t="shared" si="22"/>
        <v>9.2538243872967758</v>
      </c>
      <c r="L105" s="51"/>
      <c r="M105" s="31">
        <f t="shared" si="28"/>
        <v>1.7776973550633131</v>
      </c>
      <c r="N105" s="31">
        <f t="shared" si="23"/>
        <v>18.134871920892305</v>
      </c>
      <c r="O105" s="356">
        <v>24582893</v>
      </c>
      <c r="P105" s="357">
        <v>445807616</v>
      </c>
      <c r="Q105" s="357">
        <v>373730504</v>
      </c>
      <c r="R105" s="51"/>
      <c r="S105" s="357">
        <v>71795152</v>
      </c>
      <c r="T105" s="358">
        <v>82.139053000000004</v>
      </c>
      <c r="U105" s="358">
        <v>77.501518000000004</v>
      </c>
      <c r="V105" s="87"/>
      <c r="W105" s="87"/>
      <c r="X105" s="87"/>
      <c r="Y105" s="358">
        <v>94.606246999999996</v>
      </c>
      <c r="Z105" s="359"/>
      <c r="AA105" s="359"/>
      <c r="AB105" s="32">
        <v>0</v>
      </c>
      <c r="AC105" s="32">
        <v>0</v>
      </c>
      <c r="AD105" s="33"/>
      <c r="AF105" s="30" t="str">
        <f t="shared" si="24"/>
        <v>·</v>
      </c>
      <c r="AG105" s="31" t="str">
        <f t="shared" si="25"/>
        <v>·</v>
      </c>
      <c r="AH105" s="31" t="str">
        <f t="shared" si="29"/>
        <v>·</v>
      </c>
      <c r="AI105" s="51"/>
      <c r="AJ105" s="31" t="str">
        <f t="shared" si="30"/>
        <v>·</v>
      </c>
      <c r="AK105" s="31" t="str">
        <f t="shared" si="17"/>
        <v>·</v>
      </c>
      <c r="AL105" s="356"/>
      <c r="AM105" s="357"/>
      <c r="AN105" s="357"/>
      <c r="AO105" s="51"/>
      <c r="AP105" s="357"/>
      <c r="AQ105" s="358"/>
      <c r="AR105" s="358"/>
      <c r="AS105" s="87"/>
      <c r="AT105" s="87"/>
      <c r="AU105" s="87"/>
      <c r="AV105" s="358"/>
      <c r="AW105" s="359"/>
      <c r="AX105" s="359"/>
      <c r="AY105" s="32">
        <v>0</v>
      </c>
      <c r="AZ105" s="32">
        <v>0</v>
      </c>
      <c r="BA105" s="33"/>
      <c r="BC105" s="56" t="e">
        <f t="shared" si="33"/>
        <v>#DIV/0!</v>
      </c>
      <c r="BD105" s="57" t="e">
        <f t="shared" si="33"/>
        <v>#DIV/0!</v>
      </c>
      <c r="BE105" s="57" t="e">
        <f t="shared" si="26"/>
        <v>#DIV/0!</v>
      </c>
      <c r="BF105" s="58"/>
      <c r="BH105" s="74"/>
      <c r="BI105" s="75"/>
      <c r="BJ105" s="87"/>
      <c r="BK105" s="87"/>
      <c r="BL105" s="87"/>
      <c r="BM105" s="76"/>
      <c r="BO105" s="74"/>
      <c r="BP105" s="75"/>
      <c r="BQ105" s="87"/>
      <c r="BR105" s="87"/>
      <c r="BS105" s="87"/>
      <c r="BT105" s="76"/>
      <c r="BV105" s="74"/>
      <c r="BW105" s="75"/>
      <c r="BX105" s="87"/>
      <c r="BY105" s="87"/>
      <c r="BZ105" s="87"/>
      <c r="CA105" s="76"/>
      <c r="CC105" s="74"/>
      <c r="CD105" s="75"/>
      <c r="CE105" s="87"/>
      <c r="CF105" s="87"/>
      <c r="CG105" s="87"/>
      <c r="CH105" s="76"/>
      <c r="CJ105" s="74"/>
      <c r="CK105" s="75"/>
      <c r="CL105" s="87"/>
      <c r="CM105" s="87"/>
      <c r="CN105" s="87"/>
      <c r="CO105" s="76"/>
      <c r="CQ105" s="74"/>
      <c r="CR105" s="75"/>
      <c r="CS105" s="87"/>
      <c r="CT105" s="87"/>
      <c r="CU105" s="87"/>
      <c r="CV105" s="76"/>
    </row>
    <row r="106" spans="1:100" ht="14.25" outlineLevel="1" thickBot="1">
      <c r="A106" s="13"/>
      <c r="B106" s="217" t="s">
        <v>813</v>
      </c>
      <c r="C106" s="22" t="s">
        <v>136</v>
      </c>
      <c r="D106" s="469">
        <v>40386600</v>
      </c>
      <c r="E106" s="22">
        <v>20</v>
      </c>
      <c r="F106" s="188">
        <v>387</v>
      </c>
      <c r="G106" s="216">
        <v>20</v>
      </c>
      <c r="I106" s="38">
        <f t="shared" si="20"/>
        <v>28.326474832041342</v>
      </c>
      <c r="J106" s="39">
        <f t="shared" si="21"/>
        <v>13.5717611286912</v>
      </c>
      <c r="K106" s="39">
        <f t="shared" si="22"/>
        <v>11.113124650255283</v>
      </c>
      <c r="L106" s="54"/>
      <c r="M106" s="39">
        <f t="shared" si="28"/>
        <v>2.4516264305487465</v>
      </c>
      <c r="N106" s="39">
        <f t="shared" si="23"/>
        <v>22.106336635372458</v>
      </c>
      <c r="O106" s="368">
        <v>24794578</v>
      </c>
      <c r="P106" s="369">
        <v>548117288</v>
      </c>
      <c r="Q106" s="369">
        <v>448821320</v>
      </c>
      <c r="R106" s="54"/>
      <c r="S106" s="369">
        <v>99012856</v>
      </c>
      <c r="T106" s="370">
        <v>87.781165999999999</v>
      </c>
      <c r="U106" s="370">
        <v>83.521584000000004</v>
      </c>
      <c r="V106" s="89"/>
      <c r="W106" s="89"/>
      <c r="X106" s="89"/>
      <c r="Y106" s="370">
        <v>99.298096000000001</v>
      </c>
      <c r="Z106" s="371"/>
      <c r="AA106" s="371"/>
      <c r="AB106" s="40">
        <v>0</v>
      </c>
      <c r="AC106" s="40">
        <v>0</v>
      </c>
      <c r="AD106" s="41"/>
      <c r="AF106" s="38" t="str">
        <f t="shared" si="24"/>
        <v>·</v>
      </c>
      <c r="AG106" s="39" t="str">
        <f t="shared" si="25"/>
        <v>·</v>
      </c>
      <c r="AH106" s="39" t="str">
        <f t="shared" si="29"/>
        <v>·</v>
      </c>
      <c r="AI106" s="54"/>
      <c r="AJ106" s="39" t="str">
        <f t="shared" si="30"/>
        <v>·</v>
      </c>
      <c r="AK106" s="39" t="str">
        <f t="shared" ref="AK106:AK136" si="36">IF(ISBLANK(AM106),"·",AM106/AL106)</f>
        <v>·</v>
      </c>
      <c r="AL106" s="368"/>
      <c r="AM106" s="369"/>
      <c r="AN106" s="369"/>
      <c r="AO106" s="54"/>
      <c r="AP106" s="369"/>
      <c r="AQ106" s="370"/>
      <c r="AR106" s="370"/>
      <c r="AS106" s="89"/>
      <c r="AT106" s="89"/>
      <c r="AU106" s="89"/>
      <c r="AV106" s="370"/>
      <c r="AW106" s="371"/>
      <c r="AX106" s="371"/>
      <c r="AY106" s="40">
        <v>0</v>
      </c>
      <c r="AZ106" s="40">
        <v>0</v>
      </c>
      <c r="BA106" s="41"/>
      <c r="BC106" s="62" t="e">
        <f t="shared" ref="BC106:BD121" si="37">AY106/AB106</f>
        <v>#DIV/0!</v>
      </c>
      <c r="BD106" s="63" t="e">
        <f t="shared" si="37"/>
        <v>#DIV/0!</v>
      </c>
      <c r="BE106" s="63" t="e">
        <f t="shared" si="26"/>
        <v>#DIV/0!</v>
      </c>
      <c r="BF106" s="64"/>
      <c r="BH106" s="80"/>
      <c r="BI106" s="81"/>
      <c r="BJ106" s="89"/>
      <c r="BK106" s="89"/>
      <c r="BL106" s="89"/>
      <c r="BM106" s="82"/>
      <c r="BO106" s="80"/>
      <c r="BP106" s="81"/>
      <c r="BQ106" s="89"/>
      <c r="BR106" s="89"/>
      <c r="BS106" s="89"/>
      <c r="BT106" s="82"/>
      <c r="BV106" s="80"/>
      <c r="BW106" s="81"/>
      <c r="BX106" s="89"/>
      <c r="BY106" s="89"/>
      <c r="BZ106" s="89"/>
      <c r="CA106" s="82"/>
      <c r="CC106" s="80"/>
      <c r="CD106" s="81"/>
      <c r="CE106" s="89"/>
      <c r="CF106" s="89"/>
      <c r="CG106" s="89"/>
      <c r="CH106" s="82"/>
      <c r="CJ106" s="80"/>
      <c r="CK106" s="81"/>
      <c r="CL106" s="89"/>
      <c r="CM106" s="89"/>
      <c r="CN106" s="89"/>
      <c r="CO106" s="82"/>
      <c r="CQ106" s="80"/>
      <c r="CR106" s="81"/>
      <c r="CS106" s="89"/>
      <c r="CT106" s="89"/>
      <c r="CU106" s="89"/>
      <c r="CV106" s="82"/>
    </row>
    <row r="107" spans="1:100">
      <c r="A107" s="13"/>
      <c r="B107" s="27" t="s">
        <v>815</v>
      </c>
      <c r="C107" s="28" t="s">
        <v>131</v>
      </c>
      <c r="D107" s="466">
        <v>40439600</v>
      </c>
      <c r="E107" s="28">
        <v>20</v>
      </c>
      <c r="F107" s="28">
        <v>387</v>
      </c>
      <c r="G107" s="29">
        <v>20</v>
      </c>
      <c r="I107" s="46">
        <f t="shared" si="20"/>
        <v>1.9101238242894056</v>
      </c>
      <c r="J107" s="47">
        <f t="shared" si="21"/>
        <v>0.91397778415216768</v>
      </c>
      <c r="K107" s="47">
        <f t="shared" si="22"/>
        <v>0.85114076301447095</v>
      </c>
      <c r="L107" s="50"/>
      <c r="M107" s="47">
        <f t="shared" si="28"/>
        <v>5.6219942828316799E-2</v>
      </c>
      <c r="N107" s="47">
        <f t="shared" si="23"/>
        <v>5.4188378633876066</v>
      </c>
      <c r="O107" s="352">
        <v>6820816</v>
      </c>
      <c r="P107" s="353">
        <v>36960896</v>
      </c>
      <c r="Q107" s="353">
        <v>34419792</v>
      </c>
      <c r="R107" s="50"/>
      <c r="S107" s="353">
        <v>2273512</v>
      </c>
      <c r="T107" s="354">
        <v>45.937297999999998</v>
      </c>
      <c r="U107" s="354">
        <v>41.488627999999999</v>
      </c>
      <c r="V107" s="90"/>
      <c r="W107" s="90"/>
      <c r="X107" s="90"/>
      <c r="Y107" s="354">
        <v>70.651877999999996</v>
      </c>
      <c r="Z107" s="355"/>
      <c r="AA107" s="355"/>
      <c r="AB107" s="48">
        <v>0</v>
      </c>
      <c r="AC107" s="48">
        <v>0</v>
      </c>
      <c r="AD107" s="49"/>
      <c r="AF107" s="46" t="str">
        <f t="shared" si="24"/>
        <v>·</v>
      </c>
      <c r="AG107" s="47" t="str">
        <f t="shared" si="25"/>
        <v>·</v>
      </c>
      <c r="AH107" s="47" t="str">
        <f t="shared" si="29"/>
        <v>·</v>
      </c>
      <c r="AI107" s="50"/>
      <c r="AJ107" s="47" t="str">
        <f t="shared" si="30"/>
        <v>·</v>
      </c>
      <c r="AK107" s="47" t="str">
        <f t="shared" si="36"/>
        <v>·</v>
      </c>
      <c r="AL107" s="352"/>
      <c r="AM107" s="353"/>
      <c r="AN107" s="353"/>
      <c r="AO107" s="50"/>
      <c r="AP107" s="353"/>
      <c r="AQ107" s="354"/>
      <c r="AR107" s="354"/>
      <c r="AS107" s="90"/>
      <c r="AT107" s="90"/>
      <c r="AU107" s="90"/>
      <c r="AV107" s="354"/>
      <c r="AW107" s="355"/>
      <c r="AX107" s="355"/>
      <c r="AY107" s="48">
        <v>0</v>
      </c>
      <c r="AZ107" s="48">
        <v>0</v>
      </c>
      <c r="BA107" s="49"/>
      <c r="BC107" s="68" t="e">
        <f t="shared" si="37"/>
        <v>#DIV/0!</v>
      </c>
      <c r="BD107" s="69" t="e">
        <f t="shared" si="37"/>
        <v>#DIV/0!</v>
      </c>
      <c r="BE107" s="69" t="e">
        <f t="shared" si="26"/>
        <v>#DIV/0!</v>
      </c>
      <c r="BF107" s="70" t="e">
        <f t="array" ref="BF107">AVERAGE(AN107:AN112/AM107:AM112) - AVERAGE(Q107:Q112/P107:P112)</f>
        <v>#DIV/0!</v>
      </c>
      <c r="BH107" s="224" t="str">
        <f>IF( OR(ISBLANK($Q107:$Q112),ISBLANK($AN107:$AN112), ISBLANK($T107:$T112),ISBLANK($AQ107:$AQ112)), "·", bdRateHermite( $Q107:$Q112,$T107:$T112, $AN107:$AN112,$AQ107:$AQ112))</f>
        <v>·</v>
      </c>
      <c r="BI107" s="225" t="str">
        <f>IF(OR(ISBLANK($Q107:$Q112),ISBLANK($AN107:$AN112),ISBLANK($U107:$U112),ISBLANK($AR107:$AR112)),"·",bdRateHermite($Q107:$Q112,$U107:$U112,$AN107:$AN112,$AR107:$AR112))</f>
        <v>·</v>
      </c>
      <c r="BJ107" s="90"/>
      <c r="BK107" s="90"/>
      <c r="BL107" s="90"/>
      <c r="BM107" s="226" t="str">
        <f>IF( OR(ISBLANK($S107:$S112),ISBLANK($AP107:$AP112), ISBLANK($Y107:$Y112),ISBLANK($AV107:$AV112)), "·", bdRateHermite($S107:$S112,$Y107:$Y112, $AP107:$AP112,$AV107:$AV112))</f>
        <v>·</v>
      </c>
      <c r="BO107" s="224" t="str">
        <f>IF( OR(ISBLANK($P107:$P112),ISBLANK($AM107:$AM112), ISBLANK($T107:$T112),ISBLANK($AQ107:$AQ112)), "·", bdRateHermite($P107:$P112,$T107:$T112, $AM107:$AM112,$AQ107:$AQ112))</f>
        <v>·</v>
      </c>
      <c r="BP107" s="225" t="str">
        <f>IF( OR(ISBLANK($P107:$P112),ISBLANK($AM107:$AM112), ISBLANK($U107:$U112),ISBLANK($AR107:$AR112)), "·", bdRateHermite( $P107:$P112,$U107:$U112, $AM107:$AM112,$AR107:$AR112))</f>
        <v>·</v>
      </c>
      <c r="BQ107" s="90"/>
      <c r="BR107" s="90"/>
      <c r="BS107" s="90"/>
      <c r="BT107" s="86" t="str">
        <f>IF( OR(ISBLANK($P107:$P112),ISBLANK($AM107:$AM112), ISBLANK($Y107:$Y112),ISBLANK($AV107:$AV112)), "·", bdRateHermite( $P107:$P112,$Y107:$Y112, $AM107:$AM112,$AV107:$AV112))</f>
        <v>·</v>
      </c>
      <c r="BV107" s="224" t="str">
        <f>IF( OR(ISBLANK($Q107:$Q111),ISBLANK($AN107:$AN111), ISBLANK($T107:$T111),ISBLANK($AQ107:$AQ111)), "·", bdRateHermite( $Q108:$Q112,$T108:$T112, $AN108:$AN112,$AQ108:$AQ112))</f>
        <v>·</v>
      </c>
      <c r="BW107" s="225" t="str">
        <f>IF(OR(ISBLANK($Q107:$Q112),ISBLANK($AN107:$AN112),ISBLANK($U107:$U112),ISBLANK($AR107:$AR112)),"·",bdRateHermite($Q108:$Q112,$U108:$U112,$AN108:$AN112,$AR108:$AR112))</f>
        <v>·</v>
      </c>
      <c r="BX107" s="90"/>
      <c r="BY107" s="90"/>
      <c r="BZ107" s="90"/>
      <c r="CA107" s="184" t="str">
        <f>IF( OR(ISBLANK($S107:$S112),ISBLANK($AP107:$AP112), ISBLANK($Y107:$Y112),ISBLANK($AV107:$AV112)), "·", bdRateHermite($S108:$S112,$Y108:$Y112, $AP108:$AP112,$AV108:$AV112))</f>
        <v>·</v>
      </c>
      <c r="CC107" s="224" t="str">
        <f>IF( OR(ISBLANK($P107:$P112),ISBLANK($AM107:$AM112), ISBLANK($T107:$T112),ISBLANK($AQ107:$AQ112)), "·", bdRateHermite($P108:$P112,$T108:$T112, $AM108:$AM112,$AQ108:$AQ112))</f>
        <v>·</v>
      </c>
      <c r="CD107" s="225" t="str">
        <f>IF( OR(ISBLANK($P107:$P112),ISBLANK($AM107:$AM112), ISBLANK($U107:$U112),ISBLANK($AR107:$AR112)), "·", bdRateHermite( $P108:$P112,$U108:$U112, $AM108:$AM112,$AR108:$AR112))</f>
        <v>·</v>
      </c>
      <c r="CE107" s="90"/>
      <c r="CF107" s="90"/>
      <c r="CG107" s="90"/>
      <c r="CH107" s="86" t="str">
        <f>IF( OR(ISBLANK($P107:$P112),ISBLANK($AM107:$AM112), ISBLANK($Y107:$Y112),ISBLANK($AV107:$AV112)), "·", bdRateHermite( $P108:$P112,$Y108:$Y112, $AM108:$AM112,$AV108:$AV112))</f>
        <v>·</v>
      </c>
      <c r="CJ107" s="224" t="str">
        <f>IF( OR(ISBLANK($Q107:$Q111),ISBLANK($AN107:$AN111), ISBLANK($T107:$T111),ISBLANK($AQ107:$AQ111)), "·", bdRateHermite( $Q107:$Q111,$T107:$T111, $AN107:$AN111,$AQ107:$AQ111))</f>
        <v>·</v>
      </c>
      <c r="CK107" s="225" t="str">
        <f>IF(OR(ISBLANK($Q107:$Q111),ISBLANK($AN107:$AN111),ISBLANK($U107:$U111),ISBLANK($AR107:$AR111)),"·",bdRateHermite($Q107:$Q111,$U107:$U111,$AN107:$AN111,$AR107:$AR111))</f>
        <v>·</v>
      </c>
      <c r="CL107" s="90"/>
      <c r="CM107" s="90"/>
      <c r="CN107" s="90"/>
      <c r="CO107" s="226" t="str">
        <f>IF( OR(ISBLANK($S107:$S111),ISBLANK($AP107:$AP111), ISBLANK($Y107:$Y111),ISBLANK($AV107:$AV111)), "·", bdRateHermite($S107:$S111,$Y107:$Y111, $AP107:$AP111,$AV107:$AV111))</f>
        <v>·</v>
      </c>
      <c r="CQ107" s="224" t="str">
        <f>IF( OR(ISBLANK($P107:$P111),ISBLANK($AM107:$AM111), ISBLANK($T107:$T111),ISBLANK($AQ107:$AQ111)), "·", bdRateHermite($P107:$P111,$T107:$T111, $AM107:$AM111,$AQ107:$AQ111))</f>
        <v>·</v>
      </c>
      <c r="CR107" s="225" t="str">
        <f>IF( OR(ISBLANK($P107:$P111),ISBLANK($AM107:$AM111), ISBLANK($U107:$U111),ISBLANK($AR107:$AR111)), "·", bdRateHermite( $P107:$P111,$U107:$U111, $AM107:$AM111,$AR107:$AR111))</f>
        <v>·</v>
      </c>
      <c r="CS107" s="90"/>
      <c r="CT107" s="90"/>
      <c r="CU107" s="90"/>
      <c r="CV107" s="86" t="str">
        <f>IF( OR(ISBLANK($P107:$P111),ISBLANK($AM107:$AM111), ISBLANK($Y107:$Y111),ISBLANK($AV107:$AV111)), "·", bdRateHermite( $P107:$P111,$Y107:$Y111, $AM107:$AM111,$AV107:$AV111))</f>
        <v>·</v>
      </c>
    </row>
    <row r="108" spans="1:100" outlineLevel="1">
      <c r="A108" s="13"/>
      <c r="B108" s="24" t="s">
        <v>815</v>
      </c>
      <c r="C108" s="15" t="s">
        <v>132</v>
      </c>
      <c r="D108" s="464">
        <v>40439600</v>
      </c>
      <c r="E108" s="25">
        <v>20</v>
      </c>
      <c r="F108" s="25">
        <v>387</v>
      </c>
      <c r="G108" s="26">
        <v>20</v>
      </c>
      <c r="I108" s="30">
        <f t="shared" si="20"/>
        <v>4.199322377260982</v>
      </c>
      <c r="J108" s="31">
        <f t="shared" si="21"/>
        <v>2.0093395582547799</v>
      </c>
      <c r="K108" s="31">
        <f t="shared" si="22"/>
        <v>1.7357152889741738</v>
      </c>
      <c r="L108" s="51"/>
      <c r="M108" s="31">
        <f t="shared" si="28"/>
        <v>0.2669086736762975</v>
      </c>
      <c r="N108" s="31">
        <f t="shared" si="23"/>
        <v>6.9169956820324456</v>
      </c>
      <c r="O108" s="356">
        <v>11747425</v>
      </c>
      <c r="P108" s="357">
        <v>81256888</v>
      </c>
      <c r="Q108" s="357">
        <v>70191632</v>
      </c>
      <c r="R108" s="51"/>
      <c r="S108" s="357">
        <v>10793680</v>
      </c>
      <c r="T108" s="358">
        <v>52.253967000000003</v>
      </c>
      <c r="U108" s="358">
        <v>47.515048999999998</v>
      </c>
      <c r="V108" s="87"/>
      <c r="W108" s="87"/>
      <c r="X108" s="87"/>
      <c r="Y108" s="358">
        <v>74.606705000000005</v>
      </c>
      <c r="Z108" s="359"/>
      <c r="AA108" s="359"/>
      <c r="AB108" s="32">
        <v>0</v>
      </c>
      <c r="AC108" s="32">
        <v>0</v>
      </c>
      <c r="AD108" s="33"/>
      <c r="AF108" s="30" t="str">
        <f t="shared" si="24"/>
        <v>·</v>
      </c>
      <c r="AG108" s="31" t="str">
        <f t="shared" si="25"/>
        <v>·</v>
      </c>
      <c r="AH108" s="31" t="str">
        <f t="shared" si="29"/>
        <v>·</v>
      </c>
      <c r="AI108" s="51"/>
      <c r="AJ108" s="31" t="str">
        <f t="shared" si="30"/>
        <v>·</v>
      </c>
      <c r="AK108" s="31" t="str">
        <f t="shared" si="36"/>
        <v>·</v>
      </c>
      <c r="AL108" s="356"/>
      <c r="AM108" s="357"/>
      <c r="AN108" s="357"/>
      <c r="AO108" s="51"/>
      <c r="AP108" s="357"/>
      <c r="AQ108" s="358"/>
      <c r="AR108" s="358"/>
      <c r="AS108" s="87"/>
      <c r="AT108" s="87"/>
      <c r="AU108" s="87"/>
      <c r="AV108" s="358"/>
      <c r="AW108" s="359"/>
      <c r="AX108" s="359"/>
      <c r="AY108" s="32">
        <v>0</v>
      </c>
      <c r="AZ108" s="32">
        <v>0</v>
      </c>
      <c r="BA108" s="33"/>
      <c r="BC108" s="56" t="e">
        <f t="shared" si="37"/>
        <v>#DIV/0!</v>
      </c>
      <c r="BD108" s="57" t="e">
        <f t="shared" si="37"/>
        <v>#DIV/0!</v>
      </c>
      <c r="BE108" s="57" t="e">
        <f t="shared" si="26"/>
        <v>#DIV/0!</v>
      </c>
      <c r="BF108" s="58"/>
      <c r="BH108" s="74"/>
      <c r="BI108" s="75"/>
      <c r="BJ108" s="87"/>
      <c r="BK108" s="87"/>
      <c r="BL108" s="87"/>
      <c r="BM108" s="76"/>
      <c r="BO108" s="74"/>
      <c r="BP108" s="75"/>
      <c r="BQ108" s="87"/>
      <c r="BR108" s="87"/>
      <c r="BS108" s="87"/>
      <c r="BT108" s="76"/>
      <c r="BV108" s="74"/>
      <c r="BW108" s="75"/>
      <c r="BX108" s="87"/>
      <c r="BY108" s="87"/>
      <c r="BZ108" s="87"/>
      <c r="CA108" s="76"/>
      <c r="CC108" s="74"/>
      <c r="CD108" s="75"/>
      <c r="CE108" s="87"/>
      <c r="CF108" s="87"/>
      <c r="CG108" s="87"/>
      <c r="CH108" s="76"/>
      <c r="CJ108" s="74"/>
      <c r="CK108" s="75"/>
      <c r="CL108" s="87"/>
      <c r="CM108" s="87"/>
      <c r="CN108" s="87"/>
      <c r="CO108" s="76"/>
      <c r="CQ108" s="74"/>
      <c r="CR108" s="75"/>
      <c r="CS108" s="87"/>
      <c r="CT108" s="87"/>
      <c r="CU108" s="87"/>
      <c r="CV108" s="76"/>
    </row>
    <row r="109" spans="1:100" outlineLevel="1">
      <c r="A109" s="13"/>
      <c r="B109" s="24" t="s">
        <v>815</v>
      </c>
      <c r="C109" s="15" t="s">
        <v>133</v>
      </c>
      <c r="D109" s="464">
        <v>40439600</v>
      </c>
      <c r="E109" s="15">
        <v>20</v>
      </c>
      <c r="F109" s="25">
        <v>387</v>
      </c>
      <c r="G109" s="26">
        <v>20</v>
      </c>
      <c r="I109" s="30">
        <f t="shared" si="20"/>
        <v>11.980883514211886</v>
      </c>
      <c r="J109" s="31">
        <f t="shared" si="21"/>
        <v>5.7327494831798536</v>
      </c>
      <c r="K109" s="31">
        <f t="shared" si="22"/>
        <v>4.9069076845468302</v>
      </c>
      <c r="L109" s="51"/>
      <c r="M109" s="31">
        <f t="shared" si="28"/>
        <v>0.81901126618463094</v>
      </c>
      <c r="N109" s="31">
        <f t="shared" si="23"/>
        <v>10.398416021780195</v>
      </c>
      <c r="O109" s="356">
        <v>22294751</v>
      </c>
      <c r="P109" s="357">
        <v>231830096</v>
      </c>
      <c r="Q109" s="357">
        <v>198433384</v>
      </c>
      <c r="R109" s="51"/>
      <c r="S109" s="357">
        <v>33120488</v>
      </c>
      <c r="T109" s="358">
        <v>64.208832000000001</v>
      </c>
      <c r="U109" s="358">
        <v>59.518825999999997</v>
      </c>
      <c r="V109" s="87"/>
      <c r="W109" s="87"/>
      <c r="X109" s="87"/>
      <c r="Y109" s="358">
        <v>81.314232000000004</v>
      </c>
      <c r="Z109" s="359"/>
      <c r="AA109" s="359"/>
      <c r="AB109" s="32">
        <v>0</v>
      </c>
      <c r="AC109" s="32">
        <v>0</v>
      </c>
      <c r="AD109" s="33"/>
      <c r="AF109" s="30" t="str">
        <f t="shared" si="24"/>
        <v>·</v>
      </c>
      <c r="AG109" s="31" t="str">
        <f t="shared" si="25"/>
        <v>·</v>
      </c>
      <c r="AH109" s="31" t="str">
        <f t="shared" si="29"/>
        <v>·</v>
      </c>
      <c r="AI109" s="51"/>
      <c r="AJ109" s="31" t="str">
        <f t="shared" si="30"/>
        <v>·</v>
      </c>
      <c r="AK109" s="31" t="str">
        <f t="shared" si="36"/>
        <v>·</v>
      </c>
      <c r="AL109" s="356"/>
      <c r="AM109" s="357"/>
      <c r="AN109" s="357"/>
      <c r="AO109" s="51"/>
      <c r="AP109" s="357"/>
      <c r="AQ109" s="358"/>
      <c r="AR109" s="358"/>
      <c r="AS109" s="87"/>
      <c r="AT109" s="87"/>
      <c r="AU109" s="87"/>
      <c r="AV109" s="358"/>
      <c r="AW109" s="359"/>
      <c r="AX109" s="359"/>
      <c r="AY109" s="32">
        <v>0</v>
      </c>
      <c r="AZ109" s="32">
        <v>0</v>
      </c>
      <c r="BA109" s="33"/>
      <c r="BC109" s="56" t="e">
        <f t="shared" si="37"/>
        <v>#DIV/0!</v>
      </c>
      <c r="BD109" s="57" t="e">
        <f t="shared" si="37"/>
        <v>#DIV/0!</v>
      </c>
      <c r="BE109" s="57" t="e">
        <f t="shared" si="26"/>
        <v>#DIV/0!</v>
      </c>
      <c r="BF109" s="58"/>
      <c r="BH109" s="74"/>
      <c r="BI109" s="75"/>
      <c r="BJ109" s="87"/>
      <c r="BK109" s="87"/>
      <c r="BL109" s="87"/>
      <c r="BM109" s="76"/>
      <c r="BO109" s="74"/>
      <c r="BP109" s="75"/>
      <c r="BQ109" s="87"/>
      <c r="BR109" s="87"/>
      <c r="BS109" s="87"/>
      <c r="BT109" s="76"/>
      <c r="BV109" s="74"/>
      <c r="BW109" s="75"/>
      <c r="BX109" s="87"/>
      <c r="BY109" s="87"/>
      <c r="BZ109" s="87"/>
      <c r="CA109" s="76"/>
      <c r="CC109" s="74"/>
      <c r="CD109" s="75"/>
      <c r="CE109" s="87"/>
      <c r="CF109" s="87"/>
      <c r="CG109" s="87"/>
      <c r="CH109" s="76"/>
      <c r="CJ109" s="74"/>
      <c r="CK109" s="75"/>
      <c r="CL109" s="87"/>
      <c r="CM109" s="87"/>
      <c r="CN109" s="87"/>
      <c r="CO109" s="76"/>
      <c r="CQ109" s="74"/>
      <c r="CR109" s="75"/>
      <c r="CS109" s="87"/>
      <c r="CT109" s="87"/>
      <c r="CU109" s="87"/>
      <c r="CV109" s="76"/>
    </row>
    <row r="110" spans="1:100" outlineLevel="1">
      <c r="A110" s="13"/>
      <c r="B110" s="24" t="s">
        <v>815</v>
      </c>
      <c r="C110" s="15" t="s">
        <v>134</v>
      </c>
      <c r="D110" s="464">
        <v>40439600</v>
      </c>
      <c r="E110" s="15">
        <v>20</v>
      </c>
      <c r="F110" s="25">
        <v>387</v>
      </c>
      <c r="G110" s="26">
        <v>20</v>
      </c>
      <c r="I110" s="30">
        <f t="shared" si="20"/>
        <v>17.471017260981913</v>
      </c>
      <c r="J110" s="31">
        <f t="shared" si="21"/>
        <v>8.3597311546108273</v>
      </c>
      <c r="K110" s="31">
        <f t="shared" si="22"/>
        <v>6.9326119941839188</v>
      </c>
      <c r="L110" s="51"/>
      <c r="M110" s="31">
        <f t="shared" si="28"/>
        <v>1.4202557888802065</v>
      </c>
      <c r="N110" s="31">
        <f t="shared" si="23"/>
        <v>13.117470997171161</v>
      </c>
      <c r="O110" s="356">
        <v>25772055</v>
      </c>
      <c r="P110" s="357">
        <v>338064184</v>
      </c>
      <c r="Q110" s="357">
        <v>280352056</v>
      </c>
      <c r="R110" s="51"/>
      <c r="S110" s="357">
        <v>57434576</v>
      </c>
      <c r="T110" s="358">
        <v>70.223540999999997</v>
      </c>
      <c r="U110" s="358">
        <v>65.480148</v>
      </c>
      <c r="V110" s="87"/>
      <c r="W110" s="87"/>
      <c r="X110" s="87"/>
      <c r="Y110" s="358">
        <v>86.714095999999998</v>
      </c>
      <c r="Z110" s="359"/>
      <c r="AA110" s="359"/>
      <c r="AB110" s="32">
        <v>0</v>
      </c>
      <c r="AC110" s="32">
        <v>0</v>
      </c>
      <c r="AD110" s="33"/>
      <c r="AF110" s="30" t="str">
        <f t="shared" si="24"/>
        <v>·</v>
      </c>
      <c r="AG110" s="31" t="str">
        <f t="shared" si="25"/>
        <v>·</v>
      </c>
      <c r="AH110" s="31" t="str">
        <f t="shared" si="29"/>
        <v>·</v>
      </c>
      <c r="AI110" s="51"/>
      <c r="AJ110" s="31" t="str">
        <f t="shared" si="30"/>
        <v>·</v>
      </c>
      <c r="AK110" s="31" t="str">
        <f t="shared" si="36"/>
        <v>·</v>
      </c>
      <c r="AL110" s="356"/>
      <c r="AM110" s="357"/>
      <c r="AN110" s="357"/>
      <c r="AO110" s="51"/>
      <c r="AP110" s="357"/>
      <c r="AQ110" s="358"/>
      <c r="AR110" s="358"/>
      <c r="AS110" s="87"/>
      <c r="AT110" s="87"/>
      <c r="AU110" s="87"/>
      <c r="AV110" s="358"/>
      <c r="AW110" s="359"/>
      <c r="AX110" s="359"/>
      <c r="AY110" s="32">
        <v>0</v>
      </c>
      <c r="AZ110" s="32">
        <v>0</v>
      </c>
      <c r="BA110" s="33"/>
      <c r="BC110" s="56" t="e">
        <f t="shared" si="37"/>
        <v>#DIV/0!</v>
      </c>
      <c r="BD110" s="57" t="e">
        <f t="shared" si="37"/>
        <v>#DIV/0!</v>
      </c>
      <c r="BE110" s="57" t="e">
        <f t="shared" si="26"/>
        <v>#DIV/0!</v>
      </c>
      <c r="BF110" s="58"/>
      <c r="BH110" s="74"/>
      <c r="BI110" s="75"/>
      <c r="BJ110" s="87"/>
      <c r="BK110" s="87"/>
      <c r="BL110" s="87"/>
      <c r="BM110" s="76"/>
      <c r="BO110" s="74"/>
      <c r="BP110" s="75"/>
      <c r="BQ110" s="87"/>
      <c r="BR110" s="87"/>
      <c r="BS110" s="87"/>
      <c r="BT110" s="76"/>
      <c r="BV110" s="74"/>
      <c r="BW110" s="75"/>
      <c r="BX110" s="87"/>
      <c r="BY110" s="87"/>
      <c r="BZ110" s="87"/>
      <c r="CA110" s="76"/>
      <c r="CC110" s="74"/>
      <c r="CD110" s="75"/>
      <c r="CE110" s="87"/>
      <c r="CF110" s="87"/>
      <c r="CG110" s="87"/>
      <c r="CH110" s="76"/>
      <c r="CJ110" s="74"/>
      <c r="CK110" s="75"/>
      <c r="CL110" s="87"/>
      <c r="CM110" s="87"/>
      <c r="CN110" s="87"/>
      <c r="CO110" s="76"/>
      <c r="CQ110" s="74"/>
      <c r="CR110" s="75"/>
      <c r="CS110" s="87"/>
      <c r="CT110" s="87"/>
      <c r="CU110" s="87"/>
      <c r="CV110" s="76"/>
    </row>
    <row r="111" spans="1:100" outlineLevel="1">
      <c r="A111" s="13"/>
      <c r="B111" s="24" t="s">
        <v>815</v>
      </c>
      <c r="C111" s="15" t="s">
        <v>135</v>
      </c>
      <c r="D111" s="464">
        <v>40439600</v>
      </c>
      <c r="E111" s="15">
        <v>20</v>
      </c>
      <c r="F111" s="25">
        <v>387</v>
      </c>
      <c r="G111" s="26">
        <v>20</v>
      </c>
      <c r="I111" s="30">
        <f t="shared" si="20"/>
        <v>28.063031731266147</v>
      </c>
      <c r="J111" s="31">
        <f t="shared" si="21"/>
        <v>13.427918772688157</v>
      </c>
      <c r="K111" s="31">
        <f t="shared" si="22"/>
        <v>11.226802243345631</v>
      </c>
      <c r="L111" s="51"/>
      <c r="M111" s="31">
        <f t="shared" si="28"/>
        <v>2.1941344622597652</v>
      </c>
      <c r="N111" s="31">
        <f t="shared" si="23"/>
        <v>18.985715077880918</v>
      </c>
      <c r="O111" s="356">
        <v>28601486</v>
      </c>
      <c r="P111" s="357">
        <v>543019664</v>
      </c>
      <c r="Q111" s="357">
        <v>454007392</v>
      </c>
      <c r="R111" s="51"/>
      <c r="S111" s="357">
        <v>88729920</v>
      </c>
      <c r="T111" s="358">
        <v>82.139731999999995</v>
      </c>
      <c r="U111" s="358">
        <v>77.501518000000004</v>
      </c>
      <c r="V111" s="87"/>
      <c r="W111" s="87"/>
      <c r="X111" s="87"/>
      <c r="Y111" s="358">
        <v>94.285210000000006</v>
      </c>
      <c r="Z111" s="359"/>
      <c r="AA111" s="359"/>
      <c r="AB111" s="32">
        <v>0</v>
      </c>
      <c r="AC111" s="32">
        <v>0</v>
      </c>
      <c r="AD111" s="33"/>
      <c r="AF111" s="30" t="str">
        <f t="shared" si="24"/>
        <v>·</v>
      </c>
      <c r="AG111" s="31" t="str">
        <f t="shared" si="25"/>
        <v>·</v>
      </c>
      <c r="AH111" s="31" t="str">
        <f t="shared" si="29"/>
        <v>·</v>
      </c>
      <c r="AI111" s="51"/>
      <c r="AJ111" s="31" t="str">
        <f t="shared" si="30"/>
        <v>·</v>
      </c>
      <c r="AK111" s="31" t="str">
        <f t="shared" si="36"/>
        <v>·</v>
      </c>
      <c r="AL111" s="356"/>
      <c r="AM111" s="357"/>
      <c r="AN111" s="357"/>
      <c r="AO111" s="51"/>
      <c r="AP111" s="357"/>
      <c r="AQ111" s="358"/>
      <c r="AR111" s="358"/>
      <c r="AS111" s="87"/>
      <c r="AT111" s="87"/>
      <c r="AU111" s="87"/>
      <c r="AV111" s="358"/>
      <c r="AW111" s="359"/>
      <c r="AX111" s="359"/>
      <c r="AY111" s="32">
        <v>0</v>
      </c>
      <c r="AZ111" s="32">
        <v>0</v>
      </c>
      <c r="BA111" s="33"/>
      <c r="BC111" s="56" t="e">
        <f t="shared" si="37"/>
        <v>#DIV/0!</v>
      </c>
      <c r="BD111" s="57" t="e">
        <f t="shared" si="37"/>
        <v>#DIV/0!</v>
      </c>
      <c r="BE111" s="57" t="e">
        <f t="shared" si="26"/>
        <v>#DIV/0!</v>
      </c>
      <c r="BF111" s="58"/>
      <c r="BH111" s="74"/>
      <c r="BI111" s="75"/>
      <c r="BJ111" s="87"/>
      <c r="BK111" s="87"/>
      <c r="BL111" s="87"/>
      <c r="BM111" s="76"/>
      <c r="BO111" s="74"/>
      <c r="BP111" s="75"/>
      <c r="BQ111" s="87"/>
      <c r="BR111" s="87"/>
      <c r="BS111" s="87"/>
      <c r="BT111" s="76"/>
      <c r="BV111" s="74"/>
      <c r="BW111" s="75"/>
      <c r="BX111" s="87"/>
      <c r="BY111" s="87"/>
      <c r="BZ111" s="87"/>
      <c r="CA111" s="76"/>
      <c r="CC111" s="74"/>
      <c r="CD111" s="75"/>
      <c r="CE111" s="87"/>
      <c r="CF111" s="87"/>
      <c r="CG111" s="87"/>
      <c r="CH111" s="76"/>
      <c r="CJ111" s="74"/>
      <c r="CK111" s="75"/>
      <c r="CL111" s="87"/>
      <c r="CM111" s="87"/>
      <c r="CN111" s="87"/>
      <c r="CO111" s="76"/>
      <c r="CQ111" s="74"/>
      <c r="CR111" s="75"/>
      <c r="CS111" s="87"/>
      <c r="CT111" s="87"/>
      <c r="CU111" s="87"/>
      <c r="CV111" s="76"/>
    </row>
    <row r="112" spans="1:100" ht="14.25" outlineLevel="1" thickBot="1">
      <c r="A112" s="215"/>
      <c r="B112" s="185" t="s">
        <v>815</v>
      </c>
      <c r="C112" s="19" t="s">
        <v>136</v>
      </c>
      <c r="D112" s="470">
        <v>40439600</v>
      </c>
      <c r="E112" s="19">
        <v>20</v>
      </c>
      <c r="F112" s="189">
        <v>387</v>
      </c>
      <c r="G112" s="218">
        <v>20</v>
      </c>
      <c r="I112" s="34">
        <f t="shared" si="20"/>
        <v>34.239209922480619</v>
      </c>
      <c r="J112" s="35">
        <f t="shared" si="21"/>
        <v>16.383166796902046</v>
      </c>
      <c r="K112" s="35">
        <f t="shared" si="22"/>
        <v>13.385758316105996</v>
      </c>
      <c r="L112" s="52"/>
      <c r="M112" s="35">
        <f t="shared" si="28"/>
        <v>2.990430172405266</v>
      </c>
      <c r="N112" s="35">
        <f t="shared" si="23"/>
        <v>22.969823813311582</v>
      </c>
      <c r="O112" s="360">
        <v>28843439</v>
      </c>
      <c r="P112" s="361">
        <v>662528712</v>
      </c>
      <c r="Q112" s="361">
        <v>541314712</v>
      </c>
      <c r="R112" s="52"/>
      <c r="S112" s="361">
        <v>120931800</v>
      </c>
      <c r="T112" s="362">
        <v>87.780677999999995</v>
      </c>
      <c r="U112" s="362">
        <v>83.521584000000004</v>
      </c>
      <c r="V112" s="88"/>
      <c r="W112" s="88"/>
      <c r="X112" s="88"/>
      <c r="Y112" s="362">
        <v>99.156272999999999</v>
      </c>
      <c r="Z112" s="363"/>
      <c r="AA112" s="363"/>
      <c r="AB112" s="36">
        <v>0</v>
      </c>
      <c r="AC112" s="36">
        <v>0</v>
      </c>
      <c r="AD112" s="37"/>
      <c r="AF112" s="34" t="str">
        <f t="shared" si="24"/>
        <v>·</v>
      </c>
      <c r="AG112" s="35" t="str">
        <f t="shared" si="25"/>
        <v>·</v>
      </c>
      <c r="AH112" s="35" t="str">
        <f t="shared" si="29"/>
        <v>·</v>
      </c>
      <c r="AI112" s="52"/>
      <c r="AJ112" s="35" t="str">
        <f t="shared" si="30"/>
        <v>·</v>
      </c>
      <c r="AK112" s="35" t="str">
        <f t="shared" si="36"/>
        <v>·</v>
      </c>
      <c r="AL112" s="360"/>
      <c r="AM112" s="361"/>
      <c r="AN112" s="361"/>
      <c r="AO112" s="52"/>
      <c r="AP112" s="361"/>
      <c r="AQ112" s="362"/>
      <c r="AR112" s="362"/>
      <c r="AS112" s="88"/>
      <c r="AT112" s="88"/>
      <c r="AU112" s="88"/>
      <c r="AV112" s="362"/>
      <c r="AW112" s="363"/>
      <c r="AX112" s="363"/>
      <c r="AY112" s="36">
        <v>0</v>
      </c>
      <c r="AZ112" s="36">
        <v>0</v>
      </c>
      <c r="BA112" s="37"/>
      <c r="BC112" s="59" t="e">
        <f t="shared" si="37"/>
        <v>#DIV/0!</v>
      </c>
      <c r="BD112" s="60" t="e">
        <f t="shared" si="37"/>
        <v>#DIV/0!</v>
      </c>
      <c r="BE112" s="60" t="e">
        <f t="shared" si="26"/>
        <v>#DIV/0!</v>
      </c>
      <c r="BF112" s="61"/>
      <c r="BH112" s="77"/>
      <c r="BI112" s="78"/>
      <c r="BJ112" s="88"/>
      <c r="BK112" s="88"/>
      <c r="BL112" s="88"/>
      <c r="BM112" s="79"/>
      <c r="BO112" s="77"/>
      <c r="BP112" s="78"/>
      <c r="BQ112" s="88"/>
      <c r="BR112" s="88"/>
      <c r="BS112" s="88"/>
      <c r="BT112" s="79"/>
      <c r="BV112" s="77"/>
      <c r="BW112" s="78"/>
      <c r="BX112" s="88"/>
      <c r="BY112" s="88"/>
      <c r="BZ112" s="88"/>
      <c r="CA112" s="79"/>
      <c r="CC112" s="77"/>
      <c r="CD112" s="78"/>
      <c r="CE112" s="88"/>
      <c r="CF112" s="88"/>
      <c r="CG112" s="88"/>
      <c r="CH112" s="79"/>
      <c r="CJ112" s="77"/>
      <c r="CK112" s="78"/>
      <c r="CL112" s="88"/>
      <c r="CM112" s="88"/>
      <c r="CN112" s="88"/>
      <c r="CO112" s="79"/>
      <c r="CQ112" s="77"/>
      <c r="CR112" s="78"/>
      <c r="CS112" s="88"/>
      <c r="CT112" s="88"/>
      <c r="CU112" s="88"/>
      <c r="CV112" s="79"/>
    </row>
    <row r="113" spans="1:100">
      <c r="A113" s="96" t="s">
        <v>877</v>
      </c>
      <c r="B113" s="27" t="s">
        <v>872</v>
      </c>
      <c r="C113" s="25" t="s">
        <v>131</v>
      </c>
      <c r="D113" s="464">
        <v>186907991</v>
      </c>
      <c r="E113" s="25">
        <v>11</v>
      </c>
      <c r="F113" s="25">
        <v>64</v>
      </c>
      <c r="G113" s="26">
        <v>30</v>
      </c>
      <c r="I113" s="42">
        <f t="shared" si="20"/>
        <v>0.71251874999999998</v>
      </c>
      <c r="J113" s="43">
        <f t="shared" si="21"/>
        <v>8.1325575855127567E-3</v>
      </c>
      <c r="K113" s="43">
        <f t="shared" si="22"/>
        <v>5.7733647139784411E-3</v>
      </c>
      <c r="L113" s="43">
        <f>IF(R113="","·",R113/D113)</f>
        <v>2.175059492239687E-3</v>
      </c>
      <c r="M113" s="55"/>
      <c r="N113" s="43">
        <f t="shared" si="23"/>
        <v>1.8254594452430619</v>
      </c>
      <c r="O113" s="364">
        <v>832689</v>
      </c>
      <c r="P113" s="365">
        <v>1520040</v>
      </c>
      <c r="Q113" s="365">
        <v>1079088</v>
      </c>
      <c r="R113" s="207">
        <v>406536</v>
      </c>
      <c r="S113" s="92"/>
      <c r="T113" s="366">
        <v>52.900539000000002</v>
      </c>
      <c r="U113" s="366">
        <v>48.160580000000003</v>
      </c>
      <c r="V113" s="366">
        <v>22.872799000000001</v>
      </c>
      <c r="W113" s="366">
        <v>33.024841000000002</v>
      </c>
      <c r="X113" s="366">
        <v>33.494450000000001</v>
      </c>
      <c r="Y113" s="92">
        <v>0</v>
      </c>
      <c r="Z113" s="367"/>
      <c r="AA113" s="367"/>
      <c r="AB113" s="44">
        <v>0</v>
      </c>
      <c r="AC113" s="44">
        <v>0</v>
      </c>
      <c r="AD113" s="45"/>
      <c r="AF113" s="42" t="str">
        <f t="shared" si="24"/>
        <v>·</v>
      </c>
      <c r="AG113" s="43" t="str">
        <f t="shared" si="25"/>
        <v>·</v>
      </c>
      <c r="AH113" s="43" t="str">
        <f t="shared" si="29"/>
        <v>·</v>
      </c>
      <c r="AI113" s="43" t="str">
        <f t="shared" ref="AI113:AI136" si="38">IF(AO113="","·",AO113/$D113)</f>
        <v>·</v>
      </c>
      <c r="AJ113" s="55"/>
      <c r="AK113" s="43" t="str">
        <f t="shared" si="36"/>
        <v>·</v>
      </c>
      <c r="AL113" s="364"/>
      <c r="AM113" s="365"/>
      <c r="AN113" s="365"/>
      <c r="AO113" s="207"/>
      <c r="AP113" s="92"/>
      <c r="AQ113" s="366"/>
      <c r="AR113" s="366"/>
      <c r="AS113" s="366"/>
      <c r="AT113" s="366"/>
      <c r="AU113" s="366"/>
      <c r="AV113" s="92"/>
      <c r="AW113" s="367"/>
      <c r="AX113" s="367"/>
      <c r="AY113" s="44">
        <v>0</v>
      </c>
      <c r="AZ113" s="44">
        <v>0</v>
      </c>
      <c r="BA113" s="45">
        <v>192</v>
      </c>
      <c r="BC113" s="65" t="e">
        <f t="shared" si="37"/>
        <v>#DIV/0!</v>
      </c>
      <c r="BD113" s="66" t="e">
        <f t="shared" si="37"/>
        <v>#DIV/0!</v>
      </c>
      <c r="BE113" s="66" t="e">
        <f t="shared" si="26"/>
        <v>#DIV/0!</v>
      </c>
      <c r="BF113" s="67" t="e">
        <f t="array" ref="BF113">AVERAGE(AN113:AN118/AM113:AM118) - AVERAGE(Q113:Q118/P113:P118)</f>
        <v>#DIV/0!</v>
      </c>
      <c r="BH113" s="83" t="str">
        <f>IF( OR(ISBLANK($Q113:$Q118),ISBLANK($AN113:$AN118), ISBLANK($T113:$T118),ISBLANK($AQ113:$AQ118)), "·", bdRateHermite( $Q113:$Q118,$T113:$T118, $AN113:$AN118,$AQ113:$AQ118))</f>
        <v>·</v>
      </c>
      <c r="BI113" s="225" t="str">
        <f>IF(OR(ISBLANK(Q113:Q118),ISBLANK(AN113:AN118),ISBLANK(U113:U118),ISBLANK(AR113:AR118)),"·",bdRateHermite(Q113:Q118,U113:U118,AN113:AN118,AR113:AR118))</f>
        <v>·</v>
      </c>
      <c r="BJ113" s="225" t="str">
        <f>IF(OR(ISBLANK($R113:$R118),ISBLANK($AO113:$AO118),ISBLANK($V113:$V118),ISBLANK($AS113:$AS118)),"·",bdRateHermite($R113:$R118,$V113:$V118,$AO113:$AO118,$AS113:$AS118))</f>
        <v>·</v>
      </c>
      <c r="BK113" s="225" t="str">
        <f>IF(OR(ISBLANK($R113:$R118),ISBLANK($AO113:$AO118),ISBLANK($W113:$W118),ISBLANK($AT113:$AT118)),"·",bdRateHermite($R113:$R118,$W113:$W118,$AO113:$AO118,$AT113:$AT118))</f>
        <v>·</v>
      </c>
      <c r="BL113" s="225" t="str">
        <f>IF(OR(ISBLANK($R113:$R118),ISBLANK($AO113:$AO118),ISBLANK($X113:$X118),ISBLANK($AU113:$AU118)),"·",bdRateHermite($R113:$R118,$X113:$X118,$AO113:$AO118,$AU113:$AU118))</f>
        <v>·</v>
      </c>
      <c r="BM113" s="92"/>
      <c r="BO113" s="83" t="str">
        <f>IF( OR(ISBLANK($P113:$P118),ISBLANK($AM113:$AM118), ISBLANK($T113:$T118),ISBLANK($AQ113:$AQ118)), "·", bdRateHermite($P113:$P118,$T113:$T118, $AM113:$AM118,$AQ113:$AQ118))</f>
        <v>·</v>
      </c>
      <c r="BP113" s="84" t="str">
        <f>IF( OR(ISBLANK($P113:$P118),ISBLANK($AM113:$AM118), ISBLANK(U113:U118),ISBLANK(AR113:AR118)), "·", bdRateHermite( $P113:$P118,U113:U118, $AM113:$AM118,AR113:AR118))</f>
        <v>·</v>
      </c>
      <c r="BQ113" s="84" t="str">
        <f>IF( OR(ISBLANK($P113:$P118),ISBLANK($AM113:$AM118), ISBLANK(V113:V118),ISBLANK(AS113:AS118)), "·", bdRateHermite( $P113:$P118,V113:V118, $AM113:$AM118,AS113:AS118))</f>
        <v>·</v>
      </c>
      <c r="BR113" s="84" t="str">
        <f>IF( OR(ISBLANK($P113:$P118),ISBLANK($AM113:$AM118), ISBLANK(W113:W118),ISBLANK(AT113:AT118)), "·", bdRateHermite( $P113:$P118,W113:W118, $AM113:$AM118,AT113:AT118))</f>
        <v>·</v>
      </c>
      <c r="BS113" s="84" t="str">
        <f>IF( OR(ISBLANK($P113:$P118),ISBLANK($AM113:$AM118), ISBLANK(X113:X118),ISBLANK(AU113:AU118)), "·", bdRateHermite( $P113:$P118,X113:X118, $AM113:$AM118,AU113:AU118))</f>
        <v>·</v>
      </c>
      <c r="BT113" s="92"/>
      <c r="BV113" s="83" t="str">
        <f>IF( OR(ISBLANK($Q113:$Q118),ISBLANK($AN113:$AN118), ISBLANK(T114:T118),ISBLANK(AQ114:AQ118)), "·", bdRateHermite( $Q114:$Q118,T114:T118, $AN114:$AN118,AQ114:AQ118))</f>
        <v>·</v>
      </c>
      <c r="BW113" s="83" t="str">
        <f>IF( OR(ISBLANK($Q113:$Q118),ISBLANK($AN113:$AN118), ISBLANK(U114:U118),ISBLANK(AR114:AR118)), "·", bdRateHermite( $Q114:$Q118,U114:U118, $AN114:$AN118,AR114:AR118))</f>
        <v>·</v>
      </c>
      <c r="BX113" s="225" t="str">
        <f>IF(OR(ISBLANK($R113:$R118),ISBLANK($AO113:$AO118),ISBLANK($V113:$V118),ISBLANK($AS113:$AS118)),"·",bdRateHermite($R114:$R118,$V114:$V118,$AO114:$AO118,$AS114:$AS118))</f>
        <v>·</v>
      </c>
      <c r="BY113" s="225" t="str">
        <f>IF(OR(ISBLANK($R113:$R118),ISBLANK($AO113:$AO118),ISBLANK($W113:$W118),ISBLANK($AT113:$AT118)),"·",bdRateHermite($R114:$R118,$W114:$W118,$AO114:$AO118,$AT114:$AT118))</f>
        <v>·</v>
      </c>
      <c r="BZ113" s="225" t="str">
        <f>IF(OR(ISBLANK($R113:$R118),ISBLANK($AO113:$AO118),ISBLANK($X113:$X118),ISBLANK($AU113:$AU118)),"·",bdRateHermite($R114:$R118,$X114:$X118,$AO114:$AO118,$AU114:$AU118))</f>
        <v>·</v>
      </c>
      <c r="CA113" s="92"/>
      <c r="CC113" s="83" t="str">
        <f>IF( OR(ISBLANK($P113:$P118),ISBLANK($AM113:$AM118), ISBLANK($T113:$T118),ISBLANK($AQ113:$AQ118)), "·", bdRateHermite($P114:$P118,$T114:$T118, $AM114:$AM118,$AQ114:$AQ118))</f>
        <v>·</v>
      </c>
      <c r="CD113" s="84" t="str">
        <f>IF( OR(ISBLANK($P113:$P118),ISBLANK($AM113:$AM118), ISBLANK(U113:U118),ISBLANK(AR113:AR118)), "·", bdRateHermite( $P114:$P118,U114:U118, $AM114:$AM118,AR114:AR118))</f>
        <v>·</v>
      </c>
      <c r="CE113" s="84" t="str">
        <f>IF( OR(ISBLANK($P113:$P118),ISBLANK($AM113:$AM118), ISBLANK(V113:V118),ISBLANK(AS113:AS118)), "·", bdRateHermite( $P114:$P118,V114:V118, $AM114:$AM118,AS114:AS118))</f>
        <v>·</v>
      </c>
      <c r="CF113" s="84" t="str">
        <f>IF( OR(ISBLANK($P113:$P118),ISBLANK($AM113:$AM118), ISBLANK(W113:W118),ISBLANK(AT113:AT118)), "·", bdRateHermite( $P114:$P118,W114:W118, $AM114:$AM118,AT114:AT118))</f>
        <v>·</v>
      </c>
      <c r="CG113" s="84" t="str">
        <f>IF( OR(ISBLANK($P113:$P118),ISBLANK($AM113:$AM118), ISBLANK(X113:X118),ISBLANK(AU113:AU118)), "·", bdRateHermite( $P114:$P118,X114:X118, $AM114:$AM118,AU114:AU118))</f>
        <v>·</v>
      </c>
      <c r="CH113" s="92"/>
      <c r="CJ113" s="83" t="str">
        <f>IF( OR(ISBLANK($Q113:$Q117),ISBLANK($AN113:$AN117), ISBLANK($T113:$T117),ISBLANK($AQ113:$AQ117)), "·", bdRateHermite( $Q113:$Q117,$T113:$T117, $AN113:$AN117,$AQ113:$AQ117))</f>
        <v>·</v>
      </c>
      <c r="CK113" s="84" t="str">
        <f>IF(OR(ISBLANK($Q113:$Q117),ISBLANK($AN113:$AN117),ISBLANK(U113:U117),ISBLANK(AR113:AR117)),"·",bdRateHermite($Q113:$Q117,U113:U117,$AN113:$AN117,AR113:AR117))</f>
        <v>·</v>
      </c>
      <c r="CL113" s="225" t="str">
        <f>IF(OR(ISBLANK($R113:$R118),ISBLANK($AO113:$AO118),ISBLANK($V113:$V118),ISBLANK($AS113:$AS118)),"·",bdRateHermite($R113:$R117,$V113:$V117,$AO113:$AO117,$AS113:$AS117))</f>
        <v>·</v>
      </c>
      <c r="CM113" s="225" t="str">
        <f>IF(OR(ISBLANK($R113:$R118),ISBLANK($AO113:$AO118),ISBLANK($W113:$W118),ISBLANK($AT113:$AT118)),"·",bdRateHermite($R113:$R117,$W113:$W117,$AO113:$AO117,$AT113:$AT117))</f>
        <v>·</v>
      </c>
      <c r="CN113" s="225" t="str">
        <f>IF(OR(ISBLANK($R113:$R118),ISBLANK($AO113:$AO118),ISBLANK($X113:$X118),ISBLANK($AU113:$AU118)),"·",bdRateHermite($R113:$R117,$X113:$X117,$AO113:$AO117,$AU113:$AU117))</f>
        <v>·</v>
      </c>
      <c r="CO113" s="92"/>
      <c r="CQ113" s="83" t="str">
        <f>IF( OR(ISBLANK($P113:$P117),ISBLANK($AM113:$AM117), ISBLANK($T113:$T117),ISBLANK($AQ113:$AQ117)), "·", bdRateHermite($P113:$P117,$T113:$T117, $AM113:$AM117,$AQ113:$AQ117))</f>
        <v>·</v>
      </c>
      <c r="CR113" s="84" t="str">
        <f>IF( OR(ISBLANK($P113:$P117),ISBLANK($AM113:$AM117), ISBLANK(U113:U117),ISBLANK(AR113:AR117)), "·", bdRateHermite( $P113:$P117,U113:U117, $AM113:$AM117,AR113:AR117))</f>
        <v>·</v>
      </c>
      <c r="CS113" s="84" t="str">
        <f>IF( OR(ISBLANK($P113:$P117),ISBLANK($AM113:$AM117), ISBLANK(V113:V117),ISBLANK(AS113:AS117)), "·", bdRateHermite( $P113:$P117,V113:V117, $AM113:$AM117,AS113:AS117))</f>
        <v>·</v>
      </c>
      <c r="CT113" s="84" t="str">
        <f>IF( OR(ISBLANK($P113:$P117),ISBLANK($AM113:$AM117), ISBLANK(W113:W117),ISBLANK(AT113:AT117)), "·", bdRateHermite( $P113:$P117,W113:W117, $AM113:$AM117,AT113:AT117))</f>
        <v>·</v>
      </c>
      <c r="CU113" s="84" t="str">
        <f>IF( OR(ISBLANK($P113:$P117),ISBLANK($AM113:$AM117), ISBLANK(X113:X117),ISBLANK(AU113:AU117)), "·", bdRateHermite( $P113:$P117,X113:X117, $AM113:$AM117,AU113:AU117))</f>
        <v>·</v>
      </c>
      <c r="CV113" s="92"/>
    </row>
    <row r="114" spans="1:100" outlineLevel="1">
      <c r="A114" s="13"/>
      <c r="B114" s="14" t="s">
        <v>873</v>
      </c>
      <c r="C114" s="15" t="s">
        <v>132</v>
      </c>
      <c r="D114" s="465">
        <v>186907991</v>
      </c>
      <c r="E114" s="15">
        <v>11</v>
      </c>
      <c r="F114" s="25">
        <v>64</v>
      </c>
      <c r="G114" s="16">
        <v>30</v>
      </c>
      <c r="I114" s="30">
        <f t="shared" si="20"/>
        <v>3.0571837500000001</v>
      </c>
      <c r="J114" s="43">
        <f t="shared" si="21"/>
        <v>3.4894131412498038E-2</v>
      </c>
      <c r="K114" s="43">
        <f t="shared" si="22"/>
        <v>2.0864083868944908E-2</v>
      </c>
      <c r="L114" s="31">
        <f t="shared" ref="L114:L136" si="39">IF(R114="","·",R114/D114)</f>
        <v>1.3841120361729211E-2</v>
      </c>
      <c r="M114" s="51"/>
      <c r="N114" s="31">
        <f t="shared" si="23"/>
        <v>1.9627403885941832</v>
      </c>
      <c r="O114" s="356">
        <v>3322901</v>
      </c>
      <c r="P114" s="357">
        <v>6521992</v>
      </c>
      <c r="Q114" s="357">
        <v>3899664</v>
      </c>
      <c r="R114" s="208">
        <v>2587016</v>
      </c>
      <c r="S114" s="87"/>
      <c r="T114" s="358">
        <v>58.818100000000001</v>
      </c>
      <c r="U114" s="358">
        <v>54.181156000000001</v>
      </c>
      <c r="V114" s="358">
        <v>28.027146999999999</v>
      </c>
      <c r="W114" s="358">
        <v>33.069434999999999</v>
      </c>
      <c r="X114" s="358">
        <v>34.416221999999998</v>
      </c>
      <c r="Y114" s="87">
        <v>0</v>
      </c>
      <c r="Z114" s="359"/>
      <c r="AA114" s="359"/>
      <c r="AB114" s="32">
        <v>0</v>
      </c>
      <c r="AC114" s="32">
        <v>0</v>
      </c>
      <c r="AD114" s="33"/>
      <c r="AF114" s="30" t="str">
        <f t="shared" si="24"/>
        <v>·</v>
      </c>
      <c r="AG114" s="43" t="str">
        <f t="shared" si="25"/>
        <v>·</v>
      </c>
      <c r="AH114" s="43" t="str">
        <f t="shared" si="29"/>
        <v>·</v>
      </c>
      <c r="AI114" s="31" t="str">
        <f t="shared" si="38"/>
        <v>·</v>
      </c>
      <c r="AJ114" s="51"/>
      <c r="AK114" s="31" t="str">
        <f t="shared" si="36"/>
        <v>·</v>
      </c>
      <c r="AL114" s="356"/>
      <c r="AM114" s="357"/>
      <c r="AN114" s="357"/>
      <c r="AO114" s="208"/>
      <c r="AP114" s="87"/>
      <c r="AQ114" s="358"/>
      <c r="AR114" s="358"/>
      <c r="AS114" s="358"/>
      <c r="AT114" s="358"/>
      <c r="AU114" s="358"/>
      <c r="AV114" s="87"/>
      <c r="AW114" s="359"/>
      <c r="AX114" s="359"/>
      <c r="AY114" s="32">
        <v>0</v>
      </c>
      <c r="AZ114" s="32">
        <v>0</v>
      </c>
      <c r="BA114" s="33">
        <v>48</v>
      </c>
      <c r="BC114" s="56" t="e">
        <f t="shared" si="37"/>
        <v>#DIV/0!</v>
      </c>
      <c r="BD114" s="57" t="e">
        <f t="shared" si="37"/>
        <v>#DIV/0!</v>
      </c>
      <c r="BE114" s="57" t="e">
        <f t="shared" si="26"/>
        <v>#DIV/0!</v>
      </c>
      <c r="BF114" s="58"/>
      <c r="BH114" s="74"/>
      <c r="BI114" s="75"/>
      <c r="BJ114" s="75"/>
      <c r="BK114" s="75"/>
      <c r="BL114" s="75"/>
      <c r="BM114" s="87"/>
      <c r="BO114" s="74"/>
      <c r="BP114" s="75"/>
      <c r="BQ114" s="75"/>
      <c r="BR114" s="75"/>
      <c r="BS114" s="75"/>
      <c r="BT114" s="87"/>
      <c r="BV114" s="74"/>
      <c r="BW114" s="75"/>
      <c r="BX114" s="75"/>
      <c r="BY114" s="75"/>
      <c r="BZ114" s="75"/>
      <c r="CA114" s="87"/>
      <c r="CC114" s="74"/>
      <c r="CD114" s="75"/>
      <c r="CE114" s="75"/>
      <c r="CF114" s="75"/>
      <c r="CG114" s="75"/>
      <c r="CH114" s="87"/>
      <c r="CJ114" s="74"/>
      <c r="CK114" s="75"/>
      <c r="CL114" s="75"/>
      <c r="CM114" s="75"/>
      <c r="CN114" s="75"/>
      <c r="CO114" s="87"/>
      <c r="CQ114" s="74"/>
      <c r="CR114" s="75"/>
      <c r="CS114" s="75"/>
      <c r="CT114" s="75"/>
      <c r="CU114" s="75"/>
      <c r="CV114" s="87"/>
    </row>
    <row r="115" spans="1:100" outlineLevel="1">
      <c r="A115" s="13"/>
      <c r="B115" s="14" t="s">
        <v>873</v>
      </c>
      <c r="C115" s="15" t="s">
        <v>133</v>
      </c>
      <c r="D115" s="465">
        <v>186907991</v>
      </c>
      <c r="E115" s="15">
        <v>11</v>
      </c>
      <c r="F115" s="25">
        <v>64</v>
      </c>
      <c r="G115" s="16">
        <v>30</v>
      </c>
      <c r="I115" s="30">
        <f t="shared" si="20"/>
        <v>14.17692375</v>
      </c>
      <c r="J115" s="31">
        <f t="shared" si="21"/>
        <v>0.16181279269113755</v>
      </c>
      <c r="K115" s="31">
        <f t="shared" si="22"/>
        <v>7.5271645287760869E-2</v>
      </c>
      <c r="L115" s="31">
        <f t="shared" si="39"/>
        <v>8.6349780518479816E-2</v>
      </c>
      <c r="M115" s="51"/>
      <c r="N115" s="31">
        <f t="shared" si="23"/>
        <v>2.3119923757413483</v>
      </c>
      <c r="O115" s="356">
        <v>13081403</v>
      </c>
      <c r="P115" s="357">
        <v>30244104</v>
      </c>
      <c r="Q115" s="357">
        <v>14068872</v>
      </c>
      <c r="R115" s="208">
        <v>16139464</v>
      </c>
      <c r="S115" s="87"/>
      <c r="T115" s="358">
        <v>64.461105000000003</v>
      </c>
      <c r="U115" s="358">
        <v>60.201720999999999</v>
      </c>
      <c r="V115" s="358">
        <v>33.247138999999997</v>
      </c>
      <c r="W115" s="358">
        <v>37.475307000000001</v>
      </c>
      <c r="X115" s="358">
        <v>40.431128999999999</v>
      </c>
      <c r="Y115" s="87">
        <v>0</v>
      </c>
      <c r="Z115" s="359"/>
      <c r="AA115" s="359"/>
      <c r="AB115" s="32">
        <v>0</v>
      </c>
      <c r="AC115" s="32">
        <v>0</v>
      </c>
      <c r="AD115" s="33"/>
      <c r="AF115" s="30" t="str">
        <f t="shared" si="24"/>
        <v>·</v>
      </c>
      <c r="AG115" s="31" t="str">
        <f t="shared" si="25"/>
        <v>·</v>
      </c>
      <c r="AH115" s="31" t="str">
        <f t="shared" si="29"/>
        <v>·</v>
      </c>
      <c r="AI115" s="31" t="str">
        <f t="shared" si="38"/>
        <v>·</v>
      </c>
      <c r="AJ115" s="51"/>
      <c r="AK115" s="31" t="str">
        <f t="shared" si="36"/>
        <v>·</v>
      </c>
      <c r="AL115" s="356"/>
      <c r="AM115" s="357"/>
      <c r="AN115" s="357"/>
      <c r="AO115" s="208"/>
      <c r="AP115" s="87"/>
      <c r="AQ115" s="358"/>
      <c r="AR115" s="358"/>
      <c r="AS115" s="358"/>
      <c r="AT115" s="358"/>
      <c r="AU115" s="358"/>
      <c r="AV115" s="87"/>
      <c r="AW115" s="359"/>
      <c r="AX115" s="359"/>
      <c r="AY115" s="32">
        <v>0</v>
      </c>
      <c r="AZ115" s="32">
        <v>0</v>
      </c>
      <c r="BA115" s="33">
        <v>12</v>
      </c>
      <c r="BC115" s="56" t="e">
        <f t="shared" si="37"/>
        <v>#DIV/0!</v>
      </c>
      <c r="BD115" s="57" t="e">
        <f t="shared" si="37"/>
        <v>#DIV/0!</v>
      </c>
      <c r="BE115" s="57" t="e">
        <f t="shared" si="26"/>
        <v>#DIV/0!</v>
      </c>
      <c r="BF115" s="58"/>
      <c r="BH115" s="74"/>
      <c r="BI115" s="75"/>
      <c r="BJ115" s="75"/>
      <c r="BK115" s="75"/>
      <c r="BL115" s="75"/>
      <c r="BM115" s="87"/>
      <c r="BO115" s="74"/>
      <c r="BP115" s="75"/>
      <c r="BQ115" s="75"/>
      <c r="BR115" s="75"/>
      <c r="BS115" s="75"/>
      <c r="BT115" s="87"/>
      <c r="BV115" s="74"/>
      <c r="BW115" s="75"/>
      <c r="BX115" s="75"/>
      <c r="BY115" s="75"/>
      <c r="BZ115" s="75"/>
      <c r="CA115" s="87"/>
      <c r="CC115" s="74"/>
      <c r="CD115" s="75"/>
      <c r="CE115" s="75"/>
      <c r="CF115" s="75"/>
      <c r="CG115" s="75"/>
      <c r="CH115" s="87"/>
      <c r="CJ115" s="74"/>
      <c r="CK115" s="75"/>
      <c r="CL115" s="75"/>
      <c r="CM115" s="75"/>
      <c r="CN115" s="75"/>
      <c r="CO115" s="87"/>
      <c r="CQ115" s="74"/>
      <c r="CR115" s="75"/>
      <c r="CS115" s="75"/>
      <c r="CT115" s="75"/>
      <c r="CU115" s="75"/>
      <c r="CV115" s="87"/>
    </row>
    <row r="116" spans="1:100" outlineLevel="1">
      <c r="A116" s="13"/>
      <c r="B116" s="14" t="s">
        <v>872</v>
      </c>
      <c r="C116" s="15" t="s">
        <v>134</v>
      </c>
      <c r="D116" s="465">
        <v>186907991</v>
      </c>
      <c r="E116" s="15">
        <v>11</v>
      </c>
      <c r="F116" s="25">
        <v>64</v>
      </c>
      <c r="G116" s="16">
        <v>30</v>
      </c>
      <c r="I116" s="30">
        <f t="shared" si="20"/>
        <v>67.692993749999999</v>
      </c>
      <c r="J116" s="31">
        <f t="shared" si="21"/>
        <v>0.77263534441392612</v>
      </c>
      <c r="K116" s="31">
        <f t="shared" si="22"/>
        <v>0.27054886058884448</v>
      </c>
      <c r="L116" s="31">
        <f t="shared" si="39"/>
        <v>0.50189319085881134</v>
      </c>
      <c r="M116" s="51"/>
      <c r="N116" s="31">
        <f t="shared" si="23"/>
        <v>2.8578675001463449</v>
      </c>
      <c r="O116" s="356">
        <v>50531286</v>
      </c>
      <c r="P116" s="357">
        <v>144411720</v>
      </c>
      <c r="Q116" s="357">
        <v>50567744</v>
      </c>
      <c r="R116" s="208">
        <v>93807848</v>
      </c>
      <c r="S116" s="87"/>
      <c r="T116" s="358">
        <v>69.232367999999994</v>
      </c>
      <c r="U116" s="358">
        <v>66.222389000000007</v>
      </c>
      <c r="V116" s="358">
        <v>38.192371000000001</v>
      </c>
      <c r="W116" s="358">
        <v>43.030890999999997</v>
      </c>
      <c r="X116" s="358">
        <v>45.182513999999998</v>
      </c>
      <c r="Y116" s="87">
        <v>0</v>
      </c>
      <c r="Z116" s="359"/>
      <c r="AA116" s="359"/>
      <c r="AB116" s="32">
        <v>0</v>
      </c>
      <c r="AC116" s="32">
        <v>0</v>
      </c>
      <c r="AD116" s="33"/>
      <c r="AF116" s="30" t="str">
        <f t="shared" si="24"/>
        <v>·</v>
      </c>
      <c r="AG116" s="31" t="str">
        <f t="shared" si="25"/>
        <v>·</v>
      </c>
      <c r="AH116" s="31" t="str">
        <f t="shared" si="29"/>
        <v>·</v>
      </c>
      <c r="AI116" s="31" t="str">
        <f t="shared" si="38"/>
        <v>·</v>
      </c>
      <c r="AJ116" s="51"/>
      <c r="AK116" s="31" t="str">
        <f t="shared" si="36"/>
        <v>·</v>
      </c>
      <c r="AL116" s="356"/>
      <c r="AM116" s="357"/>
      <c r="AN116" s="357"/>
      <c r="AO116" s="208"/>
      <c r="AP116" s="87"/>
      <c r="AQ116" s="358"/>
      <c r="AR116" s="358"/>
      <c r="AS116" s="358"/>
      <c r="AT116" s="358"/>
      <c r="AU116" s="358"/>
      <c r="AV116" s="87"/>
      <c r="AW116" s="359"/>
      <c r="AX116" s="359"/>
      <c r="AY116" s="32">
        <v>0</v>
      </c>
      <c r="AZ116" s="32">
        <v>0</v>
      </c>
      <c r="BA116" s="33">
        <v>3</v>
      </c>
      <c r="BC116" s="56" t="e">
        <f t="shared" si="37"/>
        <v>#DIV/0!</v>
      </c>
      <c r="BD116" s="57" t="e">
        <f t="shared" si="37"/>
        <v>#DIV/0!</v>
      </c>
      <c r="BE116" s="57" t="e">
        <f t="shared" si="26"/>
        <v>#DIV/0!</v>
      </c>
      <c r="BF116" s="58"/>
      <c r="BH116" s="74"/>
      <c r="BI116" s="75"/>
      <c r="BJ116" s="75"/>
      <c r="BK116" s="75"/>
      <c r="BL116" s="75"/>
      <c r="BM116" s="87"/>
      <c r="BO116" s="74"/>
      <c r="BP116" s="75"/>
      <c r="BQ116" s="75"/>
      <c r="BR116" s="75"/>
      <c r="BS116" s="75"/>
      <c r="BT116" s="87"/>
      <c r="BV116" s="74"/>
      <c r="BW116" s="75"/>
      <c r="BX116" s="75"/>
      <c r="BY116" s="75"/>
      <c r="BZ116" s="75"/>
      <c r="CA116" s="87"/>
      <c r="CC116" s="74"/>
      <c r="CD116" s="75"/>
      <c r="CE116" s="75"/>
      <c r="CF116" s="75"/>
      <c r="CG116" s="75"/>
      <c r="CH116" s="87"/>
      <c r="CJ116" s="74"/>
      <c r="CK116" s="75"/>
      <c r="CL116" s="75"/>
      <c r="CM116" s="75"/>
      <c r="CN116" s="75"/>
      <c r="CO116" s="87"/>
      <c r="CQ116" s="74"/>
      <c r="CR116" s="75"/>
      <c r="CS116" s="75"/>
      <c r="CT116" s="75"/>
      <c r="CU116" s="75"/>
      <c r="CV116" s="87"/>
    </row>
    <row r="117" spans="1:100" outlineLevel="1">
      <c r="A117" s="13"/>
      <c r="B117" s="14" t="s">
        <v>872</v>
      </c>
      <c r="C117" s="15" t="s">
        <v>135</v>
      </c>
      <c r="D117" s="465">
        <v>186907991</v>
      </c>
      <c r="E117" s="15">
        <v>11</v>
      </c>
      <c r="F117" s="25">
        <v>64</v>
      </c>
      <c r="G117" s="16">
        <v>30</v>
      </c>
      <c r="I117" s="30">
        <f t="shared" si="20"/>
        <v>226.44955874999999</v>
      </c>
      <c r="J117" s="31">
        <f t="shared" si="21"/>
        <v>2.5846534940285135</v>
      </c>
      <c r="K117" s="31">
        <f t="shared" si="22"/>
        <v>0.60854438267436084</v>
      </c>
      <c r="L117" s="31">
        <f t="shared" si="39"/>
        <v>1.9759129078649185</v>
      </c>
      <c r="M117" s="51"/>
      <c r="N117" s="31">
        <f t="shared" si="23"/>
        <v>4.4154887327904397</v>
      </c>
      <c r="O117" s="356">
        <v>109408589</v>
      </c>
      <c r="P117" s="357">
        <v>483092392</v>
      </c>
      <c r="Q117" s="357">
        <v>113741808</v>
      </c>
      <c r="R117" s="208">
        <v>369313912</v>
      </c>
      <c r="S117" s="87"/>
      <c r="T117" s="358">
        <v>74.015877000000003</v>
      </c>
      <c r="U117" s="358">
        <v>69.74794</v>
      </c>
      <c r="V117" s="358">
        <v>40.789707</v>
      </c>
      <c r="W117" s="358">
        <v>46.153027000000002</v>
      </c>
      <c r="X117" s="358">
        <v>48.741905000000003</v>
      </c>
      <c r="Y117" s="87">
        <v>0</v>
      </c>
      <c r="Z117" s="359"/>
      <c r="AA117" s="359"/>
      <c r="AB117" s="32">
        <v>0</v>
      </c>
      <c r="AC117" s="32">
        <v>0</v>
      </c>
      <c r="AD117" s="33"/>
      <c r="AF117" s="30" t="str">
        <f t="shared" si="24"/>
        <v>·</v>
      </c>
      <c r="AG117" s="31" t="str">
        <f t="shared" si="25"/>
        <v>·</v>
      </c>
      <c r="AH117" s="31" t="str">
        <f t="shared" si="29"/>
        <v>·</v>
      </c>
      <c r="AI117" s="31" t="str">
        <f t="shared" si="38"/>
        <v>·</v>
      </c>
      <c r="AJ117" s="51"/>
      <c r="AK117" s="31" t="str">
        <f t="shared" si="36"/>
        <v>·</v>
      </c>
      <c r="AL117" s="356"/>
      <c r="AM117" s="357"/>
      <c r="AN117" s="357"/>
      <c r="AO117" s="208"/>
      <c r="AP117" s="87"/>
      <c r="AQ117" s="358"/>
      <c r="AR117" s="358"/>
      <c r="AS117" s="358"/>
      <c r="AT117" s="358"/>
      <c r="AU117" s="358"/>
      <c r="AV117" s="87"/>
      <c r="AW117" s="359"/>
      <c r="AX117" s="359"/>
      <c r="AY117" s="32">
        <v>0</v>
      </c>
      <c r="AZ117" s="32">
        <v>0</v>
      </c>
      <c r="BA117" s="33">
        <v>1.3321798124999999</v>
      </c>
      <c r="BC117" s="56" t="e">
        <f t="shared" si="37"/>
        <v>#DIV/0!</v>
      </c>
      <c r="BD117" s="57" t="e">
        <f t="shared" si="37"/>
        <v>#DIV/0!</v>
      </c>
      <c r="BE117" s="57" t="e">
        <f t="shared" si="26"/>
        <v>#DIV/0!</v>
      </c>
      <c r="BF117" s="58"/>
      <c r="BH117" s="74"/>
      <c r="BI117" s="75"/>
      <c r="BJ117" s="75"/>
      <c r="BK117" s="75"/>
      <c r="BL117" s="75"/>
      <c r="BM117" s="87"/>
      <c r="BO117" s="74"/>
      <c r="BP117" s="75"/>
      <c r="BQ117" s="75"/>
      <c r="BR117" s="75"/>
      <c r="BS117" s="75"/>
      <c r="BT117" s="87"/>
      <c r="BV117" s="74"/>
      <c r="BW117" s="75"/>
      <c r="BX117" s="75"/>
      <c r="BY117" s="75"/>
      <c r="BZ117" s="75"/>
      <c r="CA117" s="87"/>
      <c r="CC117" s="74"/>
      <c r="CD117" s="75"/>
      <c r="CE117" s="75"/>
      <c r="CF117" s="75"/>
      <c r="CG117" s="75"/>
      <c r="CH117" s="87"/>
      <c r="CJ117" s="74"/>
      <c r="CK117" s="75"/>
      <c r="CL117" s="75"/>
      <c r="CM117" s="75"/>
      <c r="CN117" s="75"/>
      <c r="CO117" s="87"/>
      <c r="CQ117" s="74"/>
      <c r="CR117" s="75"/>
      <c r="CS117" s="75"/>
      <c r="CT117" s="75"/>
      <c r="CU117" s="75"/>
      <c r="CV117" s="87"/>
    </row>
    <row r="118" spans="1:100" ht="14.25" outlineLevel="1" thickBot="1">
      <c r="A118" s="13"/>
      <c r="B118" s="18" t="s">
        <v>872</v>
      </c>
      <c r="C118" s="22" t="s">
        <v>136</v>
      </c>
      <c r="D118" s="468">
        <v>186907991</v>
      </c>
      <c r="E118" s="22">
        <v>11</v>
      </c>
      <c r="F118" s="188">
        <v>64</v>
      </c>
      <c r="G118" s="23">
        <v>30</v>
      </c>
      <c r="I118" s="38">
        <f t="shared" si="20"/>
        <v>456.07258875000002</v>
      </c>
      <c r="J118" s="39">
        <f t="shared" si="21"/>
        <v>5.2055284035448226</v>
      </c>
      <c r="K118" s="39">
        <f t="shared" si="22"/>
        <v>0.79954552611931928</v>
      </c>
      <c r="L118" s="35">
        <f t="shared" si="39"/>
        <v>4.4057861603145687</v>
      </c>
      <c r="M118" s="52"/>
      <c r="N118" s="39">
        <f t="shared" si="23"/>
        <v>6.6643209816867399</v>
      </c>
      <c r="O118" s="368">
        <v>145994597</v>
      </c>
      <c r="P118" s="369">
        <v>972954856</v>
      </c>
      <c r="Q118" s="369">
        <v>149441448</v>
      </c>
      <c r="R118" s="209">
        <v>823476640</v>
      </c>
      <c r="S118" s="88"/>
      <c r="T118" s="370">
        <v>75.728035000000006</v>
      </c>
      <c r="U118" s="370">
        <v>71.087646000000007</v>
      </c>
      <c r="V118" s="370">
        <v>44.242733000000001</v>
      </c>
      <c r="W118" s="370">
        <v>49.853405000000002</v>
      </c>
      <c r="X118" s="370">
        <v>51.895313000000002</v>
      </c>
      <c r="Y118" s="88">
        <v>0</v>
      </c>
      <c r="Z118" s="371"/>
      <c r="AA118" s="371"/>
      <c r="AB118" s="40">
        <v>0</v>
      </c>
      <c r="AC118" s="40">
        <v>0</v>
      </c>
      <c r="AD118" s="41"/>
      <c r="AF118" s="38" t="str">
        <f t="shared" si="24"/>
        <v>·</v>
      </c>
      <c r="AG118" s="39" t="str">
        <f t="shared" si="25"/>
        <v>·</v>
      </c>
      <c r="AH118" s="39" t="str">
        <f t="shared" si="29"/>
        <v>·</v>
      </c>
      <c r="AI118" s="35" t="str">
        <f t="shared" si="38"/>
        <v>·</v>
      </c>
      <c r="AJ118" s="52"/>
      <c r="AK118" s="39" t="str">
        <f t="shared" si="36"/>
        <v>·</v>
      </c>
      <c r="AL118" s="368"/>
      <c r="AM118" s="369"/>
      <c r="AN118" s="369"/>
      <c r="AO118" s="209"/>
      <c r="AP118" s="88"/>
      <c r="AQ118" s="370"/>
      <c r="AR118" s="370"/>
      <c r="AS118" s="370"/>
      <c r="AT118" s="370"/>
      <c r="AU118" s="370"/>
      <c r="AV118" s="88"/>
      <c r="AW118" s="371"/>
      <c r="AX118" s="371"/>
      <c r="AY118" s="40">
        <v>0</v>
      </c>
      <c r="AZ118" s="40">
        <v>0</v>
      </c>
      <c r="BA118" s="41">
        <v>0.97856920312499995</v>
      </c>
      <c r="BC118" s="62" t="e">
        <f t="shared" si="37"/>
        <v>#DIV/0!</v>
      </c>
      <c r="BD118" s="63" t="e">
        <f t="shared" si="37"/>
        <v>#DIV/0!</v>
      </c>
      <c r="BE118" s="63" t="e">
        <f t="shared" si="26"/>
        <v>#DIV/0!</v>
      </c>
      <c r="BF118" s="64"/>
      <c r="BH118" s="80"/>
      <c r="BI118" s="81"/>
      <c r="BJ118" s="81"/>
      <c r="BK118" s="81"/>
      <c r="BL118" s="81"/>
      <c r="BM118" s="88"/>
      <c r="BO118" s="80"/>
      <c r="BP118" s="78"/>
      <c r="BQ118" s="78"/>
      <c r="BR118" s="78"/>
      <c r="BS118" s="78"/>
      <c r="BT118" s="88"/>
      <c r="BV118" s="77"/>
      <c r="BW118" s="78"/>
      <c r="BX118" s="78"/>
      <c r="BY118" s="78"/>
      <c r="BZ118" s="78"/>
      <c r="CA118" s="88"/>
      <c r="CC118" s="77"/>
      <c r="CD118" s="78"/>
      <c r="CE118" s="78"/>
      <c r="CF118" s="78"/>
      <c r="CG118" s="78"/>
      <c r="CH118" s="88"/>
      <c r="CJ118" s="77"/>
      <c r="CK118" s="78"/>
      <c r="CL118" s="78"/>
      <c r="CM118" s="78"/>
      <c r="CN118" s="78"/>
      <c r="CO118" s="88"/>
      <c r="CQ118" s="77"/>
      <c r="CR118" s="78"/>
      <c r="CS118" s="78"/>
      <c r="CT118" s="78"/>
      <c r="CU118" s="78"/>
      <c r="CV118" s="88"/>
    </row>
    <row r="119" spans="1:100">
      <c r="A119" s="13"/>
      <c r="B119" s="27" t="s">
        <v>879</v>
      </c>
      <c r="C119" s="28" t="s">
        <v>131</v>
      </c>
      <c r="D119" s="466">
        <v>166028718</v>
      </c>
      <c r="E119" s="28">
        <v>11</v>
      </c>
      <c r="F119" s="28">
        <v>64</v>
      </c>
      <c r="G119" s="29">
        <v>30</v>
      </c>
      <c r="I119" s="46">
        <f t="shared" si="20"/>
        <v>0.68378249999999996</v>
      </c>
      <c r="J119" s="47">
        <f t="shared" si="21"/>
        <v>8.7860462790539644E-3</v>
      </c>
      <c r="K119" s="47">
        <f t="shared" si="22"/>
        <v>6.0493630987381352E-3</v>
      </c>
      <c r="L119" s="43">
        <f t="shared" si="39"/>
        <v>2.5296828467952152E-3</v>
      </c>
      <c r="M119" s="55"/>
      <c r="N119" s="47">
        <f t="shared" si="23"/>
        <v>1.9699444696527733</v>
      </c>
      <c r="O119" s="352">
        <v>740496</v>
      </c>
      <c r="P119" s="353">
        <v>1458736</v>
      </c>
      <c r="Q119" s="353">
        <v>1004368</v>
      </c>
      <c r="R119" s="353">
        <v>420000</v>
      </c>
      <c r="S119" s="87"/>
      <c r="T119" s="354">
        <v>52.897987000000001</v>
      </c>
      <c r="U119" s="354">
        <v>48.160580000000003</v>
      </c>
      <c r="V119" s="354">
        <v>22.475415999999999</v>
      </c>
      <c r="W119" s="354">
        <v>34.897590999999998</v>
      </c>
      <c r="X119" s="354">
        <v>34.749789999999997</v>
      </c>
      <c r="Y119" s="87">
        <v>0</v>
      </c>
      <c r="Z119" s="355"/>
      <c r="AA119" s="355"/>
      <c r="AB119" s="48">
        <v>0</v>
      </c>
      <c r="AC119" s="48">
        <v>0</v>
      </c>
      <c r="AD119" s="49"/>
      <c r="AF119" s="46" t="str">
        <f t="shared" si="24"/>
        <v>·</v>
      </c>
      <c r="AG119" s="47" t="str">
        <f t="shared" si="25"/>
        <v>·</v>
      </c>
      <c r="AH119" s="47" t="str">
        <f t="shared" si="29"/>
        <v>·</v>
      </c>
      <c r="AI119" s="43" t="str">
        <f t="shared" si="38"/>
        <v>·</v>
      </c>
      <c r="AJ119" s="55"/>
      <c r="AK119" s="47" t="str">
        <f t="shared" si="36"/>
        <v>·</v>
      </c>
      <c r="AL119" s="352"/>
      <c r="AM119" s="353"/>
      <c r="AN119" s="353"/>
      <c r="AO119" s="353"/>
      <c r="AP119" s="87"/>
      <c r="AQ119" s="354"/>
      <c r="AR119" s="354"/>
      <c r="AS119" s="354"/>
      <c r="AT119" s="354"/>
      <c r="AU119" s="354"/>
      <c r="AV119" s="87"/>
      <c r="AW119" s="355"/>
      <c r="AX119" s="355"/>
      <c r="AY119" s="48">
        <v>0</v>
      </c>
      <c r="AZ119" s="48">
        <v>0</v>
      </c>
      <c r="BA119" s="49">
        <v>192</v>
      </c>
      <c r="BC119" s="68" t="e">
        <f t="shared" si="37"/>
        <v>#DIV/0!</v>
      </c>
      <c r="BD119" s="69" t="e">
        <f t="shared" si="37"/>
        <v>#DIV/0!</v>
      </c>
      <c r="BE119" s="69" t="e">
        <f t="shared" si="26"/>
        <v>#DIV/0!</v>
      </c>
      <c r="BF119" s="70" t="e">
        <f t="array" ref="BF119">AVERAGE(AN119:AN124/AM119:AM124) - AVERAGE(Q119:Q124/P119:P124)</f>
        <v>#DIV/0!</v>
      </c>
      <c r="BH119" s="224" t="str">
        <f>IF( OR(ISBLANK($Q119:$Q124),ISBLANK($AN119:$AN124), ISBLANK($T119:$T124),ISBLANK($AQ119:$AQ124)), "·", bdRateHermite( $Q119:$Q124,$T119:$T124, $AN119:$AN124,$AQ119:$AQ124))</f>
        <v>·</v>
      </c>
      <c r="BI119" s="225" t="str">
        <f>IF(OR(ISBLANK(Q119:Q124),ISBLANK(AN119:AN124),ISBLANK(U119:U124),ISBLANK(AR119:AR124)),"·",bdRateHermite(Q119:Q124,U119:U124,AN119:AN124,AR119:AR124))</f>
        <v>·</v>
      </c>
      <c r="BJ119" s="225" t="str">
        <f>IF(OR(ISBLANK($R119:$R124),ISBLANK($AO119:$AO124),ISBLANK(V119:V124),ISBLANK(AS119:AS124)),"·",bdRateHermite($R119:$R124,V119:V124,$AO119:$AO124,AS119:AS124))</f>
        <v>·</v>
      </c>
      <c r="BK119" s="225" t="str">
        <f>IF(OR(ISBLANK($R119:$R124),ISBLANK($AO119:$AO124),ISBLANK(W119:W124),ISBLANK(AT119:AT124)),"·",bdRateHermite($R119:$R124,W119:W124,$AO119:$AO124,AT119:AT124))</f>
        <v>·</v>
      </c>
      <c r="BL119" s="225" t="str">
        <f>IF(OR(ISBLANK($R119:$R124),ISBLANK($AO119:$AO124),ISBLANK(X119:X124),ISBLANK(AU119:AU124)),"·",bdRateHermite($R119:$R124,X119:X124,$AO119:$AO124,AU119:AU124))</f>
        <v>·</v>
      </c>
      <c r="BM119" s="92"/>
      <c r="BO119" s="224" t="str">
        <f>IF( OR(ISBLANK($P119:$P124),ISBLANK($AM119:$AM124), ISBLANK($T119:$T124),ISBLANK($AQ119:$AQ124)), "·", bdRateHermite($P119:$P124,$T119:$T124, $AM119:$AM124,$AQ119:$AQ124))</f>
        <v>·</v>
      </c>
      <c r="BP119" s="84" t="str">
        <f>IF( OR(ISBLANK($P119:$P124),ISBLANK($AM119:$AM124), ISBLANK(U119:U124),ISBLANK(AR119:AR124)), "·", bdRateHermite( $P119:$P124,U119:U124, $AM119:$AM124,AR119:AR124))</f>
        <v>·</v>
      </c>
      <c r="BQ119" s="84" t="str">
        <f>IF( OR(ISBLANK($P119:$P124),ISBLANK($AM119:$AM124), ISBLANK(V119:V124),ISBLANK(AS119:AS124)), "·", bdRateHermite( $P119:$P124,V119:V124, $AM119:$AM124,AS119:AS124))</f>
        <v>·</v>
      </c>
      <c r="BR119" s="84" t="str">
        <f>IF( OR(ISBLANK($P119:$P124),ISBLANK($AM119:$AM124), ISBLANK(W119:W124),ISBLANK(AT119:AT124)), "·", bdRateHermite( $P119:$P124,W119:W124, $AM119:$AM124,AT119:AT124))</f>
        <v>·</v>
      </c>
      <c r="BS119" s="84" t="str">
        <f>IF( OR(ISBLANK($P119:$P124),ISBLANK($AM119:$AM124), ISBLANK(X119:X124),ISBLANK(AU119:AU124)), "·", bdRateHermite( $P119:$P124,X119:X124, $AM119:$AM124,AU119:AU124))</f>
        <v>·</v>
      </c>
      <c r="BT119" s="90"/>
      <c r="BV119" s="83" t="str">
        <f>IF( OR(ISBLANK($Q119:$Q123),ISBLANK($AN119:$AN123), ISBLANK($T119:$T123),ISBLANK($AQ119:$AQ123)), "·", bdRateHermite( $Q120:$Q124,$T120:$T124, $AN120:$AN124,$AQ120:$AQ124))</f>
        <v>·</v>
      </c>
      <c r="BW119" s="84" t="str">
        <f>IF(OR(ISBLANK($Q119:$Q124),ISBLANK($AN119:$AN124),ISBLANK(U119:U124),ISBLANK(AR119:AR124)),"·",bdRateHermite($Q120:$Q124,U120:U124,$AN120:$AN124,AR120:AR124))</f>
        <v>·</v>
      </c>
      <c r="BX119" s="225" t="str">
        <f>IF(OR(ISBLANK($R119:$R124),ISBLANK($AO119:$AO124),ISBLANK($V119:$V124),ISBLANK($AS119:$AS124)),"·",bdRateHermite($R120:$R124,$V120:$V124,$AO120:$AO124,$AS120:$AS124))</f>
        <v>·</v>
      </c>
      <c r="BY119" s="225" t="str">
        <f>IF(OR(ISBLANK($R119:$R124),ISBLANK($AO119:$AO124),ISBLANK($W119:$W124),ISBLANK($AT119:$AT124)),"·",bdRateHermite($R120:$R124,$W120:$W124,$AO120:$AO124,$AT120:$AT124))</f>
        <v>·</v>
      </c>
      <c r="BZ119" s="225" t="str">
        <f>IF(OR(ISBLANK($R119:$R124),ISBLANK($AO119:$AO124),ISBLANK($X119:$X124),ISBLANK($AU119:$AU124)),"·",bdRateHermite($R120:$R124,$X120:$X124,$AO120:$AO124,$AU120:$AU124))</f>
        <v>·</v>
      </c>
      <c r="CA119" s="92"/>
      <c r="CC119" s="83" t="str">
        <f>IF( OR(ISBLANK($P119:$P124),ISBLANK($AM119:$AM124), ISBLANK($T119:$T124),ISBLANK($AQ119:$AQ124)), "·", bdRateHermite($P120:$P124,$T120:$T124, $AM120:$AM124,$AQ120:$AQ124))</f>
        <v>·</v>
      </c>
      <c r="CD119" s="84" t="str">
        <f>IF( OR(ISBLANK($P119:$P124),ISBLANK($AM119:$AM124), ISBLANK(U119:U124),ISBLANK(AR119:AR124)), "·", bdRateHermite( $P120:$P124,U120:U124, $AM120:$AM124,AR120:AR124))</f>
        <v>·</v>
      </c>
      <c r="CE119" s="84" t="str">
        <f>IF( OR(ISBLANK($P119:$P124),ISBLANK($AM119:$AM124), ISBLANK(V119:V124),ISBLANK(AS119:AS124)), "·", bdRateHermite( $P120:$P124,V120:V124, $AM120:$AM124,AS120:AS124))</f>
        <v>·</v>
      </c>
      <c r="CF119" s="84" t="str">
        <f>IF( OR(ISBLANK($P119:$P124),ISBLANK($AM119:$AM124), ISBLANK(W119:W124),ISBLANK(AT119:AT124)), "·", bdRateHermite( $P120:$P124,W120:W124, $AM120:$AM124,AT120:AT124))</f>
        <v>·</v>
      </c>
      <c r="CG119" s="84" t="str">
        <f>IF( OR(ISBLANK($P119:$P124),ISBLANK($AM119:$AM124), ISBLANK(X119:X124),ISBLANK(AU119:AU124)), "·", bdRateHermite( $P120:$P124,X120:X124, $AM120:$AM124,AU120:AU124))</f>
        <v>·</v>
      </c>
      <c r="CH119" s="92"/>
      <c r="CJ119" s="83" t="str">
        <f>IF( OR(ISBLANK($Q119:$Q123),ISBLANK($AN119:$AN123), ISBLANK($T119:$T123),ISBLANK($AQ119:$AQ123)), "·", bdRateHermite( $Q119:$Q123,$T119:$T123, $AN119:$AN123,$AQ119:$AQ123))</f>
        <v>·</v>
      </c>
      <c r="CK119" s="84" t="str">
        <f>IF(OR(ISBLANK($Q119:$Q123),ISBLANK($AN119:$AN123),ISBLANK(U119:U123),ISBLANK(AR119:AR123)),"·",bdRateHermite($Q119:$Q123,U119:U123,$AN119:$AN123,AR119:AR123))</f>
        <v>·</v>
      </c>
      <c r="CL119" s="225" t="str">
        <f>IF(OR(ISBLANK($R119:$R124),ISBLANK($AO119:$AO124),ISBLANK($V119:$V124),ISBLANK($AS119:$AS124)),"·",bdRateHermite($R119:$R123,$V119:$V123,$AO119:$AO123,$AS119:$AS123))</f>
        <v>·</v>
      </c>
      <c r="CM119" s="225" t="str">
        <f>IF(OR(ISBLANK($R119:$R124),ISBLANK($AO119:$AO124),ISBLANK($W119:$W124),ISBLANK($AT119:$AT124)),"·",bdRateHermite($R119:$R123,$W119:$W123,$AO119:$AO123,$AT119:$AT123))</f>
        <v>·</v>
      </c>
      <c r="CN119" s="225" t="str">
        <f>IF(OR(ISBLANK($R119:$R124),ISBLANK($AO119:$AO124),ISBLANK($X119:$X124),ISBLANK($AU119:$AU124)),"·",bdRateHermite($R119:$R123,$X119:$X123,$AO119:$AO123,$AU119:$AU123))</f>
        <v>·</v>
      </c>
      <c r="CO119" s="92"/>
      <c r="CQ119" s="83" t="str">
        <f>IF( OR(ISBLANK($P119:$P123),ISBLANK($AM119:$AM123), ISBLANK($T119:$T123),ISBLANK($AQ119:$AQ123)), "·", bdRateHermite($P119:$P123,$T119:$T123, $AM119:$AM123,$AQ119:$AQ123))</f>
        <v>·</v>
      </c>
      <c r="CR119" s="84" t="str">
        <f>IF( OR(ISBLANK($P119:$P123),ISBLANK($AM119:$AM123), ISBLANK(U119:U123),ISBLANK(AR119:AR123)), "·", bdRateHermite( $P119:$P123,U119:U123, $AM119:$AM123,AR119:AR123))</f>
        <v>·</v>
      </c>
      <c r="CS119" s="84" t="str">
        <f>IF( OR(ISBLANK($P119:$P123),ISBLANK($AM119:$AM123), ISBLANK(V119:V123),ISBLANK(AS119:AS123)), "·", bdRateHermite( $P119:$P123,V119:V123, $AM119:$AM123,AS119:AS123))</f>
        <v>·</v>
      </c>
      <c r="CT119" s="84" t="str">
        <f>IF( OR(ISBLANK($P119:$P123),ISBLANK($AM119:$AM123), ISBLANK(W119:W123),ISBLANK(AT119:AT123)), "·", bdRateHermite( $P119:$P123,W119:W123, $AM119:$AM123,AT119:AT123))</f>
        <v>·</v>
      </c>
      <c r="CU119" s="84" t="str">
        <f>IF( OR(ISBLANK($P119:$P123),ISBLANK($AM119:$AM123), ISBLANK(X119:X123),ISBLANK(AU119:AU123)), "·", bdRateHermite( $P119:$P123,X119:X123, $AM119:$AM123,AU119:AU123))</f>
        <v>·</v>
      </c>
      <c r="CV119" s="92"/>
    </row>
    <row r="120" spans="1:100" outlineLevel="1">
      <c r="A120" s="13"/>
      <c r="B120" s="14" t="s">
        <v>874</v>
      </c>
      <c r="C120" s="15" t="s">
        <v>132</v>
      </c>
      <c r="D120" s="465">
        <v>166028718</v>
      </c>
      <c r="E120" s="15">
        <v>11</v>
      </c>
      <c r="F120" s="25">
        <v>64</v>
      </c>
      <c r="G120" s="16">
        <v>30</v>
      </c>
      <c r="I120" s="30">
        <f t="shared" si="20"/>
        <v>2.93379375</v>
      </c>
      <c r="J120" s="31">
        <f t="shared" si="21"/>
        <v>3.7696851938590528E-2</v>
      </c>
      <c r="K120" s="31">
        <f t="shared" si="22"/>
        <v>2.1921894259281097E-2</v>
      </c>
      <c r="L120" s="31">
        <f t="shared" si="39"/>
        <v>1.5562175213567571E-2</v>
      </c>
      <c r="M120" s="51"/>
      <c r="N120" s="31">
        <f t="shared" si="23"/>
        <v>2.1151869759777329</v>
      </c>
      <c r="O120" s="356">
        <v>2958963</v>
      </c>
      <c r="P120" s="357">
        <v>6258760</v>
      </c>
      <c r="Q120" s="357">
        <v>3639664</v>
      </c>
      <c r="R120" s="357">
        <v>2583768</v>
      </c>
      <c r="S120" s="87"/>
      <c r="T120" s="358">
        <v>58.818508000000001</v>
      </c>
      <c r="U120" s="358">
        <v>54.181156000000001</v>
      </c>
      <c r="V120" s="358">
        <v>27.465498</v>
      </c>
      <c r="W120" s="358">
        <v>34.980193999999997</v>
      </c>
      <c r="X120" s="358">
        <v>35.124423999999998</v>
      </c>
      <c r="Y120" s="87">
        <v>0</v>
      </c>
      <c r="Z120" s="359"/>
      <c r="AA120" s="359"/>
      <c r="AB120" s="32">
        <v>0</v>
      </c>
      <c r="AC120" s="32">
        <v>0</v>
      </c>
      <c r="AD120" s="33"/>
      <c r="AF120" s="30" t="str">
        <f t="shared" si="24"/>
        <v>·</v>
      </c>
      <c r="AG120" s="31" t="str">
        <f t="shared" si="25"/>
        <v>·</v>
      </c>
      <c r="AH120" s="31" t="str">
        <f t="shared" si="29"/>
        <v>·</v>
      </c>
      <c r="AI120" s="31" t="str">
        <f t="shared" si="38"/>
        <v>·</v>
      </c>
      <c r="AJ120" s="51"/>
      <c r="AK120" s="31" t="str">
        <f t="shared" si="36"/>
        <v>·</v>
      </c>
      <c r="AL120" s="356"/>
      <c r="AM120" s="357"/>
      <c r="AN120" s="357"/>
      <c r="AO120" s="357"/>
      <c r="AP120" s="87"/>
      <c r="AQ120" s="358"/>
      <c r="AR120" s="358"/>
      <c r="AS120" s="358"/>
      <c r="AT120" s="358"/>
      <c r="AU120" s="358"/>
      <c r="AV120" s="87"/>
      <c r="AW120" s="359"/>
      <c r="AX120" s="359"/>
      <c r="AY120" s="32">
        <v>0</v>
      </c>
      <c r="AZ120" s="32">
        <v>0</v>
      </c>
      <c r="BA120" s="33">
        <v>48</v>
      </c>
      <c r="BC120" s="56" t="e">
        <f t="shared" si="37"/>
        <v>#DIV/0!</v>
      </c>
      <c r="BD120" s="57" t="e">
        <f t="shared" si="37"/>
        <v>#DIV/0!</v>
      </c>
      <c r="BE120" s="57" t="e">
        <f t="shared" si="26"/>
        <v>#DIV/0!</v>
      </c>
      <c r="BF120" s="58"/>
      <c r="BH120" s="74"/>
      <c r="BI120" s="75"/>
      <c r="BJ120" s="75"/>
      <c r="BK120" s="75"/>
      <c r="BL120" s="75"/>
      <c r="BM120" s="87"/>
      <c r="BO120" s="74"/>
      <c r="BP120" s="75"/>
      <c r="BQ120" s="75"/>
      <c r="BR120" s="75"/>
      <c r="BS120" s="75"/>
      <c r="BT120" s="87"/>
      <c r="BV120" s="74"/>
      <c r="BW120" s="75"/>
      <c r="BX120" s="75"/>
      <c r="BY120" s="75"/>
      <c r="BZ120" s="75"/>
      <c r="CA120" s="87"/>
      <c r="CC120" s="74"/>
      <c r="CD120" s="75"/>
      <c r="CE120" s="75"/>
      <c r="CF120" s="75"/>
      <c r="CG120" s="75"/>
      <c r="CH120" s="87"/>
      <c r="CJ120" s="74"/>
      <c r="CK120" s="75"/>
      <c r="CL120" s="75"/>
      <c r="CM120" s="75"/>
      <c r="CN120" s="75"/>
      <c r="CO120" s="87"/>
      <c r="CQ120" s="74"/>
      <c r="CR120" s="75"/>
      <c r="CS120" s="75"/>
      <c r="CT120" s="75"/>
      <c r="CU120" s="75"/>
      <c r="CV120" s="87"/>
    </row>
    <row r="121" spans="1:100" outlineLevel="1">
      <c r="A121" s="13"/>
      <c r="B121" s="14" t="s">
        <v>874</v>
      </c>
      <c r="C121" s="15" t="s">
        <v>133</v>
      </c>
      <c r="D121" s="465">
        <v>166028718</v>
      </c>
      <c r="E121" s="15">
        <v>11</v>
      </c>
      <c r="F121" s="25">
        <v>64</v>
      </c>
      <c r="G121" s="16">
        <v>30</v>
      </c>
      <c r="I121" s="30">
        <f t="shared" si="20"/>
        <v>13.312871250000001</v>
      </c>
      <c r="J121" s="31">
        <f t="shared" si="21"/>
        <v>0.17105951513761614</v>
      </c>
      <c r="K121" s="31">
        <f t="shared" si="22"/>
        <v>7.9354753555345769E-2</v>
      </c>
      <c r="L121" s="31">
        <f t="shared" si="39"/>
        <v>9.1488895312677176E-2</v>
      </c>
      <c r="M121" s="51"/>
      <c r="N121" s="31">
        <f t="shared" si="23"/>
        <v>2.4368606422287251</v>
      </c>
      <c r="O121" s="356">
        <v>11654664</v>
      </c>
      <c r="P121" s="357">
        <v>28400792</v>
      </c>
      <c r="Q121" s="357">
        <v>13175168</v>
      </c>
      <c r="R121" s="357">
        <v>15189784</v>
      </c>
      <c r="S121" s="87"/>
      <c r="T121" s="358">
        <v>64.460883999999993</v>
      </c>
      <c r="U121" s="358">
        <v>60.201720999999999</v>
      </c>
      <c r="V121" s="358">
        <v>32.783340000000003</v>
      </c>
      <c r="W121" s="358">
        <v>38.637951000000001</v>
      </c>
      <c r="X121" s="358">
        <v>41.121448999999998</v>
      </c>
      <c r="Y121" s="87">
        <v>0</v>
      </c>
      <c r="Z121" s="359"/>
      <c r="AA121" s="359"/>
      <c r="AB121" s="32">
        <v>0</v>
      </c>
      <c r="AC121" s="32">
        <v>0</v>
      </c>
      <c r="AD121" s="33"/>
      <c r="AF121" s="30" t="str">
        <f t="shared" si="24"/>
        <v>·</v>
      </c>
      <c r="AG121" s="31" t="str">
        <f t="shared" si="25"/>
        <v>·</v>
      </c>
      <c r="AH121" s="31" t="str">
        <f t="shared" si="29"/>
        <v>·</v>
      </c>
      <c r="AI121" s="31" t="str">
        <f t="shared" si="38"/>
        <v>·</v>
      </c>
      <c r="AJ121" s="51"/>
      <c r="AK121" s="31" t="str">
        <f t="shared" si="36"/>
        <v>·</v>
      </c>
      <c r="AL121" s="356"/>
      <c r="AM121" s="357"/>
      <c r="AN121" s="357"/>
      <c r="AO121" s="357"/>
      <c r="AP121" s="87"/>
      <c r="AQ121" s="358"/>
      <c r="AR121" s="358"/>
      <c r="AS121" s="358"/>
      <c r="AT121" s="358"/>
      <c r="AU121" s="358"/>
      <c r="AV121" s="87"/>
      <c r="AW121" s="359"/>
      <c r="AX121" s="359"/>
      <c r="AY121" s="32">
        <v>0</v>
      </c>
      <c r="AZ121" s="32">
        <v>0</v>
      </c>
      <c r="BA121" s="33">
        <v>12</v>
      </c>
      <c r="BC121" s="56" t="e">
        <f t="shared" si="37"/>
        <v>#DIV/0!</v>
      </c>
      <c r="BD121" s="57" t="e">
        <f t="shared" si="37"/>
        <v>#DIV/0!</v>
      </c>
      <c r="BE121" s="57" t="e">
        <f t="shared" si="26"/>
        <v>#DIV/0!</v>
      </c>
      <c r="BF121" s="58"/>
      <c r="BH121" s="74"/>
      <c r="BI121" s="75"/>
      <c r="BJ121" s="75"/>
      <c r="BK121" s="75"/>
      <c r="BL121" s="75"/>
      <c r="BM121" s="87"/>
      <c r="BO121" s="74"/>
      <c r="BP121" s="75"/>
      <c r="BQ121" s="75"/>
      <c r="BR121" s="75"/>
      <c r="BS121" s="75"/>
      <c r="BT121" s="87"/>
      <c r="BV121" s="74"/>
      <c r="BW121" s="75"/>
      <c r="BX121" s="75"/>
      <c r="BY121" s="75"/>
      <c r="BZ121" s="75"/>
      <c r="CA121" s="87"/>
      <c r="CC121" s="74"/>
      <c r="CD121" s="75"/>
      <c r="CE121" s="75"/>
      <c r="CF121" s="75"/>
      <c r="CG121" s="75"/>
      <c r="CH121" s="87"/>
      <c r="CJ121" s="74"/>
      <c r="CK121" s="75"/>
      <c r="CL121" s="75"/>
      <c r="CM121" s="75"/>
      <c r="CN121" s="75"/>
      <c r="CO121" s="87"/>
      <c r="CQ121" s="74"/>
      <c r="CR121" s="75"/>
      <c r="CS121" s="75"/>
      <c r="CT121" s="75"/>
      <c r="CU121" s="75"/>
      <c r="CV121" s="87"/>
    </row>
    <row r="122" spans="1:100" outlineLevel="1">
      <c r="A122" s="13"/>
      <c r="B122" s="14" t="s">
        <v>874</v>
      </c>
      <c r="C122" s="15" t="s">
        <v>134</v>
      </c>
      <c r="D122" s="465">
        <v>166028718</v>
      </c>
      <c r="E122" s="15">
        <v>11</v>
      </c>
      <c r="F122" s="25">
        <v>64</v>
      </c>
      <c r="G122" s="16">
        <v>30</v>
      </c>
      <c r="I122" s="30">
        <f t="shared" si="20"/>
        <v>62.1975525</v>
      </c>
      <c r="J122" s="31">
        <f t="shared" si="21"/>
        <v>0.79918771642867226</v>
      </c>
      <c r="K122" s="31">
        <f t="shared" si="22"/>
        <v>0.28526929901368026</v>
      </c>
      <c r="L122" s="31">
        <f t="shared" si="39"/>
        <v>0.51369956371041781</v>
      </c>
      <c r="M122" s="51"/>
      <c r="N122" s="31">
        <f t="shared" si="23"/>
        <v>2.9503330850932952</v>
      </c>
      <c r="O122" s="356">
        <v>44973943</v>
      </c>
      <c r="P122" s="357">
        <v>132688112</v>
      </c>
      <c r="Q122" s="357">
        <v>47362896</v>
      </c>
      <c r="R122" s="357">
        <v>85288880</v>
      </c>
      <c r="S122" s="87"/>
      <c r="T122" s="358">
        <v>69.232742000000002</v>
      </c>
      <c r="U122" s="358">
        <v>66.222389000000007</v>
      </c>
      <c r="V122" s="358">
        <v>37.932285</v>
      </c>
      <c r="W122" s="358">
        <v>43.889687000000002</v>
      </c>
      <c r="X122" s="358">
        <v>45.099339000000001</v>
      </c>
      <c r="Y122" s="87">
        <v>0</v>
      </c>
      <c r="Z122" s="359"/>
      <c r="AA122" s="359"/>
      <c r="AB122" s="32">
        <v>0</v>
      </c>
      <c r="AC122" s="32">
        <v>0</v>
      </c>
      <c r="AD122" s="33"/>
      <c r="AF122" s="30" t="str">
        <f t="shared" si="24"/>
        <v>·</v>
      </c>
      <c r="AG122" s="31" t="str">
        <f t="shared" si="25"/>
        <v>·</v>
      </c>
      <c r="AH122" s="31" t="str">
        <f t="shared" si="29"/>
        <v>·</v>
      </c>
      <c r="AI122" s="31" t="str">
        <f t="shared" si="38"/>
        <v>·</v>
      </c>
      <c r="AJ122" s="51"/>
      <c r="AK122" s="31" t="str">
        <f t="shared" si="36"/>
        <v>·</v>
      </c>
      <c r="AL122" s="356"/>
      <c r="AM122" s="357"/>
      <c r="AN122" s="357"/>
      <c r="AO122" s="357"/>
      <c r="AP122" s="87"/>
      <c r="AQ122" s="358"/>
      <c r="AR122" s="358"/>
      <c r="AS122" s="358"/>
      <c r="AT122" s="358"/>
      <c r="AU122" s="358"/>
      <c r="AV122" s="87"/>
      <c r="AW122" s="359"/>
      <c r="AX122" s="359"/>
      <c r="AY122" s="32">
        <v>0</v>
      </c>
      <c r="AZ122" s="32">
        <v>0</v>
      </c>
      <c r="BA122" s="33">
        <v>3</v>
      </c>
      <c r="BC122" s="56" t="e">
        <f t="shared" ref="BC122:BD136" si="40">AY122/AB122</f>
        <v>#DIV/0!</v>
      </c>
      <c r="BD122" s="57" t="e">
        <f t="shared" si="40"/>
        <v>#DIV/0!</v>
      </c>
      <c r="BE122" s="57" t="e">
        <f t="shared" si="26"/>
        <v>#DIV/0!</v>
      </c>
      <c r="BF122" s="58"/>
      <c r="BH122" s="74"/>
      <c r="BI122" s="75"/>
      <c r="BJ122" s="75"/>
      <c r="BK122" s="75"/>
      <c r="BL122" s="75"/>
      <c r="BM122" s="87"/>
      <c r="BO122" s="74"/>
      <c r="BP122" s="75"/>
      <c r="BQ122" s="75"/>
      <c r="BR122" s="75"/>
      <c r="BS122" s="75"/>
      <c r="BT122" s="87"/>
      <c r="BV122" s="74"/>
      <c r="BW122" s="75"/>
      <c r="BX122" s="75"/>
      <c r="BY122" s="75"/>
      <c r="BZ122" s="75"/>
      <c r="CA122" s="87"/>
      <c r="CC122" s="74"/>
      <c r="CD122" s="75"/>
      <c r="CE122" s="75"/>
      <c r="CF122" s="75"/>
      <c r="CG122" s="75"/>
      <c r="CH122" s="87"/>
      <c r="CJ122" s="74"/>
      <c r="CK122" s="75"/>
      <c r="CL122" s="75"/>
      <c r="CM122" s="75"/>
      <c r="CN122" s="75"/>
      <c r="CO122" s="87"/>
      <c r="CQ122" s="74"/>
      <c r="CR122" s="75"/>
      <c r="CS122" s="75"/>
      <c r="CT122" s="75"/>
      <c r="CU122" s="75"/>
      <c r="CV122" s="87"/>
    </row>
    <row r="123" spans="1:100" outlineLevel="1">
      <c r="A123" s="13"/>
      <c r="B123" s="14" t="s">
        <v>874</v>
      </c>
      <c r="C123" s="15" t="s">
        <v>135</v>
      </c>
      <c r="D123" s="465">
        <v>166028718</v>
      </c>
      <c r="E123" s="15">
        <v>11</v>
      </c>
      <c r="F123" s="25">
        <v>64</v>
      </c>
      <c r="G123" s="16">
        <v>30</v>
      </c>
      <c r="I123" s="30">
        <f t="shared" si="20"/>
        <v>207.64163249999999</v>
      </c>
      <c r="J123" s="31">
        <f t="shared" si="21"/>
        <v>2.668025275000919</v>
      </c>
      <c r="K123" s="31">
        <f t="shared" si="22"/>
        <v>0.63772061409279812</v>
      </c>
      <c r="L123" s="31">
        <f t="shared" si="39"/>
        <v>2.0300832534284821</v>
      </c>
      <c r="M123" s="51"/>
      <c r="N123" s="31">
        <f t="shared" si="23"/>
        <v>4.5532534880402746</v>
      </c>
      <c r="O123" s="356">
        <v>97286219</v>
      </c>
      <c r="P123" s="357">
        <v>442968816</v>
      </c>
      <c r="Q123" s="357">
        <v>105879936</v>
      </c>
      <c r="R123" s="357">
        <v>337052120</v>
      </c>
      <c r="S123" s="87"/>
      <c r="T123" s="358">
        <v>74.016227999999998</v>
      </c>
      <c r="U123" s="358">
        <v>69.748954999999995</v>
      </c>
      <c r="V123" s="358">
        <v>40.458812999999999</v>
      </c>
      <c r="W123" s="358">
        <v>46.786414999999998</v>
      </c>
      <c r="X123" s="358">
        <v>48.289158</v>
      </c>
      <c r="Y123" s="87">
        <v>0</v>
      </c>
      <c r="Z123" s="359"/>
      <c r="AA123" s="359"/>
      <c r="AB123" s="32">
        <v>0</v>
      </c>
      <c r="AC123" s="32">
        <v>0</v>
      </c>
      <c r="AD123" s="33"/>
      <c r="AF123" s="30" t="str">
        <f t="shared" si="24"/>
        <v>·</v>
      </c>
      <c r="AG123" s="31" t="str">
        <f t="shared" si="25"/>
        <v>·</v>
      </c>
      <c r="AH123" s="31" t="str">
        <f t="shared" si="29"/>
        <v>·</v>
      </c>
      <c r="AI123" s="31" t="str">
        <f t="shared" si="38"/>
        <v>·</v>
      </c>
      <c r="AJ123" s="51"/>
      <c r="AK123" s="31" t="str">
        <f t="shared" si="36"/>
        <v>·</v>
      </c>
      <c r="AL123" s="356"/>
      <c r="AM123" s="357"/>
      <c r="AN123" s="357"/>
      <c r="AO123" s="357"/>
      <c r="AP123" s="87"/>
      <c r="AQ123" s="358"/>
      <c r="AR123" s="358"/>
      <c r="AS123" s="358"/>
      <c r="AT123" s="358"/>
      <c r="AU123" s="358"/>
      <c r="AV123" s="87"/>
      <c r="AW123" s="359"/>
      <c r="AX123" s="359"/>
      <c r="AY123" s="32">
        <v>0</v>
      </c>
      <c r="AZ123" s="32">
        <v>0</v>
      </c>
      <c r="BA123" s="33">
        <v>1.331866499999999</v>
      </c>
      <c r="BC123" s="56" t="e">
        <f t="shared" si="40"/>
        <v>#DIV/0!</v>
      </c>
      <c r="BD123" s="57" t="e">
        <f t="shared" si="40"/>
        <v>#DIV/0!</v>
      </c>
      <c r="BE123" s="57" t="e">
        <f t="shared" si="26"/>
        <v>#DIV/0!</v>
      </c>
      <c r="BF123" s="58"/>
      <c r="BH123" s="74"/>
      <c r="BI123" s="75"/>
      <c r="BJ123" s="75"/>
      <c r="BK123" s="75"/>
      <c r="BL123" s="75"/>
      <c r="BM123" s="87"/>
      <c r="BO123" s="74"/>
      <c r="BP123" s="75"/>
      <c r="BQ123" s="75"/>
      <c r="BR123" s="75"/>
      <c r="BS123" s="75"/>
      <c r="BT123" s="87"/>
      <c r="BV123" s="74"/>
      <c r="BW123" s="75"/>
      <c r="BX123" s="75"/>
      <c r="BY123" s="75"/>
      <c r="BZ123" s="75"/>
      <c r="CA123" s="87"/>
      <c r="CC123" s="74"/>
      <c r="CD123" s="75"/>
      <c r="CE123" s="75"/>
      <c r="CF123" s="75"/>
      <c r="CG123" s="75"/>
      <c r="CH123" s="87"/>
      <c r="CJ123" s="74"/>
      <c r="CK123" s="75"/>
      <c r="CL123" s="75"/>
      <c r="CM123" s="75"/>
      <c r="CN123" s="75"/>
      <c r="CO123" s="87"/>
      <c r="CQ123" s="74"/>
      <c r="CR123" s="75"/>
      <c r="CS123" s="75"/>
      <c r="CT123" s="75"/>
      <c r="CU123" s="75"/>
      <c r="CV123" s="87"/>
    </row>
    <row r="124" spans="1:100" ht="14.25" outlineLevel="1" thickBot="1">
      <c r="A124" s="13"/>
      <c r="B124" s="18" t="s">
        <v>874</v>
      </c>
      <c r="C124" s="19" t="s">
        <v>136</v>
      </c>
      <c r="D124" s="467">
        <v>166028718</v>
      </c>
      <c r="E124" s="19">
        <v>11</v>
      </c>
      <c r="F124" s="189">
        <v>64</v>
      </c>
      <c r="G124" s="20">
        <v>30</v>
      </c>
      <c r="I124" s="34">
        <f t="shared" si="20"/>
        <v>409.10361375000002</v>
      </c>
      <c r="J124" s="35">
        <f t="shared" si="21"/>
        <v>5.2566470819825275</v>
      </c>
      <c r="K124" s="35">
        <f t="shared" si="22"/>
        <v>0.84044332619613438</v>
      </c>
      <c r="L124" s="35">
        <f t="shared" si="39"/>
        <v>4.4159819628312738</v>
      </c>
      <c r="M124" s="52"/>
      <c r="N124" s="35">
        <f t="shared" si="23"/>
        <v>6.7262049851999954</v>
      </c>
      <c r="O124" s="360">
        <v>129754353</v>
      </c>
      <c r="P124" s="361">
        <v>872754376</v>
      </c>
      <c r="Q124" s="361">
        <v>139537728</v>
      </c>
      <c r="R124" s="361">
        <v>733179824</v>
      </c>
      <c r="S124" s="89"/>
      <c r="T124" s="362">
        <v>75.728827999999993</v>
      </c>
      <c r="U124" s="362">
        <v>71.088890000000006</v>
      </c>
      <c r="V124" s="362">
        <v>43.924782</v>
      </c>
      <c r="W124" s="362">
        <v>50.558182000000002</v>
      </c>
      <c r="X124" s="362">
        <v>51.797756</v>
      </c>
      <c r="Y124" s="89">
        <v>0</v>
      </c>
      <c r="Z124" s="363"/>
      <c r="AA124" s="363"/>
      <c r="AB124" s="36">
        <v>0</v>
      </c>
      <c r="AC124" s="36">
        <v>0</v>
      </c>
      <c r="AD124" s="37"/>
      <c r="AF124" s="34" t="str">
        <f t="shared" si="24"/>
        <v>·</v>
      </c>
      <c r="AG124" s="35" t="str">
        <f t="shared" si="25"/>
        <v>·</v>
      </c>
      <c r="AH124" s="35" t="str">
        <f t="shared" si="29"/>
        <v>·</v>
      </c>
      <c r="AI124" s="35" t="str">
        <f t="shared" si="38"/>
        <v>·</v>
      </c>
      <c r="AJ124" s="52"/>
      <c r="AK124" s="35" t="str">
        <f t="shared" si="36"/>
        <v>·</v>
      </c>
      <c r="AL124" s="360"/>
      <c r="AM124" s="361"/>
      <c r="AN124" s="361"/>
      <c r="AO124" s="361"/>
      <c r="AP124" s="89"/>
      <c r="AQ124" s="362"/>
      <c r="AR124" s="362"/>
      <c r="AS124" s="362"/>
      <c r="AT124" s="362"/>
      <c r="AU124" s="362"/>
      <c r="AV124" s="89"/>
      <c r="AW124" s="363"/>
      <c r="AX124" s="363"/>
      <c r="AY124" s="36">
        <v>0</v>
      </c>
      <c r="AZ124" s="36">
        <v>0</v>
      </c>
      <c r="BA124" s="37">
        <v>0.97828935937499972</v>
      </c>
      <c r="BC124" s="59" t="e">
        <f t="shared" si="40"/>
        <v>#DIV/0!</v>
      </c>
      <c r="BD124" s="60" t="e">
        <f t="shared" si="40"/>
        <v>#DIV/0!</v>
      </c>
      <c r="BE124" s="60" t="e">
        <f t="shared" si="26"/>
        <v>#DIV/0!</v>
      </c>
      <c r="BF124" s="61"/>
      <c r="BH124" s="80"/>
      <c r="BI124" s="81"/>
      <c r="BJ124" s="81"/>
      <c r="BK124" s="81"/>
      <c r="BL124" s="81"/>
      <c r="BM124" s="88"/>
      <c r="BO124" s="77"/>
      <c r="BP124" s="78"/>
      <c r="BQ124" s="78"/>
      <c r="BR124" s="78"/>
      <c r="BS124" s="78"/>
      <c r="BT124" s="88"/>
      <c r="BV124" s="77"/>
      <c r="BW124" s="78"/>
      <c r="BX124" s="78"/>
      <c r="BY124" s="78"/>
      <c r="BZ124" s="78"/>
      <c r="CA124" s="88"/>
      <c r="CC124" s="77"/>
      <c r="CD124" s="78"/>
      <c r="CE124" s="78"/>
      <c r="CF124" s="78"/>
      <c r="CG124" s="78"/>
      <c r="CH124" s="88"/>
      <c r="CJ124" s="77"/>
      <c r="CK124" s="78"/>
      <c r="CL124" s="78"/>
      <c r="CM124" s="78"/>
      <c r="CN124" s="78"/>
      <c r="CO124" s="88"/>
      <c r="CQ124" s="77"/>
      <c r="CR124" s="78"/>
      <c r="CS124" s="78"/>
      <c r="CT124" s="78"/>
      <c r="CU124" s="78"/>
      <c r="CV124" s="88"/>
    </row>
    <row r="125" spans="1:100">
      <c r="A125" s="13"/>
      <c r="B125" s="24" t="s">
        <v>875</v>
      </c>
      <c r="C125" s="25" t="s">
        <v>131</v>
      </c>
      <c r="D125" s="466">
        <v>156840910</v>
      </c>
      <c r="E125" s="28">
        <v>11</v>
      </c>
      <c r="F125" s="25">
        <v>64</v>
      </c>
      <c r="G125" s="29">
        <v>30</v>
      </c>
      <c r="I125" s="42">
        <f t="shared" si="20"/>
        <v>0.55327124999999999</v>
      </c>
      <c r="J125" s="43">
        <f t="shared" si="21"/>
        <v>7.5255365452801823E-3</v>
      </c>
      <c r="K125" s="43">
        <f t="shared" si="22"/>
        <v>5.7192731156686097E-3</v>
      </c>
      <c r="L125" s="43">
        <f t="shared" si="39"/>
        <v>1.588055055278626E-3</v>
      </c>
      <c r="M125" s="55"/>
      <c r="N125" s="43">
        <f t="shared" si="23"/>
        <v>1.6934175035868007</v>
      </c>
      <c r="O125" s="364">
        <v>697000</v>
      </c>
      <c r="P125" s="365">
        <v>1180312</v>
      </c>
      <c r="Q125" s="365">
        <v>897016</v>
      </c>
      <c r="R125" s="365">
        <v>249072</v>
      </c>
      <c r="S125" s="90"/>
      <c r="T125" s="366">
        <v>52.898524999999999</v>
      </c>
      <c r="U125" s="366">
        <v>48.160580000000003</v>
      </c>
      <c r="V125" s="366">
        <v>23.954744000000002</v>
      </c>
      <c r="W125" s="366">
        <v>34.662616999999997</v>
      </c>
      <c r="X125" s="366">
        <v>36.387203</v>
      </c>
      <c r="Y125" s="90">
        <v>0</v>
      </c>
      <c r="Z125" s="367"/>
      <c r="AA125" s="367"/>
      <c r="AB125" s="44">
        <v>0</v>
      </c>
      <c r="AC125" s="44">
        <v>0</v>
      </c>
      <c r="AD125" s="45"/>
      <c r="AF125" s="42" t="str">
        <f t="shared" si="24"/>
        <v>·</v>
      </c>
      <c r="AG125" s="43" t="str">
        <f t="shared" si="25"/>
        <v>·</v>
      </c>
      <c r="AH125" s="43" t="str">
        <f t="shared" si="29"/>
        <v>·</v>
      </c>
      <c r="AI125" s="43" t="str">
        <f t="shared" si="38"/>
        <v>·</v>
      </c>
      <c r="AJ125" s="55"/>
      <c r="AK125" s="43" t="str">
        <f t="shared" si="36"/>
        <v>·</v>
      </c>
      <c r="AL125" s="364"/>
      <c r="AM125" s="365"/>
      <c r="AN125" s="365"/>
      <c r="AO125" s="365"/>
      <c r="AP125" s="90"/>
      <c r="AQ125" s="366"/>
      <c r="AR125" s="366"/>
      <c r="AS125" s="366"/>
      <c r="AT125" s="366"/>
      <c r="AU125" s="366"/>
      <c r="AV125" s="90"/>
      <c r="AW125" s="367"/>
      <c r="AX125" s="367"/>
      <c r="AY125" s="44">
        <v>0</v>
      </c>
      <c r="AZ125" s="44">
        <v>0</v>
      </c>
      <c r="BA125" s="45">
        <v>192</v>
      </c>
      <c r="BC125" s="65" t="e">
        <f t="shared" si="40"/>
        <v>#DIV/0!</v>
      </c>
      <c r="BD125" s="66" t="e">
        <f t="shared" si="40"/>
        <v>#DIV/0!</v>
      </c>
      <c r="BE125" s="66" t="e">
        <f t="shared" si="26"/>
        <v>#DIV/0!</v>
      </c>
      <c r="BF125" s="67" t="e">
        <f t="array" ref="BF125">AVERAGE(AN125:AN130/AM125:AM130) - AVERAGE(Q125:Q130/P125:P130)</f>
        <v>#DIV/0!</v>
      </c>
      <c r="BH125" s="224" t="str">
        <f>IF( OR(ISBLANK($Q125:$Q130),ISBLANK($AN125:$AN130), ISBLANK($T125:$T130),ISBLANK($AQ125:$AQ130)), "·", bdRateHermite( $Q125:$Q130,$T125:$T130, $AN125:$AN130,$AQ125:$AQ130))</f>
        <v>·</v>
      </c>
      <c r="BI125" s="225" t="str">
        <f>IF(OR(ISBLANK(Q125:Q130),ISBLANK(AN125:AN130),ISBLANK(U125:U130),ISBLANK(AR125:AR130)),"·",bdRateHermite(Q125:Q130,U125:U130,AN125:AN130,AR125:AR130))</f>
        <v>·</v>
      </c>
      <c r="BJ125" s="225" t="str">
        <f>IF(OR(ISBLANK($R125:$R130),ISBLANK($AO125:$AO130),ISBLANK(V125:V130),ISBLANK(AS125:AS130)),"·",bdRateHermite($R125:$R130,V125:V130,$AO125:$AO130,AS125:AS130))</f>
        <v>·</v>
      </c>
      <c r="BK125" s="225" t="str">
        <f>IF(OR(ISBLANK($R125:$R130),ISBLANK($AO125:$AO130),ISBLANK(W125:W130),ISBLANK(AT125:AT130)),"·",bdRateHermite($R125:$R130,W125:W130,$AO125:$AO130,AT125:AT130))</f>
        <v>·</v>
      </c>
      <c r="BL125" s="225" t="str">
        <f>IF(OR(ISBLANK($R125:$R130),ISBLANK($AO125:$AO130),ISBLANK(X125:X130),ISBLANK(AU125:AU130)),"·",bdRateHermite($R125:$R130,X125:X130,$AO125:$AO130,AU125:AU130))</f>
        <v>·</v>
      </c>
      <c r="BM125" s="92"/>
      <c r="BO125" s="83" t="str">
        <f>IF( OR(ISBLANK($P125:$P130),ISBLANK($AM125:$AM130), ISBLANK($T125:$T130),ISBLANK($AQ125:$AQ130)), "·", bdRateHermite($P125:$P130,$T125:$T130, $AM125:$AM130,$AQ125:$AQ130))</f>
        <v>·</v>
      </c>
      <c r="BP125" s="84" t="str">
        <f>IF( OR(ISBLANK($P125:$P130),ISBLANK($AM125:$AM130), ISBLANK(U125:U130),ISBLANK(AR125:AR130)), "·", bdRateHermite( $P125:$P130,U125:U130, $AM125:$AM130,AR125:AR130))</f>
        <v>·</v>
      </c>
      <c r="BQ125" s="84" t="str">
        <f>IF( OR(ISBLANK($P125:$P130),ISBLANK($AM125:$AM130), ISBLANK(V125:V130),ISBLANK(AS125:AS130)), "·", bdRateHermite( $P125:$P130,V125:V130, $AM125:$AM130,AS125:AS130))</f>
        <v>·</v>
      </c>
      <c r="BR125" s="84" t="str">
        <f>IF( OR(ISBLANK($P125:$P130),ISBLANK($AM125:$AM130), ISBLANK(W125:W130),ISBLANK(AT125:AT130)), "·", bdRateHermite( $P125:$P130,W125:W130, $AM125:$AM130,AT125:AT130))</f>
        <v>·</v>
      </c>
      <c r="BS125" s="84" t="str">
        <f>IF( OR(ISBLANK($P125:$P130),ISBLANK($AM125:$AM130), ISBLANK(X125:X130),ISBLANK(AU125:AU130)), "·", bdRateHermite( $P125:$P130,X125:X130, $AM125:$AM130,AU125:AU130))</f>
        <v>·</v>
      </c>
      <c r="BT125" s="90"/>
      <c r="BV125" s="83" t="str">
        <f>IF( OR(ISBLANK($Q125:$Q129),ISBLANK($AN125:$AN129), ISBLANK($T125:$T129),ISBLANK($AQ125:$AQ129)), "·", bdRateHermite( $Q126:$Q130,$T126:$T130, $AN126:$AN130,$AQ126:$AQ130))</f>
        <v>·</v>
      </c>
      <c r="BW125" s="84" t="str">
        <f>IF(OR(ISBLANK($Q125:$Q130),ISBLANK($AN125:$AN130),ISBLANK(U125:U130),ISBLANK(AR125:AR130)),"·",bdRateHermite($Q126:$Q130,U126:U130,$AN126:$AN130,AR126:AR130))</f>
        <v>·</v>
      </c>
      <c r="BX125" s="225" t="str">
        <f>IF(OR(ISBLANK($R125:$R130),ISBLANK($AO125:$AO130),ISBLANK($V125:$V130),ISBLANK($AS125:$AS130)),"·",bdRateHermite($R126:$R130,$V126:$V130,$AO126:$AO130,$AS126:$AS130))</f>
        <v>·</v>
      </c>
      <c r="BY125" s="225" t="str">
        <f>IF(OR(ISBLANK($R125:$R130),ISBLANK($AO125:$AO130),ISBLANK($W125:$W130),ISBLANK($AT125:$AT130)),"·",bdRateHermite($R126:$R130,$W126:$W130,$AO126:$AO130,$AT126:$AT130))</f>
        <v>·</v>
      </c>
      <c r="BZ125" s="225" t="str">
        <f>IF(OR(ISBLANK($R125:$R130),ISBLANK($AO125:$AO130),ISBLANK($X125:$X130),ISBLANK($AU125:$AU130)),"·",bdRateHermite($R126:$R130,$X126:$X130,$AO126:$AO130,$AU126:$AU130))</f>
        <v>·</v>
      </c>
      <c r="CA125" s="92"/>
      <c r="CC125" s="83" t="str">
        <f>IF( OR(ISBLANK($P125:$P130),ISBLANK($AM125:$AM130), ISBLANK($T125:$T130),ISBLANK($AQ125:$AQ130)), "·", bdRateHermite($P126:$P130,$T126:$T130, $AM126:$AM130,$AQ126:$AQ130))</f>
        <v>·</v>
      </c>
      <c r="CD125" s="84" t="str">
        <f>IF( OR(ISBLANK($P125:$P130),ISBLANK($AM125:$AM130), ISBLANK(U125:U130),ISBLANK(AR125:AR130)), "·", bdRateHermite( $P126:$P130,U126:U130, $AM126:$AM130,AR126:AR130))</f>
        <v>·</v>
      </c>
      <c r="CE125" s="84" t="str">
        <f>IF( OR(ISBLANK($P125:$P130),ISBLANK($AM125:$AM130), ISBLANK(V125:V130),ISBLANK(AS125:AS130)), "·", bdRateHermite( $P126:$P130,V126:V130, $AM126:$AM130,AS126:AS130))</f>
        <v>·</v>
      </c>
      <c r="CF125" s="84" t="str">
        <f>IF( OR(ISBLANK($P125:$P130),ISBLANK($AM125:$AM130), ISBLANK(W125:W130),ISBLANK(AT125:AT130)), "·", bdRateHermite( $P126:$P130,W126:W130, $AM126:$AM130,AT126:AT130))</f>
        <v>·</v>
      </c>
      <c r="CG125" s="84" t="str">
        <f>IF( OR(ISBLANK($P125:$P130),ISBLANK($AM125:$AM130), ISBLANK(X125:X130),ISBLANK(AU125:AU130)), "·", bdRateHermite( $P126:$P130,X126:X130, $AM126:$AM130,AU126:AU130))</f>
        <v>·</v>
      </c>
      <c r="CH125" s="92"/>
      <c r="CJ125" s="83" t="str">
        <f>IF( OR(ISBLANK($Q125:$Q129),ISBLANK($AN125:$AN129), ISBLANK($T125:$T129),ISBLANK($AQ125:$AQ129)), "·", bdRateHermite( $Q125:$Q129,$T125:$T129, $AN125:$AN129,$AQ125:$AQ129))</f>
        <v>·</v>
      </c>
      <c r="CK125" s="84" t="str">
        <f>IF(OR(ISBLANK($Q125:$Q129),ISBLANK($AN125:$AN129),ISBLANK(U125:U129),ISBLANK(AR125:AR129)),"·",bdRateHermite($Q125:$Q129,U125:U129,$AN125:$AN129,AR125:AR129))</f>
        <v>·</v>
      </c>
      <c r="CL125" s="225" t="str">
        <f>IF(OR(ISBLANK($R125:$R130),ISBLANK($AO125:$AO130),ISBLANK($V125:$V130),ISBLANK($AS125:$AS130)),"·",bdRateHermite($R125:$R129,$V125:$V129,$AO125:$AO129,$AS125:$AS129))</f>
        <v>·</v>
      </c>
      <c r="CM125" s="225" t="str">
        <f>IF(OR(ISBLANK($R125:$R130),ISBLANK($AO125:$AO130),ISBLANK($W125:$W130),ISBLANK($AT125:$AT130)),"·",bdRateHermite($R125:$R129,$W125:$W129,$AO125:$AO129,$AT125:$AT129))</f>
        <v>·</v>
      </c>
      <c r="CN125" s="225" t="str">
        <f>IF(OR(ISBLANK($R125:$R130),ISBLANK($AO125:$AO130),ISBLANK($X125:$X130),ISBLANK($AU125:$AU130)),"·",bdRateHermite($R125:$R129,$X125:$X129,$AO125:$AO129,$AU125:$AU129))</f>
        <v>·</v>
      </c>
      <c r="CO125" s="92"/>
      <c r="CQ125" s="83" t="str">
        <f>IF( OR(ISBLANK($P125:$P129),ISBLANK($AM125:$AM129), ISBLANK($T125:$T129),ISBLANK($AQ125:$AQ129)), "·", bdRateHermite($P125:$P129,$T125:$T129, $AM125:$AM129,$AQ125:$AQ129))</f>
        <v>·</v>
      </c>
      <c r="CR125" s="84" t="str">
        <f>IF( OR(ISBLANK($P125:$P129),ISBLANK($AM125:$AM129), ISBLANK(U125:U129),ISBLANK(AR125:AR129)), "·", bdRateHermite( $P125:$P129,U125:U129, $AM125:$AM129,AR125:AR129))</f>
        <v>·</v>
      </c>
      <c r="CS125" s="84" t="str">
        <f>IF( OR(ISBLANK($P125:$P129),ISBLANK($AM125:$AM129), ISBLANK(V125:V129),ISBLANK(AS125:AS129)), "·", bdRateHermite( $P125:$P129,V125:V129, $AM125:$AM129,AS125:AS129))</f>
        <v>·</v>
      </c>
      <c r="CT125" s="84" t="str">
        <f>IF( OR(ISBLANK($P125:$P129),ISBLANK($AM125:$AM129), ISBLANK(W125:W129),ISBLANK(AT125:AT129)), "·", bdRateHermite( $P125:$P129,W125:W129, $AM125:$AM129,AT125:AT129))</f>
        <v>·</v>
      </c>
      <c r="CU125" s="84" t="str">
        <f>IF( OR(ISBLANK($P125:$P129),ISBLANK($AM125:$AM129), ISBLANK(X125:X129),ISBLANK(AU125:AU129)), "·", bdRateHermite( $P125:$P129,X125:X129, $AM125:$AM129,AU125:AU129))</f>
        <v>·</v>
      </c>
      <c r="CV125" s="92"/>
    </row>
    <row r="126" spans="1:100" outlineLevel="1">
      <c r="A126" s="13"/>
      <c r="B126" s="14" t="s">
        <v>875</v>
      </c>
      <c r="C126" s="15" t="s">
        <v>132</v>
      </c>
      <c r="D126" s="465">
        <v>156840910</v>
      </c>
      <c r="E126" s="15">
        <v>11</v>
      </c>
      <c r="F126" s="25">
        <v>64</v>
      </c>
      <c r="G126" s="16">
        <v>30</v>
      </c>
      <c r="I126" s="30">
        <f t="shared" si="20"/>
        <v>2.2845825</v>
      </c>
      <c r="J126" s="31">
        <f t="shared" si="21"/>
        <v>3.1074647552095942E-2</v>
      </c>
      <c r="K126" s="31">
        <f t="shared" si="22"/>
        <v>2.1090925830511951E-2</v>
      </c>
      <c r="L126" s="31">
        <f t="shared" si="39"/>
        <v>9.7599535733374661E-3</v>
      </c>
      <c r="M126" s="51"/>
      <c r="N126" s="31">
        <f t="shared" si="23"/>
        <v>1.7503242055393089</v>
      </c>
      <c r="O126" s="356">
        <v>2784499</v>
      </c>
      <c r="P126" s="357">
        <v>4873776</v>
      </c>
      <c r="Q126" s="357">
        <v>3307920</v>
      </c>
      <c r="R126" s="357">
        <v>1530760</v>
      </c>
      <c r="S126" s="87"/>
      <c r="T126" s="358">
        <v>58.81427</v>
      </c>
      <c r="U126" s="358">
        <v>54.181156000000001</v>
      </c>
      <c r="V126" s="358">
        <v>29.397653999999999</v>
      </c>
      <c r="W126" s="358">
        <v>34.729560999999997</v>
      </c>
      <c r="X126" s="358">
        <v>36.545704000000001</v>
      </c>
      <c r="Y126" s="87">
        <v>0</v>
      </c>
      <c r="Z126" s="359"/>
      <c r="AA126" s="359"/>
      <c r="AB126" s="32">
        <v>0</v>
      </c>
      <c r="AC126" s="32">
        <v>0</v>
      </c>
      <c r="AD126" s="33"/>
      <c r="AF126" s="30" t="str">
        <f t="shared" si="24"/>
        <v>·</v>
      </c>
      <c r="AG126" s="31" t="str">
        <f t="shared" si="25"/>
        <v>·</v>
      </c>
      <c r="AH126" s="31" t="str">
        <f t="shared" si="29"/>
        <v>·</v>
      </c>
      <c r="AI126" s="31" t="str">
        <f t="shared" si="38"/>
        <v>·</v>
      </c>
      <c r="AJ126" s="51"/>
      <c r="AK126" s="31" t="str">
        <f t="shared" si="36"/>
        <v>·</v>
      </c>
      <c r="AL126" s="356"/>
      <c r="AM126" s="357"/>
      <c r="AN126" s="357"/>
      <c r="AO126" s="357"/>
      <c r="AP126" s="87"/>
      <c r="AQ126" s="358"/>
      <c r="AR126" s="358"/>
      <c r="AS126" s="358"/>
      <c r="AT126" s="358"/>
      <c r="AU126" s="358"/>
      <c r="AV126" s="87"/>
      <c r="AW126" s="359"/>
      <c r="AX126" s="359"/>
      <c r="AY126" s="32">
        <v>0</v>
      </c>
      <c r="AZ126" s="32">
        <v>0</v>
      </c>
      <c r="BA126" s="33">
        <v>48</v>
      </c>
      <c r="BC126" s="56" t="e">
        <f t="shared" si="40"/>
        <v>#DIV/0!</v>
      </c>
      <c r="BD126" s="57" t="e">
        <f t="shared" si="40"/>
        <v>#DIV/0!</v>
      </c>
      <c r="BE126" s="57" t="e">
        <f t="shared" si="26"/>
        <v>#DIV/0!</v>
      </c>
      <c r="BF126" s="58"/>
      <c r="BH126" s="74"/>
      <c r="BI126" s="75"/>
      <c r="BJ126" s="75"/>
      <c r="BK126" s="75"/>
      <c r="BL126" s="75"/>
      <c r="BM126" s="87"/>
      <c r="BO126" s="74"/>
      <c r="BP126" s="75"/>
      <c r="BQ126" s="75"/>
      <c r="BR126" s="75"/>
      <c r="BS126" s="75"/>
      <c r="BT126" s="87"/>
      <c r="BV126" s="74"/>
      <c r="BW126" s="75"/>
      <c r="BX126" s="75"/>
      <c r="BY126" s="75"/>
      <c r="BZ126" s="75"/>
      <c r="CA126" s="87"/>
      <c r="CC126" s="74"/>
      <c r="CD126" s="75"/>
      <c r="CE126" s="75"/>
      <c r="CF126" s="75"/>
      <c r="CG126" s="75"/>
      <c r="CH126" s="87"/>
      <c r="CJ126" s="74"/>
      <c r="CK126" s="75"/>
      <c r="CL126" s="75"/>
      <c r="CM126" s="75"/>
      <c r="CN126" s="75"/>
      <c r="CO126" s="87"/>
      <c r="CQ126" s="74"/>
      <c r="CR126" s="75"/>
      <c r="CS126" s="75"/>
      <c r="CT126" s="75"/>
      <c r="CU126" s="75"/>
      <c r="CV126" s="87"/>
    </row>
    <row r="127" spans="1:100" outlineLevel="1">
      <c r="A127" s="13"/>
      <c r="B127" s="14" t="s">
        <v>875</v>
      </c>
      <c r="C127" s="15" t="s">
        <v>133</v>
      </c>
      <c r="D127" s="465">
        <v>156840910</v>
      </c>
      <c r="E127" s="15">
        <v>11</v>
      </c>
      <c r="F127" s="25">
        <v>64</v>
      </c>
      <c r="G127" s="16">
        <v>30</v>
      </c>
      <c r="I127" s="30">
        <f t="shared" si="20"/>
        <v>10.361235000000001</v>
      </c>
      <c r="J127" s="31">
        <f t="shared" si="21"/>
        <v>0.1409324136158098</v>
      </c>
      <c r="K127" s="31">
        <f t="shared" si="22"/>
        <v>7.5526111140263086E-2</v>
      </c>
      <c r="L127" s="31">
        <f t="shared" si="39"/>
        <v>6.5180239007794585E-2</v>
      </c>
      <c r="M127" s="51"/>
      <c r="N127" s="31">
        <f t="shared" si="23"/>
        <v>2.0182381277910717</v>
      </c>
      <c r="O127" s="356">
        <v>10952111</v>
      </c>
      <c r="P127" s="357">
        <v>22103968</v>
      </c>
      <c r="Q127" s="357">
        <v>11845584</v>
      </c>
      <c r="R127" s="357">
        <v>10222928</v>
      </c>
      <c r="S127" s="87"/>
      <c r="T127" s="358">
        <v>64.461310999999995</v>
      </c>
      <c r="U127" s="358">
        <v>60.201720999999999</v>
      </c>
      <c r="V127" s="358">
        <v>34.097743999999999</v>
      </c>
      <c r="W127" s="358">
        <v>39.499496000000001</v>
      </c>
      <c r="X127" s="358">
        <v>41.425556</v>
      </c>
      <c r="Y127" s="87">
        <v>0</v>
      </c>
      <c r="Z127" s="359"/>
      <c r="AA127" s="359"/>
      <c r="AB127" s="32">
        <v>0</v>
      </c>
      <c r="AC127" s="32">
        <v>0</v>
      </c>
      <c r="AD127" s="33"/>
      <c r="AF127" s="30" t="str">
        <f t="shared" si="24"/>
        <v>·</v>
      </c>
      <c r="AG127" s="31" t="str">
        <f t="shared" si="25"/>
        <v>·</v>
      </c>
      <c r="AH127" s="31" t="str">
        <f t="shared" si="29"/>
        <v>·</v>
      </c>
      <c r="AI127" s="31" t="str">
        <f t="shared" si="38"/>
        <v>·</v>
      </c>
      <c r="AJ127" s="51"/>
      <c r="AK127" s="31" t="str">
        <f t="shared" si="36"/>
        <v>·</v>
      </c>
      <c r="AL127" s="356"/>
      <c r="AM127" s="357"/>
      <c r="AN127" s="357"/>
      <c r="AO127" s="357"/>
      <c r="AP127" s="87"/>
      <c r="AQ127" s="358"/>
      <c r="AR127" s="358"/>
      <c r="AS127" s="358"/>
      <c r="AT127" s="358"/>
      <c r="AU127" s="358"/>
      <c r="AV127" s="87"/>
      <c r="AW127" s="359"/>
      <c r="AX127" s="359"/>
      <c r="AY127" s="32">
        <v>0</v>
      </c>
      <c r="AZ127" s="32">
        <v>0</v>
      </c>
      <c r="BA127" s="33">
        <v>12</v>
      </c>
      <c r="BC127" s="56" t="e">
        <f t="shared" si="40"/>
        <v>#DIV/0!</v>
      </c>
      <c r="BD127" s="57" t="e">
        <f t="shared" si="40"/>
        <v>#DIV/0!</v>
      </c>
      <c r="BE127" s="57" t="e">
        <f t="shared" si="26"/>
        <v>#DIV/0!</v>
      </c>
      <c r="BF127" s="58"/>
      <c r="BH127" s="74"/>
      <c r="BI127" s="75"/>
      <c r="BJ127" s="75"/>
      <c r="BK127" s="75"/>
      <c r="BL127" s="75"/>
      <c r="BM127" s="87"/>
      <c r="BO127" s="74"/>
      <c r="BP127" s="75"/>
      <c r="BQ127" s="75"/>
      <c r="BR127" s="75"/>
      <c r="BS127" s="75"/>
      <c r="BT127" s="87"/>
      <c r="BV127" s="74"/>
      <c r="BW127" s="75"/>
      <c r="BX127" s="75"/>
      <c r="BY127" s="75"/>
      <c r="BZ127" s="75"/>
      <c r="CA127" s="87"/>
      <c r="CC127" s="74"/>
      <c r="CD127" s="75"/>
      <c r="CE127" s="75"/>
      <c r="CF127" s="75"/>
      <c r="CG127" s="75"/>
      <c r="CH127" s="87"/>
      <c r="CJ127" s="74"/>
      <c r="CK127" s="75"/>
      <c r="CL127" s="75"/>
      <c r="CM127" s="75"/>
      <c r="CN127" s="75"/>
      <c r="CO127" s="87"/>
      <c r="CQ127" s="74"/>
      <c r="CR127" s="75"/>
      <c r="CS127" s="75"/>
      <c r="CT127" s="75"/>
      <c r="CU127" s="75"/>
      <c r="CV127" s="87"/>
    </row>
    <row r="128" spans="1:100" outlineLevel="1">
      <c r="A128" s="13"/>
      <c r="B128" s="14" t="s">
        <v>875</v>
      </c>
      <c r="C128" s="15" t="s">
        <v>134</v>
      </c>
      <c r="D128" s="465">
        <v>156840910</v>
      </c>
      <c r="E128" s="15">
        <v>11</v>
      </c>
      <c r="F128" s="25">
        <v>64</v>
      </c>
      <c r="G128" s="16">
        <v>30</v>
      </c>
      <c r="I128" s="30">
        <f t="shared" si="20"/>
        <v>56.754652499999999</v>
      </c>
      <c r="J128" s="31">
        <f t="shared" si="21"/>
        <v>0.77197073136084204</v>
      </c>
      <c r="K128" s="31">
        <f t="shared" si="22"/>
        <v>0.270562061900814</v>
      </c>
      <c r="L128" s="31">
        <f t="shared" si="39"/>
        <v>0.50117939254496802</v>
      </c>
      <c r="M128" s="51"/>
      <c r="N128" s="31">
        <f t="shared" si="23"/>
        <v>2.8588853164409729</v>
      </c>
      <c r="O128" s="356">
        <v>42350979</v>
      </c>
      <c r="P128" s="357">
        <v>121076592</v>
      </c>
      <c r="Q128" s="357">
        <v>42435200</v>
      </c>
      <c r="R128" s="357">
        <v>78605432</v>
      </c>
      <c r="S128" s="87"/>
      <c r="T128" s="358">
        <v>69.232567000000003</v>
      </c>
      <c r="U128" s="358">
        <v>66.222389000000007</v>
      </c>
      <c r="V128" s="358">
        <v>38.625678999999998</v>
      </c>
      <c r="W128" s="358">
        <v>43.214965999999997</v>
      </c>
      <c r="X128" s="358">
        <v>45.034832000000002</v>
      </c>
      <c r="Y128" s="87">
        <v>0</v>
      </c>
      <c r="Z128" s="359"/>
      <c r="AA128" s="359"/>
      <c r="AB128" s="32">
        <v>0</v>
      </c>
      <c r="AC128" s="32">
        <v>0</v>
      </c>
      <c r="AD128" s="33"/>
      <c r="AF128" s="30" t="str">
        <f t="shared" si="24"/>
        <v>·</v>
      </c>
      <c r="AG128" s="31" t="str">
        <f t="shared" si="25"/>
        <v>·</v>
      </c>
      <c r="AH128" s="31" t="str">
        <f t="shared" si="29"/>
        <v>·</v>
      </c>
      <c r="AI128" s="31" t="str">
        <f t="shared" si="38"/>
        <v>·</v>
      </c>
      <c r="AJ128" s="51"/>
      <c r="AK128" s="31" t="str">
        <f t="shared" si="36"/>
        <v>·</v>
      </c>
      <c r="AL128" s="356"/>
      <c r="AM128" s="357"/>
      <c r="AN128" s="357"/>
      <c r="AO128" s="357"/>
      <c r="AP128" s="87"/>
      <c r="AQ128" s="358"/>
      <c r="AR128" s="358"/>
      <c r="AS128" s="358"/>
      <c r="AT128" s="358"/>
      <c r="AU128" s="358"/>
      <c r="AV128" s="87"/>
      <c r="AW128" s="359"/>
      <c r="AX128" s="359"/>
      <c r="AY128" s="32">
        <v>0</v>
      </c>
      <c r="AZ128" s="32">
        <v>0</v>
      </c>
      <c r="BA128" s="33">
        <v>3</v>
      </c>
      <c r="BC128" s="56" t="e">
        <f t="shared" si="40"/>
        <v>#DIV/0!</v>
      </c>
      <c r="BD128" s="57" t="e">
        <f t="shared" si="40"/>
        <v>#DIV/0!</v>
      </c>
      <c r="BE128" s="57" t="e">
        <f t="shared" si="26"/>
        <v>#DIV/0!</v>
      </c>
      <c r="BF128" s="58"/>
      <c r="BH128" s="74"/>
      <c r="BI128" s="75"/>
      <c r="BJ128" s="75"/>
      <c r="BK128" s="75"/>
      <c r="BL128" s="75"/>
      <c r="BM128" s="87"/>
      <c r="BO128" s="74"/>
      <c r="BP128" s="75"/>
      <c r="BQ128" s="75"/>
      <c r="BR128" s="75"/>
      <c r="BS128" s="75"/>
      <c r="BT128" s="87"/>
      <c r="BV128" s="74"/>
      <c r="BW128" s="75"/>
      <c r="BX128" s="75"/>
      <c r="BY128" s="75"/>
      <c r="BZ128" s="75"/>
      <c r="CA128" s="87"/>
      <c r="CC128" s="74"/>
      <c r="CD128" s="75"/>
      <c r="CE128" s="75"/>
      <c r="CF128" s="75"/>
      <c r="CG128" s="75"/>
      <c r="CH128" s="87"/>
      <c r="CJ128" s="74"/>
      <c r="CK128" s="75"/>
      <c r="CL128" s="75"/>
      <c r="CM128" s="75"/>
      <c r="CN128" s="75"/>
      <c r="CO128" s="87"/>
      <c r="CQ128" s="74"/>
      <c r="CR128" s="75"/>
      <c r="CS128" s="75"/>
      <c r="CT128" s="75"/>
      <c r="CU128" s="75"/>
      <c r="CV128" s="87"/>
    </row>
    <row r="129" spans="1:100" outlineLevel="1">
      <c r="A129" s="13"/>
      <c r="B129" s="14" t="s">
        <v>875</v>
      </c>
      <c r="C129" s="15" t="s">
        <v>135</v>
      </c>
      <c r="D129" s="465">
        <v>156840910</v>
      </c>
      <c r="E129" s="15">
        <v>11</v>
      </c>
      <c r="F129" s="25">
        <v>64</v>
      </c>
      <c r="G129" s="16">
        <v>30</v>
      </c>
      <c r="I129" s="30">
        <f t="shared" si="20"/>
        <v>203.3231025</v>
      </c>
      <c r="J129" s="31">
        <f t="shared" si="21"/>
        <v>2.7655791591619816</v>
      </c>
      <c r="K129" s="31">
        <f t="shared" si="22"/>
        <v>0.6091340837030339</v>
      </c>
      <c r="L129" s="31">
        <f t="shared" si="39"/>
        <v>2.1562135542314822</v>
      </c>
      <c r="M129" s="51"/>
      <c r="N129" s="31">
        <f t="shared" si="23"/>
        <v>4.7279622566093416</v>
      </c>
      <c r="O129" s="356">
        <v>91742685</v>
      </c>
      <c r="P129" s="357">
        <v>433755952</v>
      </c>
      <c r="Q129" s="357">
        <v>95537144</v>
      </c>
      <c r="R129" s="357">
        <v>338182496</v>
      </c>
      <c r="S129" s="87"/>
      <c r="T129" s="358">
        <v>74.014824000000004</v>
      </c>
      <c r="U129" s="358">
        <v>69.747185000000002</v>
      </c>
      <c r="V129" s="358">
        <v>41.456760000000003</v>
      </c>
      <c r="W129" s="358">
        <v>46.575718000000002</v>
      </c>
      <c r="X129" s="358">
        <v>47.590786000000001</v>
      </c>
      <c r="Y129" s="87">
        <v>0</v>
      </c>
      <c r="Z129" s="359"/>
      <c r="AA129" s="359"/>
      <c r="AB129" s="32">
        <v>0</v>
      </c>
      <c r="AC129" s="32">
        <v>0</v>
      </c>
      <c r="AD129" s="33"/>
      <c r="AF129" s="30" t="str">
        <f t="shared" si="24"/>
        <v>·</v>
      </c>
      <c r="AG129" s="31" t="str">
        <f t="shared" si="25"/>
        <v>·</v>
      </c>
      <c r="AH129" s="31" t="str">
        <f t="shared" si="29"/>
        <v>·</v>
      </c>
      <c r="AI129" s="31" t="str">
        <f t="shared" si="38"/>
        <v>·</v>
      </c>
      <c r="AJ129" s="51"/>
      <c r="AK129" s="31" t="str">
        <f t="shared" si="36"/>
        <v>·</v>
      </c>
      <c r="AL129" s="356"/>
      <c r="AM129" s="357"/>
      <c r="AN129" s="357"/>
      <c r="AO129" s="357"/>
      <c r="AP129" s="87"/>
      <c r="AQ129" s="358"/>
      <c r="AR129" s="358"/>
      <c r="AS129" s="358"/>
      <c r="AT129" s="358"/>
      <c r="AU129" s="358"/>
      <c r="AV129" s="87"/>
      <c r="AW129" s="359"/>
      <c r="AX129" s="359"/>
      <c r="AY129" s="32">
        <v>0</v>
      </c>
      <c r="AZ129" s="32">
        <v>0</v>
      </c>
      <c r="BA129" s="33">
        <v>1.3324086406250004</v>
      </c>
      <c r="BC129" s="56" t="e">
        <f t="shared" si="40"/>
        <v>#DIV/0!</v>
      </c>
      <c r="BD129" s="57" t="e">
        <f t="shared" si="40"/>
        <v>#DIV/0!</v>
      </c>
      <c r="BE129" s="57" t="e">
        <f t="shared" si="26"/>
        <v>#DIV/0!</v>
      </c>
      <c r="BF129" s="58"/>
      <c r="BH129" s="74"/>
      <c r="BI129" s="75"/>
      <c r="BJ129" s="75"/>
      <c r="BK129" s="75"/>
      <c r="BL129" s="75"/>
      <c r="BM129" s="87"/>
      <c r="BO129" s="74"/>
      <c r="BP129" s="75"/>
      <c r="BQ129" s="75"/>
      <c r="BR129" s="75"/>
      <c r="BS129" s="75"/>
      <c r="BT129" s="87"/>
      <c r="BV129" s="74"/>
      <c r="BW129" s="75"/>
      <c r="BX129" s="75"/>
      <c r="BY129" s="75"/>
      <c r="BZ129" s="75"/>
      <c r="CA129" s="87"/>
      <c r="CC129" s="74"/>
      <c r="CD129" s="75"/>
      <c r="CE129" s="75"/>
      <c r="CF129" s="75"/>
      <c r="CG129" s="75"/>
      <c r="CH129" s="87"/>
      <c r="CJ129" s="74"/>
      <c r="CK129" s="75"/>
      <c r="CL129" s="75"/>
      <c r="CM129" s="75"/>
      <c r="CN129" s="75"/>
      <c r="CO129" s="87"/>
      <c r="CQ129" s="74"/>
      <c r="CR129" s="75"/>
      <c r="CS129" s="75"/>
      <c r="CT129" s="75"/>
      <c r="CU129" s="75"/>
      <c r="CV129" s="87"/>
    </row>
    <row r="130" spans="1:100" ht="14.25" outlineLevel="1" thickBot="1">
      <c r="A130" s="215"/>
      <c r="B130" s="18" t="s">
        <v>875</v>
      </c>
      <c r="C130" s="19" t="s">
        <v>136</v>
      </c>
      <c r="D130" s="467">
        <v>156840910</v>
      </c>
      <c r="E130" s="19">
        <v>11</v>
      </c>
      <c r="F130" s="188">
        <v>64</v>
      </c>
      <c r="G130" s="20">
        <v>30</v>
      </c>
      <c r="I130" s="34">
        <f t="shared" si="20"/>
        <v>401.97891375</v>
      </c>
      <c r="J130" s="35">
        <f t="shared" si="21"/>
        <v>5.4676743204308114</v>
      </c>
      <c r="K130" s="35">
        <f t="shared" si="22"/>
        <v>0.79927233270962272</v>
      </c>
      <c r="L130" s="35">
        <f t="shared" si="39"/>
        <v>4.6681701604511217</v>
      </c>
      <c r="M130" s="52"/>
      <c r="N130" s="35">
        <f t="shared" si="23"/>
        <v>7.0032739736619316</v>
      </c>
      <c r="O130" s="360">
        <v>122450588</v>
      </c>
      <c r="P130" s="361">
        <v>857555016</v>
      </c>
      <c r="Q130" s="361">
        <v>125358600</v>
      </c>
      <c r="R130" s="361">
        <v>732160056</v>
      </c>
      <c r="S130" s="88"/>
      <c r="T130" s="362">
        <v>75.723365999999999</v>
      </c>
      <c r="U130" s="362">
        <v>71.086760999999996</v>
      </c>
      <c r="V130" s="362">
        <v>44.956665000000001</v>
      </c>
      <c r="W130" s="362">
        <v>50.405192999999997</v>
      </c>
      <c r="X130" s="362">
        <v>50.952564000000002</v>
      </c>
      <c r="Y130" s="88">
        <v>0</v>
      </c>
      <c r="Z130" s="363"/>
      <c r="AA130" s="363"/>
      <c r="AB130" s="36">
        <v>0</v>
      </c>
      <c r="AC130" s="36">
        <v>0</v>
      </c>
      <c r="AD130" s="37"/>
      <c r="AF130" s="34" t="str">
        <f t="shared" si="24"/>
        <v>·</v>
      </c>
      <c r="AG130" s="35" t="str">
        <f t="shared" si="25"/>
        <v>·</v>
      </c>
      <c r="AH130" s="35" t="str">
        <f t="shared" si="29"/>
        <v>·</v>
      </c>
      <c r="AI130" s="35" t="str">
        <f t="shared" si="38"/>
        <v>·</v>
      </c>
      <c r="AJ130" s="52"/>
      <c r="AK130" s="35" t="str">
        <f t="shared" si="36"/>
        <v>·</v>
      </c>
      <c r="AL130" s="360"/>
      <c r="AM130" s="361"/>
      <c r="AN130" s="361"/>
      <c r="AO130" s="361"/>
      <c r="AP130" s="88"/>
      <c r="AQ130" s="362"/>
      <c r="AR130" s="362"/>
      <c r="AS130" s="362"/>
      <c r="AT130" s="362"/>
      <c r="AU130" s="362"/>
      <c r="AV130" s="88"/>
      <c r="AW130" s="363"/>
      <c r="AX130" s="363"/>
      <c r="AY130" s="36">
        <v>0</v>
      </c>
      <c r="AZ130" s="36">
        <v>0</v>
      </c>
      <c r="BA130" s="37">
        <v>0.97876835937499995</v>
      </c>
      <c r="BC130" s="59" t="e">
        <f t="shared" si="40"/>
        <v>#DIV/0!</v>
      </c>
      <c r="BD130" s="60" t="e">
        <f t="shared" si="40"/>
        <v>#DIV/0!</v>
      </c>
      <c r="BE130" s="60" t="e">
        <f t="shared" si="26"/>
        <v>#DIV/0!</v>
      </c>
      <c r="BF130" s="61"/>
      <c r="BH130" s="77"/>
      <c r="BI130" s="78"/>
      <c r="BJ130" s="78"/>
      <c r="BK130" s="78"/>
      <c r="BL130" s="78"/>
      <c r="BM130" s="88"/>
      <c r="BO130" s="77"/>
      <c r="BP130" s="78"/>
      <c r="BQ130" s="78"/>
      <c r="BR130" s="78"/>
      <c r="BS130" s="78"/>
      <c r="BT130" s="88"/>
      <c r="BV130" s="77"/>
      <c r="BW130" s="78"/>
      <c r="BX130" s="78"/>
      <c r="BY130" s="78"/>
      <c r="BZ130" s="78"/>
      <c r="CA130" s="88"/>
      <c r="CC130" s="77"/>
      <c r="CD130" s="78"/>
      <c r="CE130" s="78"/>
      <c r="CF130" s="78"/>
      <c r="CG130" s="78"/>
      <c r="CH130" s="88"/>
      <c r="CJ130" s="77"/>
      <c r="CK130" s="78"/>
      <c r="CL130" s="78"/>
      <c r="CM130" s="78"/>
      <c r="CN130" s="78"/>
      <c r="CO130" s="88"/>
      <c r="CQ130" s="77"/>
      <c r="CR130" s="78"/>
      <c r="CS130" s="78"/>
      <c r="CT130" s="78"/>
      <c r="CU130" s="78"/>
      <c r="CV130" s="88"/>
    </row>
    <row r="131" spans="1:100">
      <c r="A131" s="13"/>
      <c r="B131" s="24" t="s">
        <v>876</v>
      </c>
      <c r="C131" s="25" t="s">
        <v>131</v>
      </c>
      <c r="D131" s="466">
        <v>163936020</v>
      </c>
      <c r="E131" s="28">
        <v>11</v>
      </c>
      <c r="F131" s="28">
        <v>64</v>
      </c>
      <c r="G131" s="29">
        <v>30</v>
      </c>
      <c r="I131" s="42">
        <f t="shared" si="20"/>
        <v>0.67270125000000003</v>
      </c>
      <c r="J131" s="43">
        <f t="shared" si="21"/>
        <v>8.7540004936072016E-3</v>
      </c>
      <c r="K131" s="43">
        <f t="shared" si="22"/>
        <v>5.3518439693729294E-3</v>
      </c>
      <c r="L131" s="43">
        <f t="shared" si="39"/>
        <v>3.1929041585857703E-3</v>
      </c>
      <c r="M131" s="55"/>
      <c r="N131" s="43">
        <f t="shared" si="23"/>
        <v>2.0021401236918948</v>
      </c>
      <c r="O131" s="364">
        <v>716781</v>
      </c>
      <c r="P131" s="365">
        <v>1435096</v>
      </c>
      <c r="Q131" s="365">
        <v>877360</v>
      </c>
      <c r="R131" s="207">
        <v>523432</v>
      </c>
      <c r="S131" s="92"/>
      <c r="T131" s="366">
        <v>52.899951999999999</v>
      </c>
      <c r="U131" s="366">
        <v>48.160580000000003</v>
      </c>
      <c r="V131" s="366">
        <v>21.559683</v>
      </c>
      <c r="W131" s="366">
        <v>36.422381999999999</v>
      </c>
      <c r="X131" s="366">
        <v>36.407207</v>
      </c>
      <c r="Y131" s="92">
        <v>0</v>
      </c>
      <c r="Z131" s="367"/>
      <c r="AA131" s="367"/>
      <c r="AB131" s="44">
        <v>0</v>
      </c>
      <c r="AC131" s="44">
        <v>0</v>
      </c>
      <c r="AD131" s="45"/>
      <c r="AF131" s="42" t="str">
        <f t="shared" si="24"/>
        <v>·</v>
      </c>
      <c r="AG131" s="43" t="str">
        <f t="shared" si="25"/>
        <v>·</v>
      </c>
      <c r="AH131" s="43" t="str">
        <f t="shared" ref="AH131:AH136" si="41">IF(AN131="","·",AN131/$D131)</f>
        <v>·</v>
      </c>
      <c r="AI131" s="43" t="str">
        <f t="shared" si="38"/>
        <v>·</v>
      </c>
      <c r="AJ131" s="55"/>
      <c r="AK131" s="43" t="str">
        <f t="shared" si="36"/>
        <v>·</v>
      </c>
      <c r="AL131" s="364"/>
      <c r="AM131" s="365"/>
      <c r="AN131" s="365"/>
      <c r="AO131" s="207"/>
      <c r="AP131" s="92"/>
      <c r="AQ131" s="366"/>
      <c r="AR131" s="366"/>
      <c r="AS131" s="366"/>
      <c r="AT131" s="366"/>
      <c r="AU131" s="366"/>
      <c r="AV131" s="92"/>
      <c r="AW131" s="367"/>
      <c r="AX131" s="367"/>
      <c r="AY131" s="44">
        <v>0</v>
      </c>
      <c r="AZ131" s="44">
        <v>0</v>
      </c>
      <c r="BA131" s="45">
        <v>192</v>
      </c>
      <c r="BC131" s="65" t="e">
        <f t="shared" si="40"/>
        <v>#DIV/0!</v>
      </c>
      <c r="BD131" s="66" t="e">
        <f t="shared" si="40"/>
        <v>#DIV/0!</v>
      </c>
      <c r="BE131" s="66" t="e">
        <f t="shared" si="26"/>
        <v>#DIV/0!</v>
      </c>
      <c r="BF131" s="67" t="e">
        <f t="array" ref="BF131">AVERAGE(AN131:AN136/AM131:AM136) - AVERAGE(Q131:Q136/P131:P136)</f>
        <v>#DIV/0!</v>
      </c>
      <c r="BH131" s="83" t="str">
        <f>IF( OR(ISBLANK($Q131:$Q136),ISBLANK($AN131:$AN136), ISBLANK($T131:$T136),ISBLANK($AQ131:$AQ136)), "·", bdRateHermite( $Q131:$Q136,$T131:$T136, $AN131:$AN136,$AQ131:$AQ136))</f>
        <v>·</v>
      </c>
      <c r="BI131" s="225" t="str">
        <f>IF(OR(ISBLANK(Q131:Q136),ISBLANK(AN131:AN136),ISBLANK(U131:U136),ISBLANK(AR131:AR136)),"·",bdRateHermite(Q131:Q136,U131:U136,AN131:AN136,AR131:AR136))</f>
        <v>·</v>
      </c>
      <c r="BJ131" s="225" t="str">
        <f>IF(OR(ISBLANK($R131:$R136),ISBLANK($AO131:$AO136),ISBLANK(V131:V136),ISBLANK(AS131:AS136)),"·",bdRateHermite($R131:$R136,V131:V136,$AO131:$AO136,AS131:AS136))</f>
        <v>·</v>
      </c>
      <c r="BK131" s="225" t="str">
        <f>IF(OR(ISBLANK($R131:$R136),ISBLANK($AO131:$AO136),ISBLANK(W131:W136),ISBLANK(AT131:AT136)),"·",bdRateHermite($R131:$R136,W131:W136,$AO131:$AO136,AT131:AT136))</f>
        <v>·</v>
      </c>
      <c r="BL131" s="225" t="str">
        <f>IF(OR(ISBLANK($R131:$R136),ISBLANK($AO131:$AO136),ISBLANK(X131:X136),ISBLANK(AU131:AU136)),"·",bdRateHermite($R131:$R136,X131:X136,$AO131:$AO136,AU131:AU136))</f>
        <v>·</v>
      </c>
      <c r="BM131" s="92"/>
      <c r="BO131" s="83" t="str">
        <f>IF( OR(ISBLANK($P131:$P136),ISBLANK($AM131:$AM136), ISBLANK($T131:$T136),ISBLANK($AQ131:$AQ136)), "·", bdRateHermite($P131:$P136,$T131:$T136, $AM131:$AM136,$AQ131:$AQ136))</f>
        <v>·</v>
      </c>
      <c r="BP131" s="84" t="str">
        <f>IF( OR(ISBLANK($P131:$P136),ISBLANK($AM131:$AM136), ISBLANK(U131:U136),ISBLANK(AR131:AR136)), "·", bdRateHermite( $P131:$P136,U131:U136, $AM131:$AM136,AR131:AR136))</f>
        <v>·</v>
      </c>
      <c r="BQ131" s="84" t="str">
        <f>IF( OR(ISBLANK($P131:$P136),ISBLANK($AM131:$AM136), ISBLANK(V131:V136),ISBLANK(AS131:AS136)), "·", bdRateHermite( $P131:$P136,V131:V136, $AM131:$AM136,AS131:AS136))</f>
        <v>·</v>
      </c>
      <c r="BR131" s="84" t="str">
        <f>IF( OR(ISBLANK($P131:$P136),ISBLANK($AM131:$AM136), ISBLANK(W131:W136),ISBLANK(AT131:AT136)), "·", bdRateHermite( $P131:$P136,W131:W136, $AM131:$AM136,AT131:AT136))</f>
        <v>·</v>
      </c>
      <c r="BS131" s="84" t="str">
        <f>IF( OR(ISBLANK($P131:$P136),ISBLANK($AM131:$AM136), ISBLANK(X131:X136),ISBLANK(AU131:AU136)), "·", bdRateHermite( $P131:$P136,X131:X136, $AM131:$AM136,AU131:AU136))</f>
        <v>·</v>
      </c>
      <c r="BT131" s="92"/>
      <c r="BV131" s="83" t="str">
        <f>IF( OR(ISBLANK($Q131:$Q135),ISBLANK($AN131:$AN135), ISBLANK($T131:$T135),ISBLANK($AQ131:$AQ135)), "·", bdRateHermite( $Q132:$Q136,$T132:$T136, $AN132:$AN136,$AQ132:$AQ136))</f>
        <v>·</v>
      </c>
      <c r="BW131" s="84" t="str">
        <f>IF(OR(ISBLANK($Q131:$Q136),ISBLANK($AN131:$AN136),ISBLANK(U131:U136),ISBLANK(AR131:AR136)),"·",bdRateHermite($Q132:$Q136,U132:U136,$AN132:$AN136,AR132:AR136))</f>
        <v>·</v>
      </c>
      <c r="BX131" s="225" t="str">
        <f>IF(OR(ISBLANK($R131:$R136),ISBLANK($AO131:$AO136),ISBLANK($V131:$V136),ISBLANK($AS131:$AS136)),"·",bdRateHermite($R132:$R136,$V132:$V136,$AO132:$AO136,$AS132:$AS136))</f>
        <v>·</v>
      </c>
      <c r="BY131" s="225" t="str">
        <f>IF(OR(ISBLANK($R131:$R136),ISBLANK($AO131:$AO136),ISBLANK($W131:$W136),ISBLANK($AT131:$AT136)),"·",bdRateHermite($R132:$R136,$W132:$W136,$AO132:$AO136,$AT132:$AT136))</f>
        <v>·</v>
      </c>
      <c r="BZ131" s="225" t="str">
        <f>IF(OR(ISBLANK($R131:$R136),ISBLANK($AO131:$AO136),ISBLANK($X131:$X136),ISBLANK($AU131:$AU136)),"·",bdRateHermite($R132:$R136,$X132:$X136,$AO132:$AO136,$AU132:$AU136))</f>
        <v>·</v>
      </c>
      <c r="CA131" s="92"/>
      <c r="CC131" s="83" t="str">
        <f>IF( OR(ISBLANK($P131:$P136),ISBLANK($AM131:$AM136), ISBLANK($T131:$T136),ISBLANK($AQ131:$AQ136)), "·", bdRateHermite($P132:$P136,$T132:$T136, $AM132:$AM136,$AQ132:$AQ136))</f>
        <v>·</v>
      </c>
      <c r="CD131" s="84" t="str">
        <f>IF( OR(ISBLANK($P131:$P136),ISBLANK($AM131:$AM136), ISBLANK(U131:U136),ISBLANK(AR131:AR136)), "·", bdRateHermite( $P132:$P136,U132:U136, $AM132:$AM136,AR132:AR136))</f>
        <v>·</v>
      </c>
      <c r="CE131" s="84" t="str">
        <f>IF( OR(ISBLANK($P131:$P136),ISBLANK($AM131:$AM136), ISBLANK(V131:V136),ISBLANK(AS131:AS136)), "·", bdRateHermite( $P132:$P136,V132:V136, $AM132:$AM136,AS132:AS136))</f>
        <v>·</v>
      </c>
      <c r="CF131" s="84" t="str">
        <f>IF( OR(ISBLANK($P131:$P136),ISBLANK($AM131:$AM136), ISBLANK(W131:W136),ISBLANK(AT131:AT136)), "·", bdRateHermite( $P132:$P136,W132:W136, $AM132:$AM136,AT132:AT136))</f>
        <v>·</v>
      </c>
      <c r="CG131" s="84" t="str">
        <f>IF( OR(ISBLANK($P131:$P136),ISBLANK($AM131:$AM136), ISBLANK(X131:X136),ISBLANK(AU131:AU136)), "·", bdRateHermite( $P132:$P136,X132:X136, $AM132:$AM136,AU132:AU136))</f>
        <v>·</v>
      </c>
      <c r="CH131" s="92"/>
      <c r="CJ131" s="83" t="str">
        <f>IF( OR(ISBLANK($Q131:$Q135),ISBLANK($AN131:$AN135), ISBLANK($T131:$T135),ISBLANK($AQ131:$AQ135)), "·", bdRateHermite( $Q131:$Q135,$T131:$T135, $AN131:$AN135,$AQ131:$AQ135))</f>
        <v>·</v>
      </c>
      <c r="CK131" s="84" t="str">
        <f>IF(OR(ISBLANK($Q131:$Q135),ISBLANK($AN131:$AN135),ISBLANK(U131:U135),ISBLANK(AR131:AR135)),"·",bdRateHermite($Q131:$Q135,U131:U135,$AN131:$AN135,AR131:AR135))</f>
        <v>·</v>
      </c>
      <c r="CL131" s="225" t="str">
        <f>IF(OR(ISBLANK($R131:$R136),ISBLANK($AO131:$AO136),ISBLANK($V131:$V136),ISBLANK($AS131:$AS136)),"·",bdRateHermite($R131:$R135,$V131:$V135,$AO131:$AO135,$AS131:$AS135))</f>
        <v>·</v>
      </c>
      <c r="CM131" s="225" t="str">
        <f>IF(OR(ISBLANK($R131:$R136),ISBLANK($AO131:$AO136),ISBLANK($W131:$W136),ISBLANK($AT131:$AT136)),"·",bdRateHermite($R131:$R135,$W131:$W135,$AO131:$AO135,$AT131:$AT135))</f>
        <v>·</v>
      </c>
      <c r="CN131" s="225" t="str">
        <f>IF(OR(ISBLANK($R131:$R136),ISBLANK($AO131:$AO136),ISBLANK($X131:$X136),ISBLANK($AU131:$AU136)),"·",bdRateHermite($R131:$R135,$X131:$X135,$AO131:$AO135,$AU131:$AU135))</f>
        <v>·</v>
      </c>
      <c r="CO131" s="92"/>
      <c r="CQ131" s="83" t="str">
        <f>IF( OR(ISBLANK($P131:$P135),ISBLANK($AM131:$AM135), ISBLANK($T131:$T135),ISBLANK($AQ131:$AQ135)), "·", bdRateHermite($P131:$P135,$T131:$T135, $AM131:$AM135,$AQ131:$AQ135))</f>
        <v>·</v>
      </c>
      <c r="CR131" s="84" t="str">
        <f>IF( OR(ISBLANK($P131:$P135),ISBLANK($AM131:$AM135), ISBLANK(U131:U135),ISBLANK(AR131:AR135)), "·", bdRateHermite( $P131:$P135,U131:U135, $AM131:$AM135,AR131:AR135))</f>
        <v>·</v>
      </c>
      <c r="CS131" s="84" t="str">
        <f>IF( OR(ISBLANK($P131:$P135),ISBLANK($AM131:$AM135), ISBLANK(V131:V135),ISBLANK(AS131:AS135)), "·", bdRateHermite( $P131:$P135,V131:V135, $AM131:$AM135,AS131:AS135))</f>
        <v>·</v>
      </c>
      <c r="CT131" s="84" t="str">
        <f>IF( OR(ISBLANK($P131:$P135),ISBLANK($AM131:$AM135), ISBLANK(W131:W135),ISBLANK(AT131:AT135)), "·", bdRateHermite( $P131:$P135,W131:W135, $AM131:$AM135,AT131:AT135))</f>
        <v>·</v>
      </c>
      <c r="CU131" s="84" t="str">
        <f>IF( OR(ISBLANK($P131:$P135),ISBLANK($AM131:$AM135), ISBLANK(X131:X135),ISBLANK(AU131:AU135)), "·", bdRateHermite( $P131:$P135,X131:X135, $AM131:$AM135,AU131:AU135))</f>
        <v>·</v>
      </c>
      <c r="CV131" s="92"/>
    </row>
    <row r="132" spans="1:100" outlineLevel="1">
      <c r="A132" s="13"/>
      <c r="B132" s="24" t="s">
        <v>876</v>
      </c>
      <c r="C132" s="15" t="s">
        <v>132</v>
      </c>
      <c r="D132" s="465">
        <v>163936020</v>
      </c>
      <c r="E132" s="15">
        <v>11</v>
      </c>
      <c r="F132" s="25">
        <v>64</v>
      </c>
      <c r="G132" s="16">
        <v>30</v>
      </c>
      <c r="I132" s="30">
        <f t="shared" si="20"/>
        <v>2.9644762500000001</v>
      </c>
      <c r="J132" s="31">
        <f t="shared" si="21"/>
        <v>3.857734255107572E-2</v>
      </c>
      <c r="K132" s="31">
        <f t="shared" si="22"/>
        <v>1.9628535571377174E-2</v>
      </c>
      <c r="L132" s="31">
        <f t="shared" si="39"/>
        <v>1.8733991468134946E-2</v>
      </c>
      <c r="M132" s="51"/>
      <c r="N132" s="31">
        <f t="shared" si="23"/>
        <v>2.1959899204588504</v>
      </c>
      <c r="O132" s="356">
        <v>2879893</v>
      </c>
      <c r="P132" s="357">
        <v>6324216</v>
      </c>
      <c r="Q132" s="357">
        <v>3217824</v>
      </c>
      <c r="R132" s="208">
        <v>3071176</v>
      </c>
      <c r="S132" s="87"/>
      <c r="T132" s="358">
        <v>58.817439999999998</v>
      </c>
      <c r="U132" s="358">
        <v>54.181156000000001</v>
      </c>
      <c r="V132" s="358">
        <v>26.377714000000001</v>
      </c>
      <c r="W132" s="358">
        <v>36.455047999999998</v>
      </c>
      <c r="X132" s="358">
        <v>36.843814999999999</v>
      </c>
      <c r="Y132" s="87">
        <v>0</v>
      </c>
      <c r="Z132" s="359"/>
      <c r="AA132" s="359"/>
      <c r="AB132" s="32">
        <v>0</v>
      </c>
      <c r="AC132" s="32">
        <v>0</v>
      </c>
      <c r="AD132" s="33"/>
      <c r="AF132" s="30" t="str">
        <f t="shared" si="24"/>
        <v>·</v>
      </c>
      <c r="AG132" s="31" t="str">
        <f t="shared" si="25"/>
        <v>·</v>
      </c>
      <c r="AH132" s="31" t="str">
        <f t="shared" si="41"/>
        <v>·</v>
      </c>
      <c r="AI132" s="31" t="str">
        <f t="shared" si="38"/>
        <v>·</v>
      </c>
      <c r="AJ132" s="51"/>
      <c r="AK132" s="31" t="str">
        <f t="shared" si="36"/>
        <v>·</v>
      </c>
      <c r="AL132" s="356"/>
      <c r="AM132" s="357"/>
      <c r="AN132" s="357"/>
      <c r="AO132" s="208"/>
      <c r="AP132" s="87"/>
      <c r="AQ132" s="358"/>
      <c r="AR132" s="358"/>
      <c r="AS132" s="358"/>
      <c r="AT132" s="358"/>
      <c r="AU132" s="358"/>
      <c r="AV132" s="87"/>
      <c r="AW132" s="359"/>
      <c r="AX132" s="359"/>
      <c r="AY132" s="32">
        <v>0</v>
      </c>
      <c r="AZ132" s="32">
        <v>0</v>
      </c>
      <c r="BA132" s="33">
        <v>48</v>
      </c>
      <c r="BC132" s="56" t="e">
        <f t="shared" si="40"/>
        <v>#DIV/0!</v>
      </c>
      <c r="BD132" s="57" t="e">
        <f t="shared" si="40"/>
        <v>#DIV/0!</v>
      </c>
      <c r="BE132" s="57" t="e">
        <f t="shared" si="26"/>
        <v>#DIV/0!</v>
      </c>
      <c r="BF132" s="58"/>
      <c r="BH132" s="74"/>
      <c r="BI132" s="75"/>
      <c r="BJ132" s="75"/>
      <c r="BK132" s="75"/>
      <c r="BL132" s="75"/>
      <c r="BM132" s="87"/>
      <c r="BO132" s="74"/>
      <c r="BP132" s="75"/>
      <c r="BQ132" s="75"/>
      <c r="BR132" s="75"/>
      <c r="BS132" s="75"/>
      <c r="BT132" s="87"/>
      <c r="BV132" s="74"/>
      <c r="BW132" s="75"/>
      <c r="BX132" s="75"/>
      <c r="BY132" s="75"/>
      <c r="BZ132" s="75"/>
      <c r="CA132" s="87"/>
      <c r="CC132" s="74"/>
      <c r="CD132" s="75"/>
      <c r="CE132" s="75"/>
      <c r="CF132" s="75"/>
      <c r="CG132" s="75"/>
      <c r="CH132" s="87"/>
      <c r="CJ132" s="74"/>
      <c r="CK132" s="75"/>
      <c r="CL132" s="75"/>
      <c r="CM132" s="75"/>
      <c r="CN132" s="75"/>
      <c r="CO132" s="87"/>
      <c r="CQ132" s="74"/>
      <c r="CR132" s="75"/>
      <c r="CS132" s="75"/>
      <c r="CT132" s="75"/>
      <c r="CU132" s="75"/>
      <c r="CV132" s="87"/>
    </row>
    <row r="133" spans="1:100" outlineLevel="1">
      <c r="A133" s="13"/>
      <c r="B133" s="24" t="s">
        <v>876</v>
      </c>
      <c r="C133" s="15" t="s">
        <v>133</v>
      </c>
      <c r="D133" s="465">
        <v>163936020</v>
      </c>
      <c r="E133" s="15">
        <v>11</v>
      </c>
      <c r="F133" s="25">
        <v>64</v>
      </c>
      <c r="G133" s="16">
        <v>30</v>
      </c>
      <c r="I133" s="30">
        <f t="shared" ref="I133:I136" si="42">IF(OR(ISBLANK(P133),ISBLANK(G133)),"·",P133*G133/F133/1000000)</f>
        <v>14.4203475</v>
      </c>
      <c r="J133" s="31">
        <f t="shared" ref="J133:J136" si="43">IF(ISBLANK(P133),"·",P133/D133)</f>
        <v>0.18765496441843593</v>
      </c>
      <c r="K133" s="31">
        <f t="shared" ref="K133:K136" si="44">IF(Q133="","·",Q133/D133)</f>
        <v>7.1804939512378055E-2</v>
      </c>
      <c r="L133" s="31">
        <f t="shared" si="39"/>
        <v>0.11563452620113628</v>
      </c>
      <c r="M133" s="51"/>
      <c r="N133" s="31">
        <f t="shared" ref="N133:N136" si="45">IF(ISBLANK(P133),"·",P133/O133)</f>
        <v>2.7036418749841258</v>
      </c>
      <c r="O133" s="356">
        <v>11378507</v>
      </c>
      <c r="P133" s="357">
        <v>30763408</v>
      </c>
      <c r="Q133" s="357">
        <v>11771416</v>
      </c>
      <c r="R133" s="208">
        <v>18956664</v>
      </c>
      <c r="S133" s="87"/>
      <c r="T133" s="358">
        <v>64.461928999999998</v>
      </c>
      <c r="U133" s="358">
        <v>60.201720999999999</v>
      </c>
      <c r="V133" s="358">
        <v>31.245301999999999</v>
      </c>
      <c r="W133" s="358">
        <v>38.713920999999999</v>
      </c>
      <c r="X133" s="358">
        <v>40.463734000000002</v>
      </c>
      <c r="Y133" s="87">
        <v>0</v>
      </c>
      <c r="Z133" s="359"/>
      <c r="AA133" s="359"/>
      <c r="AB133" s="32">
        <v>0</v>
      </c>
      <c r="AC133" s="32">
        <v>0</v>
      </c>
      <c r="AD133" s="33"/>
      <c r="AF133" s="30" t="str">
        <f t="shared" ref="AF133:AF136" si="46">IF(OR(ISBLANK(AM133),ISBLANK(G133)),"·",AM133*G133/F133/1000000)</f>
        <v>·</v>
      </c>
      <c r="AG133" s="31" t="str">
        <f t="shared" ref="AG133:AG136" si="47">IF(ISBLANK(AM133),"·",AM133/D133)</f>
        <v>·</v>
      </c>
      <c r="AH133" s="31" t="str">
        <f t="shared" si="41"/>
        <v>·</v>
      </c>
      <c r="AI133" s="31" t="str">
        <f t="shared" si="38"/>
        <v>·</v>
      </c>
      <c r="AJ133" s="51"/>
      <c r="AK133" s="31" t="str">
        <f t="shared" si="36"/>
        <v>·</v>
      </c>
      <c r="AL133" s="356"/>
      <c r="AM133" s="357"/>
      <c r="AN133" s="357"/>
      <c r="AO133" s="208"/>
      <c r="AP133" s="87"/>
      <c r="AQ133" s="358"/>
      <c r="AR133" s="358"/>
      <c r="AS133" s="358"/>
      <c r="AT133" s="358"/>
      <c r="AU133" s="358"/>
      <c r="AV133" s="87"/>
      <c r="AW133" s="359"/>
      <c r="AX133" s="359"/>
      <c r="AY133" s="32">
        <v>0</v>
      </c>
      <c r="AZ133" s="32">
        <v>0</v>
      </c>
      <c r="BA133" s="33">
        <v>12</v>
      </c>
      <c r="BC133" s="56" t="e">
        <f t="shared" si="40"/>
        <v>#DIV/0!</v>
      </c>
      <c r="BD133" s="57" t="e">
        <f t="shared" si="40"/>
        <v>#DIV/0!</v>
      </c>
      <c r="BE133" s="57" t="e">
        <f t="shared" ref="BE133:BE136" si="48">(AN133/AM133) - (Q133/P133)</f>
        <v>#DIV/0!</v>
      </c>
      <c r="BF133" s="58"/>
      <c r="BH133" s="74"/>
      <c r="BI133" s="75"/>
      <c r="BJ133" s="75"/>
      <c r="BK133" s="75"/>
      <c r="BL133" s="75"/>
      <c r="BM133" s="87"/>
      <c r="BO133" s="74"/>
      <c r="BP133" s="75"/>
      <c r="BQ133" s="75"/>
      <c r="BR133" s="75"/>
      <c r="BS133" s="75"/>
      <c r="BT133" s="87"/>
      <c r="BV133" s="74"/>
      <c r="BW133" s="75"/>
      <c r="BX133" s="75"/>
      <c r="BY133" s="75"/>
      <c r="BZ133" s="75"/>
      <c r="CA133" s="87"/>
      <c r="CC133" s="74"/>
      <c r="CD133" s="75"/>
      <c r="CE133" s="75"/>
      <c r="CF133" s="75"/>
      <c r="CG133" s="75"/>
      <c r="CH133" s="87"/>
      <c r="CJ133" s="74"/>
      <c r="CK133" s="75"/>
      <c r="CL133" s="75"/>
      <c r="CM133" s="75"/>
      <c r="CN133" s="75"/>
      <c r="CO133" s="87"/>
      <c r="CQ133" s="74"/>
      <c r="CR133" s="75"/>
      <c r="CS133" s="75"/>
      <c r="CT133" s="75"/>
      <c r="CU133" s="75"/>
      <c r="CV133" s="87"/>
    </row>
    <row r="134" spans="1:100" outlineLevel="1">
      <c r="A134" s="13"/>
      <c r="B134" s="24" t="s">
        <v>876</v>
      </c>
      <c r="C134" s="15" t="s">
        <v>134</v>
      </c>
      <c r="D134" s="465">
        <v>163936020</v>
      </c>
      <c r="E134" s="15">
        <v>11</v>
      </c>
      <c r="F134" s="25">
        <v>64</v>
      </c>
      <c r="G134" s="16">
        <v>30</v>
      </c>
      <c r="I134" s="30">
        <f t="shared" si="42"/>
        <v>67.063305</v>
      </c>
      <c r="J134" s="31">
        <f t="shared" si="43"/>
        <v>0.8727086579264276</v>
      </c>
      <c r="K134" s="31">
        <f t="shared" si="44"/>
        <v>0.26039841640659567</v>
      </c>
      <c r="L134" s="31">
        <f t="shared" si="39"/>
        <v>0.61208961886472535</v>
      </c>
      <c r="M134" s="51"/>
      <c r="N134" s="31">
        <f t="shared" si="45"/>
        <v>3.2445951152224142</v>
      </c>
      <c r="O134" s="356">
        <v>44094372</v>
      </c>
      <c r="P134" s="357">
        <v>143068384</v>
      </c>
      <c r="Q134" s="357">
        <v>42688680</v>
      </c>
      <c r="R134" s="208">
        <v>100343536</v>
      </c>
      <c r="S134" s="87"/>
      <c r="T134" s="358">
        <v>69.232819000000006</v>
      </c>
      <c r="U134" s="358">
        <v>66.222389000000007</v>
      </c>
      <c r="V134" s="358">
        <v>35.701630000000002</v>
      </c>
      <c r="W134" s="358">
        <v>43.352760000000004</v>
      </c>
      <c r="X134" s="358">
        <v>45.53566</v>
      </c>
      <c r="Y134" s="87">
        <v>0</v>
      </c>
      <c r="Z134" s="359"/>
      <c r="AA134" s="359"/>
      <c r="AB134" s="32">
        <v>0</v>
      </c>
      <c r="AC134" s="32">
        <v>0</v>
      </c>
      <c r="AD134" s="33"/>
      <c r="AF134" s="30" t="str">
        <f t="shared" si="46"/>
        <v>·</v>
      </c>
      <c r="AG134" s="31" t="str">
        <f t="shared" si="47"/>
        <v>·</v>
      </c>
      <c r="AH134" s="31" t="str">
        <f t="shared" si="41"/>
        <v>·</v>
      </c>
      <c r="AI134" s="31" t="str">
        <f t="shared" si="38"/>
        <v>·</v>
      </c>
      <c r="AJ134" s="51"/>
      <c r="AK134" s="31" t="str">
        <f t="shared" si="36"/>
        <v>·</v>
      </c>
      <c r="AL134" s="356"/>
      <c r="AM134" s="357"/>
      <c r="AN134" s="357"/>
      <c r="AO134" s="208"/>
      <c r="AP134" s="87"/>
      <c r="AQ134" s="358"/>
      <c r="AR134" s="358"/>
      <c r="AS134" s="358"/>
      <c r="AT134" s="358"/>
      <c r="AU134" s="358"/>
      <c r="AV134" s="87"/>
      <c r="AW134" s="359"/>
      <c r="AX134" s="359"/>
      <c r="AY134" s="32">
        <v>0</v>
      </c>
      <c r="AZ134" s="32">
        <v>0</v>
      </c>
      <c r="BA134" s="33">
        <v>3</v>
      </c>
      <c r="BC134" s="56" t="e">
        <f t="shared" si="40"/>
        <v>#DIV/0!</v>
      </c>
      <c r="BD134" s="57" t="e">
        <f t="shared" si="40"/>
        <v>#DIV/0!</v>
      </c>
      <c r="BE134" s="57" t="e">
        <f t="shared" si="48"/>
        <v>#DIV/0!</v>
      </c>
      <c r="BF134" s="58"/>
      <c r="BH134" s="74"/>
      <c r="BI134" s="75"/>
      <c r="BJ134" s="75"/>
      <c r="BK134" s="75"/>
      <c r="BL134" s="75"/>
      <c r="BM134" s="87"/>
      <c r="BO134" s="74"/>
      <c r="BP134" s="75"/>
      <c r="BQ134" s="75"/>
      <c r="BR134" s="75"/>
      <c r="BS134" s="75"/>
      <c r="BT134" s="87"/>
      <c r="BV134" s="74"/>
      <c r="BW134" s="75"/>
      <c r="BX134" s="75"/>
      <c r="BY134" s="75"/>
      <c r="BZ134" s="75"/>
      <c r="CA134" s="87"/>
      <c r="CC134" s="74"/>
      <c r="CD134" s="75"/>
      <c r="CE134" s="75"/>
      <c r="CF134" s="75"/>
      <c r="CG134" s="75"/>
      <c r="CH134" s="87"/>
      <c r="CJ134" s="74"/>
      <c r="CK134" s="75"/>
      <c r="CL134" s="75"/>
      <c r="CM134" s="75"/>
      <c r="CN134" s="75"/>
      <c r="CO134" s="87"/>
      <c r="CQ134" s="74"/>
      <c r="CR134" s="75"/>
      <c r="CS134" s="75"/>
      <c r="CT134" s="75"/>
      <c r="CU134" s="75"/>
      <c r="CV134" s="87"/>
    </row>
    <row r="135" spans="1:100" outlineLevel="1">
      <c r="A135" s="13"/>
      <c r="B135" s="24" t="s">
        <v>876</v>
      </c>
      <c r="C135" s="15" t="s">
        <v>135</v>
      </c>
      <c r="D135" s="465">
        <v>163936020</v>
      </c>
      <c r="E135" s="15">
        <v>11</v>
      </c>
      <c r="F135" s="25">
        <v>64</v>
      </c>
      <c r="G135" s="16">
        <v>30</v>
      </c>
      <c r="I135" s="30">
        <f t="shared" si="42"/>
        <v>205.41194625</v>
      </c>
      <c r="J135" s="31">
        <f t="shared" si="43"/>
        <v>2.6730681396315465</v>
      </c>
      <c r="K135" s="31">
        <f t="shared" si="44"/>
        <v>0.58922713873375721</v>
      </c>
      <c r="L135" s="31">
        <f t="shared" si="39"/>
        <v>2.0836186214597623</v>
      </c>
      <c r="M135" s="51"/>
      <c r="N135" s="31">
        <f t="shared" si="45"/>
        <v>4.5785380076186559</v>
      </c>
      <c r="O135" s="356">
        <v>95710061</v>
      </c>
      <c r="P135" s="357">
        <v>438212152</v>
      </c>
      <c r="Q135" s="357">
        <v>96595552</v>
      </c>
      <c r="R135" s="208">
        <v>341580144</v>
      </c>
      <c r="S135" s="87"/>
      <c r="T135" s="358">
        <v>74.013855000000007</v>
      </c>
      <c r="U135" s="358">
        <v>69.747032000000004</v>
      </c>
      <c r="V135" s="358">
        <v>38.452717</v>
      </c>
      <c r="W135" s="358">
        <v>46.126759</v>
      </c>
      <c r="X135" s="358">
        <v>48.614384000000001</v>
      </c>
      <c r="Y135" s="87">
        <v>0</v>
      </c>
      <c r="Z135" s="359"/>
      <c r="AA135" s="359"/>
      <c r="AB135" s="32">
        <v>0</v>
      </c>
      <c r="AC135" s="32">
        <v>0</v>
      </c>
      <c r="AD135" s="33"/>
      <c r="AF135" s="30" t="str">
        <f t="shared" si="46"/>
        <v>·</v>
      </c>
      <c r="AG135" s="31" t="str">
        <f t="shared" si="47"/>
        <v>·</v>
      </c>
      <c r="AH135" s="31" t="str">
        <f t="shared" si="41"/>
        <v>·</v>
      </c>
      <c r="AI135" s="31" t="str">
        <f t="shared" si="38"/>
        <v>·</v>
      </c>
      <c r="AJ135" s="51"/>
      <c r="AK135" s="31" t="str">
        <f t="shared" si="36"/>
        <v>·</v>
      </c>
      <c r="AL135" s="356"/>
      <c r="AM135" s="357"/>
      <c r="AN135" s="357"/>
      <c r="AO135" s="208"/>
      <c r="AP135" s="87"/>
      <c r="AQ135" s="358"/>
      <c r="AR135" s="358"/>
      <c r="AS135" s="358"/>
      <c r="AT135" s="358"/>
      <c r="AU135" s="358"/>
      <c r="AV135" s="87"/>
      <c r="AW135" s="359"/>
      <c r="AX135" s="359"/>
      <c r="AY135" s="32">
        <v>0</v>
      </c>
      <c r="AZ135" s="32">
        <v>0</v>
      </c>
      <c r="BA135" s="33">
        <v>1.3324596093749999</v>
      </c>
      <c r="BC135" s="56" t="e">
        <f t="shared" si="40"/>
        <v>#DIV/0!</v>
      </c>
      <c r="BD135" s="57" t="e">
        <f t="shared" si="40"/>
        <v>#DIV/0!</v>
      </c>
      <c r="BE135" s="57" t="e">
        <f t="shared" si="48"/>
        <v>#DIV/0!</v>
      </c>
      <c r="BF135" s="58"/>
      <c r="BH135" s="74"/>
      <c r="BI135" s="75"/>
      <c r="BJ135" s="75"/>
      <c r="BK135" s="75"/>
      <c r="BL135" s="75"/>
      <c r="BM135" s="87"/>
      <c r="BO135" s="74"/>
      <c r="BP135" s="75"/>
      <c r="BQ135" s="75"/>
      <c r="BR135" s="75"/>
      <c r="BS135" s="75"/>
      <c r="BT135" s="87"/>
      <c r="BV135" s="74"/>
      <c r="BW135" s="75"/>
      <c r="BX135" s="75"/>
      <c r="BY135" s="75"/>
      <c r="BZ135" s="75"/>
      <c r="CA135" s="87"/>
      <c r="CC135" s="74"/>
      <c r="CD135" s="75"/>
      <c r="CE135" s="75"/>
      <c r="CF135" s="75"/>
      <c r="CG135" s="75"/>
      <c r="CH135" s="87"/>
      <c r="CJ135" s="74"/>
      <c r="CK135" s="75"/>
      <c r="CL135" s="75"/>
      <c r="CM135" s="75"/>
      <c r="CN135" s="75"/>
      <c r="CO135" s="87"/>
      <c r="CQ135" s="74"/>
      <c r="CR135" s="75"/>
      <c r="CS135" s="75"/>
      <c r="CT135" s="75"/>
      <c r="CU135" s="75"/>
      <c r="CV135" s="87"/>
    </row>
    <row r="136" spans="1:100" ht="14.25" outlineLevel="1" thickBot="1">
      <c r="A136" s="17"/>
      <c r="B136" s="18" t="s">
        <v>876</v>
      </c>
      <c r="C136" s="19" t="s">
        <v>136</v>
      </c>
      <c r="D136" s="467">
        <v>163936020</v>
      </c>
      <c r="E136" s="19">
        <v>11</v>
      </c>
      <c r="F136" s="189">
        <v>64</v>
      </c>
      <c r="G136" s="20">
        <v>30</v>
      </c>
      <c r="I136" s="34">
        <f t="shared" si="42"/>
        <v>402.25540124999998</v>
      </c>
      <c r="J136" s="35">
        <f t="shared" si="43"/>
        <v>5.2346327305005937</v>
      </c>
      <c r="K136" s="35">
        <f t="shared" si="44"/>
        <v>0.78394183291750041</v>
      </c>
      <c r="L136" s="35">
        <f t="shared" si="39"/>
        <v>4.4504694453360525</v>
      </c>
      <c r="M136" s="52"/>
      <c r="N136" s="35">
        <f t="shared" si="45"/>
        <v>6.7101831946901793</v>
      </c>
      <c r="O136" s="360">
        <v>127886949</v>
      </c>
      <c r="P136" s="361">
        <v>858144856</v>
      </c>
      <c r="Q136" s="361">
        <v>128516304</v>
      </c>
      <c r="R136" s="209">
        <v>729592248</v>
      </c>
      <c r="S136" s="88"/>
      <c r="T136" s="362">
        <v>75.725516999999996</v>
      </c>
      <c r="U136" s="362">
        <v>71.086639000000005</v>
      </c>
      <c r="V136" s="362">
        <v>41.766758000000003</v>
      </c>
      <c r="W136" s="362">
        <v>49.755904999999998</v>
      </c>
      <c r="X136" s="362">
        <v>51.718913999999998</v>
      </c>
      <c r="Y136" s="88">
        <v>0</v>
      </c>
      <c r="Z136" s="363"/>
      <c r="AA136" s="363"/>
      <c r="AB136" s="36">
        <v>0</v>
      </c>
      <c r="AC136" s="36">
        <v>0</v>
      </c>
      <c r="AD136" s="37"/>
      <c r="AF136" s="34" t="str">
        <f t="shared" si="46"/>
        <v>·</v>
      </c>
      <c r="AG136" s="35" t="str">
        <f t="shared" si="47"/>
        <v>·</v>
      </c>
      <c r="AH136" s="35" t="str">
        <f t="shared" si="41"/>
        <v>·</v>
      </c>
      <c r="AI136" s="35" t="str">
        <f t="shared" si="38"/>
        <v>·</v>
      </c>
      <c r="AJ136" s="52"/>
      <c r="AK136" s="35" t="str">
        <f t="shared" si="36"/>
        <v>·</v>
      </c>
      <c r="AL136" s="360"/>
      <c r="AM136" s="361"/>
      <c r="AN136" s="361"/>
      <c r="AO136" s="209"/>
      <c r="AP136" s="88"/>
      <c r="AQ136" s="362"/>
      <c r="AR136" s="362"/>
      <c r="AS136" s="362"/>
      <c r="AT136" s="362"/>
      <c r="AU136" s="362"/>
      <c r="AV136" s="88"/>
      <c r="AW136" s="363"/>
      <c r="AX136" s="363"/>
      <c r="AY136" s="36">
        <v>0</v>
      </c>
      <c r="AZ136" s="36">
        <v>0</v>
      </c>
      <c r="BA136" s="37">
        <v>0.97879993750000005</v>
      </c>
      <c r="BC136" s="59" t="e">
        <f t="shared" si="40"/>
        <v>#DIV/0!</v>
      </c>
      <c r="BD136" s="60" t="e">
        <f t="shared" si="40"/>
        <v>#DIV/0!</v>
      </c>
      <c r="BE136" s="60" t="e">
        <f t="shared" si="48"/>
        <v>#DIV/0!</v>
      </c>
      <c r="BF136" s="61"/>
      <c r="BH136" s="77"/>
      <c r="BI136" s="78"/>
      <c r="BJ136" s="78"/>
      <c r="BK136" s="78"/>
      <c r="BL136" s="78"/>
      <c r="BM136" s="88"/>
      <c r="BO136" s="77"/>
      <c r="BP136" s="78"/>
      <c r="BQ136" s="78"/>
      <c r="BR136" s="78"/>
      <c r="BS136" s="78"/>
      <c r="BT136" s="88"/>
      <c r="BV136" s="77"/>
      <c r="BW136" s="78"/>
      <c r="BX136" s="78"/>
      <c r="BY136" s="78"/>
      <c r="BZ136" s="78"/>
      <c r="CA136" s="88"/>
      <c r="CC136" s="77"/>
      <c r="CD136" s="78"/>
      <c r="CE136" s="78"/>
      <c r="CF136" s="78"/>
      <c r="CG136" s="78"/>
      <c r="CH136" s="88"/>
      <c r="CJ136" s="77"/>
      <c r="CK136" s="78"/>
      <c r="CL136" s="78"/>
      <c r="CM136" s="78"/>
      <c r="CN136" s="78"/>
      <c r="CO136" s="88"/>
      <c r="CQ136" s="77"/>
      <c r="CR136" s="78"/>
      <c r="CS136" s="78"/>
      <c r="CT136" s="78"/>
      <c r="CU136" s="78"/>
      <c r="CV136" s="88"/>
    </row>
    <row r="137" spans="1:100">
      <c r="B137" s="6" t="s">
        <v>1125</v>
      </c>
      <c r="J137" s="7">
        <f>AVERAGE(J5:J40)</f>
        <v>7.0809523790119755</v>
      </c>
      <c r="K137" s="7">
        <f>AVERAGE(K5:K40)</f>
        <v>3.1693878638889181</v>
      </c>
      <c r="L137" s="248"/>
      <c r="M137" s="7">
        <f>AVERAGE(M5:M40)</f>
        <v>3.9114738738805723</v>
      </c>
      <c r="Z137" s="7" t="e">
        <f>AVERAGE(Z5:Z40)</f>
        <v>#DIV/0!</v>
      </c>
      <c r="AA137" s="7" t="e">
        <f>AVERAGE(AA5:AA40)</f>
        <v>#DIV/0!</v>
      </c>
      <c r="AB137" s="571">
        <f t="shared" ref="AB137:AD137" si="49">AVERAGE(AB5:AB40)</f>
        <v>0</v>
      </c>
      <c r="AC137" s="571">
        <f t="shared" si="49"/>
        <v>0</v>
      </c>
      <c r="AD137" s="7" t="e">
        <f t="shared" si="49"/>
        <v>#DIV/0!</v>
      </c>
      <c r="AG137" s="7" t="e">
        <f>AVERAGE(AG5:AG40)</f>
        <v>#DIV/0!</v>
      </c>
      <c r="AH137" s="7" t="e">
        <f>AVERAGE(AH5:AH40)</f>
        <v>#DIV/0!</v>
      </c>
      <c r="AI137" s="248"/>
      <c r="AJ137" s="7" t="e">
        <f>AVERAGE(AJ5:AJ40)</f>
        <v>#DIV/0!</v>
      </c>
      <c r="AW137" s="7" t="e">
        <f>AVERAGE(AW5:AW40)</f>
        <v>#DIV/0!</v>
      </c>
      <c r="AX137" s="7" t="e">
        <f>AVERAGE(AX5:AX40)</f>
        <v>#DIV/0!</v>
      </c>
      <c r="AY137" s="571">
        <f t="shared" ref="AY137:BA137" si="50">AVERAGE(AY5:AY40)</f>
        <v>0</v>
      </c>
      <c r="AZ137" s="571">
        <f t="shared" si="50"/>
        <v>0</v>
      </c>
      <c r="BA137" s="7" t="e">
        <f t="shared" si="50"/>
        <v>#DIV/0!</v>
      </c>
      <c r="BC137" s="2" t="e">
        <f>AVERAGE(BC5:BC40)</f>
        <v>#DIV/0!</v>
      </c>
      <c r="BD137" s="2" t="e">
        <f>AVERAGE(BD5:BD40)</f>
        <v>#DIV/0!</v>
      </c>
      <c r="BE137" s="2" t="e">
        <f>AVERAGE(BE5:BE40)</f>
        <v>#DIV/0!</v>
      </c>
      <c r="BF137" s="2" t="e">
        <f>AVERAGE(BF5:BF40)</f>
        <v>#DIV/0!</v>
      </c>
      <c r="BG137" s="590"/>
      <c r="BH137" s="2" t="e">
        <f>AVERAGE(BH5:BH40)</f>
        <v>#DIV/0!</v>
      </c>
      <c r="BI137" s="2" t="e">
        <f>AVERAGE(BI5:BI40)</f>
        <v>#DIV/0!</v>
      </c>
      <c r="BJ137" s="591"/>
      <c r="BK137" s="591"/>
      <c r="BL137" s="592"/>
      <c r="BM137" s="2" t="e">
        <f>AVERAGE(BM5:BM40)</f>
        <v>#DIV/0!</v>
      </c>
      <c r="BO137" s="2" t="e">
        <f>AVERAGE(BO5:BO40)</f>
        <v>#DIV/0!</v>
      </c>
      <c r="BP137" s="2" t="e">
        <f>AVERAGE(BP5:BP40)</f>
        <v>#DIV/0!</v>
      </c>
      <c r="BQ137" s="591"/>
      <c r="BR137" s="591"/>
      <c r="BS137" s="592"/>
      <c r="BT137" s="2" t="e">
        <f>AVERAGE(BT5:BT40)</f>
        <v>#DIV/0!</v>
      </c>
      <c r="BU137" s="590"/>
      <c r="BV137" s="2" t="e">
        <f>AVERAGE(BV5:BV40)</f>
        <v>#DIV/0!</v>
      </c>
      <c r="BW137" s="2" t="e">
        <f>AVERAGE(BW5:BW40)</f>
        <v>#DIV/0!</v>
      </c>
      <c r="BX137" s="591"/>
      <c r="BY137" s="591"/>
      <c r="BZ137" s="592"/>
      <c r="CA137" s="2" t="e">
        <f>AVERAGE(CA5:CA40)</f>
        <v>#DIV/0!</v>
      </c>
      <c r="CB137" s="590"/>
      <c r="CC137" s="2" t="e">
        <f>AVERAGE(CC5:CC40)</f>
        <v>#DIV/0!</v>
      </c>
      <c r="CD137" s="2" t="e">
        <f>AVERAGE(CD5:CD40)</f>
        <v>#DIV/0!</v>
      </c>
      <c r="CE137" s="591"/>
      <c r="CF137" s="591"/>
      <c r="CG137" s="592"/>
      <c r="CH137" s="2" t="e">
        <f>AVERAGE(CH5:CH40)</f>
        <v>#DIV/0!</v>
      </c>
      <c r="CI137" s="590"/>
      <c r="CJ137" s="2" t="e">
        <f>AVERAGE(CJ5:CJ40)</f>
        <v>#DIV/0!</v>
      </c>
      <c r="CK137" s="2" t="e">
        <f>AVERAGE(CK5:CK40)</f>
        <v>#DIV/0!</v>
      </c>
      <c r="CL137" s="591"/>
      <c r="CM137" s="591"/>
      <c r="CN137" s="592"/>
      <c r="CO137" s="2" t="e">
        <f>AVERAGE(CO5:CO40)</f>
        <v>#DIV/0!</v>
      </c>
      <c r="CP137" s="590"/>
      <c r="CQ137" s="2" t="e">
        <f>AVERAGE(CQ5:CQ40)</f>
        <v>#DIV/0!</v>
      </c>
      <c r="CR137" s="2" t="e">
        <f>AVERAGE(CR5:CR40)</f>
        <v>#DIV/0!</v>
      </c>
      <c r="CS137" s="591"/>
      <c r="CT137" s="591"/>
      <c r="CU137" s="592"/>
      <c r="CV137" s="2" t="e">
        <f>AVERAGE(CV5:CV40)</f>
        <v>#DIV/0!</v>
      </c>
    </row>
    <row r="138" spans="1:100">
      <c r="B138" s="6" t="s">
        <v>1124</v>
      </c>
      <c r="J138" s="7">
        <f>AVERAGE(J41:J82)</f>
        <v>5.83874873124127</v>
      </c>
      <c r="K138" s="7">
        <f>AVERAGE(K41:K82)</f>
        <v>3.4008747764740459</v>
      </c>
      <c r="L138" s="7">
        <f>AVERAGE(L41:L82)</f>
        <v>2.4377895198343373</v>
      </c>
      <c r="M138" s="247"/>
      <c r="Z138" s="7" t="e">
        <f>AVERAGE(Z41:Z82)</f>
        <v>#DIV/0!</v>
      </c>
      <c r="AA138" s="7" t="e">
        <f>AVERAGE(AA41:AA82)</f>
        <v>#DIV/0!</v>
      </c>
      <c r="AB138" s="571">
        <f t="shared" ref="AB138:AD138" si="51">AVERAGE(AB41:AB82)</f>
        <v>0</v>
      </c>
      <c r="AC138" s="571">
        <f t="shared" si="51"/>
        <v>0</v>
      </c>
      <c r="AD138" s="7" t="e">
        <f t="shared" si="51"/>
        <v>#DIV/0!</v>
      </c>
      <c r="AG138" s="7" t="e">
        <f>AVERAGE(AG41:AG82)</f>
        <v>#DIV/0!</v>
      </c>
      <c r="AH138" s="7" t="e">
        <f>AVERAGE(AH41:AH82)</f>
        <v>#DIV/0!</v>
      </c>
      <c r="AI138" s="7" t="e">
        <f>AVERAGE(AI41:AI82)</f>
        <v>#DIV/0!</v>
      </c>
      <c r="AJ138" s="247"/>
      <c r="AW138" s="7" t="e">
        <f>AVERAGE(AW41:AW82)</f>
        <v>#DIV/0!</v>
      </c>
      <c r="AX138" s="7" t="e">
        <f>AVERAGE(AX41:AX82)</f>
        <v>#DIV/0!</v>
      </c>
      <c r="AY138" s="571">
        <f t="shared" ref="AY138:BA138" si="52">AVERAGE(AY41:AY82)</f>
        <v>0</v>
      </c>
      <c r="AZ138" s="571">
        <f t="shared" si="52"/>
        <v>0</v>
      </c>
      <c r="BA138" s="7">
        <f t="shared" si="52"/>
        <v>35550.602615571428</v>
      </c>
      <c r="BC138" s="2" t="e">
        <f>AVERAGE(BC41:BC82)</f>
        <v>#DIV/0!</v>
      </c>
      <c r="BD138" s="2" t="e">
        <f>AVERAGE(BD41:BD82)</f>
        <v>#DIV/0!</v>
      </c>
      <c r="BE138" s="2" t="e">
        <f>AVERAGE(BE41:BE82)</f>
        <v>#DIV/0!</v>
      </c>
      <c r="BF138" s="2" t="e">
        <f>AVERAGE(BF41:BF82)</f>
        <v>#DIV/0!</v>
      </c>
      <c r="BG138" s="590"/>
      <c r="BH138" s="2" t="e">
        <f>AVERAGE(BH41:BH82)</f>
        <v>#DIV/0!</v>
      </c>
      <c r="BI138" s="2" t="e">
        <f>AVERAGE(BI41:BI82)</f>
        <v>#DIV/0!</v>
      </c>
      <c r="BJ138" s="2" t="e">
        <f>AVERAGE(BJ41:BJ82)</f>
        <v>#DIV/0!</v>
      </c>
      <c r="BK138" s="2" t="e">
        <f>AVERAGE(BK41:BK82)</f>
        <v>#DIV/0!</v>
      </c>
      <c r="BL138" s="2" t="e">
        <f>AVERAGE(BL41:BL82)</f>
        <v>#DIV/0!</v>
      </c>
      <c r="BM138" s="591"/>
      <c r="BO138" s="2" t="e">
        <f>AVERAGE(BO41:BO82)</f>
        <v>#DIV/0!</v>
      </c>
      <c r="BP138" s="2" t="e">
        <f>AVERAGE(BP41:BP82)</f>
        <v>#DIV/0!</v>
      </c>
      <c r="BQ138" s="2" t="e">
        <f>AVERAGE(BQ41:BQ82)</f>
        <v>#DIV/0!</v>
      </c>
      <c r="BR138" s="2" t="e">
        <f>AVERAGE(BR41:BR82)</f>
        <v>#DIV/0!</v>
      </c>
      <c r="BS138" s="2" t="e">
        <f>AVERAGE(BS41:BS82)</f>
        <v>#DIV/0!</v>
      </c>
      <c r="BT138" s="591"/>
      <c r="BU138" s="590"/>
      <c r="BV138" s="2" t="e">
        <f>AVERAGE(BV41:BV82)</f>
        <v>#DIV/0!</v>
      </c>
      <c r="BW138" s="2" t="e">
        <f>AVERAGE(BW41:BW82)</f>
        <v>#DIV/0!</v>
      </c>
      <c r="BX138" s="2" t="e">
        <f>AVERAGE(BX41:BX82)</f>
        <v>#DIV/0!</v>
      </c>
      <c r="BY138" s="2" t="e">
        <f>AVERAGE(BY41:BY82)</f>
        <v>#DIV/0!</v>
      </c>
      <c r="BZ138" s="2" t="e">
        <f>AVERAGE(BZ41:BZ82)</f>
        <v>#DIV/0!</v>
      </c>
      <c r="CA138" s="591"/>
      <c r="CB138" s="590"/>
      <c r="CC138" s="2" t="e">
        <f>AVERAGE(CC41:CC82)</f>
        <v>#DIV/0!</v>
      </c>
      <c r="CD138" s="2" t="e">
        <f>AVERAGE(CD41:CD82)</f>
        <v>#DIV/0!</v>
      </c>
      <c r="CE138" s="2" t="e">
        <f>AVERAGE(CE41:CE82)</f>
        <v>#DIV/0!</v>
      </c>
      <c r="CF138" s="2" t="e">
        <f>AVERAGE(CF41:CF82)</f>
        <v>#DIV/0!</v>
      </c>
      <c r="CG138" s="2" t="e">
        <f>AVERAGE(CG41:CG82)</f>
        <v>#DIV/0!</v>
      </c>
      <c r="CH138" s="591"/>
      <c r="CI138" s="590"/>
      <c r="CJ138" s="2" t="e">
        <f>AVERAGE(CJ41:CJ82)</f>
        <v>#DIV/0!</v>
      </c>
      <c r="CK138" s="2" t="e">
        <f>AVERAGE(CK41:CK82)</f>
        <v>#DIV/0!</v>
      </c>
      <c r="CL138" s="2" t="e">
        <f>AVERAGE(CL41:CL82)</f>
        <v>#DIV/0!</v>
      </c>
      <c r="CM138" s="2" t="e">
        <f>AVERAGE(CM41:CM82)</f>
        <v>#DIV/0!</v>
      </c>
      <c r="CN138" s="2" t="e">
        <f>AVERAGE(CN41:CN82)</f>
        <v>#DIV/0!</v>
      </c>
      <c r="CO138" s="591"/>
      <c r="CP138" s="590"/>
      <c r="CQ138" s="2" t="e">
        <f>AVERAGE(CQ41:CQ82)</f>
        <v>#DIV/0!</v>
      </c>
      <c r="CR138" s="2" t="e">
        <f>AVERAGE(CR41:CR82)</f>
        <v>#DIV/0!</v>
      </c>
      <c r="CS138" s="2" t="e">
        <f>AVERAGE(CS41:CS82)</f>
        <v>#DIV/0!</v>
      </c>
      <c r="CT138" s="2" t="e">
        <f>AVERAGE(CT41:CT82)</f>
        <v>#DIV/0!</v>
      </c>
      <c r="CU138" s="2" t="e">
        <f>AVERAGE(CU41:CU82)</f>
        <v>#DIV/0!</v>
      </c>
      <c r="CV138" s="591"/>
    </row>
    <row r="139" spans="1:100" ht="27">
      <c r="B139" s="6" t="s">
        <v>1129</v>
      </c>
      <c r="J139" s="7">
        <f>AVERAGE(J83:J112)</f>
        <v>7.8166785848461791</v>
      </c>
      <c r="K139" s="7">
        <f>AVERAGE(K83:K112)</f>
        <v>6.2242640892716121</v>
      </c>
      <c r="L139" s="247"/>
      <c r="M139" s="7">
        <f>AVERAGE(M83:M112)</f>
        <v>1.5854272428254816</v>
      </c>
      <c r="Z139" s="7" t="e">
        <f>AVERAGE(Z83:Z112)</f>
        <v>#DIV/0!</v>
      </c>
      <c r="AA139" s="7" t="e">
        <f>AVERAGE(AA83:AA112)</f>
        <v>#DIV/0!</v>
      </c>
      <c r="AB139" s="571">
        <f t="shared" ref="AB139:AD139" si="53">AVERAGE(AB83:AB112)</f>
        <v>0</v>
      </c>
      <c r="AC139" s="571">
        <f t="shared" si="53"/>
        <v>0</v>
      </c>
      <c r="AD139" s="7" t="e">
        <f t="shared" si="53"/>
        <v>#DIV/0!</v>
      </c>
      <c r="AG139" s="7" t="e">
        <f>AVERAGE(AG83:AG112)</f>
        <v>#DIV/0!</v>
      </c>
      <c r="AH139" s="7" t="e">
        <f>AVERAGE(AH83:AH112)</f>
        <v>#DIV/0!</v>
      </c>
      <c r="AI139" s="247"/>
      <c r="AJ139" s="7" t="e">
        <f>AVERAGE(AJ83:AJ112)</f>
        <v>#DIV/0!</v>
      </c>
      <c r="AW139" s="7" t="e">
        <f>AVERAGE(AW83:AW112)</f>
        <v>#DIV/0!</v>
      </c>
      <c r="AX139" s="7" t="e">
        <f>AVERAGE(AX83:AX112)</f>
        <v>#DIV/0!</v>
      </c>
      <c r="AY139" s="571">
        <f t="shared" ref="AY139:BA139" si="54">AVERAGE(AY83:AY112)</f>
        <v>0</v>
      </c>
      <c r="AZ139" s="571">
        <f t="shared" si="54"/>
        <v>0</v>
      </c>
      <c r="BA139" s="7" t="e">
        <f t="shared" si="54"/>
        <v>#DIV/0!</v>
      </c>
      <c r="BC139" s="2" t="e">
        <f>AVERAGE(BC83:BC112)</f>
        <v>#DIV/0!</v>
      </c>
      <c r="BD139" s="2" t="e">
        <f>AVERAGE(BD83:BD112)</f>
        <v>#DIV/0!</v>
      </c>
      <c r="BE139" s="2" t="e">
        <f>AVERAGE(BE83:BE112)</f>
        <v>#DIV/0!</v>
      </c>
      <c r="BF139" s="2" t="e">
        <f>AVERAGE(BF83:BF112)</f>
        <v>#DIV/0!</v>
      </c>
      <c r="BG139" s="590"/>
      <c r="BH139" s="2" t="e">
        <f>AVERAGE(BH83:BH112)</f>
        <v>#DIV/0!</v>
      </c>
      <c r="BI139" s="2" t="e">
        <f>AVERAGE(BI83:BI112)</f>
        <v>#DIV/0!</v>
      </c>
      <c r="BJ139" s="591"/>
      <c r="BK139" s="591"/>
      <c r="BL139" s="591"/>
      <c r="BM139" s="2" t="e">
        <f t="shared" ref="BM139" si="55">AVERAGE(BM83:BM112)</f>
        <v>#DIV/0!</v>
      </c>
      <c r="BO139" s="2" t="e">
        <f>AVERAGE(BO83:BO112)</f>
        <v>#DIV/0!</v>
      </c>
      <c r="BP139" s="2" t="e">
        <f>AVERAGE(BP83:BP112)</f>
        <v>#DIV/0!</v>
      </c>
      <c r="BQ139" s="591"/>
      <c r="BR139" s="591"/>
      <c r="BS139" s="591"/>
      <c r="BT139" s="2" t="e">
        <f t="shared" ref="BT139" si="56">AVERAGE(BT83:BT112)</f>
        <v>#DIV/0!</v>
      </c>
      <c r="BU139" s="590"/>
      <c r="BV139" s="2" t="e">
        <f>AVERAGE(BV83:BV112)</f>
        <v>#DIV/0!</v>
      </c>
      <c r="BW139" s="2" t="e">
        <f>AVERAGE(BW83:BW112)</f>
        <v>#DIV/0!</v>
      </c>
      <c r="BX139" s="591"/>
      <c r="BY139" s="591"/>
      <c r="BZ139" s="591"/>
      <c r="CA139" s="2" t="e">
        <f t="shared" ref="CA139" si="57">AVERAGE(CA83:CA112)</f>
        <v>#DIV/0!</v>
      </c>
      <c r="CB139" s="590"/>
      <c r="CC139" s="2" t="e">
        <f>AVERAGE(CC83:CC112)</f>
        <v>#DIV/0!</v>
      </c>
      <c r="CD139" s="2" t="e">
        <f>AVERAGE(CD83:CD112)</f>
        <v>#DIV/0!</v>
      </c>
      <c r="CE139" s="591"/>
      <c r="CF139" s="591"/>
      <c r="CG139" s="591"/>
      <c r="CH139" s="2" t="e">
        <f t="shared" ref="CH139" si="58">AVERAGE(CH83:CH112)</f>
        <v>#DIV/0!</v>
      </c>
      <c r="CI139" s="590"/>
      <c r="CJ139" s="2" t="e">
        <f>AVERAGE(CJ83:CJ112)</f>
        <v>#DIV/0!</v>
      </c>
      <c r="CK139" s="2" t="e">
        <f>AVERAGE(CK83:CK112)</f>
        <v>#DIV/0!</v>
      </c>
      <c r="CL139" s="591"/>
      <c r="CM139" s="591"/>
      <c r="CN139" s="591"/>
      <c r="CO139" s="2" t="e">
        <f t="shared" ref="CO139" si="59">AVERAGE(CO83:CO112)</f>
        <v>#DIV/0!</v>
      </c>
      <c r="CP139" s="590"/>
      <c r="CQ139" s="2" t="e">
        <f>AVERAGE(CQ83:CQ112)</f>
        <v>#DIV/0!</v>
      </c>
      <c r="CR139" s="2" t="e">
        <f>AVERAGE(CR83:CR112)</f>
        <v>#DIV/0!</v>
      </c>
      <c r="CS139" s="591"/>
      <c r="CT139" s="591"/>
      <c r="CU139" s="591"/>
      <c r="CV139" s="2" t="e">
        <f t="shared" ref="CV139" si="60">AVERAGE(CV83:CV112)</f>
        <v>#DIV/0!</v>
      </c>
    </row>
    <row r="140" spans="1:100">
      <c r="B140" s="6" t="s">
        <v>903</v>
      </c>
      <c r="J140" s="7">
        <f>AVERAGE(J113:J136)</f>
        <v>1.496217160609679</v>
      </c>
      <c r="K140" s="7">
        <f t="shared" ref="K140:L140" si="61">AVERAGE(K113:K136)</f>
        <v>0.29845685870750349</v>
      </c>
      <c r="L140" s="7">
        <f t="shared" si="61"/>
        <v>1.1975472589627643</v>
      </c>
      <c r="M140" s="247"/>
      <c r="Z140" s="7" t="e">
        <f t="shared" ref="Z140:AD140" si="62">AVERAGE(Z113:Z136)</f>
        <v>#DIV/0!</v>
      </c>
      <c r="AA140" s="7" t="e">
        <f t="shared" si="62"/>
        <v>#DIV/0!</v>
      </c>
      <c r="AB140" s="571">
        <f t="shared" si="62"/>
        <v>0</v>
      </c>
      <c r="AC140" s="571">
        <f t="shared" si="62"/>
        <v>0</v>
      </c>
      <c r="AD140" s="7" t="e">
        <f t="shared" si="62"/>
        <v>#DIV/0!</v>
      </c>
      <c r="AG140" s="7" t="e">
        <f>AVERAGE(AG113:AG136)</f>
        <v>#DIV/0!</v>
      </c>
      <c r="AH140" s="7" t="e">
        <f t="shared" ref="AH140:AI140" si="63">AVERAGE(AH113:AH136)</f>
        <v>#DIV/0!</v>
      </c>
      <c r="AI140" s="7" t="e">
        <f t="shared" si="63"/>
        <v>#DIV/0!</v>
      </c>
      <c r="AJ140" s="247"/>
      <c r="AW140" s="7" t="e">
        <f t="shared" ref="AW140:BA140" si="64">AVERAGE(AW113:AW136)</f>
        <v>#DIV/0!</v>
      </c>
      <c r="AX140" s="7" t="e">
        <f t="shared" si="64"/>
        <v>#DIV/0!</v>
      </c>
      <c r="AY140" s="571">
        <f t="shared" si="64"/>
        <v>0</v>
      </c>
      <c r="AZ140" s="571">
        <f t="shared" si="64"/>
        <v>0</v>
      </c>
      <c r="BA140" s="7">
        <f t="shared" si="64"/>
        <v>42.885139225911466</v>
      </c>
      <c r="BC140" s="2" t="e">
        <f t="shared" ref="BC140:BF140" si="65">AVERAGE(BC113:BC136)</f>
        <v>#DIV/0!</v>
      </c>
      <c r="BD140" s="2" t="e">
        <f t="shared" si="65"/>
        <v>#DIV/0!</v>
      </c>
      <c r="BE140" s="2" t="e">
        <f t="shared" si="65"/>
        <v>#DIV/0!</v>
      </c>
      <c r="BF140" s="2" t="e">
        <f t="shared" si="65"/>
        <v>#DIV/0!</v>
      </c>
      <c r="BG140" s="590"/>
      <c r="BH140" s="2" t="e">
        <f t="shared" ref="BH140:BL140" si="66">AVERAGE(BH113:BH136)</f>
        <v>#DIV/0!</v>
      </c>
      <c r="BI140" s="2" t="e">
        <f t="shared" si="66"/>
        <v>#DIV/0!</v>
      </c>
      <c r="BJ140" s="2" t="e">
        <f t="shared" si="66"/>
        <v>#DIV/0!</v>
      </c>
      <c r="BK140" s="2" t="e">
        <f t="shared" si="66"/>
        <v>#DIV/0!</v>
      </c>
      <c r="BL140" s="2" t="e">
        <f t="shared" si="66"/>
        <v>#DIV/0!</v>
      </c>
      <c r="BM140" s="591"/>
      <c r="BO140" s="2" t="e">
        <f t="shared" ref="BO140:BS140" si="67">AVERAGE(BO113:BO136)</f>
        <v>#DIV/0!</v>
      </c>
      <c r="BP140" s="2" t="e">
        <f t="shared" si="67"/>
        <v>#DIV/0!</v>
      </c>
      <c r="BQ140" s="2" t="e">
        <f t="shared" si="67"/>
        <v>#DIV/0!</v>
      </c>
      <c r="BR140" s="2" t="e">
        <f t="shared" si="67"/>
        <v>#DIV/0!</v>
      </c>
      <c r="BS140" s="2" t="e">
        <f t="shared" si="67"/>
        <v>#DIV/0!</v>
      </c>
      <c r="BT140" s="591"/>
      <c r="BU140" s="590"/>
      <c r="BV140" s="2" t="e">
        <f t="shared" ref="BV140:BZ140" si="68">AVERAGE(BV113:BV136)</f>
        <v>#DIV/0!</v>
      </c>
      <c r="BW140" s="2" t="e">
        <f t="shared" si="68"/>
        <v>#DIV/0!</v>
      </c>
      <c r="BX140" s="2" t="e">
        <f t="shared" si="68"/>
        <v>#DIV/0!</v>
      </c>
      <c r="BY140" s="2" t="e">
        <f t="shared" si="68"/>
        <v>#DIV/0!</v>
      </c>
      <c r="BZ140" s="2" t="e">
        <f t="shared" si="68"/>
        <v>#DIV/0!</v>
      </c>
      <c r="CA140" s="591"/>
      <c r="CB140" s="590"/>
      <c r="CC140" s="2" t="e">
        <f t="shared" ref="CC140:CG140" si="69">AVERAGE(CC113:CC136)</f>
        <v>#DIV/0!</v>
      </c>
      <c r="CD140" s="2" t="e">
        <f t="shared" si="69"/>
        <v>#DIV/0!</v>
      </c>
      <c r="CE140" s="2" t="e">
        <f t="shared" si="69"/>
        <v>#DIV/0!</v>
      </c>
      <c r="CF140" s="2" t="e">
        <f t="shared" si="69"/>
        <v>#DIV/0!</v>
      </c>
      <c r="CG140" s="2" t="e">
        <f t="shared" si="69"/>
        <v>#DIV/0!</v>
      </c>
      <c r="CH140" s="591"/>
      <c r="CI140" s="590"/>
      <c r="CJ140" s="2" t="e">
        <f t="shared" ref="CJ140:CN140" si="70">AVERAGE(CJ113:CJ136)</f>
        <v>#DIV/0!</v>
      </c>
      <c r="CK140" s="2" t="e">
        <f t="shared" si="70"/>
        <v>#DIV/0!</v>
      </c>
      <c r="CL140" s="2" t="e">
        <f t="shared" si="70"/>
        <v>#DIV/0!</v>
      </c>
      <c r="CM140" s="2" t="e">
        <f t="shared" si="70"/>
        <v>#DIV/0!</v>
      </c>
      <c r="CN140" s="2" t="e">
        <f t="shared" si="70"/>
        <v>#DIV/0!</v>
      </c>
      <c r="CO140" s="591"/>
      <c r="CP140" s="590"/>
      <c r="CQ140" s="2" t="e">
        <f t="shared" ref="CQ140:CU140" si="71">AVERAGE(CQ113:CQ136)</f>
        <v>#DIV/0!</v>
      </c>
      <c r="CR140" s="2" t="e">
        <f t="shared" si="71"/>
        <v>#DIV/0!</v>
      </c>
      <c r="CS140" s="2" t="e">
        <f t="shared" si="71"/>
        <v>#DIV/0!</v>
      </c>
      <c r="CT140" s="2" t="e">
        <f t="shared" si="71"/>
        <v>#DIV/0!</v>
      </c>
      <c r="CU140" s="2" t="e">
        <f t="shared" si="71"/>
        <v>#DIV/0!</v>
      </c>
      <c r="CV140" s="591"/>
    </row>
    <row r="141" spans="1:100">
      <c r="B141" s="595" t="s">
        <v>1132</v>
      </c>
      <c r="J141" s="7">
        <f>AVERAGE(J5:J40,J83:J112)</f>
        <v>7.4153733816638869</v>
      </c>
      <c r="K141" s="7">
        <f>AVERAGE(K5:K40,K83:K112)</f>
        <v>4.5579679663355961</v>
      </c>
      <c r="L141" s="247"/>
      <c r="M141" s="7">
        <f>AVERAGE(M5:M40,M83:M112)</f>
        <v>2.854179950673712</v>
      </c>
      <c r="Z141" s="7" t="e">
        <f>AVERAGE(Z5:Z40,Z83:Z112)</f>
        <v>#DIV/0!</v>
      </c>
      <c r="AA141" s="7" t="e">
        <f>AVERAGE(AA5:AA40,AA83:AA112)</f>
        <v>#DIV/0!</v>
      </c>
      <c r="AB141" s="571">
        <f t="shared" ref="AB141:AD141" si="72">AVERAGE(AB5:AB40,AB83:AB112)</f>
        <v>0</v>
      </c>
      <c r="AC141" s="571">
        <f t="shared" si="72"/>
        <v>0</v>
      </c>
      <c r="AD141" s="7" t="e">
        <f t="shared" si="72"/>
        <v>#DIV/0!</v>
      </c>
      <c r="AG141" s="7" t="e">
        <f>AVERAGE(AG5:AG40,AG83:AG112)</f>
        <v>#DIV/0!</v>
      </c>
      <c r="AH141" s="7" t="e">
        <f>AVERAGE(AH5:AH40,AH83:AH112)</f>
        <v>#DIV/0!</v>
      </c>
      <c r="AI141" s="247"/>
      <c r="AJ141" s="7" t="e">
        <f>AVERAGE(AJ5:AJ40,AJ83:AJ112)</f>
        <v>#DIV/0!</v>
      </c>
      <c r="AW141" s="7" t="e">
        <f>AVERAGE(AW5:AW40,AW83:AW112)</f>
        <v>#DIV/0!</v>
      </c>
      <c r="AX141" s="7" t="e">
        <f>AVERAGE(AX5:AX40,AX83:AX112)</f>
        <v>#DIV/0!</v>
      </c>
      <c r="AY141" s="571">
        <f t="shared" ref="AY141:BA141" si="73">AVERAGE(AY5:AY40,AY83:AY112)</f>
        <v>0</v>
      </c>
      <c r="AZ141" s="571">
        <f t="shared" si="73"/>
        <v>0</v>
      </c>
      <c r="BA141" s="7" t="e">
        <f t="shared" si="73"/>
        <v>#DIV/0!</v>
      </c>
      <c r="BC141" s="2" t="e">
        <f>AVERAGE(BC5:BC40,BC83:BC112)</f>
        <v>#DIV/0!</v>
      </c>
      <c r="BD141" s="2" t="e">
        <f>AVERAGE(BD5:BD40,BD83:BD112)</f>
        <v>#DIV/0!</v>
      </c>
      <c r="BE141" s="2" t="e">
        <f>AVERAGE(BE5:BE40,BE83:BE112)</f>
        <v>#DIV/0!</v>
      </c>
      <c r="BF141" s="2" t="e">
        <f>AVERAGE(BF5:BF40,BF83:BF112)</f>
        <v>#DIV/0!</v>
      </c>
      <c r="BG141" s="590"/>
      <c r="BH141" s="2" t="e">
        <f>AVERAGE(BH5:BH40,BH83:BH112)</f>
        <v>#DIV/0!</v>
      </c>
      <c r="BI141" s="2" t="e">
        <f>AVERAGE(BI5:BI40,BI83:BI112)</f>
        <v>#DIV/0!</v>
      </c>
      <c r="BJ141" s="591"/>
      <c r="BK141" s="591"/>
      <c r="BL141" s="591"/>
      <c r="BM141" s="2" t="e">
        <f>AVERAGE(BM5:BM40,BM83:BM112)</f>
        <v>#DIV/0!</v>
      </c>
      <c r="BO141" s="2" t="e">
        <f>AVERAGE(BO5:BO40,BO83:BO112)</f>
        <v>#DIV/0!</v>
      </c>
      <c r="BP141" s="2" t="e">
        <f>AVERAGE(BP5:BP40,BP83:BP112)</f>
        <v>#DIV/0!</v>
      </c>
      <c r="BQ141" s="591"/>
      <c r="BR141" s="591"/>
      <c r="BS141" s="591"/>
      <c r="BT141" s="2" t="e">
        <f>AVERAGE(BT5:BT40,BT83:BT112)</f>
        <v>#DIV/0!</v>
      </c>
      <c r="BU141" s="590"/>
      <c r="BV141" s="2" t="e">
        <f>AVERAGE(BV5:BV40,BV83:BV112)</f>
        <v>#DIV/0!</v>
      </c>
      <c r="BW141" s="2" t="e">
        <f>AVERAGE(BW5:BW40,BW83:BW112)</f>
        <v>#DIV/0!</v>
      </c>
      <c r="BX141" s="591"/>
      <c r="BY141" s="591"/>
      <c r="BZ141" s="591"/>
      <c r="CA141" s="2" t="e">
        <f>AVERAGE(CA5:CA40,CA83:CA112)</f>
        <v>#DIV/0!</v>
      </c>
      <c r="CB141" s="590"/>
      <c r="CC141" s="2" t="e">
        <f>AVERAGE(CC5:CC40,CC83:CC112)</f>
        <v>#DIV/0!</v>
      </c>
      <c r="CD141" s="2" t="e">
        <f>AVERAGE(CD5:CD40,CD83:CD112)</f>
        <v>#DIV/0!</v>
      </c>
      <c r="CE141" s="591"/>
      <c r="CF141" s="591"/>
      <c r="CG141" s="591"/>
      <c r="CH141" s="2" t="e">
        <f>AVERAGE(CH5:CH40,CH83:CH112)</f>
        <v>#DIV/0!</v>
      </c>
      <c r="CI141" s="590"/>
      <c r="CJ141" s="2" t="e">
        <f>AVERAGE(CJ5:CJ40,CJ83:CJ112)</f>
        <v>#DIV/0!</v>
      </c>
      <c r="CK141" s="2" t="e">
        <f>AVERAGE(CK5:CK40,CK83:CK112)</f>
        <v>#DIV/0!</v>
      </c>
      <c r="CL141" s="591"/>
      <c r="CM141" s="591"/>
      <c r="CN141" s="591"/>
      <c r="CO141" s="2" t="e">
        <f>AVERAGE(CO5:CO40,CO83:CO112)</f>
        <v>#DIV/0!</v>
      </c>
      <c r="CP141" s="590"/>
      <c r="CQ141" s="2" t="e">
        <f>AVERAGE(CQ5:CQ40,CQ83:CQ112)</f>
        <v>#DIV/0!</v>
      </c>
      <c r="CR141" s="2" t="e">
        <f>AVERAGE(CR5:CR40,CR83:CR112)</f>
        <v>#DIV/0!</v>
      </c>
      <c r="CS141" s="591"/>
      <c r="CT141" s="591"/>
      <c r="CU141" s="591"/>
      <c r="CV141" s="2" t="e">
        <f>AVERAGE(CV5:CV40,CV83:CV112)</f>
        <v>#DIV/0!</v>
      </c>
    </row>
    <row r="142" spans="1:100">
      <c r="B142" s="6" t="s">
        <v>1134</v>
      </c>
      <c r="J142" s="7">
        <f>AVERAGE(J5:J136)</f>
        <v>5.8375098617922898</v>
      </c>
      <c r="K142" s="7">
        <f>AVERAGE(K5:K136)</f>
        <v>3.4153453863563579</v>
      </c>
      <c r="L142" s="7">
        <f>AVERAGE(L5:L136)</f>
        <v>1.9867923340628564</v>
      </c>
      <c r="M142" s="7">
        <f>AVERAGE(M5:M136)</f>
        <v>2.854179950673712</v>
      </c>
      <c r="Z142" s="7" t="e">
        <f>AVERAGE(Z5:Z136)</f>
        <v>#DIV/0!</v>
      </c>
      <c r="AA142" s="7" t="e">
        <f>AVERAGE(AA5:AA136)</f>
        <v>#DIV/0!</v>
      </c>
      <c r="AB142" s="571">
        <f t="shared" ref="AB142:AD142" si="74">AVERAGE(AB5:AB136)</f>
        <v>0</v>
      </c>
      <c r="AC142" s="571">
        <f t="shared" si="74"/>
        <v>0</v>
      </c>
      <c r="AD142" s="7" t="e">
        <f t="shared" si="74"/>
        <v>#DIV/0!</v>
      </c>
      <c r="AG142" s="7" t="e">
        <f>AVERAGE(AG5:AG136)</f>
        <v>#DIV/0!</v>
      </c>
      <c r="AH142" s="7" t="e">
        <f>AVERAGE(AH5:AH136)</f>
        <v>#DIV/0!</v>
      </c>
      <c r="AI142" s="7" t="e">
        <f>AVERAGE(AI5:AI136)</f>
        <v>#DIV/0!</v>
      </c>
      <c r="AJ142" s="7" t="e">
        <f>AVERAGE(AJ5:AJ136)</f>
        <v>#DIV/0!</v>
      </c>
      <c r="AW142" s="7" t="e">
        <f>AVERAGE(AW5:AW136)</f>
        <v>#DIV/0!</v>
      </c>
      <c r="AX142" s="7" t="e">
        <f>AVERAGE(AX5:AX136)</f>
        <v>#DIV/0!</v>
      </c>
      <c r="AY142" s="571">
        <f t="shared" ref="AY142:BA142" si="75">AVERAGE(AY5:AY136)</f>
        <v>0</v>
      </c>
      <c r="AZ142" s="571">
        <f t="shared" si="75"/>
        <v>0</v>
      </c>
      <c r="BA142" s="7">
        <f t="shared" si="75"/>
        <v>22638.705351445784</v>
      </c>
      <c r="BC142" s="2" t="e">
        <f>AVERAGE(BC5:BC136)</f>
        <v>#DIV/0!</v>
      </c>
      <c r="BD142" s="2" t="e">
        <f>AVERAGE(BD5:BD136)</f>
        <v>#DIV/0!</v>
      </c>
      <c r="BE142" s="2" t="e">
        <f>AVERAGE(BE5:BE136)</f>
        <v>#DIV/0!</v>
      </c>
      <c r="BF142" s="2" t="e">
        <f>AVERAGE(BF5:BF136)</f>
        <v>#DIV/0!</v>
      </c>
      <c r="BG142" s="590"/>
      <c r="BH142" s="2" t="e">
        <f t="shared" ref="BH142:BM142" si="76">AVERAGE(BH5:BH136)</f>
        <v>#DIV/0!</v>
      </c>
      <c r="BI142" s="2" t="e">
        <f t="shared" si="76"/>
        <v>#DIV/0!</v>
      </c>
      <c r="BJ142" s="2" t="e">
        <f t="shared" si="76"/>
        <v>#DIV/0!</v>
      </c>
      <c r="BK142" s="2" t="e">
        <f t="shared" si="76"/>
        <v>#DIV/0!</v>
      </c>
      <c r="BL142" s="2" t="e">
        <f t="shared" si="76"/>
        <v>#DIV/0!</v>
      </c>
      <c r="BM142" s="2" t="e">
        <f t="shared" si="76"/>
        <v>#DIV/0!</v>
      </c>
      <c r="BO142" s="2" t="e">
        <f t="shared" ref="BO142:BT142" si="77">AVERAGE(BO5:BO136)</f>
        <v>#DIV/0!</v>
      </c>
      <c r="BP142" s="2" t="e">
        <f t="shared" si="77"/>
        <v>#DIV/0!</v>
      </c>
      <c r="BQ142" s="2" t="e">
        <f t="shared" si="77"/>
        <v>#DIV/0!</v>
      </c>
      <c r="BR142" s="2" t="e">
        <f t="shared" si="77"/>
        <v>#DIV/0!</v>
      </c>
      <c r="BS142" s="2" t="e">
        <f t="shared" si="77"/>
        <v>#DIV/0!</v>
      </c>
      <c r="BT142" s="2" t="e">
        <f t="shared" si="77"/>
        <v>#DIV/0!</v>
      </c>
      <c r="BU142" s="590"/>
      <c r="BV142" s="2" t="e">
        <f t="shared" ref="BV142:CA142" si="78">AVERAGE(BV5:BV136)</f>
        <v>#DIV/0!</v>
      </c>
      <c r="BW142" s="2" t="e">
        <f t="shared" si="78"/>
        <v>#DIV/0!</v>
      </c>
      <c r="BX142" s="2" t="e">
        <f t="shared" si="78"/>
        <v>#DIV/0!</v>
      </c>
      <c r="BY142" s="2" t="e">
        <f t="shared" si="78"/>
        <v>#DIV/0!</v>
      </c>
      <c r="BZ142" s="2" t="e">
        <f t="shared" si="78"/>
        <v>#DIV/0!</v>
      </c>
      <c r="CA142" s="2" t="e">
        <f t="shared" si="78"/>
        <v>#DIV/0!</v>
      </c>
      <c r="CB142" s="590"/>
      <c r="CC142" s="2" t="e">
        <f t="shared" ref="CC142:CH142" si="79">AVERAGE(CC5:CC136)</f>
        <v>#DIV/0!</v>
      </c>
      <c r="CD142" s="2" t="e">
        <f t="shared" si="79"/>
        <v>#DIV/0!</v>
      </c>
      <c r="CE142" s="2" t="e">
        <f t="shared" si="79"/>
        <v>#DIV/0!</v>
      </c>
      <c r="CF142" s="2" t="e">
        <f t="shared" si="79"/>
        <v>#DIV/0!</v>
      </c>
      <c r="CG142" s="2" t="e">
        <f t="shared" si="79"/>
        <v>#DIV/0!</v>
      </c>
      <c r="CH142" s="2" t="e">
        <f t="shared" si="79"/>
        <v>#DIV/0!</v>
      </c>
      <c r="CI142" s="590"/>
      <c r="CJ142" s="2" t="e">
        <f t="shared" ref="CJ142:CO142" si="80">AVERAGE(CJ5:CJ136)</f>
        <v>#DIV/0!</v>
      </c>
      <c r="CK142" s="2" t="e">
        <f t="shared" si="80"/>
        <v>#DIV/0!</v>
      </c>
      <c r="CL142" s="2" t="e">
        <f t="shared" si="80"/>
        <v>#DIV/0!</v>
      </c>
      <c r="CM142" s="2" t="e">
        <f t="shared" si="80"/>
        <v>#DIV/0!</v>
      </c>
      <c r="CN142" s="2" t="e">
        <f t="shared" si="80"/>
        <v>#DIV/0!</v>
      </c>
      <c r="CO142" s="2" t="e">
        <f t="shared" si="80"/>
        <v>#DIV/0!</v>
      </c>
      <c r="CP142" s="590"/>
      <c r="CQ142" s="2" t="e">
        <f t="shared" ref="CQ142:CV142" si="81">AVERAGE(CQ5:CQ136)</f>
        <v>#DIV/0!</v>
      </c>
      <c r="CR142" s="2" t="e">
        <f t="shared" si="81"/>
        <v>#DIV/0!</v>
      </c>
      <c r="CS142" s="2" t="e">
        <f t="shared" si="81"/>
        <v>#DIV/0!</v>
      </c>
      <c r="CT142" s="2" t="e">
        <f t="shared" si="81"/>
        <v>#DIV/0!</v>
      </c>
      <c r="CU142" s="2" t="e">
        <f t="shared" si="81"/>
        <v>#DIV/0!</v>
      </c>
      <c r="CV142" s="2" t="e">
        <f t="shared" si="81"/>
        <v>#DIV/0!</v>
      </c>
    </row>
    <row r="143" spans="1:100" outlineLevel="2">
      <c r="A143" s="338" t="s">
        <v>138</v>
      </c>
      <c r="B143" s="6" t="s">
        <v>1127</v>
      </c>
      <c r="Z143" s="8"/>
      <c r="AA143" s="8"/>
      <c r="AW143" s="12" t="e">
        <f>AW137/Z137</f>
        <v>#DIV/0!</v>
      </c>
      <c r="AX143" s="12" t="e">
        <f>AX137/AA137</f>
        <v>#DIV/0!</v>
      </c>
      <c r="AY143" s="12" t="e">
        <f t="shared" ref="AY143:BA148" si="82">AY137/AB137</f>
        <v>#DIV/0!</v>
      </c>
      <c r="AZ143" s="12" t="e">
        <f t="shared" si="82"/>
        <v>#DIV/0!</v>
      </c>
      <c r="BA143" s="12" t="e">
        <f t="shared" si="82"/>
        <v>#DIV/0!</v>
      </c>
    </row>
    <row r="144" spans="1:100" outlineLevel="2">
      <c r="B144" s="6" t="s">
        <v>1128</v>
      </c>
      <c r="AW144" s="12" t="e">
        <f t="shared" ref="AW144:AX148" si="83">AW138/Z138</f>
        <v>#DIV/0!</v>
      </c>
      <c r="AX144" s="12" t="e">
        <f t="shared" si="83"/>
        <v>#DIV/0!</v>
      </c>
      <c r="AY144" s="12" t="e">
        <f t="shared" si="82"/>
        <v>#DIV/0!</v>
      </c>
      <c r="AZ144" s="12" t="e">
        <f t="shared" si="82"/>
        <v>#DIV/0!</v>
      </c>
      <c r="BA144" s="12" t="e">
        <f t="shared" si="82"/>
        <v>#DIV/0!</v>
      </c>
    </row>
    <row r="145" spans="1:53" ht="27" outlineLevel="2">
      <c r="A145" s="6"/>
      <c r="B145" s="6" t="s">
        <v>1130</v>
      </c>
      <c r="Z145" s="8"/>
      <c r="AA145" s="8"/>
      <c r="AW145" s="12" t="e">
        <f t="shared" si="83"/>
        <v>#DIV/0!</v>
      </c>
      <c r="AX145" s="12" t="e">
        <f t="shared" si="83"/>
        <v>#DIV/0!</v>
      </c>
      <c r="AY145" s="12" t="e">
        <f t="shared" si="82"/>
        <v>#DIV/0!</v>
      </c>
      <c r="AZ145" s="12" t="e">
        <f t="shared" si="82"/>
        <v>#DIV/0!</v>
      </c>
      <c r="BA145" s="12" t="e">
        <f t="shared" si="82"/>
        <v>#DIV/0!</v>
      </c>
    </row>
    <row r="146" spans="1:53" outlineLevel="2">
      <c r="B146" s="6" t="s">
        <v>1131</v>
      </c>
      <c r="AW146" s="12" t="e">
        <f t="shared" si="83"/>
        <v>#DIV/0!</v>
      </c>
      <c r="AX146" s="12" t="e">
        <f t="shared" si="83"/>
        <v>#DIV/0!</v>
      </c>
      <c r="AY146" s="12" t="e">
        <f t="shared" si="82"/>
        <v>#DIV/0!</v>
      </c>
      <c r="AZ146" s="12" t="e">
        <f t="shared" si="82"/>
        <v>#DIV/0!</v>
      </c>
      <c r="BA146" s="12" t="e">
        <f t="shared" si="82"/>
        <v>#DIV/0!</v>
      </c>
    </row>
    <row r="147" spans="1:53" ht="27" outlineLevel="2">
      <c r="B147" s="6" t="s">
        <v>1133</v>
      </c>
      <c r="Z147" s="8"/>
      <c r="AA147" s="8"/>
      <c r="AW147" s="12" t="e">
        <f t="shared" si="83"/>
        <v>#DIV/0!</v>
      </c>
      <c r="AX147" s="12" t="e">
        <f t="shared" si="83"/>
        <v>#DIV/0!</v>
      </c>
      <c r="AY147" s="12" t="e">
        <f t="shared" si="82"/>
        <v>#DIV/0!</v>
      </c>
      <c r="AZ147" s="12" t="e">
        <f t="shared" si="82"/>
        <v>#DIV/0!</v>
      </c>
      <c r="BA147" s="12" t="e">
        <f t="shared" si="82"/>
        <v>#DIV/0!</v>
      </c>
    </row>
    <row r="148" spans="1:53" outlineLevel="2" collapsed="1">
      <c r="B148" s="6" t="s">
        <v>1135</v>
      </c>
      <c r="AW148" s="12" t="e">
        <f t="shared" si="83"/>
        <v>#DIV/0!</v>
      </c>
      <c r="AX148" s="12" t="e">
        <f t="shared" si="83"/>
        <v>#DIV/0!</v>
      </c>
      <c r="AY148" s="12" t="e">
        <f t="shared" si="82"/>
        <v>#DIV/0!</v>
      </c>
      <c r="AZ148" s="12" t="e">
        <f t="shared" si="82"/>
        <v>#DIV/0!</v>
      </c>
      <c r="BA148" s="12" t="e">
        <f t="shared" si="82"/>
        <v>#DIV/0!</v>
      </c>
    </row>
  </sheetData>
  <mergeCells count="54">
    <mergeCell ref="F2:F3"/>
    <mergeCell ref="A1:G1"/>
    <mergeCell ref="I1:AD1"/>
    <mergeCell ref="AF1:BA1"/>
    <mergeCell ref="BC1:BF1"/>
    <mergeCell ref="A2:A3"/>
    <mergeCell ref="B2:B3"/>
    <mergeCell ref="C2:C3"/>
    <mergeCell ref="D2:D3"/>
    <mergeCell ref="E2:E3"/>
    <mergeCell ref="P2:S2"/>
    <mergeCell ref="G2:G3"/>
    <mergeCell ref="I2:I3"/>
    <mergeCell ref="J2:M2"/>
    <mergeCell ref="N2:N3"/>
    <mergeCell ref="O2:O3"/>
    <mergeCell ref="BV1:CA1"/>
    <mergeCell ref="CC1:CH1"/>
    <mergeCell ref="CJ1:CO1"/>
    <mergeCell ref="CQ1:CV1"/>
    <mergeCell ref="BH1:BM1"/>
    <mergeCell ref="BO1:BT1"/>
    <mergeCell ref="AM2:AP2"/>
    <mergeCell ref="T2:U2"/>
    <mergeCell ref="V2:Y2"/>
    <mergeCell ref="Z2:Z3"/>
    <mergeCell ref="AA2:AA3"/>
    <mergeCell ref="AB2:AB3"/>
    <mergeCell ref="AC2:AC3"/>
    <mergeCell ref="AD2:AD3"/>
    <mergeCell ref="AF2:AF3"/>
    <mergeCell ref="AG2:AJ2"/>
    <mergeCell ref="AK2:AK3"/>
    <mergeCell ref="AL2:AL3"/>
    <mergeCell ref="BH2:BI2"/>
    <mergeCell ref="AQ2:AR2"/>
    <mergeCell ref="AS2:AV2"/>
    <mergeCell ref="AW2:AW3"/>
    <mergeCell ref="AX2:AX3"/>
    <mergeCell ref="AY2:AY3"/>
    <mergeCell ref="AZ2:AZ3"/>
    <mergeCell ref="BA2:BA3"/>
    <mergeCell ref="BC2:BC3"/>
    <mergeCell ref="BD2:BD3"/>
    <mergeCell ref="BE2:BE3"/>
    <mergeCell ref="BF2:BF3"/>
    <mergeCell ref="CL2:CO2"/>
    <mergeCell ref="CQ2:CV2"/>
    <mergeCell ref="BJ2:BM2"/>
    <mergeCell ref="BO2:BT2"/>
    <mergeCell ref="BV2:BW2"/>
    <mergeCell ref="BX2:CA2"/>
    <mergeCell ref="CC2:CH2"/>
    <mergeCell ref="CJ2:CK2"/>
  </mergeCells>
  <phoneticPr fontId="2" type="noConversion"/>
  <conditionalFormatting sqref="CJ83:CN88 CQ83:CU88 CQ90:CU94 CJ90:CN94 CJ96:CN100 CQ96:CU100">
    <cfRule type="cellIs" dxfId="2691" priority="897" operator="greaterThanOrEqual">
      <formula>0.03</formula>
    </cfRule>
    <cfRule type="cellIs" dxfId="2690" priority="898" operator="lessThanOrEqual">
      <formula>-0.03</formula>
    </cfRule>
  </conditionalFormatting>
  <conditionalFormatting sqref="CO84:CO88 CO90:CO94 CO96:CO100">
    <cfRule type="cellIs" dxfId="2689" priority="895" operator="greaterThanOrEqual">
      <formula>0.03</formula>
    </cfRule>
    <cfRule type="cellIs" dxfId="2688" priority="896" operator="lessThanOrEqual">
      <formula>-0.03</formula>
    </cfRule>
  </conditionalFormatting>
  <conditionalFormatting sqref="CV84:CV88 CV90:CV94 CV96:CV100">
    <cfRule type="cellIs" dxfId="2687" priority="893" operator="greaterThanOrEqual">
      <formula>0.03</formula>
    </cfRule>
    <cfRule type="cellIs" dxfId="2686" priority="894" operator="lessThanOrEqual">
      <formula>-0.03</formula>
    </cfRule>
  </conditionalFormatting>
  <conditionalFormatting sqref="BV84:BZ88 CC84:CG88 CC90:CG94 BV90:BZ94 BV96:BZ100 CC96:CG100 BX83:BZ83 CE83:CG83">
    <cfRule type="cellIs" dxfId="2685" priority="891" operator="greaterThanOrEqual">
      <formula>0.03</formula>
    </cfRule>
    <cfRule type="cellIs" dxfId="2684" priority="892" operator="lessThanOrEqual">
      <formula>-0.03</formula>
    </cfRule>
  </conditionalFormatting>
  <conditionalFormatting sqref="CA84:CA88 CA90:CA94 CA96:CA100">
    <cfRule type="cellIs" dxfId="2683" priority="889" operator="greaterThanOrEqual">
      <formula>0.03</formula>
    </cfRule>
    <cfRule type="cellIs" dxfId="2682" priority="890" operator="lessThanOrEqual">
      <formula>-0.03</formula>
    </cfRule>
  </conditionalFormatting>
  <conditionalFormatting sqref="CH84:CH88 CH90:CH94 CH96:CH100">
    <cfRule type="cellIs" dxfId="2681" priority="887" operator="greaterThanOrEqual">
      <formula>0.03</formula>
    </cfRule>
    <cfRule type="cellIs" dxfId="2680" priority="888" operator="lessThanOrEqual">
      <formula>-0.03</formula>
    </cfRule>
  </conditionalFormatting>
  <conditionalFormatting sqref="BH83:BL88 BO84:BS88 BO90:BS94 BH90:BL94 BH96:BL100 BO96:BS100 BO83:BQ83 BS83">
    <cfRule type="cellIs" dxfId="2679" priority="885" operator="greaterThanOrEqual">
      <formula>0.03</formula>
    </cfRule>
    <cfRule type="cellIs" dxfId="2678" priority="886" operator="lessThanOrEqual">
      <formula>-0.03</formula>
    </cfRule>
  </conditionalFormatting>
  <conditionalFormatting sqref="BM84:BM88 BM90:BM94 BM96:BM100">
    <cfRule type="cellIs" dxfId="2677" priority="883" operator="greaterThanOrEqual">
      <formula>0.03</formula>
    </cfRule>
    <cfRule type="cellIs" dxfId="2676" priority="884" operator="lessThanOrEqual">
      <formula>-0.03</formula>
    </cfRule>
  </conditionalFormatting>
  <conditionalFormatting sqref="BT84:BT88 BT90:BT94 BT96:BT100">
    <cfRule type="cellIs" dxfId="2675" priority="881" operator="greaterThanOrEqual">
      <formula>0.03</formula>
    </cfRule>
    <cfRule type="cellIs" dxfId="2674" priority="882" operator="lessThanOrEqual">
      <formula>-0.03</formula>
    </cfRule>
  </conditionalFormatting>
  <conditionalFormatting sqref="BR101">
    <cfRule type="cellIs" dxfId="2673" priority="791" operator="greaterThanOrEqual">
      <formula>0.03</formula>
    </cfRule>
    <cfRule type="cellIs" dxfId="2672" priority="792" operator="lessThanOrEqual">
      <formula>-0.03</formula>
    </cfRule>
  </conditionalFormatting>
  <conditionalFormatting sqref="BV101">
    <cfRule type="cellIs" dxfId="2671" priority="789" operator="greaterThanOrEqual">
      <formula>0.03</formula>
    </cfRule>
    <cfRule type="cellIs" dxfId="2670" priority="790" operator="lessThanOrEqual">
      <formula>-0.03</formula>
    </cfRule>
  </conditionalFormatting>
  <conditionalFormatting sqref="BW101">
    <cfRule type="cellIs" dxfId="2669" priority="787" operator="greaterThanOrEqual">
      <formula>0.03</formula>
    </cfRule>
    <cfRule type="cellIs" dxfId="2668" priority="788" operator="lessThanOrEqual">
      <formula>-0.03</formula>
    </cfRule>
  </conditionalFormatting>
  <conditionalFormatting sqref="CC101:CD101">
    <cfRule type="cellIs" dxfId="2667" priority="785" operator="greaterThanOrEqual">
      <formula>0.03</formula>
    </cfRule>
    <cfRule type="cellIs" dxfId="2666" priority="786" operator="lessThanOrEqual">
      <formula>-0.03</formula>
    </cfRule>
  </conditionalFormatting>
  <conditionalFormatting sqref="CH101">
    <cfRule type="cellIs" dxfId="2665" priority="783" operator="greaterThanOrEqual">
      <formula>0.03</formula>
    </cfRule>
    <cfRule type="cellIs" dxfId="2664" priority="784" operator="lessThanOrEqual">
      <formula>-0.03</formula>
    </cfRule>
  </conditionalFormatting>
  <conditionalFormatting sqref="BH101:BL101 BO101:BQ101 BS101">
    <cfRule type="cellIs" dxfId="2663" priority="797" operator="greaterThanOrEqual">
      <formula>0.03</formula>
    </cfRule>
    <cfRule type="cellIs" dxfId="2662" priority="798" operator="lessThanOrEqual">
      <formula>-0.03</formula>
    </cfRule>
  </conditionalFormatting>
  <conditionalFormatting sqref="BM101">
    <cfRule type="cellIs" dxfId="2661" priority="795" operator="greaterThanOrEqual">
      <formula>0.03</formula>
    </cfRule>
    <cfRule type="cellIs" dxfId="2660" priority="796" operator="lessThanOrEqual">
      <formula>-0.03</formula>
    </cfRule>
  </conditionalFormatting>
  <conditionalFormatting sqref="BT101">
    <cfRule type="cellIs" dxfId="2659" priority="793" operator="greaterThanOrEqual">
      <formula>0.03</formula>
    </cfRule>
    <cfRule type="cellIs" dxfId="2658" priority="794" operator="lessThanOrEqual">
      <formula>-0.03</formula>
    </cfRule>
  </conditionalFormatting>
  <conditionalFormatting sqref="BT102:BT106">
    <cfRule type="cellIs" dxfId="2657" priority="863" operator="greaterThanOrEqual">
      <formula>0.03</formula>
    </cfRule>
    <cfRule type="cellIs" dxfId="2656" priority="864" operator="lessThanOrEqual">
      <formula>-0.03</formula>
    </cfRule>
  </conditionalFormatting>
  <conditionalFormatting sqref="CJ102:CN106 CQ102:CU106">
    <cfRule type="cellIs" dxfId="2655" priority="879" operator="greaterThanOrEqual">
      <formula>0.03</formula>
    </cfRule>
    <cfRule type="cellIs" dxfId="2654" priority="880" operator="lessThanOrEqual">
      <formula>-0.03</formula>
    </cfRule>
  </conditionalFormatting>
  <conditionalFormatting sqref="CO102:CO106">
    <cfRule type="cellIs" dxfId="2653" priority="877" operator="greaterThanOrEqual">
      <formula>0.03</formula>
    </cfRule>
    <cfRule type="cellIs" dxfId="2652" priority="878" operator="lessThanOrEqual">
      <formula>-0.03</formula>
    </cfRule>
  </conditionalFormatting>
  <conditionalFormatting sqref="CV102:CV106">
    <cfRule type="cellIs" dxfId="2651" priority="875" operator="greaterThanOrEqual">
      <formula>0.03</formula>
    </cfRule>
    <cfRule type="cellIs" dxfId="2650" priority="876" operator="lessThanOrEqual">
      <formula>-0.03</formula>
    </cfRule>
  </conditionalFormatting>
  <conditionalFormatting sqref="BV102:BZ106 CC102:CG106">
    <cfRule type="cellIs" dxfId="2649" priority="873" operator="greaterThanOrEqual">
      <formula>0.03</formula>
    </cfRule>
    <cfRule type="cellIs" dxfId="2648" priority="874" operator="lessThanOrEqual">
      <formula>-0.03</formula>
    </cfRule>
  </conditionalFormatting>
  <conditionalFormatting sqref="CA102:CA106">
    <cfRule type="cellIs" dxfId="2647" priority="871" operator="greaterThanOrEqual">
      <formula>0.03</formula>
    </cfRule>
    <cfRule type="cellIs" dxfId="2646" priority="872" operator="lessThanOrEqual">
      <formula>-0.03</formula>
    </cfRule>
  </conditionalFormatting>
  <conditionalFormatting sqref="CH102:CH106">
    <cfRule type="cellIs" dxfId="2645" priority="869" operator="greaterThanOrEqual">
      <formula>0.03</formula>
    </cfRule>
    <cfRule type="cellIs" dxfId="2644" priority="870" operator="lessThanOrEqual">
      <formula>-0.03</formula>
    </cfRule>
  </conditionalFormatting>
  <conditionalFormatting sqref="BH102:BL106 BO102:BS106">
    <cfRule type="cellIs" dxfId="2643" priority="867" operator="greaterThanOrEqual">
      <formula>0.03</formula>
    </cfRule>
    <cfRule type="cellIs" dxfId="2642" priority="868" operator="lessThanOrEqual">
      <formula>-0.03</formula>
    </cfRule>
  </conditionalFormatting>
  <conditionalFormatting sqref="BM102:BM106">
    <cfRule type="cellIs" dxfId="2641" priority="865" operator="greaterThanOrEqual">
      <formula>0.03</formula>
    </cfRule>
    <cfRule type="cellIs" dxfId="2640" priority="866" operator="lessThanOrEqual">
      <formula>-0.03</formula>
    </cfRule>
  </conditionalFormatting>
  <conditionalFormatting sqref="CJ101:CN101 CQ101:CU101">
    <cfRule type="cellIs" dxfId="2639" priority="805" operator="greaterThanOrEqual">
      <formula>0.03</formula>
    </cfRule>
    <cfRule type="cellIs" dxfId="2638" priority="806" operator="lessThanOrEqual">
      <formula>-0.03</formula>
    </cfRule>
  </conditionalFormatting>
  <conditionalFormatting sqref="CO101">
    <cfRule type="cellIs" dxfId="2637" priority="803" operator="greaterThanOrEqual">
      <formula>0.03</formula>
    </cfRule>
    <cfRule type="cellIs" dxfId="2636" priority="804" operator="lessThanOrEqual">
      <formula>-0.03</formula>
    </cfRule>
  </conditionalFormatting>
  <conditionalFormatting sqref="CV101">
    <cfRule type="cellIs" dxfId="2635" priority="801" operator="greaterThanOrEqual">
      <formula>0.03</formula>
    </cfRule>
    <cfRule type="cellIs" dxfId="2634" priority="802" operator="lessThanOrEqual">
      <formula>-0.03</formula>
    </cfRule>
  </conditionalFormatting>
  <conditionalFormatting sqref="BX101:BZ101 CE101:CG101">
    <cfRule type="cellIs" dxfId="2633" priority="799" operator="greaterThanOrEqual">
      <formula>0.03</formula>
    </cfRule>
    <cfRule type="cellIs" dxfId="2632" priority="800" operator="lessThanOrEqual">
      <formula>-0.03</formula>
    </cfRule>
  </conditionalFormatting>
  <conditionalFormatting sqref="BV95">
    <cfRule type="cellIs" dxfId="2631" priority="813" operator="greaterThanOrEqual">
      <formula>0.03</formula>
    </cfRule>
    <cfRule type="cellIs" dxfId="2630" priority="814" operator="lessThanOrEqual">
      <formula>-0.03</formula>
    </cfRule>
  </conditionalFormatting>
  <conditionalFormatting sqref="BW95">
    <cfRule type="cellIs" dxfId="2629" priority="811" operator="greaterThanOrEqual">
      <formula>0.03</formula>
    </cfRule>
    <cfRule type="cellIs" dxfId="2628" priority="812" operator="lessThanOrEqual">
      <formula>-0.03</formula>
    </cfRule>
  </conditionalFormatting>
  <conditionalFormatting sqref="CC95:CD95">
    <cfRule type="cellIs" dxfId="2627" priority="809" operator="greaterThanOrEqual">
      <formula>0.03</formula>
    </cfRule>
    <cfRule type="cellIs" dxfId="2626" priority="810" operator="lessThanOrEqual">
      <formula>-0.03</formula>
    </cfRule>
  </conditionalFormatting>
  <conditionalFormatting sqref="CH95">
    <cfRule type="cellIs" dxfId="2625" priority="807" operator="greaterThanOrEqual">
      <formula>0.03</formula>
    </cfRule>
    <cfRule type="cellIs" dxfId="2624" priority="808" operator="lessThanOrEqual">
      <formula>-0.03</formula>
    </cfRule>
  </conditionalFormatting>
  <conditionalFormatting sqref="BV83">
    <cfRule type="cellIs" dxfId="2623" priority="859" operator="greaterThanOrEqual">
      <formula>0.03</formula>
    </cfRule>
    <cfRule type="cellIs" dxfId="2622" priority="860" operator="lessThanOrEqual">
      <formula>-0.03</formula>
    </cfRule>
  </conditionalFormatting>
  <conditionalFormatting sqref="BW83">
    <cfRule type="cellIs" dxfId="2621" priority="857" operator="greaterThanOrEqual">
      <formula>0.03</formula>
    </cfRule>
    <cfRule type="cellIs" dxfId="2620" priority="858" operator="lessThanOrEqual">
      <formula>-0.03</formula>
    </cfRule>
  </conditionalFormatting>
  <conditionalFormatting sqref="CC83:CD83">
    <cfRule type="cellIs" dxfId="2619" priority="855" operator="greaterThanOrEqual">
      <formula>0.03</formula>
    </cfRule>
    <cfRule type="cellIs" dxfId="2618" priority="856" operator="lessThanOrEqual">
      <formula>-0.03</formula>
    </cfRule>
  </conditionalFormatting>
  <conditionalFormatting sqref="CJ89:CN89 CQ89:CU89">
    <cfRule type="cellIs" dxfId="2617" priority="853" operator="greaterThanOrEqual">
      <formula>0.03</formula>
    </cfRule>
    <cfRule type="cellIs" dxfId="2616" priority="854" operator="lessThanOrEqual">
      <formula>-0.03</formula>
    </cfRule>
  </conditionalFormatting>
  <conditionalFormatting sqref="CO89">
    <cfRule type="cellIs" dxfId="2615" priority="851" operator="greaterThanOrEqual">
      <formula>0.03</formula>
    </cfRule>
    <cfRule type="cellIs" dxfId="2614" priority="852" operator="lessThanOrEqual">
      <formula>-0.03</formula>
    </cfRule>
  </conditionalFormatting>
  <conditionalFormatting sqref="CV89">
    <cfRule type="cellIs" dxfId="2613" priority="849" operator="greaterThanOrEqual">
      <formula>0.03</formula>
    </cfRule>
    <cfRule type="cellIs" dxfId="2612" priority="850" operator="lessThanOrEqual">
      <formula>-0.03</formula>
    </cfRule>
  </conditionalFormatting>
  <conditionalFormatting sqref="BX89:BZ89 CE89:CG89">
    <cfRule type="cellIs" dxfId="2611" priority="847" operator="greaterThanOrEqual">
      <formula>0.03</formula>
    </cfRule>
    <cfRule type="cellIs" dxfId="2610" priority="848" operator="lessThanOrEqual">
      <formula>-0.03</formula>
    </cfRule>
  </conditionalFormatting>
  <conditionalFormatting sqref="CJ95:CN95 CQ95:CU95">
    <cfRule type="cellIs" dxfId="2609" priority="829" operator="greaterThanOrEqual">
      <formula>0.03</formula>
    </cfRule>
    <cfRule type="cellIs" dxfId="2608" priority="830" operator="lessThanOrEqual">
      <formula>-0.03</formula>
    </cfRule>
  </conditionalFormatting>
  <conditionalFormatting sqref="BV89">
    <cfRule type="cellIs" dxfId="2607" priority="837" operator="greaterThanOrEqual">
      <formula>0.03</formula>
    </cfRule>
    <cfRule type="cellIs" dxfId="2606" priority="838" operator="lessThanOrEqual">
      <formula>-0.03</formula>
    </cfRule>
  </conditionalFormatting>
  <conditionalFormatting sqref="BR83">
    <cfRule type="cellIs" dxfId="2605" priority="861" operator="greaterThanOrEqual">
      <formula>0.03</formula>
    </cfRule>
    <cfRule type="cellIs" dxfId="2604" priority="862" operator="lessThanOrEqual">
      <formula>-0.03</formula>
    </cfRule>
  </conditionalFormatting>
  <conditionalFormatting sqref="BH89:BL89 BO89:BQ89 BS89">
    <cfRule type="cellIs" dxfId="2603" priority="845" operator="greaterThanOrEqual">
      <formula>0.03</formula>
    </cfRule>
    <cfRule type="cellIs" dxfId="2602" priority="846" operator="lessThanOrEqual">
      <formula>-0.03</formula>
    </cfRule>
  </conditionalFormatting>
  <conditionalFormatting sqref="BM89">
    <cfRule type="cellIs" dxfId="2601" priority="843" operator="greaterThanOrEqual">
      <formula>0.03</formula>
    </cfRule>
    <cfRule type="cellIs" dxfId="2600" priority="844" operator="lessThanOrEqual">
      <formula>-0.03</formula>
    </cfRule>
  </conditionalFormatting>
  <conditionalFormatting sqref="BT89">
    <cfRule type="cellIs" dxfId="2599" priority="841" operator="greaterThanOrEqual">
      <formula>0.03</formula>
    </cfRule>
    <cfRule type="cellIs" dxfId="2598" priority="842" operator="lessThanOrEqual">
      <formula>-0.03</formula>
    </cfRule>
  </conditionalFormatting>
  <conditionalFormatting sqref="BR89">
    <cfRule type="cellIs" dxfId="2597" priority="839" operator="greaterThanOrEqual">
      <formula>0.03</formula>
    </cfRule>
    <cfRule type="cellIs" dxfId="2596" priority="840" operator="lessThanOrEqual">
      <formula>-0.03</formula>
    </cfRule>
  </conditionalFormatting>
  <conditionalFormatting sqref="BW89">
    <cfRule type="cellIs" dxfId="2595" priority="835" operator="greaterThanOrEqual">
      <formula>0.03</formula>
    </cfRule>
    <cfRule type="cellIs" dxfId="2594" priority="836" operator="lessThanOrEqual">
      <formula>-0.03</formula>
    </cfRule>
  </conditionalFormatting>
  <conditionalFormatting sqref="CC89:CD89">
    <cfRule type="cellIs" dxfId="2593" priority="833" operator="greaterThanOrEqual">
      <formula>0.03</formula>
    </cfRule>
    <cfRule type="cellIs" dxfId="2592" priority="834" operator="lessThanOrEqual">
      <formula>-0.03</formula>
    </cfRule>
  </conditionalFormatting>
  <conditionalFormatting sqref="CH89">
    <cfRule type="cellIs" dxfId="2591" priority="831" operator="greaterThanOrEqual">
      <formula>0.03</formula>
    </cfRule>
    <cfRule type="cellIs" dxfId="2590" priority="832" operator="lessThanOrEqual">
      <formula>-0.03</formula>
    </cfRule>
  </conditionalFormatting>
  <conditionalFormatting sqref="CO95">
    <cfRule type="cellIs" dxfId="2589" priority="827" operator="greaterThanOrEqual">
      <formula>0.03</formula>
    </cfRule>
    <cfRule type="cellIs" dxfId="2588" priority="828" operator="lessThanOrEqual">
      <formula>-0.03</formula>
    </cfRule>
  </conditionalFormatting>
  <conditionalFormatting sqref="CV95">
    <cfRule type="cellIs" dxfId="2587" priority="825" operator="greaterThanOrEqual">
      <formula>0.03</formula>
    </cfRule>
    <cfRule type="cellIs" dxfId="2586" priority="826" operator="lessThanOrEqual">
      <formula>-0.03</formula>
    </cfRule>
  </conditionalFormatting>
  <conditionalFormatting sqref="BX95:BZ95 CE95:CG95">
    <cfRule type="cellIs" dxfId="2585" priority="823" operator="greaterThanOrEqual">
      <formula>0.03</formula>
    </cfRule>
    <cfRule type="cellIs" dxfId="2584" priority="824" operator="lessThanOrEqual">
      <formula>-0.03</formula>
    </cfRule>
  </conditionalFormatting>
  <conditionalFormatting sqref="BH95:BL95 BO95:BQ95 BS95">
    <cfRule type="cellIs" dxfId="2583" priority="821" operator="greaterThanOrEqual">
      <formula>0.03</formula>
    </cfRule>
    <cfRule type="cellIs" dxfId="2582" priority="822" operator="lessThanOrEqual">
      <formula>-0.03</formula>
    </cfRule>
  </conditionalFormatting>
  <conditionalFormatting sqref="BM95">
    <cfRule type="cellIs" dxfId="2581" priority="819" operator="greaterThanOrEqual">
      <formula>0.03</formula>
    </cfRule>
    <cfRule type="cellIs" dxfId="2580" priority="820" operator="lessThanOrEqual">
      <formula>-0.03</formula>
    </cfRule>
  </conditionalFormatting>
  <conditionalFormatting sqref="BT95">
    <cfRule type="cellIs" dxfId="2579" priority="817" operator="greaterThanOrEqual">
      <formula>0.03</formula>
    </cfRule>
    <cfRule type="cellIs" dxfId="2578" priority="818" operator="lessThanOrEqual">
      <formula>-0.03</formula>
    </cfRule>
  </conditionalFormatting>
  <conditionalFormatting sqref="BR95">
    <cfRule type="cellIs" dxfId="2577" priority="815" operator="greaterThanOrEqual">
      <formula>0.03</formula>
    </cfRule>
    <cfRule type="cellIs" dxfId="2576" priority="816" operator="lessThanOrEqual">
      <formula>-0.03</formula>
    </cfRule>
  </conditionalFormatting>
  <conditionalFormatting sqref="CQ120:CQ124 CJ120:CJ124 CJ126:CJ130 CQ126:CQ130 CJ114:CN118 CQ113:CU118 CJ113:CK113">
    <cfRule type="cellIs" dxfId="2575" priority="739" operator="greaterThanOrEqual">
      <formula>0.03</formula>
    </cfRule>
    <cfRule type="cellIs" dxfId="2574" priority="740" operator="lessThanOrEqual">
      <formula>-0.03</formula>
    </cfRule>
  </conditionalFormatting>
  <conditionalFormatting sqref="CC120:CC124 CC126:CC130 BV114:BZ118 CC114:CG118">
    <cfRule type="cellIs" dxfId="2573" priority="737" operator="greaterThanOrEqual">
      <formula>0.03</formula>
    </cfRule>
    <cfRule type="cellIs" dxfId="2572" priority="738" operator="lessThanOrEqual">
      <formula>-0.03</formula>
    </cfRule>
  </conditionalFormatting>
  <conditionalFormatting sqref="BM130 BH126:BL130 BH120:BL124 BH113:BL118 BO120:BO124 BO126:BO130 BO113:BT118 BT120:BT123 BT126:BT130">
    <cfRule type="cellIs" dxfId="2571" priority="735" operator="greaterThanOrEqual">
      <formula>0.03</formula>
    </cfRule>
    <cfRule type="cellIs" dxfId="2570" priority="736" operator="lessThanOrEqual">
      <formula>-0.03</formula>
    </cfRule>
  </conditionalFormatting>
  <conditionalFormatting sqref="BO119 BH119 BT119">
    <cfRule type="cellIs" dxfId="2569" priority="721" operator="greaterThanOrEqual">
      <formula>0.03</formula>
    </cfRule>
    <cfRule type="cellIs" dxfId="2568" priority="722" operator="lessThanOrEqual">
      <formula>-0.03</formula>
    </cfRule>
  </conditionalFormatting>
  <conditionalFormatting sqref="CC113:CG113">
    <cfRule type="cellIs" dxfId="2567" priority="725" operator="greaterThanOrEqual">
      <formula>0.03</formula>
    </cfRule>
    <cfRule type="cellIs" dxfId="2566" priority="726" operator="lessThanOrEqual">
      <formula>-0.03</formula>
    </cfRule>
  </conditionalFormatting>
  <conditionalFormatting sqref="CJ132:CJ136 CQ132:CQ136">
    <cfRule type="cellIs" dxfId="2565" priority="733" operator="greaterThanOrEqual">
      <formula>0.03</formula>
    </cfRule>
    <cfRule type="cellIs" dxfId="2564" priority="734" operator="lessThanOrEqual">
      <formula>-0.03</formula>
    </cfRule>
  </conditionalFormatting>
  <conditionalFormatting sqref="CC132:CC136">
    <cfRule type="cellIs" dxfId="2563" priority="731" operator="greaterThanOrEqual">
      <formula>0.03</formula>
    </cfRule>
    <cfRule type="cellIs" dxfId="2562" priority="732" operator="lessThanOrEqual">
      <formula>-0.03</formula>
    </cfRule>
  </conditionalFormatting>
  <conditionalFormatting sqref="BH132:BL136 BO132:BO136 BT132:BT136">
    <cfRule type="cellIs" dxfId="2561" priority="729" operator="greaterThanOrEqual">
      <formula>0.03</formula>
    </cfRule>
    <cfRule type="cellIs" dxfId="2560" priority="730" operator="lessThanOrEqual">
      <formula>-0.03</formula>
    </cfRule>
  </conditionalFormatting>
  <conditionalFormatting sqref="CJ108:CN112 CQ108:CU112">
    <cfRule type="cellIs" dxfId="2559" priority="781" operator="greaterThanOrEqual">
      <formula>0.03</formula>
    </cfRule>
    <cfRule type="cellIs" dxfId="2558" priority="782" operator="lessThanOrEqual">
      <formula>-0.03</formula>
    </cfRule>
  </conditionalFormatting>
  <conditionalFormatting sqref="CO108:CO112">
    <cfRule type="cellIs" dxfId="2557" priority="779" operator="greaterThanOrEqual">
      <formula>0.03</formula>
    </cfRule>
    <cfRule type="cellIs" dxfId="2556" priority="780" operator="lessThanOrEqual">
      <formula>-0.03</formula>
    </cfRule>
  </conditionalFormatting>
  <conditionalFormatting sqref="CV108:CV112">
    <cfRule type="cellIs" dxfId="2555" priority="777" operator="greaterThanOrEqual">
      <formula>0.03</formula>
    </cfRule>
    <cfRule type="cellIs" dxfId="2554" priority="778" operator="lessThanOrEqual">
      <formula>-0.03</formula>
    </cfRule>
  </conditionalFormatting>
  <conditionalFormatting sqref="BV108:BZ112 CC108:CG112">
    <cfRule type="cellIs" dxfId="2553" priority="775" operator="greaterThanOrEqual">
      <formula>0.03</formula>
    </cfRule>
    <cfRule type="cellIs" dxfId="2552" priority="776" operator="lessThanOrEqual">
      <formula>-0.03</formula>
    </cfRule>
  </conditionalFormatting>
  <conditionalFormatting sqref="CA108:CA112">
    <cfRule type="cellIs" dxfId="2551" priority="773" operator="greaterThanOrEqual">
      <formula>0.03</formula>
    </cfRule>
    <cfRule type="cellIs" dxfId="2550" priority="774" operator="lessThanOrEqual">
      <formula>-0.03</formula>
    </cfRule>
  </conditionalFormatting>
  <conditionalFormatting sqref="CH108:CH112">
    <cfRule type="cellIs" dxfId="2549" priority="771" operator="greaterThanOrEqual">
      <formula>0.03</formula>
    </cfRule>
    <cfRule type="cellIs" dxfId="2548" priority="772" operator="lessThanOrEqual">
      <formula>-0.03</formula>
    </cfRule>
  </conditionalFormatting>
  <conditionalFormatting sqref="BH108:BL112 BO108:BS112">
    <cfRule type="cellIs" dxfId="2547" priority="769" operator="greaterThanOrEqual">
      <formula>0.03</formula>
    </cfRule>
    <cfRule type="cellIs" dxfId="2546" priority="770" operator="lessThanOrEqual">
      <formula>-0.03</formula>
    </cfRule>
  </conditionalFormatting>
  <conditionalFormatting sqref="BM108:BM112">
    <cfRule type="cellIs" dxfId="2545" priority="767" operator="greaterThanOrEqual">
      <formula>0.03</formula>
    </cfRule>
    <cfRule type="cellIs" dxfId="2544" priority="768" operator="lessThanOrEqual">
      <formula>-0.03</formula>
    </cfRule>
  </conditionalFormatting>
  <conditionalFormatting sqref="BT108:BT112">
    <cfRule type="cellIs" dxfId="2543" priority="765" operator="greaterThanOrEqual">
      <formula>0.03</formula>
    </cfRule>
    <cfRule type="cellIs" dxfId="2542" priority="766" operator="lessThanOrEqual">
      <formula>-0.03</formula>
    </cfRule>
  </conditionalFormatting>
  <conditionalFormatting sqref="CJ107:CN107 CQ107:CU107">
    <cfRule type="cellIs" dxfId="2541" priority="763" operator="greaterThanOrEqual">
      <formula>0.03</formula>
    </cfRule>
    <cfRule type="cellIs" dxfId="2540" priority="764" operator="lessThanOrEqual">
      <formula>-0.03</formula>
    </cfRule>
  </conditionalFormatting>
  <conditionalFormatting sqref="CO107">
    <cfRule type="cellIs" dxfId="2539" priority="761" operator="greaterThanOrEqual">
      <formula>0.03</formula>
    </cfRule>
    <cfRule type="cellIs" dxfId="2538" priority="762" operator="lessThanOrEqual">
      <formula>-0.03</formula>
    </cfRule>
  </conditionalFormatting>
  <conditionalFormatting sqref="CV107">
    <cfRule type="cellIs" dxfId="2537" priority="759" operator="greaterThanOrEqual">
      <formula>0.03</formula>
    </cfRule>
    <cfRule type="cellIs" dxfId="2536" priority="760" operator="lessThanOrEqual">
      <formula>-0.03</formula>
    </cfRule>
  </conditionalFormatting>
  <conditionalFormatting sqref="BX107:BZ107 CE107:CG107">
    <cfRule type="cellIs" dxfId="2535" priority="757" operator="greaterThanOrEqual">
      <formula>0.03</formula>
    </cfRule>
    <cfRule type="cellIs" dxfId="2534" priority="758" operator="lessThanOrEqual">
      <formula>-0.03</formula>
    </cfRule>
  </conditionalFormatting>
  <conditionalFormatting sqref="BW107">
    <cfRule type="cellIs" dxfId="2533" priority="745" operator="greaterThanOrEqual">
      <formula>0.03</formula>
    </cfRule>
    <cfRule type="cellIs" dxfId="2532" priority="746" operator="lessThanOrEqual">
      <formula>-0.03</formula>
    </cfRule>
  </conditionalFormatting>
  <conditionalFormatting sqref="BH107:BL107 BO107:BQ107 BS107">
    <cfRule type="cellIs" dxfId="2531" priority="755" operator="greaterThanOrEqual">
      <formula>0.03</formula>
    </cfRule>
    <cfRule type="cellIs" dxfId="2530" priority="756" operator="lessThanOrEqual">
      <formula>-0.03</formula>
    </cfRule>
  </conditionalFormatting>
  <conditionalFormatting sqref="BM107">
    <cfRule type="cellIs" dxfId="2529" priority="753" operator="greaterThanOrEqual">
      <formula>0.03</formula>
    </cfRule>
    <cfRule type="cellIs" dxfId="2528" priority="754" operator="lessThanOrEqual">
      <formula>-0.03</formula>
    </cfRule>
  </conditionalFormatting>
  <conditionalFormatting sqref="BT107">
    <cfRule type="cellIs" dxfId="2527" priority="751" operator="greaterThanOrEqual">
      <formula>0.03</formula>
    </cfRule>
    <cfRule type="cellIs" dxfId="2526" priority="752" operator="lessThanOrEqual">
      <formula>-0.03</formula>
    </cfRule>
  </conditionalFormatting>
  <conditionalFormatting sqref="BR107">
    <cfRule type="cellIs" dxfId="2525" priority="749" operator="greaterThanOrEqual">
      <formula>0.03</formula>
    </cfRule>
    <cfRule type="cellIs" dxfId="2524" priority="750" operator="lessThanOrEqual">
      <formula>-0.03</formula>
    </cfRule>
  </conditionalFormatting>
  <conditionalFormatting sqref="BV107">
    <cfRule type="cellIs" dxfId="2523" priority="747" operator="greaterThanOrEqual">
      <formula>0.03</formula>
    </cfRule>
    <cfRule type="cellIs" dxfId="2522" priority="748" operator="lessThanOrEqual">
      <formula>-0.03</formula>
    </cfRule>
  </conditionalFormatting>
  <conditionalFormatting sqref="CC107:CD107">
    <cfRule type="cellIs" dxfId="2521" priority="743" operator="greaterThanOrEqual">
      <formula>0.03</formula>
    </cfRule>
    <cfRule type="cellIs" dxfId="2520" priority="744" operator="lessThanOrEqual">
      <formula>-0.03</formula>
    </cfRule>
  </conditionalFormatting>
  <conditionalFormatting sqref="CH107">
    <cfRule type="cellIs" dxfId="2519" priority="741" operator="greaterThanOrEqual">
      <formula>0.03</formula>
    </cfRule>
    <cfRule type="cellIs" dxfId="2518" priority="742" operator="lessThanOrEqual">
      <formula>-0.03</formula>
    </cfRule>
  </conditionalFormatting>
  <conditionalFormatting sqref="CJ125 CQ125">
    <cfRule type="cellIs" dxfId="2517" priority="717" operator="greaterThanOrEqual">
      <formula>0.03</formula>
    </cfRule>
    <cfRule type="cellIs" dxfId="2516" priority="718" operator="lessThanOrEqual">
      <formula>-0.03</formula>
    </cfRule>
  </conditionalFormatting>
  <conditionalFormatting sqref="BO125 BH125">
    <cfRule type="cellIs" dxfId="2515" priority="715" operator="greaterThanOrEqual">
      <formula>0.03</formula>
    </cfRule>
    <cfRule type="cellIs" dxfId="2514" priority="716" operator="lessThanOrEqual">
      <formula>-0.03</formula>
    </cfRule>
  </conditionalFormatting>
  <conditionalFormatting sqref="CC125">
    <cfRule type="cellIs" dxfId="2513" priority="713" operator="greaterThanOrEqual">
      <formula>0.03</formula>
    </cfRule>
    <cfRule type="cellIs" dxfId="2512" priority="714" operator="lessThanOrEqual">
      <formula>-0.03</formula>
    </cfRule>
  </conditionalFormatting>
  <conditionalFormatting sqref="CJ131 CQ131">
    <cfRule type="cellIs" dxfId="2511" priority="711" operator="greaterThanOrEqual">
      <formula>0.03</formula>
    </cfRule>
    <cfRule type="cellIs" dxfId="2510" priority="712" operator="lessThanOrEqual">
      <formula>-0.03</formula>
    </cfRule>
  </conditionalFormatting>
  <conditionalFormatting sqref="BO131 BH131 BT131">
    <cfRule type="cellIs" dxfId="2509" priority="709" operator="greaterThanOrEqual">
      <formula>0.03</formula>
    </cfRule>
    <cfRule type="cellIs" dxfId="2508" priority="710" operator="lessThanOrEqual">
      <formula>-0.03</formula>
    </cfRule>
  </conditionalFormatting>
  <conditionalFormatting sqref="CC131">
    <cfRule type="cellIs" dxfId="2507" priority="707" operator="greaterThanOrEqual">
      <formula>0.03</formula>
    </cfRule>
    <cfRule type="cellIs" dxfId="2506" priority="708" operator="lessThanOrEqual">
      <formula>-0.03</formula>
    </cfRule>
  </conditionalFormatting>
  <conditionalFormatting sqref="BV113:BW113">
    <cfRule type="cellIs" dxfId="2505" priority="727" operator="greaterThanOrEqual">
      <formula>0.03</formula>
    </cfRule>
    <cfRule type="cellIs" dxfId="2504" priority="728" operator="lessThanOrEqual">
      <formula>-0.03</formula>
    </cfRule>
  </conditionalFormatting>
  <conditionalFormatting sqref="CJ119 CQ119">
    <cfRule type="cellIs" dxfId="2503" priority="723" operator="greaterThanOrEqual">
      <formula>0.03</formula>
    </cfRule>
    <cfRule type="cellIs" dxfId="2502" priority="724" operator="lessThanOrEqual">
      <formula>-0.03</formula>
    </cfRule>
  </conditionalFormatting>
  <conditionalFormatting sqref="CC119">
    <cfRule type="cellIs" dxfId="2501" priority="719" operator="greaterThanOrEqual">
      <formula>0.03</formula>
    </cfRule>
    <cfRule type="cellIs" dxfId="2500" priority="720" operator="lessThanOrEqual">
      <formula>-0.03</formula>
    </cfRule>
  </conditionalFormatting>
  <conditionalFormatting sqref="BI119:BL119">
    <cfRule type="cellIs" dxfId="2499" priority="691" operator="greaterThanOrEqual">
      <formula>0.03</formula>
    </cfRule>
    <cfRule type="cellIs" dxfId="2498" priority="692" operator="lessThanOrEqual">
      <formula>-0.03</formula>
    </cfRule>
  </conditionalFormatting>
  <conditionalFormatting sqref="BI125:BL125">
    <cfRule type="cellIs" dxfId="2497" priority="689" operator="greaterThanOrEqual">
      <formula>0.03</formula>
    </cfRule>
    <cfRule type="cellIs" dxfId="2496" priority="690" operator="lessThanOrEqual">
      <formula>-0.03</formula>
    </cfRule>
  </conditionalFormatting>
  <conditionalFormatting sqref="BI131:BL131">
    <cfRule type="cellIs" dxfId="2495" priority="687" operator="greaterThanOrEqual">
      <formula>0.03</formula>
    </cfRule>
    <cfRule type="cellIs" dxfId="2494" priority="688" operator="lessThanOrEqual">
      <formula>-0.03</formula>
    </cfRule>
  </conditionalFormatting>
  <conditionalFormatting sqref="BM113:BM117">
    <cfRule type="cellIs" dxfId="2493" priority="705" operator="greaterThanOrEqual">
      <formula>0.03</formula>
    </cfRule>
    <cfRule type="cellIs" dxfId="2492" priority="706" operator="lessThanOrEqual">
      <formula>-0.03</formula>
    </cfRule>
  </conditionalFormatting>
  <conditionalFormatting sqref="BM119:BM123">
    <cfRule type="cellIs" dxfId="2491" priority="703" operator="greaterThanOrEqual">
      <formula>0.03</formula>
    </cfRule>
    <cfRule type="cellIs" dxfId="2490" priority="704" operator="lessThanOrEqual">
      <formula>-0.03</formula>
    </cfRule>
  </conditionalFormatting>
  <conditionalFormatting sqref="BM125:BM129">
    <cfRule type="cellIs" dxfId="2489" priority="701" operator="greaterThanOrEqual">
      <formula>0.03</formula>
    </cfRule>
    <cfRule type="cellIs" dxfId="2488" priority="702" operator="lessThanOrEqual">
      <formula>-0.03</formula>
    </cfRule>
  </conditionalFormatting>
  <conditionalFormatting sqref="BM132:BM136">
    <cfRule type="cellIs" dxfId="2487" priority="699" operator="greaterThanOrEqual">
      <formula>0.03</formula>
    </cfRule>
    <cfRule type="cellIs" dxfId="2486" priority="700" operator="lessThanOrEqual">
      <formula>-0.03</formula>
    </cfRule>
  </conditionalFormatting>
  <conditionalFormatting sqref="BM131">
    <cfRule type="cellIs" dxfId="2485" priority="697" operator="greaterThanOrEqual">
      <formula>0.03</formula>
    </cfRule>
    <cfRule type="cellIs" dxfId="2484" priority="698" operator="lessThanOrEqual">
      <formula>-0.03</formula>
    </cfRule>
  </conditionalFormatting>
  <conditionalFormatting sqref="BM124">
    <cfRule type="cellIs" dxfId="2483" priority="695" operator="greaterThanOrEqual">
      <formula>0.03</formula>
    </cfRule>
    <cfRule type="cellIs" dxfId="2482" priority="696" operator="lessThanOrEqual">
      <formula>-0.03</formula>
    </cfRule>
  </conditionalFormatting>
  <conditionalFormatting sqref="BM118">
    <cfRule type="cellIs" dxfId="2481" priority="693" operator="greaterThanOrEqual">
      <formula>0.03</formula>
    </cfRule>
    <cfRule type="cellIs" dxfId="2480" priority="694" operator="lessThanOrEqual">
      <formula>-0.03</formula>
    </cfRule>
  </conditionalFormatting>
  <conditionalFormatting sqref="BT124">
    <cfRule type="cellIs" dxfId="2479" priority="685" operator="greaterThanOrEqual">
      <formula>0.03</formula>
    </cfRule>
    <cfRule type="cellIs" dxfId="2478" priority="686" operator="lessThanOrEqual">
      <formula>-0.03</formula>
    </cfRule>
  </conditionalFormatting>
  <conditionalFormatting sqref="BT125">
    <cfRule type="cellIs" dxfId="2477" priority="683" operator="greaterThanOrEqual">
      <formula>0.03</formula>
    </cfRule>
    <cfRule type="cellIs" dxfId="2476" priority="684" operator="lessThanOrEqual">
      <formula>-0.03</formula>
    </cfRule>
  </conditionalFormatting>
  <conditionalFormatting sqref="BP119:BS124">
    <cfRule type="cellIs" dxfId="2475" priority="681" operator="greaterThanOrEqual">
      <formula>0.03</formula>
    </cfRule>
    <cfRule type="cellIs" dxfId="2474" priority="682" operator="lessThanOrEqual">
      <formula>-0.03</formula>
    </cfRule>
  </conditionalFormatting>
  <conditionalFormatting sqref="BP125:BS130">
    <cfRule type="cellIs" dxfId="2473" priority="679" operator="greaterThanOrEqual">
      <formula>0.03</formula>
    </cfRule>
    <cfRule type="cellIs" dxfId="2472" priority="680" operator="lessThanOrEqual">
      <formula>-0.03</formula>
    </cfRule>
  </conditionalFormatting>
  <conditionalFormatting sqref="BP131:BS136">
    <cfRule type="cellIs" dxfId="2471" priority="677" operator="greaterThanOrEqual">
      <formula>0.03</formula>
    </cfRule>
    <cfRule type="cellIs" dxfId="2470" priority="678" operator="lessThanOrEqual">
      <formula>-0.03</formula>
    </cfRule>
  </conditionalFormatting>
  <conditionalFormatting sqref="CA113:CA118">
    <cfRule type="cellIs" dxfId="2469" priority="675" operator="greaterThanOrEqual">
      <formula>0.03</formula>
    </cfRule>
    <cfRule type="cellIs" dxfId="2468" priority="676" operator="lessThanOrEqual">
      <formula>-0.03</formula>
    </cfRule>
  </conditionalFormatting>
  <conditionalFormatting sqref="CA119:CA124">
    <cfRule type="cellIs" dxfId="2467" priority="673" operator="greaterThanOrEqual">
      <formula>0.03</formula>
    </cfRule>
    <cfRule type="cellIs" dxfId="2466" priority="674" operator="lessThanOrEqual">
      <formula>-0.03</formula>
    </cfRule>
  </conditionalFormatting>
  <conditionalFormatting sqref="CA125:CA130">
    <cfRule type="cellIs" dxfId="2465" priority="671" operator="greaterThanOrEqual">
      <formula>0.03</formula>
    </cfRule>
    <cfRule type="cellIs" dxfId="2464" priority="672" operator="lessThanOrEqual">
      <formula>-0.03</formula>
    </cfRule>
  </conditionalFormatting>
  <conditionalFormatting sqref="CA131:CA136">
    <cfRule type="cellIs" dxfId="2463" priority="669" operator="greaterThanOrEqual">
      <formula>0.03</formula>
    </cfRule>
    <cfRule type="cellIs" dxfId="2462" priority="670" operator="lessThanOrEqual">
      <formula>-0.03</formula>
    </cfRule>
  </conditionalFormatting>
  <conditionalFormatting sqref="BV120:BZ124">
    <cfRule type="cellIs" dxfId="2461" priority="667" operator="greaterThanOrEqual">
      <formula>0.03</formula>
    </cfRule>
    <cfRule type="cellIs" dxfId="2460" priority="668" operator="lessThanOrEqual">
      <formula>-0.03</formula>
    </cfRule>
  </conditionalFormatting>
  <conditionalFormatting sqref="BW119">
    <cfRule type="cellIs" dxfId="2459" priority="663" operator="greaterThanOrEqual">
      <formula>0.03</formula>
    </cfRule>
    <cfRule type="cellIs" dxfId="2458" priority="664" operator="lessThanOrEqual">
      <formula>-0.03</formula>
    </cfRule>
  </conditionalFormatting>
  <conditionalFormatting sqref="BV119">
    <cfRule type="cellIs" dxfId="2457" priority="665" operator="greaterThanOrEqual">
      <formula>0.03</formula>
    </cfRule>
    <cfRule type="cellIs" dxfId="2456" priority="666" operator="lessThanOrEqual">
      <formula>-0.03</formula>
    </cfRule>
  </conditionalFormatting>
  <conditionalFormatting sqref="BV126:BZ130">
    <cfRule type="cellIs" dxfId="2455" priority="661" operator="greaterThanOrEqual">
      <formula>0.03</formula>
    </cfRule>
    <cfRule type="cellIs" dxfId="2454" priority="662" operator="lessThanOrEqual">
      <formula>-0.03</formula>
    </cfRule>
  </conditionalFormatting>
  <conditionalFormatting sqref="BW125">
    <cfRule type="cellIs" dxfId="2453" priority="657" operator="greaterThanOrEqual">
      <formula>0.03</formula>
    </cfRule>
    <cfRule type="cellIs" dxfId="2452" priority="658" operator="lessThanOrEqual">
      <formula>-0.03</formula>
    </cfRule>
  </conditionalFormatting>
  <conditionalFormatting sqref="BV125">
    <cfRule type="cellIs" dxfId="2451" priority="659" operator="greaterThanOrEqual">
      <formula>0.03</formula>
    </cfRule>
    <cfRule type="cellIs" dxfId="2450" priority="660" operator="lessThanOrEqual">
      <formula>-0.03</formula>
    </cfRule>
  </conditionalFormatting>
  <conditionalFormatting sqref="BV132:BZ136">
    <cfRule type="cellIs" dxfId="2449" priority="655" operator="greaterThanOrEqual">
      <formula>0.03</formula>
    </cfRule>
    <cfRule type="cellIs" dxfId="2448" priority="656" operator="lessThanOrEqual">
      <formula>-0.03</formula>
    </cfRule>
  </conditionalFormatting>
  <conditionalFormatting sqref="BW131">
    <cfRule type="cellIs" dxfId="2447" priority="651" operator="greaterThanOrEqual">
      <formula>0.03</formula>
    </cfRule>
    <cfRule type="cellIs" dxfId="2446" priority="652" operator="lessThanOrEqual">
      <formula>-0.03</formula>
    </cfRule>
  </conditionalFormatting>
  <conditionalFormatting sqref="BV131">
    <cfRule type="cellIs" dxfId="2445" priority="653" operator="greaterThanOrEqual">
      <formula>0.03</formula>
    </cfRule>
    <cfRule type="cellIs" dxfId="2444" priority="654" operator="lessThanOrEqual">
      <formula>-0.03</formula>
    </cfRule>
  </conditionalFormatting>
  <conditionalFormatting sqref="CH113:CH118">
    <cfRule type="cellIs" dxfId="2443" priority="649" operator="greaterThanOrEqual">
      <formula>0.03</formula>
    </cfRule>
    <cfRule type="cellIs" dxfId="2442" priority="650" operator="lessThanOrEqual">
      <formula>-0.03</formula>
    </cfRule>
  </conditionalFormatting>
  <conditionalFormatting sqref="CH119:CH124">
    <cfRule type="cellIs" dxfId="2441" priority="647" operator="greaterThanOrEqual">
      <formula>0.03</formula>
    </cfRule>
    <cfRule type="cellIs" dxfId="2440" priority="648" operator="lessThanOrEqual">
      <formula>-0.03</formula>
    </cfRule>
  </conditionalFormatting>
  <conditionalFormatting sqref="CH125:CH130">
    <cfRule type="cellIs" dxfId="2439" priority="645" operator="greaterThanOrEqual">
      <formula>0.03</formula>
    </cfRule>
    <cfRule type="cellIs" dxfId="2438" priority="646" operator="lessThanOrEqual">
      <formula>-0.03</formula>
    </cfRule>
  </conditionalFormatting>
  <conditionalFormatting sqref="CH131:CH136">
    <cfRule type="cellIs" dxfId="2437" priority="643" operator="greaterThanOrEqual">
      <formula>0.03</formula>
    </cfRule>
    <cfRule type="cellIs" dxfId="2436" priority="644" operator="lessThanOrEqual">
      <formula>-0.03</formula>
    </cfRule>
  </conditionalFormatting>
  <conditionalFormatting sqref="CO113:CO118">
    <cfRule type="cellIs" dxfId="2435" priority="641" operator="greaterThanOrEqual">
      <formula>0.03</formula>
    </cfRule>
    <cfRule type="cellIs" dxfId="2434" priority="642" operator="lessThanOrEqual">
      <formula>-0.03</formula>
    </cfRule>
  </conditionalFormatting>
  <conditionalFormatting sqref="CO119:CO124">
    <cfRule type="cellIs" dxfId="2433" priority="639" operator="greaterThanOrEqual">
      <formula>0.03</formula>
    </cfRule>
    <cfRule type="cellIs" dxfId="2432" priority="640" operator="lessThanOrEqual">
      <formula>-0.03</formula>
    </cfRule>
  </conditionalFormatting>
  <conditionalFormatting sqref="CO125:CO130">
    <cfRule type="cellIs" dxfId="2431" priority="637" operator="greaterThanOrEqual">
      <formula>0.03</formula>
    </cfRule>
    <cfRule type="cellIs" dxfId="2430" priority="638" operator="lessThanOrEqual">
      <formula>-0.03</formula>
    </cfRule>
  </conditionalFormatting>
  <conditionalFormatting sqref="CO131:CO136">
    <cfRule type="cellIs" dxfId="2429" priority="635" operator="greaterThanOrEqual">
      <formula>0.03</formula>
    </cfRule>
    <cfRule type="cellIs" dxfId="2428" priority="636" operator="lessThanOrEqual">
      <formula>-0.03</formula>
    </cfRule>
  </conditionalFormatting>
  <conditionalFormatting sqref="CK120:CN124 CK119">
    <cfRule type="cellIs" dxfId="2427" priority="633" operator="greaterThanOrEqual">
      <formula>0.03</formula>
    </cfRule>
    <cfRule type="cellIs" dxfId="2426" priority="634" operator="lessThanOrEqual">
      <formula>-0.03</formula>
    </cfRule>
  </conditionalFormatting>
  <conditionalFormatting sqref="CK126:CN130 CK125">
    <cfRule type="cellIs" dxfId="2425" priority="631" operator="greaterThanOrEqual">
      <formula>0.03</formula>
    </cfRule>
    <cfRule type="cellIs" dxfId="2424" priority="632" operator="lessThanOrEqual">
      <formula>-0.03</formula>
    </cfRule>
  </conditionalFormatting>
  <conditionalFormatting sqref="CK132:CN136 CK131">
    <cfRule type="cellIs" dxfId="2423" priority="629" operator="greaterThanOrEqual">
      <formula>0.03</formula>
    </cfRule>
    <cfRule type="cellIs" dxfId="2422" priority="630" operator="lessThanOrEqual">
      <formula>-0.03</formula>
    </cfRule>
  </conditionalFormatting>
  <conditionalFormatting sqref="CV113:CV118">
    <cfRule type="cellIs" dxfId="2421" priority="627" operator="greaterThanOrEqual">
      <formula>0.03</formula>
    </cfRule>
    <cfRule type="cellIs" dxfId="2420" priority="628" operator="lessThanOrEqual">
      <formula>-0.03</formula>
    </cfRule>
  </conditionalFormatting>
  <conditionalFormatting sqref="CV119:CV124">
    <cfRule type="cellIs" dxfId="2419" priority="625" operator="greaterThanOrEqual">
      <formula>0.03</formula>
    </cfRule>
    <cfRule type="cellIs" dxfId="2418" priority="626" operator="lessThanOrEqual">
      <formula>-0.03</formula>
    </cfRule>
  </conditionalFormatting>
  <conditionalFormatting sqref="CV125:CV130">
    <cfRule type="cellIs" dxfId="2417" priority="623" operator="greaterThanOrEqual">
      <formula>0.03</formula>
    </cfRule>
    <cfRule type="cellIs" dxfId="2416" priority="624" operator="lessThanOrEqual">
      <formula>-0.03</formula>
    </cfRule>
  </conditionalFormatting>
  <conditionalFormatting sqref="CV131:CV136">
    <cfRule type="cellIs" dxfId="2415" priority="621" operator="greaterThanOrEqual">
      <formula>0.03</formula>
    </cfRule>
    <cfRule type="cellIs" dxfId="2414" priority="622" operator="lessThanOrEqual">
      <formula>-0.03</formula>
    </cfRule>
  </conditionalFormatting>
  <conditionalFormatting sqref="CR119:CU124">
    <cfRule type="cellIs" dxfId="2413" priority="619" operator="greaterThanOrEqual">
      <formula>0.03</formula>
    </cfRule>
    <cfRule type="cellIs" dxfId="2412" priority="620" operator="lessThanOrEqual">
      <formula>-0.03</formula>
    </cfRule>
  </conditionalFormatting>
  <conditionalFormatting sqref="CR125:CU130">
    <cfRule type="cellIs" dxfId="2411" priority="617" operator="greaterThanOrEqual">
      <formula>0.03</formula>
    </cfRule>
    <cfRule type="cellIs" dxfId="2410" priority="618" operator="lessThanOrEqual">
      <formula>-0.03</formula>
    </cfRule>
  </conditionalFormatting>
  <conditionalFormatting sqref="CR131:CU136">
    <cfRule type="cellIs" dxfId="2409" priority="615" operator="greaterThanOrEqual">
      <formula>0.03</formula>
    </cfRule>
    <cfRule type="cellIs" dxfId="2408" priority="616" operator="lessThanOrEqual">
      <formula>-0.03</formula>
    </cfRule>
  </conditionalFormatting>
  <conditionalFormatting sqref="CD120:CG124">
    <cfRule type="cellIs" dxfId="2407" priority="613" operator="greaterThanOrEqual">
      <formula>0.03</formula>
    </cfRule>
    <cfRule type="cellIs" dxfId="2406" priority="614" operator="lessThanOrEqual">
      <formula>-0.03</formula>
    </cfRule>
  </conditionalFormatting>
  <conditionalFormatting sqref="CD119:CG119">
    <cfRule type="cellIs" dxfId="2405" priority="611" operator="greaterThanOrEqual">
      <formula>0.03</formula>
    </cfRule>
    <cfRule type="cellIs" dxfId="2404" priority="612" operator="lessThanOrEqual">
      <formula>-0.03</formula>
    </cfRule>
  </conditionalFormatting>
  <conditionalFormatting sqref="CD126:CG130">
    <cfRule type="cellIs" dxfId="2403" priority="609" operator="greaterThanOrEqual">
      <formula>0.03</formula>
    </cfRule>
    <cfRule type="cellIs" dxfId="2402" priority="610" operator="lessThanOrEqual">
      <formula>-0.03</formula>
    </cfRule>
  </conditionalFormatting>
  <conditionalFormatting sqref="CD125:CG125">
    <cfRule type="cellIs" dxfId="2401" priority="607" operator="greaterThanOrEqual">
      <formula>0.03</formula>
    </cfRule>
    <cfRule type="cellIs" dxfId="2400" priority="608" operator="lessThanOrEqual">
      <formula>-0.03</formula>
    </cfRule>
  </conditionalFormatting>
  <conditionalFormatting sqref="CD132:CG136">
    <cfRule type="cellIs" dxfId="2399" priority="605" operator="greaterThanOrEqual">
      <formula>0.03</formula>
    </cfRule>
    <cfRule type="cellIs" dxfId="2398" priority="606" operator="lessThanOrEqual">
      <formula>-0.03</formula>
    </cfRule>
  </conditionalFormatting>
  <conditionalFormatting sqref="CD131:CG131">
    <cfRule type="cellIs" dxfId="2397" priority="603" operator="greaterThanOrEqual">
      <formula>0.03</formula>
    </cfRule>
    <cfRule type="cellIs" dxfId="2396" priority="604" operator="lessThanOrEqual">
      <formula>-0.03</formula>
    </cfRule>
  </conditionalFormatting>
  <conditionalFormatting sqref="BM83">
    <cfRule type="cellIs" dxfId="2395" priority="601" operator="greaterThanOrEqual">
      <formula>0.03</formula>
    </cfRule>
    <cfRule type="cellIs" dxfId="2394" priority="602" operator="lessThanOrEqual">
      <formula>-0.03</formula>
    </cfRule>
  </conditionalFormatting>
  <conditionalFormatting sqref="BT83">
    <cfRule type="cellIs" dxfId="2393" priority="599" operator="greaterThanOrEqual">
      <formula>0.03</formula>
    </cfRule>
    <cfRule type="cellIs" dxfId="2392" priority="600" operator="lessThanOrEqual">
      <formula>-0.03</formula>
    </cfRule>
  </conditionalFormatting>
  <conditionalFormatting sqref="CH83">
    <cfRule type="cellIs" dxfId="2391" priority="597" operator="greaterThanOrEqual">
      <formula>0.03</formula>
    </cfRule>
    <cfRule type="cellIs" dxfId="2390" priority="598" operator="lessThanOrEqual">
      <formula>-0.03</formula>
    </cfRule>
  </conditionalFormatting>
  <conditionalFormatting sqref="CO83">
    <cfRule type="cellIs" dxfId="2389" priority="595" operator="greaterThanOrEqual">
      <formula>0.03</formula>
    </cfRule>
    <cfRule type="cellIs" dxfId="2388" priority="596" operator="lessThanOrEqual">
      <formula>-0.03</formula>
    </cfRule>
  </conditionalFormatting>
  <conditionalFormatting sqref="CV83">
    <cfRule type="cellIs" dxfId="2387" priority="593" operator="greaterThanOrEqual">
      <formula>0.03</formula>
    </cfRule>
    <cfRule type="cellIs" dxfId="2386" priority="594" operator="lessThanOrEqual">
      <formula>-0.03</formula>
    </cfRule>
  </conditionalFormatting>
  <conditionalFormatting sqref="CA83">
    <cfRule type="cellIs" dxfId="2385" priority="591" operator="greaterThanOrEqual">
      <formula>0.03</formula>
    </cfRule>
    <cfRule type="cellIs" dxfId="2384" priority="592" operator="lessThanOrEqual">
      <formula>-0.03</formula>
    </cfRule>
  </conditionalFormatting>
  <conditionalFormatting sqref="CA89">
    <cfRule type="cellIs" dxfId="2383" priority="589" operator="greaterThanOrEqual">
      <formula>0.03</formula>
    </cfRule>
    <cfRule type="cellIs" dxfId="2382" priority="590" operator="lessThanOrEqual">
      <formula>-0.03</formula>
    </cfRule>
  </conditionalFormatting>
  <conditionalFormatting sqref="CA95">
    <cfRule type="cellIs" dxfId="2381" priority="587" operator="greaterThanOrEqual">
      <formula>0.03</formula>
    </cfRule>
    <cfRule type="cellIs" dxfId="2380" priority="588" operator="lessThanOrEqual">
      <formula>-0.03</formula>
    </cfRule>
  </conditionalFormatting>
  <conditionalFormatting sqref="CA101">
    <cfRule type="cellIs" dxfId="2379" priority="585" operator="greaterThanOrEqual">
      <formula>0.03</formula>
    </cfRule>
    <cfRule type="cellIs" dxfId="2378" priority="586" operator="lessThanOrEqual">
      <formula>-0.03</formula>
    </cfRule>
  </conditionalFormatting>
  <conditionalFormatting sqref="CA107">
    <cfRule type="cellIs" dxfId="2377" priority="583" operator="greaterThanOrEqual">
      <formula>0.03</formula>
    </cfRule>
    <cfRule type="cellIs" dxfId="2376" priority="584" operator="lessThanOrEqual">
      <formula>-0.03</formula>
    </cfRule>
  </conditionalFormatting>
  <conditionalFormatting sqref="BX113:BZ113">
    <cfRule type="cellIs" dxfId="2375" priority="581" operator="greaterThanOrEqual">
      <formula>0.03</formula>
    </cfRule>
    <cfRule type="cellIs" dxfId="2374" priority="582" operator="lessThanOrEqual">
      <formula>-0.03</formula>
    </cfRule>
  </conditionalFormatting>
  <conditionalFormatting sqref="CL119:CN119">
    <cfRule type="cellIs" dxfId="2373" priority="571" operator="greaterThanOrEqual">
      <formula>0.03</formula>
    </cfRule>
    <cfRule type="cellIs" dxfId="2372" priority="572" operator="lessThanOrEqual">
      <formula>-0.03</formula>
    </cfRule>
  </conditionalFormatting>
  <conditionalFormatting sqref="BX119:BZ119">
    <cfRule type="cellIs" dxfId="2371" priority="579" operator="greaterThanOrEqual">
      <formula>0.03</formula>
    </cfRule>
    <cfRule type="cellIs" dxfId="2370" priority="580" operator="lessThanOrEqual">
      <formula>-0.03</formula>
    </cfRule>
  </conditionalFormatting>
  <conditionalFormatting sqref="BX125:BZ125">
    <cfRule type="cellIs" dxfId="2369" priority="577" operator="greaterThanOrEqual">
      <formula>0.03</formula>
    </cfRule>
    <cfRule type="cellIs" dxfId="2368" priority="578" operator="lessThanOrEqual">
      <formula>-0.03</formula>
    </cfRule>
  </conditionalFormatting>
  <conditionalFormatting sqref="BX131:BZ131">
    <cfRule type="cellIs" dxfId="2367" priority="575" operator="greaterThanOrEqual">
      <formula>0.03</formula>
    </cfRule>
    <cfRule type="cellIs" dxfId="2366" priority="576" operator="lessThanOrEqual">
      <formula>-0.03</formula>
    </cfRule>
  </conditionalFormatting>
  <conditionalFormatting sqref="CL113:CN113">
    <cfRule type="cellIs" dxfId="2365" priority="573" operator="greaterThanOrEqual">
      <formula>0.03</formula>
    </cfRule>
    <cfRule type="cellIs" dxfId="2364" priority="574" operator="lessThanOrEqual">
      <formula>-0.03</formula>
    </cfRule>
  </conditionalFormatting>
  <conditionalFormatting sqref="CL125:CN125">
    <cfRule type="cellIs" dxfId="2363" priority="569" operator="greaterThanOrEqual">
      <formula>0.03</formula>
    </cfRule>
    <cfRule type="cellIs" dxfId="2362" priority="570" operator="lessThanOrEqual">
      <formula>-0.03</formula>
    </cfRule>
  </conditionalFormatting>
  <conditionalFormatting sqref="CL131:CN131">
    <cfRule type="cellIs" dxfId="2361" priority="567" operator="greaterThanOrEqual">
      <formula>0.03</formula>
    </cfRule>
    <cfRule type="cellIs" dxfId="2360" priority="568" operator="lessThanOrEqual">
      <formula>-0.03</formula>
    </cfRule>
  </conditionalFormatting>
  <conditionalFormatting sqref="CO29">
    <cfRule type="cellIs" dxfId="2359" priority="537" operator="greaterThanOrEqual">
      <formula>0.03</formula>
    </cfRule>
    <cfRule type="cellIs" dxfId="2358" priority="538" operator="lessThanOrEqual">
      <formula>-0.03</formula>
    </cfRule>
  </conditionalFormatting>
  <conditionalFormatting sqref="CJ23:CN28 CQ23:CU28 CQ30:CU34 CJ30:CN34 CJ36:CN40 CQ36:CU40">
    <cfRule type="cellIs" dxfId="2357" priority="565" operator="greaterThanOrEqual">
      <formula>0.03</formula>
    </cfRule>
    <cfRule type="cellIs" dxfId="2356" priority="566" operator="lessThanOrEqual">
      <formula>-0.03</formula>
    </cfRule>
  </conditionalFormatting>
  <conditionalFormatting sqref="CO24:CO28 CO30:CO34 CO36:CO40">
    <cfRule type="cellIs" dxfId="2355" priority="563" operator="greaterThanOrEqual">
      <formula>0.03</formula>
    </cfRule>
    <cfRule type="cellIs" dxfId="2354" priority="564" operator="lessThanOrEqual">
      <formula>-0.03</formula>
    </cfRule>
  </conditionalFormatting>
  <conditionalFormatting sqref="CV24:CV28 CV30:CV34 CV36:CV40">
    <cfRule type="cellIs" dxfId="2353" priority="561" operator="greaterThanOrEqual">
      <formula>0.03</formula>
    </cfRule>
    <cfRule type="cellIs" dxfId="2352" priority="562" operator="lessThanOrEqual">
      <formula>-0.03</formula>
    </cfRule>
  </conditionalFormatting>
  <conditionalFormatting sqref="BV24:BZ28 CC24:CG28 CC30:CG34 BV30:BZ34 BV36:BZ40 CC36:CG40 BX23:BZ23 CE23:CG23">
    <cfRule type="cellIs" dxfId="2351" priority="559" operator="greaterThanOrEqual">
      <formula>0.03</formula>
    </cfRule>
    <cfRule type="cellIs" dxfId="2350" priority="560" operator="lessThanOrEqual">
      <formula>-0.03</formula>
    </cfRule>
  </conditionalFormatting>
  <conditionalFormatting sqref="CA24:CA28 CA30:CA34 CA36:CA40">
    <cfRule type="cellIs" dxfId="2349" priority="557" operator="greaterThanOrEqual">
      <formula>0.03</formula>
    </cfRule>
    <cfRule type="cellIs" dxfId="2348" priority="558" operator="lessThanOrEqual">
      <formula>-0.03</formula>
    </cfRule>
  </conditionalFormatting>
  <conditionalFormatting sqref="CH24:CH28 CH30:CH34 CH36:CH40">
    <cfRule type="cellIs" dxfId="2347" priority="555" operator="greaterThanOrEqual">
      <formula>0.03</formula>
    </cfRule>
    <cfRule type="cellIs" dxfId="2346" priority="556" operator="lessThanOrEqual">
      <formula>-0.03</formula>
    </cfRule>
  </conditionalFormatting>
  <conditionalFormatting sqref="BH23:BL28 BO24:BS28 BO30:BS34 BH30:BL34 BH36:BL40 BO36:BS40 BO23:BQ23 BS23">
    <cfRule type="cellIs" dxfId="2345" priority="553" operator="greaterThanOrEqual">
      <formula>0.03</formula>
    </cfRule>
    <cfRule type="cellIs" dxfId="2344" priority="554" operator="lessThanOrEqual">
      <formula>-0.03</formula>
    </cfRule>
  </conditionalFormatting>
  <conditionalFormatting sqref="BM24:BM28 BM30:BM34 BM36:BM40">
    <cfRule type="cellIs" dxfId="2343" priority="551" operator="greaterThanOrEqual">
      <formula>0.03</formula>
    </cfRule>
    <cfRule type="cellIs" dxfId="2342" priority="552" operator="lessThanOrEqual">
      <formula>-0.03</formula>
    </cfRule>
  </conditionalFormatting>
  <conditionalFormatting sqref="BT24:BT28 BT30:BT34 BT36:BT40">
    <cfRule type="cellIs" dxfId="2341" priority="549" operator="greaterThanOrEqual">
      <formula>0.03</formula>
    </cfRule>
    <cfRule type="cellIs" dxfId="2340" priority="550" operator="lessThanOrEqual">
      <formula>-0.03</formula>
    </cfRule>
  </conditionalFormatting>
  <conditionalFormatting sqref="BV35">
    <cfRule type="cellIs" dxfId="2339" priority="499" operator="greaterThanOrEqual">
      <formula>0.03</formula>
    </cfRule>
    <cfRule type="cellIs" dxfId="2338" priority="500" operator="lessThanOrEqual">
      <formula>-0.03</formula>
    </cfRule>
  </conditionalFormatting>
  <conditionalFormatting sqref="BW35">
    <cfRule type="cellIs" dxfId="2337" priority="497" operator="greaterThanOrEqual">
      <formula>0.03</formula>
    </cfRule>
    <cfRule type="cellIs" dxfId="2336" priority="498" operator="lessThanOrEqual">
      <formula>-0.03</formula>
    </cfRule>
  </conditionalFormatting>
  <conditionalFormatting sqref="CC35:CD35">
    <cfRule type="cellIs" dxfId="2335" priority="495" operator="greaterThanOrEqual">
      <formula>0.03</formula>
    </cfRule>
    <cfRule type="cellIs" dxfId="2334" priority="496" operator="lessThanOrEqual">
      <formula>-0.03</formula>
    </cfRule>
  </conditionalFormatting>
  <conditionalFormatting sqref="CH35">
    <cfRule type="cellIs" dxfId="2333" priority="493" operator="greaterThanOrEqual">
      <formula>0.03</formula>
    </cfRule>
    <cfRule type="cellIs" dxfId="2332" priority="494" operator="lessThanOrEqual">
      <formula>-0.03</formula>
    </cfRule>
  </conditionalFormatting>
  <conditionalFormatting sqref="BV23">
    <cfRule type="cellIs" dxfId="2331" priority="545" operator="greaterThanOrEqual">
      <formula>0.03</formula>
    </cfRule>
    <cfRule type="cellIs" dxfId="2330" priority="546" operator="lessThanOrEqual">
      <formula>-0.03</formula>
    </cfRule>
  </conditionalFormatting>
  <conditionalFormatting sqref="BW23">
    <cfRule type="cellIs" dxfId="2329" priority="543" operator="greaterThanOrEqual">
      <formula>0.03</formula>
    </cfRule>
    <cfRule type="cellIs" dxfId="2328" priority="544" operator="lessThanOrEqual">
      <formula>-0.03</formula>
    </cfRule>
  </conditionalFormatting>
  <conditionalFormatting sqref="CC23:CD23">
    <cfRule type="cellIs" dxfId="2327" priority="541" operator="greaterThanOrEqual">
      <formula>0.03</formula>
    </cfRule>
    <cfRule type="cellIs" dxfId="2326" priority="542" operator="lessThanOrEqual">
      <formula>-0.03</formula>
    </cfRule>
  </conditionalFormatting>
  <conditionalFormatting sqref="CJ29:CN29 CQ29:CU29">
    <cfRule type="cellIs" dxfId="2325" priority="539" operator="greaterThanOrEqual">
      <formula>0.03</formula>
    </cfRule>
    <cfRule type="cellIs" dxfId="2324" priority="540" operator="lessThanOrEqual">
      <formula>-0.03</formula>
    </cfRule>
  </conditionalFormatting>
  <conditionalFormatting sqref="CV29">
    <cfRule type="cellIs" dxfId="2323" priority="535" operator="greaterThanOrEqual">
      <formula>0.03</formula>
    </cfRule>
    <cfRule type="cellIs" dxfId="2322" priority="536" operator="lessThanOrEqual">
      <formula>-0.03</formula>
    </cfRule>
  </conditionalFormatting>
  <conditionalFormatting sqref="BX29:BZ29 CE29:CG29">
    <cfRule type="cellIs" dxfId="2321" priority="533" operator="greaterThanOrEqual">
      <formula>0.03</formula>
    </cfRule>
    <cfRule type="cellIs" dxfId="2320" priority="534" operator="lessThanOrEqual">
      <formula>-0.03</formula>
    </cfRule>
  </conditionalFormatting>
  <conditionalFormatting sqref="CJ35:CN35 CQ35:CU35">
    <cfRule type="cellIs" dxfId="2319" priority="515" operator="greaterThanOrEqual">
      <formula>0.03</formula>
    </cfRule>
    <cfRule type="cellIs" dxfId="2318" priority="516" operator="lessThanOrEqual">
      <formula>-0.03</formula>
    </cfRule>
  </conditionalFormatting>
  <conditionalFormatting sqref="BR23">
    <cfRule type="cellIs" dxfId="2317" priority="547" operator="greaterThanOrEqual">
      <formula>0.03</formula>
    </cfRule>
    <cfRule type="cellIs" dxfId="2316" priority="548" operator="lessThanOrEqual">
      <formula>-0.03</formula>
    </cfRule>
  </conditionalFormatting>
  <conditionalFormatting sqref="BH29:BL29 BO29:BQ29 BS29">
    <cfRule type="cellIs" dxfId="2315" priority="531" operator="greaterThanOrEqual">
      <formula>0.03</formula>
    </cfRule>
    <cfRule type="cellIs" dxfId="2314" priority="532" operator="lessThanOrEqual">
      <formula>-0.03</formula>
    </cfRule>
  </conditionalFormatting>
  <conditionalFormatting sqref="BM29">
    <cfRule type="cellIs" dxfId="2313" priority="529" operator="greaterThanOrEqual">
      <formula>0.03</formula>
    </cfRule>
    <cfRule type="cellIs" dxfId="2312" priority="530" operator="lessThanOrEqual">
      <formula>-0.03</formula>
    </cfRule>
  </conditionalFormatting>
  <conditionalFormatting sqref="BT29">
    <cfRule type="cellIs" dxfId="2311" priority="527" operator="greaterThanOrEqual">
      <formula>0.03</formula>
    </cfRule>
    <cfRule type="cellIs" dxfId="2310" priority="528" operator="lessThanOrEqual">
      <formula>-0.03</formula>
    </cfRule>
  </conditionalFormatting>
  <conditionalFormatting sqref="BR29">
    <cfRule type="cellIs" dxfId="2309" priority="525" operator="greaterThanOrEqual">
      <formula>0.03</formula>
    </cfRule>
    <cfRule type="cellIs" dxfId="2308" priority="526" operator="lessThanOrEqual">
      <formula>-0.03</formula>
    </cfRule>
  </conditionalFormatting>
  <conditionalFormatting sqref="BV29">
    <cfRule type="cellIs" dxfId="2307" priority="523" operator="greaterThanOrEqual">
      <formula>0.03</formula>
    </cfRule>
    <cfRule type="cellIs" dxfId="2306" priority="524" operator="lessThanOrEqual">
      <formula>-0.03</formula>
    </cfRule>
  </conditionalFormatting>
  <conditionalFormatting sqref="BW29">
    <cfRule type="cellIs" dxfId="2305" priority="521" operator="greaterThanOrEqual">
      <formula>0.03</formula>
    </cfRule>
    <cfRule type="cellIs" dxfId="2304" priority="522" operator="lessThanOrEqual">
      <formula>-0.03</formula>
    </cfRule>
  </conditionalFormatting>
  <conditionalFormatting sqref="CC29:CD29">
    <cfRule type="cellIs" dxfId="2303" priority="519" operator="greaterThanOrEqual">
      <formula>0.03</formula>
    </cfRule>
    <cfRule type="cellIs" dxfId="2302" priority="520" operator="lessThanOrEqual">
      <formula>-0.03</formula>
    </cfRule>
  </conditionalFormatting>
  <conditionalFormatting sqref="CH29">
    <cfRule type="cellIs" dxfId="2301" priority="517" operator="greaterThanOrEqual">
      <formula>0.03</formula>
    </cfRule>
    <cfRule type="cellIs" dxfId="2300" priority="518" operator="lessThanOrEqual">
      <formula>-0.03</formula>
    </cfRule>
  </conditionalFormatting>
  <conditionalFormatting sqref="CO35">
    <cfRule type="cellIs" dxfId="2299" priority="513" operator="greaterThanOrEqual">
      <formula>0.03</formula>
    </cfRule>
    <cfRule type="cellIs" dxfId="2298" priority="514" operator="lessThanOrEqual">
      <formula>-0.03</formula>
    </cfRule>
  </conditionalFormatting>
  <conditionalFormatting sqref="CV35">
    <cfRule type="cellIs" dxfId="2297" priority="511" operator="greaterThanOrEqual">
      <formula>0.03</formula>
    </cfRule>
    <cfRule type="cellIs" dxfId="2296" priority="512" operator="lessThanOrEqual">
      <formula>-0.03</formula>
    </cfRule>
  </conditionalFormatting>
  <conditionalFormatting sqref="BX35:BZ35 CE35:CG35">
    <cfRule type="cellIs" dxfId="2295" priority="509" operator="greaterThanOrEqual">
      <formula>0.03</formula>
    </cfRule>
    <cfRule type="cellIs" dxfId="2294" priority="510" operator="lessThanOrEqual">
      <formula>-0.03</formula>
    </cfRule>
  </conditionalFormatting>
  <conditionalFormatting sqref="BH35:BL35 BO35:BQ35 BS35">
    <cfRule type="cellIs" dxfId="2293" priority="507" operator="greaterThanOrEqual">
      <formula>0.03</formula>
    </cfRule>
    <cfRule type="cellIs" dxfId="2292" priority="508" operator="lessThanOrEqual">
      <formula>-0.03</formula>
    </cfRule>
  </conditionalFormatting>
  <conditionalFormatting sqref="BM35">
    <cfRule type="cellIs" dxfId="2291" priority="505" operator="greaterThanOrEqual">
      <formula>0.03</formula>
    </cfRule>
    <cfRule type="cellIs" dxfId="2290" priority="506" operator="lessThanOrEqual">
      <formula>-0.03</formula>
    </cfRule>
  </conditionalFormatting>
  <conditionalFormatting sqref="BT35">
    <cfRule type="cellIs" dxfId="2289" priority="503" operator="greaterThanOrEqual">
      <formula>0.03</formula>
    </cfRule>
    <cfRule type="cellIs" dxfId="2288" priority="504" operator="lessThanOrEqual">
      <formula>-0.03</formula>
    </cfRule>
  </conditionalFormatting>
  <conditionalFormatting sqref="BR35">
    <cfRule type="cellIs" dxfId="2287" priority="501" operator="greaterThanOrEqual">
      <formula>0.03</formula>
    </cfRule>
    <cfRule type="cellIs" dxfId="2286" priority="502" operator="lessThanOrEqual">
      <formula>-0.03</formula>
    </cfRule>
  </conditionalFormatting>
  <conditionalFormatting sqref="BM23">
    <cfRule type="cellIs" dxfId="2285" priority="491" operator="greaterThanOrEqual">
      <formula>0.03</formula>
    </cfRule>
    <cfRule type="cellIs" dxfId="2284" priority="492" operator="lessThanOrEqual">
      <formula>-0.03</formula>
    </cfRule>
  </conditionalFormatting>
  <conditionalFormatting sqref="BT23">
    <cfRule type="cellIs" dxfId="2283" priority="489" operator="greaterThanOrEqual">
      <formula>0.03</formula>
    </cfRule>
    <cfRule type="cellIs" dxfId="2282" priority="490" operator="lessThanOrEqual">
      <formula>-0.03</formula>
    </cfRule>
  </conditionalFormatting>
  <conditionalFormatting sqref="CH23">
    <cfRule type="cellIs" dxfId="2281" priority="487" operator="greaterThanOrEqual">
      <formula>0.03</formula>
    </cfRule>
    <cfRule type="cellIs" dxfId="2280" priority="488" operator="lessThanOrEqual">
      <formula>-0.03</formula>
    </cfRule>
  </conditionalFormatting>
  <conditionalFormatting sqref="CO23">
    <cfRule type="cellIs" dxfId="2279" priority="485" operator="greaterThanOrEqual">
      <formula>0.03</formula>
    </cfRule>
    <cfRule type="cellIs" dxfId="2278" priority="486" operator="lessThanOrEqual">
      <formula>-0.03</formula>
    </cfRule>
  </conditionalFormatting>
  <conditionalFormatting sqref="CV23">
    <cfRule type="cellIs" dxfId="2277" priority="483" operator="greaterThanOrEqual">
      <formula>0.03</formula>
    </cfRule>
    <cfRule type="cellIs" dxfId="2276" priority="484" operator="lessThanOrEqual">
      <formula>-0.03</formula>
    </cfRule>
  </conditionalFormatting>
  <conditionalFormatting sqref="BT6:BT10 BT12:BT16 BT18:BT22">
    <cfRule type="cellIs" dxfId="2275" priority="459" operator="greaterThanOrEqual">
      <formula>0.03</formula>
    </cfRule>
    <cfRule type="cellIs" dxfId="2274" priority="460" operator="lessThanOrEqual">
      <formula>-0.03</formula>
    </cfRule>
  </conditionalFormatting>
  <conditionalFormatting sqref="CA23">
    <cfRule type="cellIs" dxfId="2273" priority="481" operator="greaterThanOrEqual">
      <formula>0.03</formula>
    </cfRule>
    <cfRule type="cellIs" dxfId="2272" priority="482" operator="lessThanOrEqual">
      <formula>-0.03</formula>
    </cfRule>
  </conditionalFormatting>
  <conditionalFormatting sqref="CA29">
    <cfRule type="cellIs" dxfId="2271" priority="479" operator="greaterThanOrEqual">
      <formula>0.03</formula>
    </cfRule>
    <cfRule type="cellIs" dxfId="2270" priority="480" operator="lessThanOrEqual">
      <formula>-0.03</formula>
    </cfRule>
  </conditionalFormatting>
  <conditionalFormatting sqref="CA35">
    <cfRule type="cellIs" dxfId="2269" priority="477" operator="greaterThanOrEqual">
      <formula>0.03</formula>
    </cfRule>
    <cfRule type="cellIs" dxfId="2268" priority="478" operator="lessThanOrEqual">
      <formula>-0.03</formula>
    </cfRule>
  </conditionalFormatting>
  <conditionalFormatting sqref="CO11">
    <cfRule type="cellIs" dxfId="2267" priority="447" operator="greaterThanOrEqual">
      <formula>0.03</formula>
    </cfRule>
    <cfRule type="cellIs" dxfId="2266" priority="448" operator="lessThanOrEqual">
      <formula>-0.03</formula>
    </cfRule>
  </conditionalFormatting>
  <conditionalFormatting sqref="CJ5:CN10 CQ5:CU10 CQ12:CU16 CJ12:CN16 CJ18:CN22 CQ18:CU22">
    <cfRule type="cellIs" dxfId="2265" priority="475" operator="greaterThanOrEqual">
      <formula>0.03</formula>
    </cfRule>
    <cfRule type="cellIs" dxfId="2264" priority="476" operator="lessThanOrEqual">
      <formula>-0.03</formula>
    </cfRule>
  </conditionalFormatting>
  <conditionalFormatting sqref="CO6:CO10 CO12:CO16 CO18:CO22">
    <cfRule type="cellIs" dxfId="2263" priority="473" operator="greaterThanOrEqual">
      <formula>0.03</formula>
    </cfRule>
    <cfRule type="cellIs" dxfId="2262" priority="474" operator="lessThanOrEqual">
      <formula>-0.03</formula>
    </cfRule>
  </conditionalFormatting>
  <conditionalFormatting sqref="CV6:CV10 CV12:CV16 CV18:CV22">
    <cfRule type="cellIs" dxfId="2261" priority="471" operator="greaterThanOrEqual">
      <formula>0.03</formula>
    </cfRule>
    <cfRule type="cellIs" dxfId="2260" priority="472" operator="lessThanOrEqual">
      <formula>-0.03</formula>
    </cfRule>
  </conditionalFormatting>
  <conditionalFormatting sqref="BV6:BZ10 CC6:CG10 CC12:CG16 BV12:BZ16 BV18:BZ22 CC18:CG22 BX5:BZ5 CE5:CG5">
    <cfRule type="cellIs" dxfId="2259" priority="469" operator="greaterThanOrEqual">
      <formula>0.03</formula>
    </cfRule>
    <cfRule type="cellIs" dxfId="2258" priority="470" operator="lessThanOrEqual">
      <formula>-0.03</formula>
    </cfRule>
  </conditionalFormatting>
  <conditionalFormatting sqref="CA6:CA10 CA12:CA16 CA18:CA22">
    <cfRule type="cellIs" dxfId="2257" priority="467" operator="greaterThanOrEqual">
      <formula>0.03</formula>
    </cfRule>
    <cfRule type="cellIs" dxfId="2256" priority="468" operator="lessThanOrEqual">
      <formula>-0.03</formula>
    </cfRule>
  </conditionalFormatting>
  <conditionalFormatting sqref="CH6:CH10 CH12:CH16 CH18:CH22">
    <cfRule type="cellIs" dxfId="2255" priority="465" operator="greaterThanOrEqual">
      <formula>0.03</formula>
    </cfRule>
    <cfRule type="cellIs" dxfId="2254" priority="466" operator="lessThanOrEqual">
      <formula>-0.03</formula>
    </cfRule>
  </conditionalFormatting>
  <conditionalFormatting sqref="BH5:BL10 BO6:BS10 BO12:BS16 BH12:BL16 BH18:BL22 BO18:BS22 BO5:BQ5 BS5">
    <cfRule type="cellIs" dxfId="2253" priority="463" operator="greaterThanOrEqual">
      <formula>0.03</formula>
    </cfRule>
    <cfRule type="cellIs" dxfId="2252" priority="464" operator="lessThanOrEqual">
      <formula>-0.03</formula>
    </cfRule>
  </conditionalFormatting>
  <conditionalFormatting sqref="BM6:BM10 BM12:BM16 BM18:BM22">
    <cfRule type="cellIs" dxfId="2251" priority="461" operator="greaterThanOrEqual">
      <formula>0.03</formula>
    </cfRule>
    <cfRule type="cellIs" dxfId="2250" priority="462" operator="lessThanOrEqual">
      <formula>-0.03</formula>
    </cfRule>
  </conditionalFormatting>
  <conditionalFormatting sqref="BV17">
    <cfRule type="cellIs" dxfId="2249" priority="409" operator="greaterThanOrEqual">
      <formula>0.03</formula>
    </cfRule>
    <cfRule type="cellIs" dxfId="2248" priority="410" operator="lessThanOrEqual">
      <formula>-0.03</formula>
    </cfRule>
  </conditionalFormatting>
  <conditionalFormatting sqref="BW17">
    <cfRule type="cellIs" dxfId="2247" priority="407" operator="greaterThanOrEqual">
      <formula>0.03</formula>
    </cfRule>
    <cfRule type="cellIs" dxfId="2246" priority="408" operator="lessThanOrEqual">
      <formula>-0.03</formula>
    </cfRule>
  </conditionalFormatting>
  <conditionalFormatting sqref="CC17:CD17">
    <cfRule type="cellIs" dxfId="2245" priority="405" operator="greaterThanOrEqual">
      <formula>0.03</formula>
    </cfRule>
    <cfRule type="cellIs" dxfId="2244" priority="406" operator="lessThanOrEqual">
      <formula>-0.03</formula>
    </cfRule>
  </conditionalFormatting>
  <conditionalFormatting sqref="CH17">
    <cfRule type="cellIs" dxfId="2243" priority="403" operator="greaterThanOrEqual">
      <formula>0.03</formula>
    </cfRule>
    <cfRule type="cellIs" dxfId="2242" priority="404" operator="lessThanOrEqual">
      <formula>-0.03</formula>
    </cfRule>
  </conditionalFormatting>
  <conditionalFormatting sqref="BV5">
    <cfRule type="cellIs" dxfId="2241" priority="455" operator="greaterThanOrEqual">
      <formula>0.03</formula>
    </cfRule>
    <cfRule type="cellIs" dxfId="2240" priority="456" operator="lessThanOrEqual">
      <formula>-0.03</formula>
    </cfRule>
  </conditionalFormatting>
  <conditionalFormatting sqref="BW5">
    <cfRule type="cellIs" dxfId="2239" priority="453" operator="greaterThanOrEqual">
      <formula>0.03</formula>
    </cfRule>
    <cfRule type="cellIs" dxfId="2238" priority="454" operator="lessThanOrEqual">
      <formula>-0.03</formula>
    </cfRule>
  </conditionalFormatting>
  <conditionalFormatting sqref="CC5:CD5">
    <cfRule type="cellIs" dxfId="2237" priority="451" operator="greaterThanOrEqual">
      <formula>0.03</formula>
    </cfRule>
    <cfRule type="cellIs" dxfId="2236" priority="452" operator="lessThanOrEqual">
      <formula>-0.03</formula>
    </cfRule>
  </conditionalFormatting>
  <conditionalFormatting sqref="CJ11:CN11 CQ11:CU11">
    <cfRule type="cellIs" dxfId="2235" priority="449" operator="greaterThanOrEqual">
      <formula>0.03</formula>
    </cfRule>
    <cfRule type="cellIs" dxfId="2234" priority="450" operator="lessThanOrEqual">
      <formula>-0.03</formula>
    </cfRule>
  </conditionalFormatting>
  <conditionalFormatting sqref="CV11">
    <cfRule type="cellIs" dxfId="2233" priority="445" operator="greaterThanOrEqual">
      <formula>0.03</formula>
    </cfRule>
    <cfRule type="cellIs" dxfId="2232" priority="446" operator="lessThanOrEqual">
      <formula>-0.03</formula>
    </cfRule>
  </conditionalFormatting>
  <conditionalFormatting sqref="BX11:BZ11 CE11:CG11">
    <cfRule type="cellIs" dxfId="2231" priority="443" operator="greaterThanOrEqual">
      <formula>0.03</formula>
    </cfRule>
    <cfRule type="cellIs" dxfId="2230" priority="444" operator="lessThanOrEqual">
      <formula>-0.03</formula>
    </cfRule>
  </conditionalFormatting>
  <conditionalFormatting sqref="CJ17:CN17 CQ17:CU17">
    <cfRule type="cellIs" dxfId="2229" priority="425" operator="greaterThanOrEqual">
      <formula>0.03</formula>
    </cfRule>
    <cfRule type="cellIs" dxfId="2228" priority="426" operator="lessThanOrEqual">
      <formula>-0.03</formula>
    </cfRule>
  </conditionalFormatting>
  <conditionalFormatting sqref="BR5">
    <cfRule type="cellIs" dxfId="2227" priority="457" operator="greaterThanOrEqual">
      <formula>0.03</formula>
    </cfRule>
    <cfRule type="cellIs" dxfId="2226" priority="458" operator="lessThanOrEqual">
      <formula>-0.03</formula>
    </cfRule>
  </conditionalFormatting>
  <conditionalFormatting sqref="BH11:BL11 BO11:BQ11 BS11">
    <cfRule type="cellIs" dxfId="2225" priority="441" operator="greaterThanOrEqual">
      <formula>0.03</formula>
    </cfRule>
    <cfRule type="cellIs" dxfId="2224" priority="442" operator="lessThanOrEqual">
      <formula>-0.03</formula>
    </cfRule>
  </conditionalFormatting>
  <conditionalFormatting sqref="BM11">
    <cfRule type="cellIs" dxfId="2223" priority="439" operator="greaterThanOrEqual">
      <formula>0.03</formula>
    </cfRule>
    <cfRule type="cellIs" dxfId="2222" priority="440" operator="lessThanOrEqual">
      <formula>-0.03</formula>
    </cfRule>
  </conditionalFormatting>
  <conditionalFormatting sqref="BT11">
    <cfRule type="cellIs" dxfId="2221" priority="437" operator="greaterThanOrEqual">
      <formula>0.03</formula>
    </cfRule>
    <cfRule type="cellIs" dxfId="2220" priority="438" operator="lessThanOrEqual">
      <formula>-0.03</formula>
    </cfRule>
  </conditionalFormatting>
  <conditionalFormatting sqref="BR11">
    <cfRule type="cellIs" dxfId="2219" priority="435" operator="greaterThanOrEqual">
      <formula>0.03</formula>
    </cfRule>
    <cfRule type="cellIs" dxfId="2218" priority="436" operator="lessThanOrEqual">
      <formula>-0.03</formula>
    </cfRule>
  </conditionalFormatting>
  <conditionalFormatting sqref="BV11">
    <cfRule type="cellIs" dxfId="2217" priority="433" operator="greaterThanOrEqual">
      <formula>0.03</formula>
    </cfRule>
    <cfRule type="cellIs" dxfId="2216" priority="434" operator="lessThanOrEqual">
      <formula>-0.03</formula>
    </cfRule>
  </conditionalFormatting>
  <conditionalFormatting sqref="BW11">
    <cfRule type="cellIs" dxfId="2215" priority="431" operator="greaterThanOrEqual">
      <formula>0.03</formula>
    </cfRule>
    <cfRule type="cellIs" dxfId="2214" priority="432" operator="lessThanOrEqual">
      <formula>-0.03</formula>
    </cfRule>
  </conditionalFormatting>
  <conditionalFormatting sqref="CC11:CD11">
    <cfRule type="cellIs" dxfId="2213" priority="429" operator="greaterThanOrEqual">
      <formula>0.03</formula>
    </cfRule>
    <cfRule type="cellIs" dxfId="2212" priority="430" operator="lessThanOrEqual">
      <formula>-0.03</formula>
    </cfRule>
  </conditionalFormatting>
  <conditionalFormatting sqref="CH11">
    <cfRule type="cellIs" dxfId="2211" priority="427" operator="greaterThanOrEqual">
      <formula>0.03</formula>
    </cfRule>
    <cfRule type="cellIs" dxfId="2210" priority="428" operator="lessThanOrEqual">
      <formula>-0.03</formula>
    </cfRule>
  </conditionalFormatting>
  <conditionalFormatting sqref="CO17">
    <cfRule type="cellIs" dxfId="2209" priority="423" operator="greaterThanOrEqual">
      <formula>0.03</formula>
    </cfRule>
    <cfRule type="cellIs" dxfId="2208" priority="424" operator="lessThanOrEqual">
      <formula>-0.03</formula>
    </cfRule>
  </conditionalFormatting>
  <conditionalFormatting sqref="CV17">
    <cfRule type="cellIs" dxfId="2207" priority="421" operator="greaterThanOrEqual">
      <formula>0.03</formula>
    </cfRule>
    <cfRule type="cellIs" dxfId="2206" priority="422" operator="lessThanOrEqual">
      <formula>-0.03</formula>
    </cfRule>
  </conditionalFormatting>
  <conditionalFormatting sqref="BX17:BZ17 CE17:CG17">
    <cfRule type="cellIs" dxfId="2205" priority="419" operator="greaterThanOrEqual">
      <formula>0.03</formula>
    </cfRule>
    <cfRule type="cellIs" dxfId="2204" priority="420" operator="lessThanOrEqual">
      <formula>-0.03</formula>
    </cfRule>
  </conditionalFormatting>
  <conditionalFormatting sqref="BH17:BL17 BO17:BQ17 BS17">
    <cfRule type="cellIs" dxfId="2203" priority="417" operator="greaterThanOrEqual">
      <formula>0.03</formula>
    </cfRule>
    <cfRule type="cellIs" dxfId="2202" priority="418" operator="lessThanOrEqual">
      <formula>-0.03</formula>
    </cfRule>
  </conditionalFormatting>
  <conditionalFormatting sqref="BM17">
    <cfRule type="cellIs" dxfId="2201" priority="415" operator="greaterThanOrEqual">
      <formula>0.03</formula>
    </cfRule>
    <cfRule type="cellIs" dxfId="2200" priority="416" operator="lessThanOrEqual">
      <formula>-0.03</formula>
    </cfRule>
  </conditionalFormatting>
  <conditionalFormatting sqref="BT17">
    <cfRule type="cellIs" dxfId="2199" priority="413" operator="greaterThanOrEqual">
      <formula>0.03</formula>
    </cfRule>
    <cfRule type="cellIs" dxfId="2198" priority="414" operator="lessThanOrEqual">
      <formula>-0.03</formula>
    </cfRule>
  </conditionalFormatting>
  <conditionalFormatting sqref="BR17">
    <cfRule type="cellIs" dxfId="2197" priority="411" operator="greaterThanOrEqual">
      <formula>0.03</formula>
    </cfRule>
    <cfRule type="cellIs" dxfId="2196" priority="412" operator="lessThanOrEqual">
      <formula>-0.03</formula>
    </cfRule>
  </conditionalFormatting>
  <conditionalFormatting sqref="BM5">
    <cfRule type="cellIs" dxfId="2195" priority="401" operator="greaterThanOrEqual">
      <formula>0.03</formula>
    </cfRule>
    <cfRule type="cellIs" dxfId="2194" priority="402" operator="lessThanOrEqual">
      <formula>-0.03</formula>
    </cfRule>
  </conditionalFormatting>
  <conditionalFormatting sqref="BT5">
    <cfRule type="cellIs" dxfId="2193" priority="399" operator="greaterThanOrEqual">
      <formula>0.03</formula>
    </cfRule>
    <cfRule type="cellIs" dxfId="2192" priority="400" operator="lessThanOrEqual">
      <formula>-0.03</formula>
    </cfRule>
  </conditionalFormatting>
  <conditionalFormatting sqref="CH5">
    <cfRule type="cellIs" dxfId="2191" priority="397" operator="greaterThanOrEqual">
      <formula>0.03</formula>
    </cfRule>
    <cfRule type="cellIs" dxfId="2190" priority="398" operator="lessThanOrEqual">
      <formula>-0.03</formula>
    </cfRule>
  </conditionalFormatting>
  <conditionalFormatting sqref="CO5">
    <cfRule type="cellIs" dxfId="2189" priority="395" operator="greaterThanOrEqual">
      <formula>0.03</formula>
    </cfRule>
    <cfRule type="cellIs" dxfId="2188" priority="396" operator="lessThanOrEqual">
      <formula>-0.03</formula>
    </cfRule>
  </conditionalFormatting>
  <conditionalFormatting sqref="CV5">
    <cfRule type="cellIs" dxfId="2187" priority="393" operator="greaterThanOrEqual">
      <formula>0.03</formula>
    </cfRule>
    <cfRule type="cellIs" dxfId="2186" priority="394" operator="lessThanOrEqual">
      <formula>-0.03</formula>
    </cfRule>
  </conditionalFormatting>
  <conditionalFormatting sqref="CA5">
    <cfRule type="cellIs" dxfId="2185" priority="391" operator="greaterThanOrEqual">
      <formula>0.03</formula>
    </cfRule>
    <cfRule type="cellIs" dxfId="2184" priority="392" operator="lessThanOrEqual">
      <formula>-0.03</formula>
    </cfRule>
  </conditionalFormatting>
  <conditionalFormatting sqref="CA11">
    <cfRule type="cellIs" dxfId="2183" priority="389" operator="greaterThanOrEqual">
      <formula>0.03</formula>
    </cfRule>
    <cfRule type="cellIs" dxfId="2182" priority="390" operator="lessThanOrEqual">
      <formula>-0.03</formula>
    </cfRule>
  </conditionalFormatting>
  <conditionalFormatting sqref="CA17">
    <cfRule type="cellIs" dxfId="2181" priority="387" operator="greaterThanOrEqual">
      <formula>0.03</formula>
    </cfRule>
    <cfRule type="cellIs" dxfId="2180" priority="388" operator="lessThanOrEqual">
      <formula>-0.03</formula>
    </cfRule>
  </conditionalFormatting>
  <conditionalFormatting sqref="CC41:CG41">
    <cfRule type="cellIs" dxfId="2179" priority="371" operator="greaterThanOrEqual">
      <formula>0.03</formula>
    </cfRule>
    <cfRule type="cellIs" dxfId="2178" priority="372" operator="lessThanOrEqual">
      <formula>-0.03</formula>
    </cfRule>
  </conditionalFormatting>
  <conditionalFormatting sqref="CJ47 CQ47">
    <cfRule type="cellIs" dxfId="2177" priority="369" operator="greaterThanOrEqual">
      <formula>0.03</formula>
    </cfRule>
    <cfRule type="cellIs" dxfId="2176" priority="370" operator="lessThanOrEqual">
      <formula>-0.03</formula>
    </cfRule>
  </conditionalFormatting>
  <conditionalFormatting sqref="BO47 BH47 BT47">
    <cfRule type="cellIs" dxfId="2175" priority="367" operator="greaterThanOrEqual">
      <formula>0.03</formula>
    </cfRule>
    <cfRule type="cellIs" dxfId="2174" priority="368" operator="lessThanOrEqual">
      <formula>-0.03</formula>
    </cfRule>
  </conditionalFormatting>
  <conditionalFormatting sqref="CC47">
    <cfRule type="cellIs" dxfId="2173" priority="365" operator="greaterThanOrEqual">
      <formula>0.03</formula>
    </cfRule>
    <cfRule type="cellIs" dxfId="2172" priority="366" operator="lessThanOrEqual">
      <formula>-0.03</formula>
    </cfRule>
  </conditionalFormatting>
  <conditionalFormatting sqref="CJ53 CQ53">
    <cfRule type="cellIs" dxfId="2171" priority="363" operator="greaterThanOrEqual">
      <formula>0.03</formula>
    </cfRule>
    <cfRule type="cellIs" dxfId="2170" priority="364" operator="lessThanOrEqual">
      <formula>-0.03</formula>
    </cfRule>
  </conditionalFormatting>
  <conditionalFormatting sqref="CJ59 CQ59">
    <cfRule type="cellIs" dxfId="2169" priority="357" operator="greaterThanOrEqual">
      <formula>0.03</formula>
    </cfRule>
    <cfRule type="cellIs" dxfId="2168" priority="358" operator="lessThanOrEqual">
      <formula>-0.03</formula>
    </cfRule>
  </conditionalFormatting>
  <conditionalFormatting sqref="BO53 BH53">
    <cfRule type="cellIs" dxfId="2167" priority="361" operator="greaterThanOrEqual">
      <formula>0.03</formula>
    </cfRule>
    <cfRule type="cellIs" dxfId="2166" priority="362" operator="lessThanOrEqual">
      <formula>-0.03</formula>
    </cfRule>
  </conditionalFormatting>
  <conditionalFormatting sqref="CC53">
    <cfRule type="cellIs" dxfId="2165" priority="359" operator="greaterThanOrEqual">
      <formula>0.03</formula>
    </cfRule>
    <cfRule type="cellIs" dxfId="2164" priority="360" operator="lessThanOrEqual">
      <formula>-0.03</formula>
    </cfRule>
  </conditionalFormatting>
  <conditionalFormatting sqref="BO59 BH59 BT59">
    <cfRule type="cellIs" dxfId="2163" priority="355" operator="greaterThanOrEqual">
      <formula>0.03</formula>
    </cfRule>
    <cfRule type="cellIs" dxfId="2162" priority="356" operator="lessThanOrEqual">
      <formula>-0.03</formula>
    </cfRule>
  </conditionalFormatting>
  <conditionalFormatting sqref="CC59">
    <cfRule type="cellIs" dxfId="2161" priority="353" operator="greaterThanOrEqual">
      <formula>0.03</formula>
    </cfRule>
    <cfRule type="cellIs" dxfId="2160" priority="354" operator="lessThanOrEqual">
      <formula>-0.03</formula>
    </cfRule>
  </conditionalFormatting>
  <conditionalFormatting sqref="BM41:BM45">
    <cfRule type="cellIs" dxfId="2159" priority="351" operator="greaterThanOrEqual">
      <formula>0.03</formula>
    </cfRule>
    <cfRule type="cellIs" dxfId="2158" priority="352" operator="lessThanOrEqual">
      <formula>-0.03</formula>
    </cfRule>
  </conditionalFormatting>
  <conditionalFormatting sqref="BM47:BM51">
    <cfRule type="cellIs" dxfId="2157" priority="349" operator="greaterThanOrEqual">
      <formula>0.03</formula>
    </cfRule>
    <cfRule type="cellIs" dxfId="2156" priority="350" operator="lessThanOrEqual">
      <formula>-0.03</formula>
    </cfRule>
  </conditionalFormatting>
  <conditionalFormatting sqref="BM53:BM57">
    <cfRule type="cellIs" dxfId="2155" priority="347" operator="greaterThanOrEqual">
      <formula>0.03</formula>
    </cfRule>
    <cfRule type="cellIs" dxfId="2154" priority="348" operator="lessThanOrEqual">
      <formula>-0.03</formula>
    </cfRule>
  </conditionalFormatting>
  <conditionalFormatting sqref="BM52">
    <cfRule type="cellIs" dxfId="2153" priority="341" operator="greaterThanOrEqual">
      <formula>0.03</formula>
    </cfRule>
    <cfRule type="cellIs" dxfId="2152" priority="342" operator="lessThanOrEqual">
      <formula>-0.03</formula>
    </cfRule>
  </conditionalFormatting>
  <conditionalFormatting sqref="BM60:BM64">
    <cfRule type="cellIs" dxfId="2151" priority="345" operator="greaterThanOrEqual">
      <formula>0.03</formula>
    </cfRule>
    <cfRule type="cellIs" dxfId="2150" priority="346" operator="lessThanOrEqual">
      <formula>-0.03</formula>
    </cfRule>
  </conditionalFormatting>
  <conditionalFormatting sqref="BM59">
    <cfRule type="cellIs" dxfId="2149" priority="343" operator="greaterThanOrEqual">
      <formula>0.03</formula>
    </cfRule>
    <cfRule type="cellIs" dxfId="2148" priority="344" operator="lessThanOrEqual">
      <formula>-0.03</formula>
    </cfRule>
  </conditionalFormatting>
  <conditionalFormatting sqref="CQ48:CQ52 CJ48:CJ52 CJ54:CJ58 CQ54:CQ58 CJ42:CN46 CQ41:CU46 CJ41:CK41">
    <cfRule type="cellIs" dxfId="2147" priority="385" operator="greaterThanOrEqual">
      <formula>0.03</formula>
    </cfRule>
    <cfRule type="cellIs" dxfId="2146" priority="386" operator="lessThanOrEqual">
      <formula>-0.03</formula>
    </cfRule>
  </conditionalFormatting>
  <conditionalFormatting sqref="CC48:CC52 CC54:CC58 BV42:BZ46 CC42:CG46">
    <cfRule type="cellIs" dxfId="2145" priority="383" operator="greaterThanOrEqual">
      <formula>0.03</formula>
    </cfRule>
    <cfRule type="cellIs" dxfId="2144" priority="384" operator="lessThanOrEqual">
      <formula>-0.03</formula>
    </cfRule>
  </conditionalFormatting>
  <conditionalFormatting sqref="BM58 BH54:BL58 BH48:BL52 BH41:BL46 BO48:BO52 BO54:BO58 BO41:BT46 BT48:BT51 BT54:BT58">
    <cfRule type="cellIs" dxfId="2143" priority="381" operator="greaterThanOrEqual">
      <formula>0.03</formula>
    </cfRule>
    <cfRule type="cellIs" dxfId="2142" priority="382" operator="lessThanOrEqual">
      <formula>-0.03</formula>
    </cfRule>
  </conditionalFormatting>
  <conditionalFormatting sqref="CJ60:CJ64 CQ60:CQ64">
    <cfRule type="cellIs" dxfId="2141" priority="379" operator="greaterThanOrEqual">
      <formula>0.03</formula>
    </cfRule>
    <cfRule type="cellIs" dxfId="2140" priority="380" operator="lessThanOrEqual">
      <formula>-0.03</formula>
    </cfRule>
  </conditionalFormatting>
  <conditionalFormatting sqref="CC60:CC64">
    <cfRule type="cellIs" dxfId="2139" priority="377" operator="greaterThanOrEqual">
      <formula>0.03</formula>
    </cfRule>
    <cfRule type="cellIs" dxfId="2138" priority="378" operator="lessThanOrEqual">
      <formula>-0.03</formula>
    </cfRule>
  </conditionalFormatting>
  <conditionalFormatting sqref="BH60:BL64 BO60:BO64 BT60:BT64">
    <cfRule type="cellIs" dxfId="2137" priority="375" operator="greaterThanOrEqual">
      <formula>0.03</formula>
    </cfRule>
    <cfRule type="cellIs" dxfId="2136" priority="376" operator="lessThanOrEqual">
      <formula>-0.03</formula>
    </cfRule>
  </conditionalFormatting>
  <conditionalFormatting sqref="BV41">
    <cfRule type="cellIs" dxfId="2135" priority="373" operator="greaterThanOrEqual">
      <formula>0.03</formula>
    </cfRule>
    <cfRule type="cellIs" dxfId="2134" priority="374" operator="lessThanOrEqual">
      <formula>-0.03</formula>
    </cfRule>
  </conditionalFormatting>
  <conditionalFormatting sqref="BI47:BL47">
    <cfRule type="cellIs" dxfId="2133" priority="337" operator="greaterThanOrEqual">
      <formula>0.03</formula>
    </cfRule>
    <cfRule type="cellIs" dxfId="2132" priority="338" operator="lessThanOrEqual">
      <formula>-0.03</formula>
    </cfRule>
  </conditionalFormatting>
  <conditionalFormatting sqref="BI53:BL53">
    <cfRule type="cellIs" dxfId="2131" priority="335" operator="greaterThanOrEqual">
      <formula>0.03</formula>
    </cfRule>
    <cfRule type="cellIs" dxfId="2130" priority="336" operator="lessThanOrEqual">
      <formula>-0.03</formula>
    </cfRule>
  </conditionalFormatting>
  <conditionalFormatting sqref="BI59:BL59">
    <cfRule type="cellIs" dxfId="2129" priority="333" operator="greaterThanOrEqual">
      <formula>0.03</formula>
    </cfRule>
    <cfRule type="cellIs" dxfId="2128" priority="334" operator="lessThanOrEqual">
      <formula>-0.03</formula>
    </cfRule>
  </conditionalFormatting>
  <conditionalFormatting sqref="BM46">
    <cfRule type="cellIs" dxfId="2127" priority="339" operator="greaterThanOrEqual">
      <formula>0.03</formula>
    </cfRule>
    <cfRule type="cellIs" dxfId="2126" priority="340" operator="lessThanOrEqual">
      <formula>-0.03</formula>
    </cfRule>
  </conditionalFormatting>
  <conditionalFormatting sqref="BT52">
    <cfRule type="cellIs" dxfId="2125" priority="331" operator="greaterThanOrEqual">
      <formula>0.03</formula>
    </cfRule>
    <cfRule type="cellIs" dxfId="2124" priority="332" operator="lessThanOrEqual">
      <formula>-0.03</formula>
    </cfRule>
  </conditionalFormatting>
  <conditionalFormatting sqref="BT53">
    <cfRule type="cellIs" dxfId="2123" priority="329" operator="greaterThanOrEqual">
      <formula>0.03</formula>
    </cfRule>
    <cfRule type="cellIs" dxfId="2122" priority="330" operator="lessThanOrEqual">
      <formula>-0.03</formula>
    </cfRule>
  </conditionalFormatting>
  <conditionalFormatting sqref="BP47:BS52">
    <cfRule type="cellIs" dxfId="2121" priority="327" operator="greaterThanOrEqual">
      <formula>0.03</formula>
    </cfRule>
    <cfRule type="cellIs" dxfId="2120" priority="328" operator="lessThanOrEqual">
      <formula>-0.03</formula>
    </cfRule>
  </conditionalFormatting>
  <conditionalFormatting sqref="BP53:BS58">
    <cfRule type="cellIs" dxfId="2119" priority="325" operator="greaterThanOrEqual">
      <formula>0.03</formula>
    </cfRule>
    <cfRule type="cellIs" dxfId="2118" priority="326" operator="lessThanOrEqual">
      <formula>-0.03</formula>
    </cfRule>
  </conditionalFormatting>
  <conditionalFormatting sqref="BP59:BS64">
    <cfRule type="cellIs" dxfId="2117" priority="323" operator="greaterThanOrEqual">
      <formula>0.03</formula>
    </cfRule>
    <cfRule type="cellIs" dxfId="2116" priority="324" operator="lessThanOrEqual">
      <formula>-0.03</formula>
    </cfRule>
  </conditionalFormatting>
  <conditionalFormatting sqref="CA41:CA46">
    <cfRule type="cellIs" dxfId="2115" priority="321" operator="greaterThanOrEqual">
      <formula>0.03</formula>
    </cfRule>
    <cfRule type="cellIs" dxfId="2114" priority="322" operator="lessThanOrEqual">
      <formula>-0.03</formula>
    </cfRule>
  </conditionalFormatting>
  <conditionalFormatting sqref="CA47:CA52">
    <cfRule type="cellIs" dxfId="2113" priority="319" operator="greaterThanOrEqual">
      <formula>0.03</formula>
    </cfRule>
    <cfRule type="cellIs" dxfId="2112" priority="320" operator="lessThanOrEqual">
      <formula>-0.03</formula>
    </cfRule>
  </conditionalFormatting>
  <conditionalFormatting sqref="CA53:CA58">
    <cfRule type="cellIs" dxfId="2111" priority="317" operator="greaterThanOrEqual">
      <formula>0.03</formula>
    </cfRule>
    <cfRule type="cellIs" dxfId="2110" priority="318" operator="lessThanOrEqual">
      <formula>-0.03</formula>
    </cfRule>
  </conditionalFormatting>
  <conditionalFormatting sqref="CA59:CA64">
    <cfRule type="cellIs" dxfId="2109" priority="315" operator="greaterThanOrEqual">
      <formula>0.03</formula>
    </cfRule>
    <cfRule type="cellIs" dxfId="2108" priority="316" operator="lessThanOrEqual">
      <formula>-0.03</formula>
    </cfRule>
  </conditionalFormatting>
  <conditionalFormatting sqref="BV48:BZ52">
    <cfRule type="cellIs" dxfId="2107" priority="313" operator="greaterThanOrEqual">
      <formula>0.03</formula>
    </cfRule>
    <cfRule type="cellIs" dxfId="2106" priority="314" operator="lessThanOrEqual">
      <formula>-0.03</formula>
    </cfRule>
  </conditionalFormatting>
  <conditionalFormatting sqref="BW47">
    <cfRule type="cellIs" dxfId="2105" priority="309" operator="greaterThanOrEqual">
      <formula>0.03</formula>
    </cfRule>
    <cfRule type="cellIs" dxfId="2104" priority="310" operator="lessThanOrEqual">
      <formula>-0.03</formula>
    </cfRule>
  </conditionalFormatting>
  <conditionalFormatting sqref="BV47">
    <cfRule type="cellIs" dxfId="2103" priority="311" operator="greaterThanOrEqual">
      <formula>0.03</formula>
    </cfRule>
    <cfRule type="cellIs" dxfId="2102" priority="312" operator="lessThanOrEqual">
      <formula>-0.03</formula>
    </cfRule>
  </conditionalFormatting>
  <conditionalFormatting sqref="BV54:BZ58">
    <cfRule type="cellIs" dxfId="2101" priority="307" operator="greaterThanOrEqual">
      <formula>0.03</formula>
    </cfRule>
    <cfRule type="cellIs" dxfId="2100" priority="308" operator="lessThanOrEqual">
      <formula>-0.03</formula>
    </cfRule>
  </conditionalFormatting>
  <conditionalFormatting sqref="BW53">
    <cfRule type="cellIs" dxfId="2099" priority="303" operator="greaterThanOrEqual">
      <formula>0.03</formula>
    </cfRule>
    <cfRule type="cellIs" dxfId="2098" priority="304" operator="lessThanOrEqual">
      <formula>-0.03</formula>
    </cfRule>
  </conditionalFormatting>
  <conditionalFormatting sqref="BV53">
    <cfRule type="cellIs" dxfId="2097" priority="305" operator="greaterThanOrEqual">
      <formula>0.03</formula>
    </cfRule>
    <cfRule type="cellIs" dxfId="2096" priority="306" operator="lessThanOrEqual">
      <formula>-0.03</formula>
    </cfRule>
  </conditionalFormatting>
  <conditionalFormatting sqref="BV60:BZ64">
    <cfRule type="cellIs" dxfId="2095" priority="301" operator="greaterThanOrEqual">
      <formula>0.03</formula>
    </cfRule>
    <cfRule type="cellIs" dxfId="2094" priority="302" operator="lessThanOrEqual">
      <formula>-0.03</formula>
    </cfRule>
  </conditionalFormatting>
  <conditionalFormatting sqref="BW59">
    <cfRule type="cellIs" dxfId="2093" priority="297" operator="greaterThanOrEqual">
      <formula>0.03</formula>
    </cfRule>
    <cfRule type="cellIs" dxfId="2092" priority="298" operator="lessThanOrEqual">
      <formula>-0.03</formula>
    </cfRule>
  </conditionalFormatting>
  <conditionalFormatting sqref="BV59">
    <cfRule type="cellIs" dxfId="2091" priority="299" operator="greaterThanOrEqual">
      <formula>0.03</formula>
    </cfRule>
    <cfRule type="cellIs" dxfId="2090" priority="300" operator="lessThanOrEqual">
      <formula>-0.03</formula>
    </cfRule>
  </conditionalFormatting>
  <conditionalFormatting sqref="CH41:CH46">
    <cfRule type="cellIs" dxfId="2089" priority="295" operator="greaterThanOrEqual">
      <formula>0.03</formula>
    </cfRule>
    <cfRule type="cellIs" dxfId="2088" priority="296" operator="lessThanOrEqual">
      <formula>-0.03</formula>
    </cfRule>
  </conditionalFormatting>
  <conditionalFormatting sqref="CH47:CH52">
    <cfRule type="cellIs" dxfId="2087" priority="293" operator="greaterThanOrEqual">
      <formula>0.03</formula>
    </cfRule>
    <cfRule type="cellIs" dxfId="2086" priority="294" operator="lessThanOrEqual">
      <formula>-0.03</formula>
    </cfRule>
  </conditionalFormatting>
  <conditionalFormatting sqref="CH53:CH58">
    <cfRule type="cellIs" dxfId="2085" priority="291" operator="greaterThanOrEqual">
      <formula>0.03</formula>
    </cfRule>
    <cfRule type="cellIs" dxfId="2084" priority="292" operator="lessThanOrEqual">
      <formula>-0.03</formula>
    </cfRule>
  </conditionalFormatting>
  <conditionalFormatting sqref="CH59:CH64">
    <cfRule type="cellIs" dxfId="2083" priority="289" operator="greaterThanOrEqual">
      <formula>0.03</formula>
    </cfRule>
    <cfRule type="cellIs" dxfId="2082" priority="290" operator="lessThanOrEqual">
      <formula>-0.03</formula>
    </cfRule>
  </conditionalFormatting>
  <conditionalFormatting sqref="CO41:CO46">
    <cfRule type="cellIs" dxfId="2081" priority="287" operator="greaterThanOrEqual">
      <formula>0.03</formula>
    </cfRule>
    <cfRule type="cellIs" dxfId="2080" priority="288" operator="lessThanOrEqual">
      <formula>-0.03</formula>
    </cfRule>
  </conditionalFormatting>
  <conditionalFormatting sqref="CO47:CO52">
    <cfRule type="cellIs" dxfId="2079" priority="285" operator="greaterThanOrEqual">
      <formula>0.03</formula>
    </cfRule>
    <cfRule type="cellIs" dxfId="2078" priority="286" operator="lessThanOrEqual">
      <formula>-0.03</formula>
    </cfRule>
  </conditionalFormatting>
  <conditionalFormatting sqref="CO53:CO58">
    <cfRule type="cellIs" dxfId="2077" priority="283" operator="greaterThanOrEqual">
      <formula>0.03</formula>
    </cfRule>
    <cfRule type="cellIs" dxfId="2076" priority="284" operator="lessThanOrEqual">
      <formula>-0.03</formula>
    </cfRule>
  </conditionalFormatting>
  <conditionalFormatting sqref="CO59:CO64">
    <cfRule type="cellIs" dxfId="2075" priority="281" operator="greaterThanOrEqual">
      <formula>0.03</formula>
    </cfRule>
    <cfRule type="cellIs" dxfId="2074" priority="282" operator="lessThanOrEqual">
      <formula>-0.03</formula>
    </cfRule>
  </conditionalFormatting>
  <conditionalFormatting sqref="CK48:CN52 CK47">
    <cfRule type="cellIs" dxfId="2073" priority="279" operator="greaterThanOrEqual">
      <formula>0.03</formula>
    </cfRule>
    <cfRule type="cellIs" dxfId="2072" priority="280" operator="lessThanOrEqual">
      <formula>-0.03</formula>
    </cfRule>
  </conditionalFormatting>
  <conditionalFormatting sqref="CK54:CN58 CK53">
    <cfRule type="cellIs" dxfId="2071" priority="277" operator="greaterThanOrEqual">
      <formula>0.03</formula>
    </cfRule>
    <cfRule type="cellIs" dxfId="2070" priority="278" operator="lessThanOrEqual">
      <formula>-0.03</formula>
    </cfRule>
  </conditionalFormatting>
  <conditionalFormatting sqref="CK60:CN64 CK59">
    <cfRule type="cellIs" dxfId="2069" priority="275" operator="greaterThanOrEqual">
      <formula>0.03</formula>
    </cfRule>
    <cfRule type="cellIs" dxfId="2068" priority="276" operator="lessThanOrEqual">
      <formula>-0.03</formula>
    </cfRule>
  </conditionalFormatting>
  <conditionalFormatting sqref="CV41:CV46">
    <cfRule type="cellIs" dxfId="2067" priority="273" operator="greaterThanOrEqual">
      <formula>0.03</formula>
    </cfRule>
    <cfRule type="cellIs" dxfId="2066" priority="274" operator="lessThanOrEqual">
      <formula>-0.03</formula>
    </cfRule>
  </conditionalFormatting>
  <conditionalFormatting sqref="CV47:CV52">
    <cfRule type="cellIs" dxfId="2065" priority="271" operator="greaterThanOrEqual">
      <formula>0.03</formula>
    </cfRule>
    <cfRule type="cellIs" dxfId="2064" priority="272" operator="lessThanOrEqual">
      <formula>-0.03</formula>
    </cfRule>
  </conditionalFormatting>
  <conditionalFormatting sqref="CV53:CV58">
    <cfRule type="cellIs" dxfId="2063" priority="269" operator="greaterThanOrEqual">
      <formula>0.03</formula>
    </cfRule>
    <cfRule type="cellIs" dxfId="2062" priority="270" operator="lessThanOrEqual">
      <formula>-0.03</formula>
    </cfRule>
  </conditionalFormatting>
  <conditionalFormatting sqref="CV59:CV64">
    <cfRule type="cellIs" dxfId="2061" priority="267" operator="greaterThanOrEqual">
      <formula>0.03</formula>
    </cfRule>
    <cfRule type="cellIs" dxfId="2060" priority="268" operator="lessThanOrEqual">
      <formula>-0.03</formula>
    </cfRule>
  </conditionalFormatting>
  <conditionalFormatting sqref="CR47:CU52">
    <cfRule type="cellIs" dxfId="2059" priority="265" operator="greaterThanOrEqual">
      <formula>0.03</formula>
    </cfRule>
    <cfRule type="cellIs" dxfId="2058" priority="266" operator="lessThanOrEqual">
      <formula>-0.03</formula>
    </cfRule>
  </conditionalFormatting>
  <conditionalFormatting sqref="CR53:CU58">
    <cfRule type="cellIs" dxfId="2057" priority="263" operator="greaterThanOrEqual">
      <formula>0.03</formula>
    </cfRule>
    <cfRule type="cellIs" dxfId="2056" priority="264" operator="lessThanOrEqual">
      <formula>-0.03</formula>
    </cfRule>
  </conditionalFormatting>
  <conditionalFormatting sqref="CR59:CU64">
    <cfRule type="cellIs" dxfId="2055" priority="261" operator="greaterThanOrEqual">
      <formula>0.03</formula>
    </cfRule>
    <cfRule type="cellIs" dxfId="2054" priority="262" operator="lessThanOrEqual">
      <formula>-0.03</formula>
    </cfRule>
  </conditionalFormatting>
  <conditionalFormatting sqref="CD48:CG52">
    <cfRule type="cellIs" dxfId="2053" priority="259" operator="greaterThanOrEqual">
      <formula>0.03</formula>
    </cfRule>
    <cfRule type="cellIs" dxfId="2052" priority="260" operator="lessThanOrEqual">
      <formula>-0.03</formula>
    </cfRule>
  </conditionalFormatting>
  <conditionalFormatting sqref="CD47:CG47">
    <cfRule type="cellIs" dxfId="2051" priority="257" operator="greaterThanOrEqual">
      <formula>0.03</formula>
    </cfRule>
    <cfRule type="cellIs" dxfId="2050" priority="258" operator="lessThanOrEqual">
      <formula>-0.03</formula>
    </cfRule>
  </conditionalFormatting>
  <conditionalFormatting sqref="CD54:CG58">
    <cfRule type="cellIs" dxfId="2049" priority="255" operator="greaterThanOrEqual">
      <formula>0.03</formula>
    </cfRule>
    <cfRule type="cellIs" dxfId="2048" priority="256" operator="lessThanOrEqual">
      <formula>-0.03</formula>
    </cfRule>
  </conditionalFormatting>
  <conditionalFormatting sqref="CD53:CG53">
    <cfRule type="cellIs" dxfId="2047" priority="253" operator="greaterThanOrEqual">
      <formula>0.03</formula>
    </cfRule>
    <cfRule type="cellIs" dxfId="2046" priority="254" operator="lessThanOrEqual">
      <formula>-0.03</formula>
    </cfRule>
  </conditionalFormatting>
  <conditionalFormatting sqref="CD60:CG64">
    <cfRule type="cellIs" dxfId="2045" priority="251" operator="greaterThanOrEqual">
      <formula>0.03</formula>
    </cfRule>
    <cfRule type="cellIs" dxfId="2044" priority="252" operator="lessThanOrEqual">
      <formula>-0.03</formula>
    </cfRule>
  </conditionalFormatting>
  <conditionalFormatting sqref="CD59:CG59">
    <cfRule type="cellIs" dxfId="2043" priority="249" operator="greaterThanOrEqual">
      <formula>0.03</formula>
    </cfRule>
    <cfRule type="cellIs" dxfId="2042" priority="250" operator="lessThanOrEqual">
      <formula>-0.03</formula>
    </cfRule>
  </conditionalFormatting>
  <conditionalFormatting sqref="BX41:BZ41">
    <cfRule type="cellIs" dxfId="2041" priority="247" operator="greaterThanOrEqual">
      <formula>0.03</formula>
    </cfRule>
    <cfRule type="cellIs" dxfId="2040" priority="248" operator="lessThanOrEqual">
      <formula>-0.03</formula>
    </cfRule>
  </conditionalFormatting>
  <conditionalFormatting sqref="CL47:CN47">
    <cfRule type="cellIs" dxfId="2039" priority="237" operator="greaterThanOrEqual">
      <formula>0.03</formula>
    </cfRule>
    <cfRule type="cellIs" dxfId="2038" priority="238" operator="lessThanOrEqual">
      <formula>-0.03</formula>
    </cfRule>
  </conditionalFormatting>
  <conditionalFormatting sqref="BX47:BZ47">
    <cfRule type="cellIs" dxfId="2037" priority="245" operator="greaterThanOrEqual">
      <formula>0.03</formula>
    </cfRule>
    <cfRule type="cellIs" dxfId="2036" priority="246" operator="lessThanOrEqual">
      <formula>-0.03</formula>
    </cfRule>
  </conditionalFormatting>
  <conditionalFormatting sqref="BX53:BZ53">
    <cfRule type="cellIs" dxfId="2035" priority="243" operator="greaterThanOrEqual">
      <formula>0.03</formula>
    </cfRule>
    <cfRule type="cellIs" dxfId="2034" priority="244" operator="lessThanOrEqual">
      <formula>-0.03</formula>
    </cfRule>
  </conditionalFormatting>
  <conditionalFormatting sqref="BX59:BZ59">
    <cfRule type="cellIs" dxfId="2033" priority="241" operator="greaterThanOrEqual">
      <formula>0.03</formula>
    </cfRule>
    <cfRule type="cellIs" dxfId="2032" priority="242" operator="lessThanOrEqual">
      <formula>-0.03</formula>
    </cfRule>
  </conditionalFormatting>
  <conditionalFormatting sqref="CL41:CN41">
    <cfRule type="cellIs" dxfId="2031" priority="239" operator="greaterThanOrEqual">
      <formula>0.03</formula>
    </cfRule>
    <cfRule type="cellIs" dxfId="2030" priority="240" operator="lessThanOrEqual">
      <formula>-0.03</formula>
    </cfRule>
  </conditionalFormatting>
  <conditionalFormatting sqref="CL53:CN53">
    <cfRule type="cellIs" dxfId="2029" priority="235" operator="greaterThanOrEqual">
      <formula>0.03</formula>
    </cfRule>
    <cfRule type="cellIs" dxfId="2028" priority="236" operator="lessThanOrEqual">
      <formula>-0.03</formula>
    </cfRule>
  </conditionalFormatting>
  <conditionalFormatting sqref="CL59:CN59">
    <cfRule type="cellIs" dxfId="2027" priority="233" operator="greaterThanOrEqual">
      <formula>0.03</formula>
    </cfRule>
    <cfRule type="cellIs" dxfId="2026" priority="234" operator="lessThanOrEqual">
      <formula>-0.03</formula>
    </cfRule>
  </conditionalFormatting>
  <conditionalFormatting sqref="CQ66:CQ70 CJ66:CJ70 CJ72:CJ76 CQ72:CQ76">
    <cfRule type="cellIs" dxfId="2025" priority="231" operator="greaterThanOrEqual">
      <formula>0.03</formula>
    </cfRule>
    <cfRule type="cellIs" dxfId="2024" priority="232" operator="lessThanOrEqual">
      <formula>-0.03</formula>
    </cfRule>
  </conditionalFormatting>
  <conditionalFormatting sqref="CC66:CC70 CC72:CC76">
    <cfRule type="cellIs" dxfId="2023" priority="229" operator="greaterThanOrEqual">
      <formula>0.03</formula>
    </cfRule>
    <cfRule type="cellIs" dxfId="2022" priority="230" operator="lessThanOrEqual">
      <formula>-0.03</formula>
    </cfRule>
  </conditionalFormatting>
  <conditionalFormatting sqref="BM76 BH72:BL76 BH66:BL70 BO66:BO70 BO72:BO76 BT66:BT69 BT72:BT76">
    <cfRule type="cellIs" dxfId="2021" priority="227" operator="greaterThanOrEqual">
      <formula>0.03</formula>
    </cfRule>
    <cfRule type="cellIs" dxfId="2020" priority="228" operator="lessThanOrEqual">
      <formula>-0.03</formula>
    </cfRule>
  </conditionalFormatting>
  <conditionalFormatting sqref="BO65 BH65 BT65">
    <cfRule type="cellIs" dxfId="2019" priority="217" operator="greaterThanOrEqual">
      <formula>0.03</formula>
    </cfRule>
    <cfRule type="cellIs" dxfId="2018" priority="218" operator="lessThanOrEqual">
      <formula>-0.03</formula>
    </cfRule>
  </conditionalFormatting>
  <conditionalFormatting sqref="CJ78:CJ82 CQ78:CQ82">
    <cfRule type="cellIs" dxfId="2017" priority="225" operator="greaterThanOrEqual">
      <formula>0.03</formula>
    </cfRule>
    <cfRule type="cellIs" dxfId="2016" priority="226" operator="lessThanOrEqual">
      <formula>-0.03</formula>
    </cfRule>
  </conditionalFormatting>
  <conditionalFormatting sqref="CC78:CC82">
    <cfRule type="cellIs" dxfId="2015" priority="223" operator="greaterThanOrEqual">
      <formula>0.03</formula>
    </cfRule>
    <cfRule type="cellIs" dxfId="2014" priority="224" operator="lessThanOrEqual">
      <formula>-0.03</formula>
    </cfRule>
  </conditionalFormatting>
  <conditionalFormatting sqref="BH78:BL82 BO78:BO82 BT78:BT82">
    <cfRule type="cellIs" dxfId="2013" priority="221" operator="greaterThanOrEqual">
      <formula>0.03</formula>
    </cfRule>
    <cfRule type="cellIs" dxfId="2012" priority="222" operator="lessThanOrEqual">
      <formula>-0.03</formula>
    </cfRule>
  </conditionalFormatting>
  <conditionalFormatting sqref="CJ71 CQ71">
    <cfRule type="cellIs" dxfId="2011" priority="213" operator="greaterThanOrEqual">
      <formula>0.03</formula>
    </cfRule>
    <cfRule type="cellIs" dxfId="2010" priority="214" operator="lessThanOrEqual">
      <formula>-0.03</formula>
    </cfRule>
  </conditionalFormatting>
  <conditionalFormatting sqref="BO71 BH71">
    <cfRule type="cellIs" dxfId="2009" priority="211" operator="greaterThanOrEqual">
      <formula>0.03</formula>
    </cfRule>
    <cfRule type="cellIs" dxfId="2008" priority="212" operator="lessThanOrEqual">
      <formula>-0.03</formula>
    </cfRule>
  </conditionalFormatting>
  <conditionalFormatting sqref="CC71">
    <cfRule type="cellIs" dxfId="2007" priority="209" operator="greaterThanOrEqual">
      <formula>0.03</formula>
    </cfRule>
    <cfRule type="cellIs" dxfId="2006" priority="210" operator="lessThanOrEqual">
      <formula>-0.03</formula>
    </cfRule>
  </conditionalFormatting>
  <conditionalFormatting sqref="CJ77 CQ77">
    <cfRule type="cellIs" dxfId="2005" priority="207" operator="greaterThanOrEqual">
      <formula>0.03</formula>
    </cfRule>
    <cfRule type="cellIs" dxfId="2004" priority="208" operator="lessThanOrEqual">
      <formula>-0.03</formula>
    </cfRule>
  </conditionalFormatting>
  <conditionalFormatting sqref="BO77 BH77 BT77">
    <cfRule type="cellIs" dxfId="2003" priority="205" operator="greaterThanOrEqual">
      <formula>0.03</formula>
    </cfRule>
    <cfRule type="cellIs" dxfId="2002" priority="206" operator="lessThanOrEqual">
      <formula>-0.03</formula>
    </cfRule>
  </conditionalFormatting>
  <conditionalFormatting sqref="CC77">
    <cfRule type="cellIs" dxfId="2001" priority="203" operator="greaterThanOrEqual">
      <formula>0.03</formula>
    </cfRule>
    <cfRule type="cellIs" dxfId="2000" priority="204" operator="lessThanOrEqual">
      <formula>-0.03</formula>
    </cfRule>
  </conditionalFormatting>
  <conditionalFormatting sqref="CJ65 CQ65">
    <cfRule type="cellIs" dxfId="1999" priority="219" operator="greaterThanOrEqual">
      <formula>0.03</formula>
    </cfRule>
    <cfRule type="cellIs" dxfId="1998" priority="220" operator="lessThanOrEqual">
      <formula>-0.03</formula>
    </cfRule>
  </conditionalFormatting>
  <conditionalFormatting sqref="CC65">
    <cfRule type="cellIs" dxfId="1997" priority="215" operator="greaterThanOrEqual">
      <formula>0.03</formula>
    </cfRule>
    <cfRule type="cellIs" dxfId="1996" priority="216" operator="lessThanOrEqual">
      <formula>-0.03</formula>
    </cfRule>
  </conditionalFormatting>
  <conditionalFormatting sqref="BI65:BL65">
    <cfRule type="cellIs" dxfId="1995" priority="191" operator="greaterThanOrEqual">
      <formula>0.03</formula>
    </cfRule>
    <cfRule type="cellIs" dxfId="1994" priority="192" operator="lessThanOrEqual">
      <formula>-0.03</formula>
    </cfRule>
  </conditionalFormatting>
  <conditionalFormatting sqref="BI71:BL71">
    <cfRule type="cellIs" dxfId="1993" priority="189" operator="greaterThanOrEqual">
      <formula>0.03</formula>
    </cfRule>
    <cfRule type="cellIs" dxfId="1992" priority="190" operator="lessThanOrEqual">
      <formula>-0.03</formula>
    </cfRule>
  </conditionalFormatting>
  <conditionalFormatting sqref="BI77:BL77">
    <cfRule type="cellIs" dxfId="1991" priority="187" operator="greaterThanOrEqual">
      <formula>0.03</formula>
    </cfRule>
    <cfRule type="cellIs" dxfId="1990" priority="188" operator="lessThanOrEqual">
      <formula>-0.03</formula>
    </cfRule>
  </conditionalFormatting>
  <conditionalFormatting sqref="BM65:BM69">
    <cfRule type="cellIs" dxfId="1989" priority="201" operator="greaterThanOrEqual">
      <formula>0.03</formula>
    </cfRule>
    <cfRule type="cellIs" dxfId="1988" priority="202" operator="lessThanOrEqual">
      <formula>-0.03</formula>
    </cfRule>
  </conditionalFormatting>
  <conditionalFormatting sqref="BM71:BM75">
    <cfRule type="cellIs" dxfId="1987" priority="199" operator="greaterThanOrEqual">
      <formula>0.03</formula>
    </cfRule>
    <cfRule type="cellIs" dxfId="1986" priority="200" operator="lessThanOrEqual">
      <formula>-0.03</formula>
    </cfRule>
  </conditionalFormatting>
  <conditionalFormatting sqref="BM78:BM82">
    <cfRule type="cellIs" dxfId="1985" priority="197" operator="greaterThanOrEqual">
      <formula>0.03</formula>
    </cfRule>
    <cfRule type="cellIs" dxfId="1984" priority="198" operator="lessThanOrEqual">
      <formula>-0.03</formula>
    </cfRule>
  </conditionalFormatting>
  <conditionalFormatting sqref="BM77">
    <cfRule type="cellIs" dxfId="1983" priority="195" operator="greaterThanOrEqual">
      <formula>0.03</formula>
    </cfRule>
    <cfRule type="cellIs" dxfId="1982" priority="196" operator="lessThanOrEqual">
      <formula>-0.03</formula>
    </cfRule>
  </conditionalFormatting>
  <conditionalFormatting sqref="BM70">
    <cfRule type="cellIs" dxfId="1981" priority="193" operator="greaterThanOrEqual">
      <formula>0.03</formula>
    </cfRule>
    <cfRule type="cellIs" dxfId="1980" priority="194" operator="lessThanOrEqual">
      <formula>-0.03</formula>
    </cfRule>
  </conditionalFormatting>
  <conditionalFormatting sqref="BT70">
    <cfRule type="cellIs" dxfId="1979" priority="185" operator="greaterThanOrEqual">
      <formula>0.03</formula>
    </cfRule>
    <cfRule type="cellIs" dxfId="1978" priority="186" operator="lessThanOrEqual">
      <formula>-0.03</formula>
    </cfRule>
  </conditionalFormatting>
  <conditionalFormatting sqref="BT71">
    <cfRule type="cellIs" dxfId="1977" priority="183" operator="greaterThanOrEqual">
      <formula>0.03</formula>
    </cfRule>
    <cfRule type="cellIs" dxfId="1976" priority="184" operator="lessThanOrEqual">
      <formula>-0.03</formula>
    </cfRule>
  </conditionalFormatting>
  <conditionalFormatting sqref="BP65:BS70">
    <cfRule type="cellIs" dxfId="1975" priority="181" operator="greaterThanOrEqual">
      <formula>0.03</formula>
    </cfRule>
    <cfRule type="cellIs" dxfId="1974" priority="182" operator="lessThanOrEqual">
      <formula>-0.03</formula>
    </cfRule>
  </conditionalFormatting>
  <conditionalFormatting sqref="BP71:BS76">
    <cfRule type="cellIs" dxfId="1973" priority="179" operator="greaterThanOrEqual">
      <formula>0.03</formula>
    </cfRule>
    <cfRule type="cellIs" dxfId="1972" priority="180" operator="lessThanOrEqual">
      <formula>-0.03</formula>
    </cfRule>
  </conditionalFormatting>
  <conditionalFormatting sqref="BP77:BS82">
    <cfRule type="cellIs" dxfId="1971" priority="177" operator="greaterThanOrEqual">
      <formula>0.03</formula>
    </cfRule>
    <cfRule type="cellIs" dxfId="1970" priority="178" operator="lessThanOrEqual">
      <formula>-0.03</formula>
    </cfRule>
  </conditionalFormatting>
  <conditionalFormatting sqref="CA65:CA70">
    <cfRule type="cellIs" dxfId="1969" priority="175" operator="greaterThanOrEqual">
      <formula>0.03</formula>
    </cfRule>
    <cfRule type="cellIs" dxfId="1968" priority="176" operator="lessThanOrEqual">
      <formula>-0.03</formula>
    </cfRule>
  </conditionalFormatting>
  <conditionalFormatting sqref="CA71:CA76">
    <cfRule type="cellIs" dxfId="1967" priority="173" operator="greaterThanOrEqual">
      <formula>0.03</formula>
    </cfRule>
    <cfRule type="cellIs" dxfId="1966" priority="174" operator="lessThanOrEqual">
      <formula>-0.03</formula>
    </cfRule>
  </conditionalFormatting>
  <conditionalFormatting sqref="CA77:CA82">
    <cfRule type="cellIs" dxfId="1965" priority="171" operator="greaterThanOrEqual">
      <formula>0.03</formula>
    </cfRule>
    <cfRule type="cellIs" dxfId="1964" priority="172" operator="lessThanOrEqual">
      <formula>-0.03</formula>
    </cfRule>
  </conditionalFormatting>
  <conditionalFormatting sqref="BV66:BZ70">
    <cfRule type="cellIs" dxfId="1963" priority="169" operator="greaterThanOrEqual">
      <formula>0.03</formula>
    </cfRule>
    <cfRule type="cellIs" dxfId="1962" priority="170" operator="lessThanOrEqual">
      <formula>-0.03</formula>
    </cfRule>
  </conditionalFormatting>
  <conditionalFormatting sqref="BW65">
    <cfRule type="cellIs" dxfId="1961" priority="165" operator="greaterThanOrEqual">
      <formula>0.03</formula>
    </cfRule>
    <cfRule type="cellIs" dxfId="1960" priority="166" operator="lessThanOrEqual">
      <formula>-0.03</formula>
    </cfRule>
  </conditionalFormatting>
  <conditionalFormatting sqref="BV65">
    <cfRule type="cellIs" dxfId="1959" priority="167" operator="greaterThanOrEqual">
      <formula>0.03</formula>
    </cfRule>
    <cfRule type="cellIs" dxfId="1958" priority="168" operator="lessThanOrEqual">
      <formula>-0.03</formula>
    </cfRule>
  </conditionalFormatting>
  <conditionalFormatting sqref="BV72:BZ76">
    <cfRule type="cellIs" dxfId="1957" priority="163" operator="greaterThanOrEqual">
      <formula>0.03</formula>
    </cfRule>
    <cfRule type="cellIs" dxfId="1956" priority="164" operator="lessThanOrEqual">
      <formula>-0.03</formula>
    </cfRule>
  </conditionalFormatting>
  <conditionalFormatting sqref="BW71">
    <cfRule type="cellIs" dxfId="1955" priority="159" operator="greaterThanOrEqual">
      <formula>0.03</formula>
    </cfRule>
    <cfRule type="cellIs" dxfId="1954" priority="160" operator="lessThanOrEqual">
      <formula>-0.03</formula>
    </cfRule>
  </conditionalFormatting>
  <conditionalFormatting sqref="BV71">
    <cfRule type="cellIs" dxfId="1953" priority="161" operator="greaterThanOrEqual">
      <formula>0.03</formula>
    </cfRule>
    <cfRule type="cellIs" dxfId="1952" priority="162" operator="lessThanOrEqual">
      <formula>-0.03</formula>
    </cfRule>
  </conditionalFormatting>
  <conditionalFormatting sqref="BV78:BZ82">
    <cfRule type="cellIs" dxfId="1951" priority="157" operator="greaterThanOrEqual">
      <formula>0.03</formula>
    </cfRule>
    <cfRule type="cellIs" dxfId="1950" priority="158" operator="lessThanOrEqual">
      <formula>-0.03</formula>
    </cfRule>
  </conditionalFormatting>
  <conditionalFormatting sqref="BW77">
    <cfRule type="cellIs" dxfId="1949" priority="153" operator="greaterThanOrEqual">
      <formula>0.03</formula>
    </cfRule>
    <cfRule type="cellIs" dxfId="1948" priority="154" operator="lessThanOrEqual">
      <formula>-0.03</formula>
    </cfRule>
  </conditionalFormatting>
  <conditionalFormatting sqref="BV77">
    <cfRule type="cellIs" dxfId="1947" priority="155" operator="greaterThanOrEqual">
      <formula>0.03</formula>
    </cfRule>
    <cfRule type="cellIs" dxfId="1946" priority="156" operator="lessThanOrEqual">
      <formula>-0.03</formula>
    </cfRule>
  </conditionalFormatting>
  <conditionalFormatting sqref="CH65:CH70">
    <cfRule type="cellIs" dxfId="1945" priority="151" operator="greaterThanOrEqual">
      <formula>0.03</formula>
    </cfRule>
    <cfRule type="cellIs" dxfId="1944" priority="152" operator="lessThanOrEqual">
      <formula>-0.03</formula>
    </cfRule>
  </conditionalFormatting>
  <conditionalFormatting sqref="CH71:CH76">
    <cfRule type="cellIs" dxfId="1943" priority="149" operator="greaterThanOrEqual">
      <formula>0.03</formula>
    </cfRule>
    <cfRule type="cellIs" dxfId="1942" priority="150" operator="lessThanOrEqual">
      <formula>-0.03</formula>
    </cfRule>
  </conditionalFormatting>
  <conditionalFormatting sqref="CH77:CH82">
    <cfRule type="cellIs" dxfId="1941" priority="147" operator="greaterThanOrEqual">
      <formula>0.03</formula>
    </cfRule>
    <cfRule type="cellIs" dxfId="1940" priority="148" operator="lessThanOrEqual">
      <formula>-0.03</formula>
    </cfRule>
  </conditionalFormatting>
  <conditionalFormatting sqref="CO65:CO70">
    <cfRule type="cellIs" dxfId="1939" priority="145" operator="greaterThanOrEqual">
      <formula>0.03</formula>
    </cfRule>
    <cfRule type="cellIs" dxfId="1938" priority="146" operator="lessThanOrEqual">
      <formula>-0.03</formula>
    </cfRule>
  </conditionalFormatting>
  <conditionalFormatting sqref="CO71:CO76">
    <cfRule type="cellIs" dxfId="1937" priority="143" operator="greaterThanOrEqual">
      <formula>0.03</formula>
    </cfRule>
    <cfRule type="cellIs" dxfId="1936" priority="144" operator="lessThanOrEqual">
      <formula>-0.03</formula>
    </cfRule>
  </conditionalFormatting>
  <conditionalFormatting sqref="CO77:CO82">
    <cfRule type="cellIs" dxfId="1935" priority="141" operator="greaterThanOrEqual">
      <formula>0.03</formula>
    </cfRule>
    <cfRule type="cellIs" dxfId="1934" priority="142" operator="lessThanOrEqual">
      <formula>-0.03</formula>
    </cfRule>
  </conditionalFormatting>
  <conditionalFormatting sqref="CK66:CN70 CK65">
    <cfRule type="cellIs" dxfId="1933" priority="139" operator="greaterThanOrEqual">
      <formula>0.03</formula>
    </cfRule>
    <cfRule type="cellIs" dxfId="1932" priority="140" operator="lessThanOrEqual">
      <formula>-0.03</formula>
    </cfRule>
  </conditionalFormatting>
  <conditionalFormatting sqref="CK72:CN76 CK71">
    <cfRule type="cellIs" dxfId="1931" priority="137" operator="greaterThanOrEqual">
      <formula>0.03</formula>
    </cfRule>
    <cfRule type="cellIs" dxfId="1930" priority="138" operator="lessThanOrEqual">
      <formula>-0.03</formula>
    </cfRule>
  </conditionalFormatting>
  <conditionalFormatting sqref="CK78:CN82 CK77">
    <cfRule type="cellIs" dxfId="1929" priority="135" operator="greaterThanOrEqual">
      <formula>0.03</formula>
    </cfRule>
    <cfRule type="cellIs" dxfId="1928" priority="136" operator="lessThanOrEqual">
      <formula>-0.03</formula>
    </cfRule>
  </conditionalFormatting>
  <conditionalFormatting sqref="CV65:CV70">
    <cfRule type="cellIs" dxfId="1927" priority="133" operator="greaterThanOrEqual">
      <formula>0.03</formula>
    </cfRule>
    <cfRule type="cellIs" dxfId="1926" priority="134" operator="lessThanOrEqual">
      <formula>-0.03</formula>
    </cfRule>
  </conditionalFormatting>
  <conditionalFormatting sqref="CV71:CV76">
    <cfRule type="cellIs" dxfId="1925" priority="131" operator="greaterThanOrEqual">
      <formula>0.03</formula>
    </cfRule>
    <cfRule type="cellIs" dxfId="1924" priority="132" operator="lessThanOrEqual">
      <formula>-0.03</formula>
    </cfRule>
  </conditionalFormatting>
  <conditionalFormatting sqref="CV77:CV82">
    <cfRule type="cellIs" dxfId="1923" priority="129" operator="greaterThanOrEqual">
      <formula>0.03</formula>
    </cfRule>
    <cfRule type="cellIs" dxfId="1922" priority="130" operator="lessThanOrEqual">
      <formula>-0.03</formula>
    </cfRule>
  </conditionalFormatting>
  <conditionalFormatting sqref="CR65:CU70">
    <cfRule type="cellIs" dxfId="1921" priority="127" operator="greaterThanOrEqual">
      <formula>0.03</formula>
    </cfRule>
    <cfRule type="cellIs" dxfId="1920" priority="128" operator="lessThanOrEqual">
      <formula>-0.03</formula>
    </cfRule>
  </conditionalFormatting>
  <conditionalFormatting sqref="CR71:CU76">
    <cfRule type="cellIs" dxfId="1919" priority="125" operator="greaterThanOrEqual">
      <formula>0.03</formula>
    </cfRule>
    <cfRule type="cellIs" dxfId="1918" priority="126" operator="lessThanOrEqual">
      <formula>-0.03</formula>
    </cfRule>
  </conditionalFormatting>
  <conditionalFormatting sqref="CR77:CU82">
    <cfRule type="cellIs" dxfId="1917" priority="123" operator="greaterThanOrEqual">
      <formula>0.03</formula>
    </cfRule>
    <cfRule type="cellIs" dxfId="1916" priority="124" operator="lessThanOrEqual">
      <formula>-0.03</formula>
    </cfRule>
  </conditionalFormatting>
  <conditionalFormatting sqref="CD66:CG70">
    <cfRule type="cellIs" dxfId="1915" priority="121" operator="greaterThanOrEqual">
      <formula>0.03</formula>
    </cfRule>
    <cfRule type="cellIs" dxfId="1914" priority="122" operator="lessThanOrEqual">
      <formula>-0.03</formula>
    </cfRule>
  </conditionalFormatting>
  <conditionalFormatting sqref="CD65:CG65">
    <cfRule type="cellIs" dxfId="1913" priority="119" operator="greaterThanOrEqual">
      <formula>0.03</formula>
    </cfRule>
    <cfRule type="cellIs" dxfId="1912" priority="120" operator="lessThanOrEqual">
      <formula>-0.03</formula>
    </cfRule>
  </conditionalFormatting>
  <conditionalFormatting sqref="CD72:CG76">
    <cfRule type="cellIs" dxfId="1911" priority="117" operator="greaterThanOrEqual">
      <formula>0.03</formula>
    </cfRule>
    <cfRule type="cellIs" dxfId="1910" priority="118" operator="lessThanOrEqual">
      <formula>-0.03</formula>
    </cfRule>
  </conditionalFormatting>
  <conditionalFormatting sqref="CD71:CG71">
    <cfRule type="cellIs" dxfId="1909" priority="115" operator="greaterThanOrEqual">
      <formula>0.03</formula>
    </cfRule>
    <cfRule type="cellIs" dxfId="1908" priority="116" operator="lessThanOrEqual">
      <formula>-0.03</formula>
    </cfRule>
  </conditionalFormatting>
  <conditionalFormatting sqref="CD78:CG82">
    <cfRule type="cellIs" dxfId="1907" priority="113" operator="greaterThanOrEqual">
      <formula>0.03</formula>
    </cfRule>
    <cfRule type="cellIs" dxfId="1906" priority="114" operator="lessThanOrEqual">
      <formula>-0.03</formula>
    </cfRule>
  </conditionalFormatting>
  <conditionalFormatting sqref="CD77:CG77">
    <cfRule type="cellIs" dxfId="1905" priority="111" operator="greaterThanOrEqual">
      <formula>0.03</formula>
    </cfRule>
    <cfRule type="cellIs" dxfId="1904" priority="112" operator="lessThanOrEqual">
      <formula>-0.03</formula>
    </cfRule>
  </conditionalFormatting>
  <conditionalFormatting sqref="CL65:CN65">
    <cfRule type="cellIs" dxfId="1903" priority="103" operator="greaterThanOrEqual">
      <formula>0.03</formula>
    </cfRule>
    <cfRule type="cellIs" dxfId="1902" priority="104" operator="lessThanOrEqual">
      <formula>-0.03</formula>
    </cfRule>
  </conditionalFormatting>
  <conditionalFormatting sqref="BX65:BZ65">
    <cfRule type="cellIs" dxfId="1901" priority="109" operator="greaterThanOrEqual">
      <formula>0.03</formula>
    </cfRule>
    <cfRule type="cellIs" dxfId="1900" priority="110" operator="lessThanOrEqual">
      <formula>-0.03</formula>
    </cfRule>
  </conditionalFormatting>
  <conditionalFormatting sqref="BX71:BZ71">
    <cfRule type="cellIs" dxfId="1899" priority="107" operator="greaterThanOrEqual">
      <formula>0.03</formula>
    </cfRule>
    <cfRule type="cellIs" dxfId="1898" priority="108" operator="lessThanOrEqual">
      <formula>-0.03</formula>
    </cfRule>
  </conditionalFormatting>
  <conditionalFormatting sqref="BX77:BZ77">
    <cfRule type="cellIs" dxfId="1897" priority="105" operator="greaterThanOrEqual">
      <formula>0.03</formula>
    </cfRule>
    <cfRule type="cellIs" dxfId="1896" priority="106" operator="lessThanOrEqual">
      <formula>-0.03</formula>
    </cfRule>
  </conditionalFormatting>
  <conditionalFormatting sqref="CL71:CN71">
    <cfRule type="cellIs" dxfId="1895" priority="101" operator="greaterThanOrEqual">
      <formula>0.03</formula>
    </cfRule>
    <cfRule type="cellIs" dxfId="1894" priority="102" operator="lessThanOrEqual">
      <formula>-0.03</formula>
    </cfRule>
  </conditionalFormatting>
  <conditionalFormatting sqref="CL77:CN77">
    <cfRule type="cellIs" dxfId="1893" priority="99" operator="greaterThanOrEqual">
      <formula>0.03</formula>
    </cfRule>
    <cfRule type="cellIs" dxfId="1892" priority="100" operator="lessThanOrEqual">
      <formula>-0.03</formula>
    </cfRule>
  </conditionalFormatting>
  <conditionalFormatting sqref="BW41">
    <cfRule type="cellIs" dxfId="1891" priority="97" operator="greaterThanOrEqual">
      <formula>0.03</formula>
    </cfRule>
    <cfRule type="cellIs" dxfId="1890" priority="98" operator="lessThanOrEqual">
      <formula>-0.03</formula>
    </cfRule>
  </conditionalFormatting>
  <conditionalFormatting sqref="BE137:CV142">
    <cfRule type="cellIs" dxfId="1889" priority="95" operator="lessThanOrEqual">
      <formula>-0.03</formula>
    </cfRule>
    <cfRule type="cellIs" dxfId="1888" priority="96" operator="greaterThanOrEqual">
      <formula>0.03</formula>
    </cfRule>
  </conditionalFormatting>
  <conditionalFormatting sqref="BC137:BD142">
    <cfRule type="cellIs" dxfId="1887" priority="93" operator="greaterThanOrEqual">
      <formula>1.03</formula>
    </cfRule>
    <cfRule type="cellIs" dxfId="1886" priority="94" operator="lessThanOrEqual">
      <formula>0.97</formula>
    </cfRule>
  </conditionalFormatting>
  <conditionalFormatting sqref="V89:X100">
    <cfRule type="cellIs" dxfId="1885" priority="91" operator="greaterThanOrEqual">
      <formula>0.03</formula>
    </cfRule>
    <cfRule type="cellIs" dxfId="1884" priority="92" operator="lessThanOrEqual">
      <formula>-0.03</formula>
    </cfRule>
  </conditionalFormatting>
  <conditionalFormatting sqref="W101:X106">
    <cfRule type="cellIs" dxfId="1883" priority="89" operator="greaterThanOrEqual">
      <formula>0.03</formula>
    </cfRule>
    <cfRule type="cellIs" dxfId="1882" priority="90" operator="lessThanOrEqual">
      <formula>-0.03</formula>
    </cfRule>
  </conditionalFormatting>
  <conditionalFormatting sqref="V101:V106">
    <cfRule type="cellIs" dxfId="1881" priority="87" operator="greaterThanOrEqual">
      <formula>0.03</formula>
    </cfRule>
    <cfRule type="cellIs" dxfId="1880" priority="88" operator="lessThanOrEqual">
      <formula>-0.03</formula>
    </cfRule>
  </conditionalFormatting>
  <conditionalFormatting sqref="W107:X112">
    <cfRule type="cellIs" dxfId="1879" priority="85" operator="greaterThanOrEqual">
      <formula>0.03</formula>
    </cfRule>
    <cfRule type="cellIs" dxfId="1878" priority="86" operator="lessThanOrEqual">
      <formula>-0.03</formula>
    </cfRule>
  </conditionalFormatting>
  <conditionalFormatting sqref="V107:V112">
    <cfRule type="cellIs" dxfId="1877" priority="83" operator="greaterThanOrEqual">
      <formula>0.03</formula>
    </cfRule>
    <cfRule type="cellIs" dxfId="1876" priority="84" operator="lessThanOrEqual">
      <formula>-0.03</formula>
    </cfRule>
  </conditionalFormatting>
  <conditionalFormatting sqref="S131:S136">
    <cfRule type="cellIs" dxfId="1875" priority="77" operator="greaterThanOrEqual">
      <formula>0.03</formula>
    </cfRule>
    <cfRule type="cellIs" dxfId="1874" priority="78" operator="lessThanOrEqual">
      <formula>-0.03</formula>
    </cfRule>
  </conditionalFormatting>
  <conditionalFormatting sqref="S119:S130">
    <cfRule type="cellIs" dxfId="1873" priority="81" operator="greaterThanOrEqual">
      <formula>0.03</formula>
    </cfRule>
    <cfRule type="cellIs" dxfId="1872" priority="82" operator="lessThanOrEqual">
      <formula>-0.03</formula>
    </cfRule>
  </conditionalFormatting>
  <conditionalFormatting sqref="S113:S118">
    <cfRule type="cellIs" dxfId="1871" priority="79" operator="greaterThanOrEqual">
      <formula>0.03</formula>
    </cfRule>
    <cfRule type="cellIs" dxfId="1870" priority="80" operator="lessThanOrEqual">
      <formula>-0.03</formula>
    </cfRule>
  </conditionalFormatting>
  <conditionalFormatting sqref="Y119:Y130">
    <cfRule type="cellIs" dxfId="1869" priority="75" operator="greaterThanOrEqual">
      <formula>0.03</formula>
    </cfRule>
    <cfRule type="cellIs" dxfId="1868" priority="76" operator="lessThanOrEqual">
      <formula>-0.03</formula>
    </cfRule>
  </conditionalFormatting>
  <conditionalFormatting sqref="Y113:Y118">
    <cfRule type="cellIs" dxfId="1867" priority="73" operator="greaterThanOrEqual">
      <formula>0.03</formula>
    </cfRule>
    <cfRule type="cellIs" dxfId="1866" priority="74" operator="lessThanOrEqual">
      <formula>-0.03</formula>
    </cfRule>
  </conditionalFormatting>
  <conditionalFormatting sqref="Y131:Y136">
    <cfRule type="cellIs" dxfId="1865" priority="71" operator="greaterThanOrEqual">
      <formula>0.03</formula>
    </cfRule>
    <cfRule type="cellIs" dxfId="1864" priority="72" operator="lessThanOrEqual">
      <formula>-0.03</formula>
    </cfRule>
  </conditionalFormatting>
  <conditionalFormatting sqref="V83:X88">
    <cfRule type="cellIs" dxfId="1863" priority="69" operator="greaterThanOrEqual">
      <formula>0.03</formula>
    </cfRule>
    <cfRule type="cellIs" dxfId="1862" priority="70" operator="lessThanOrEqual">
      <formula>-0.03</formula>
    </cfRule>
  </conditionalFormatting>
  <conditionalFormatting sqref="V29:X40">
    <cfRule type="cellIs" dxfId="1861" priority="67" operator="greaterThanOrEqual">
      <formula>0.03</formula>
    </cfRule>
    <cfRule type="cellIs" dxfId="1860" priority="68" operator="lessThanOrEqual">
      <formula>-0.03</formula>
    </cfRule>
  </conditionalFormatting>
  <conditionalFormatting sqref="V23:X27">
    <cfRule type="cellIs" dxfId="1859" priority="61" operator="greaterThanOrEqual">
      <formula>0.03</formula>
    </cfRule>
    <cfRule type="cellIs" dxfId="1858" priority="62" operator="lessThanOrEqual">
      <formula>-0.03</formula>
    </cfRule>
  </conditionalFormatting>
  <conditionalFormatting sqref="V11:X22">
    <cfRule type="cellIs" dxfId="1857" priority="65" operator="greaterThanOrEqual">
      <formula>0.03</formula>
    </cfRule>
    <cfRule type="cellIs" dxfId="1856" priority="66" operator="lessThanOrEqual">
      <formula>-0.03</formula>
    </cfRule>
  </conditionalFormatting>
  <conditionalFormatting sqref="V5:X10">
    <cfRule type="cellIs" dxfId="1855" priority="63" operator="greaterThanOrEqual">
      <formula>0.03</formula>
    </cfRule>
    <cfRule type="cellIs" dxfId="1854" priority="64" operator="lessThanOrEqual">
      <formula>-0.03</formula>
    </cfRule>
  </conditionalFormatting>
  <conditionalFormatting sqref="S41:S46">
    <cfRule type="cellIs" dxfId="1853" priority="59" operator="greaterThanOrEqual">
      <formula>0.03</formula>
    </cfRule>
    <cfRule type="cellIs" dxfId="1852" priority="60" operator="lessThanOrEqual">
      <formula>-0.03</formula>
    </cfRule>
  </conditionalFormatting>
  <conditionalFormatting sqref="Y41:Y46">
    <cfRule type="cellIs" dxfId="1851" priority="57" operator="greaterThanOrEqual">
      <formula>0.03</formula>
    </cfRule>
    <cfRule type="cellIs" dxfId="1850" priority="58" operator="lessThanOrEqual">
      <formula>-0.03</formula>
    </cfRule>
  </conditionalFormatting>
  <conditionalFormatting sqref="S47:S52">
    <cfRule type="cellIs" dxfId="1849" priority="55" operator="greaterThanOrEqual">
      <formula>0.03</formula>
    </cfRule>
    <cfRule type="cellIs" dxfId="1848" priority="56" operator="lessThanOrEqual">
      <formula>-0.03</formula>
    </cfRule>
  </conditionalFormatting>
  <conditionalFormatting sqref="Y47:Y52">
    <cfRule type="cellIs" dxfId="1847" priority="53" operator="greaterThanOrEqual">
      <formula>0.03</formula>
    </cfRule>
    <cfRule type="cellIs" dxfId="1846" priority="54" operator="lessThanOrEqual">
      <formula>-0.03</formula>
    </cfRule>
  </conditionalFormatting>
  <conditionalFormatting sqref="S53:S82">
    <cfRule type="cellIs" dxfId="1845" priority="51" operator="greaterThanOrEqual">
      <formula>0.03</formula>
    </cfRule>
    <cfRule type="cellIs" dxfId="1844" priority="52" operator="lessThanOrEqual">
      <formula>-0.03</formula>
    </cfRule>
  </conditionalFormatting>
  <conditionalFormatting sqref="Y53:Y82">
    <cfRule type="cellIs" dxfId="1843" priority="49" operator="greaterThanOrEqual">
      <formula>0.03</formula>
    </cfRule>
    <cfRule type="cellIs" dxfId="1842" priority="50" operator="lessThanOrEqual">
      <formula>-0.03</formula>
    </cfRule>
  </conditionalFormatting>
  <conditionalFormatting sqref="V28:X28">
    <cfRule type="cellIs" dxfId="1841" priority="47" operator="greaterThanOrEqual">
      <formula>0.03</formula>
    </cfRule>
    <cfRule type="cellIs" dxfId="1840" priority="48" operator="lessThanOrEqual">
      <formula>-0.03</formula>
    </cfRule>
  </conditionalFormatting>
  <conditionalFormatting sqref="AS89:AU100">
    <cfRule type="cellIs" dxfId="1839" priority="45" operator="greaterThanOrEqual">
      <formula>0.03</formula>
    </cfRule>
    <cfRule type="cellIs" dxfId="1838" priority="46" operator="lessThanOrEqual">
      <formula>-0.03</formula>
    </cfRule>
  </conditionalFormatting>
  <conditionalFormatting sqref="AT101:AU106">
    <cfRule type="cellIs" dxfId="1837" priority="43" operator="greaterThanOrEqual">
      <formula>0.03</formula>
    </cfRule>
    <cfRule type="cellIs" dxfId="1836" priority="44" operator="lessThanOrEqual">
      <formula>-0.03</formula>
    </cfRule>
  </conditionalFormatting>
  <conditionalFormatting sqref="AS101:AS106">
    <cfRule type="cellIs" dxfId="1835" priority="41" operator="greaterThanOrEqual">
      <formula>0.03</formula>
    </cfRule>
    <cfRule type="cellIs" dxfId="1834" priority="42" operator="lessThanOrEqual">
      <formula>-0.03</formula>
    </cfRule>
  </conditionalFormatting>
  <conditionalFormatting sqref="AT107:AU112">
    <cfRule type="cellIs" dxfId="1833" priority="39" operator="greaterThanOrEqual">
      <formula>0.03</formula>
    </cfRule>
    <cfRule type="cellIs" dxfId="1832" priority="40" operator="lessThanOrEqual">
      <formula>-0.03</formula>
    </cfRule>
  </conditionalFormatting>
  <conditionalFormatting sqref="AS107:AS112">
    <cfRule type="cellIs" dxfId="1831" priority="37" operator="greaterThanOrEqual">
      <formula>0.03</formula>
    </cfRule>
    <cfRule type="cellIs" dxfId="1830" priority="38" operator="lessThanOrEqual">
      <formula>-0.03</formula>
    </cfRule>
  </conditionalFormatting>
  <conditionalFormatting sqref="AP131:AP136">
    <cfRule type="cellIs" dxfId="1829" priority="31" operator="greaterThanOrEqual">
      <formula>0.03</formula>
    </cfRule>
    <cfRule type="cellIs" dxfId="1828" priority="32" operator="lessThanOrEqual">
      <formula>-0.03</formula>
    </cfRule>
  </conditionalFormatting>
  <conditionalFormatting sqref="AP119:AP130">
    <cfRule type="cellIs" dxfId="1827" priority="35" operator="greaterThanOrEqual">
      <formula>0.03</formula>
    </cfRule>
    <cfRule type="cellIs" dxfId="1826" priority="36" operator="lessThanOrEqual">
      <formula>-0.03</formula>
    </cfRule>
  </conditionalFormatting>
  <conditionalFormatting sqref="AP113:AP118">
    <cfRule type="cellIs" dxfId="1825" priority="33" operator="greaterThanOrEqual">
      <formula>0.03</formula>
    </cfRule>
    <cfRule type="cellIs" dxfId="1824" priority="34" operator="lessThanOrEqual">
      <formula>-0.03</formula>
    </cfRule>
  </conditionalFormatting>
  <conditionalFormatting sqref="AV119:AV130">
    <cfRule type="cellIs" dxfId="1823" priority="29" operator="greaterThanOrEqual">
      <formula>0.03</formula>
    </cfRule>
    <cfRule type="cellIs" dxfId="1822" priority="30" operator="lessThanOrEqual">
      <formula>-0.03</formula>
    </cfRule>
  </conditionalFormatting>
  <conditionalFormatting sqref="AV113:AV118">
    <cfRule type="cellIs" dxfId="1821" priority="27" operator="greaterThanOrEqual">
      <formula>0.03</formula>
    </cfRule>
    <cfRule type="cellIs" dxfId="1820" priority="28" operator="lessThanOrEqual">
      <formula>-0.03</formula>
    </cfRule>
  </conditionalFormatting>
  <conditionalFormatting sqref="AV131:AV136">
    <cfRule type="cellIs" dxfId="1819" priority="25" operator="greaterThanOrEqual">
      <formula>0.03</formula>
    </cfRule>
    <cfRule type="cellIs" dxfId="1818" priority="26" operator="lessThanOrEqual">
      <formula>-0.03</formula>
    </cfRule>
  </conditionalFormatting>
  <conditionalFormatting sqref="AS83:AU88">
    <cfRule type="cellIs" dxfId="1817" priority="23" operator="greaterThanOrEqual">
      <formula>0.03</formula>
    </cfRule>
    <cfRule type="cellIs" dxfId="1816" priority="24" operator="lessThanOrEqual">
      <formula>-0.03</formula>
    </cfRule>
  </conditionalFormatting>
  <conditionalFormatting sqref="AS29:AU40">
    <cfRule type="cellIs" dxfId="1815" priority="21" operator="greaterThanOrEqual">
      <formula>0.03</formula>
    </cfRule>
    <cfRule type="cellIs" dxfId="1814" priority="22" operator="lessThanOrEqual">
      <formula>-0.03</formula>
    </cfRule>
  </conditionalFormatting>
  <conditionalFormatting sqref="AS23:AU27">
    <cfRule type="cellIs" dxfId="1813" priority="15" operator="greaterThanOrEqual">
      <formula>0.03</formula>
    </cfRule>
    <cfRule type="cellIs" dxfId="1812" priority="16" operator="lessThanOrEqual">
      <formula>-0.03</formula>
    </cfRule>
  </conditionalFormatting>
  <conditionalFormatting sqref="AS11:AU22">
    <cfRule type="cellIs" dxfId="1811" priority="19" operator="greaterThanOrEqual">
      <formula>0.03</formula>
    </cfRule>
    <cfRule type="cellIs" dxfId="1810" priority="20" operator="lessThanOrEqual">
      <formula>-0.03</formula>
    </cfRule>
  </conditionalFormatting>
  <conditionalFormatting sqref="AS5:AU10">
    <cfRule type="cellIs" dxfId="1809" priority="17" operator="greaterThanOrEqual">
      <formula>0.03</formula>
    </cfRule>
    <cfRule type="cellIs" dxfId="1808" priority="18" operator="lessThanOrEqual">
      <formula>-0.03</formula>
    </cfRule>
  </conditionalFormatting>
  <conditionalFormatting sqref="AP41:AP46">
    <cfRule type="cellIs" dxfId="1807" priority="13" operator="greaterThanOrEqual">
      <formula>0.03</formula>
    </cfRule>
    <cfRule type="cellIs" dxfId="1806" priority="14" operator="lessThanOrEqual">
      <formula>-0.03</formula>
    </cfRule>
  </conditionalFormatting>
  <conditionalFormatting sqref="AV41:AV46">
    <cfRule type="cellIs" dxfId="1805" priority="11" operator="greaterThanOrEqual">
      <formula>0.03</formula>
    </cfRule>
    <cfRule type="cellIs" dxfId="1804" priority="12" operator="lessThanOrEqual">
      <formula>-0.03</formula>
    </cfRule>
  </conditionalFormatting>
  <conditionalFormatting sqref="AP47:AP52">
    <cfRule type="cellIs" dxfId="1803" priority="9" operator="greaterThanOrEqual">
      <formula>0.03</formula>
    </cfRule>
    <cfRule type="cellIs" dxfId="1802" priority="10" operator="lessThanOrEqual">
      <formula>-0.03</formula>
    </cfRule>
  </conditionalFormatting>
  <conditionalFormatting sqref="AV47:AV52">
    <cfRule type="cellIs" dxfId="1801" priority="7" operator="greaterThanOrEqual">
      <formula>0.03</formula>
    </cfRule>
    <cfRule type="cellIs" dxfId="1800" priority="8" operator="lessThanOrEqual">
      <formula>-0.03</formula>
    </cfRule>
  </conditionalFormatting>
  <conditionalFormatting sqref="AP53:AP82">
    <cfRule type="cellIs" dxfId="1799" priority="5" operator="greaterThanOrEqual">
      <formula>0.03</formula>
    </cfRule>
    <cfRule type="cellIs" dxfId="1798" priority="6" operator="lessThanOrEqual">
      <formula>-0.03</formula>
    </cfRule>
  </conditionalFormatting>
  <conditionalFormatting sqref="AV53:AV82">
    <cfRule type="cellIs" dxfId="1797" priority="3" operator="greaterThanOrEqual">
      <formula>0.03</formula>
    </cfRule>
    <cfRule type="cellIs" dxfId="1796" priority="4" operator="lessThanOrEqual">
      <formula>-0.03</formula>
    </cfRule>
  </conditionalFormatting>
  <conditionalFormatting sqref="AS28:AU28">
    <cfRule type="cellIs" dxfId="1795" priority="1" operator="greaterThanOrEqual">
      <formula>0.03</formula>
    </cfRule>
    <cfRule type="cellIs" dxfId="1794" priority="2" operator="lessThanOrEqual">
      <formula>-0.03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48"/>
  <sheetViews>
    <sheetView workbookViewId="0">
      <selection activeCell="A2" sqref="A2:A3"/>
    </sheetView>
  </sheetViews>
  <sheetFormatPr defaultColWidth="8.625" defaultRowHeight="13.5" outlineLevelRow="2"/>
  <cols>
    <col min="1" max="1" width="8.625" style="1"/>
    <col min="2" max="2" width="24.875" style="1" customWidth="1"/>
    <col min="3" max="3" width="8.625" style="1"/>
    <col min="4" max="5" width="10.875" style="1" customWidth="1"/>
    <col min="6" max="7" width="8.625" style="1"/>
    <col min="8" max="8" width="1.875" style="251" customWidth="1"/>
    <col min="9" max="9" width="8.625" style="1"/>
    <col min="10" max="12" width="10.875" style="1" customWidth="1"/>
    <col min="13" max="13" width="11.875" style="1" customWidth="1"/>
    <col min="14" max="14" width="12.875" style="1" customWidth="1"/>
    <col min="15" max="15" width="10.875" style="1" customWidth="1"/>
    <col min="16" max="19" width="12.875" style="1" customWidth="1"/>
    <col min="20" max="20" width="10.875" style="1" customWidth="1"/>
    <col min="21" max="22" width="11.875" style="1" customWidth="1"/>
    <col min="23" max="23" width="13.125" style="1" customWidth="1"/>
    <col min="24" max="28" width="9.125" style="1" customWidth="1"/>
    <col min="29" max="29" width="1.875" style="1" customWidth="1"/>
    <col min="30" max="30" width="9.125" style="1" customWidth="1"/>
    <col min="31" max="33" width="10.875" style="1" customWidth="1"/>
    <col min="34" max="34" width="11.875" style="1" customWidth="1"/>
    <col min="35" max="35" width="12.875" style="1" customWidth="1"/>
    <col min="36" max="36" width="10.875" style="1" customWidth="1"/>
    <col min="37" max="40" width="12.875" style="1" customWidth="1"/>
    <col min="41" max="44" width="11.875" style="1" customWidth="1"/>
    <col min="45" max="49" width="8.625" style="1"/>
    <col min="50" max="50" width="1.875" style="1" customWidth="1"/>
    <col min="51" max="54" width="8.625" style="1"/>
    <col min="55" max="55" width="1.875" style="1" customWidth="1"/>
    <col min="56" max="59" width="11.875" style="1" customWidth="1"/>
    <col min="60" max="60" width="1.875" style="1" customWidth="1"/>
    <col min="61" max="64" width="11.875" style="1" customWidth="1"/>
    <col min="65" max="65" width="1.875" style="1" customWidth="1"/>
    <col min="66" max="69" width="11.875" style="1" customWidth="1"/>
    <col min="70" max="70" width="1.875" style="1" customWidth="1"/>
    <col min="71" max="74" width="11.875" style="1" customWidth="1"/>
    <col min="75" max="75" width="1.875" style="1" customWidth="1"/>
    <col min="76" max="79" width="11.875" style="1" customWidth="1"/>
    <col min="80" max="80" width="1.875" style="1" customWidth="1"/>
    <col min="81" max="84" width="11.875" style="1" customWidth="1"/>
    <col min="85" max="85" width="1.875" style="1" customWidth="1"/>
    <col min="86" max="16384" width="8.625" style="1"/>
  </cols>
  <sheetData>
    <row r="1" spans="1:84" ht="14.25" thickBot="1">
      <c r="A1" s="734" t="s">
        <v>1380</v>
      </c>
      <c r="B1" s="735"/>
      <c r="C1" s="735"/>
      <c r="D1" s="735"/>
      <c r="E1" s="735"/>
      <c r="F1" s="735"/>
      <c r="G1" s="736"/>
      <c r="I1" s="705" t="str">
        <f>Summary!C1</f>
        <v>pcrm-dev-3.2-attr-ccp</v>
      </c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6"/>
      <c r="U1" s="706"/>
      <c r="V1" s="706"/>
      <c r="W1" s="706"/>
      <c r="X1" s="706"/>
      <c r="Y1" s="706"/>
      <c r="Z1" s="706"/>
      <c r="AA1" s="706"/>
      <c r="AB1" s="707"/>
      <c r="AD1" s="708" t="str">
        <f>Summary!C2</f>
        <v>pcrm-dev-3.3-attr-cache-impr</v>
      </c>
      <c r="AE1" s="623"/>
      <c r="AF1" s="623"/>
      <c r="AG1" s="623"/>
      <c r="AH1" s="623"/>
      <c r="AI1" s="623"/>
      <c r="AJ1" s="623"/>
      <c r="AK1" s="623"/>
      <c r="AL1" s="623"/>
      <c r="AM1" s="623"/>
      <c r="AN1" s="623"/>
      <c r="AO1" s="623"/>
      <c r="AP1" s="623"/>
      <c r="AQ1" s="623"/>
      <c r="AR1" s="623"/>
      <c r="AS1" s="623"/>
      <c r="AT1" s="623"/>
      <c r="AU1" s="623"/>
      <c r="AV1" s="623"/>
      <c r="AW1" s="624"/>
      <c r="BD1" s="755" t="s">
        <v>808</v>
      </c>
      <c r="BE1" s="756"/>
      <c r="BF1" s="756"/>
      <c r="BG1" s="756"/>
      <c r="BI1" s="755" t="s">
        <v>808</v>
      </c>
      <c r="BJ1" s="756"/>
      <c r="BK1" s="756"/>
      <c r="BL1" s="756"/>
      <c r="BN1" s="755" t="s">
        <v>811</v>
      </c>
      <c r="BO1" s="756"/>
      <c r="BP1" s="756"/>
      <c r="BQ1" s="756"/>
      <c r="BS1" s="755" t="s">
        <v>806</v>
      </c>
      <c r="BT1" s="756"/>
      <c r="BU1" s="756"/>
      <c r="BV1" s="756"/>
      <c r="BX1" s="755" t="s">
        <v>807</v>
      </c>
      <c r="BY1" s="756"/>
      <c r="BZ1" s="756"/>
      <c r="CA1" s="756"/>
      <c r="CC1" s="755" t="s">
        <v>807</v>
      </c>
      <c r="CD1" s="756"/>
      <c r="CE1" s="756"/>
      <c r="CF1" s="756"/>
    </row>
    <row r="2" spans="1:84" ht="30" customHeight="1" thickBot="1">
      <c r="A2" s="753" t="s">
        <v>48</v>
      </c>
      <c r="B2" s="749" t="s">
        <v>50</v>
      </c>
      <c r="C2" s="749" t="s">
        <v>52</v>
      </c>
      <c r="D2" s="749" t="s">
        <v>54</v>
      </c>
      <c r="E2" s="749" t="s">
        <v>56</v>
      </c>
      <c r="F2" s="749" t="s">
        <v>58</v>
      </c>
      <c r="G2" s="751" t="s">
        <v>60</v>
      </c>
      <c r="I2" s="725" t="s">
        <v>62</v>
      </c>
      <c r="J2" s="715" t="s">
        <v>64</v>
      </c>
      <c r="K2" s="715"/>
      <c r="L2" s="715"/>
      <c r="M2" s="715"/>
      <c r="N2" s="715" t="s">
        <v>484</v>
      </c>
      <c r="O2" s="715" t="s">
        <v>14</v>
      </c>
      <c r="P2" s="715" t="s">
        <v>75</v>
      </c>
      <c r="Q2" s="715"/>
      <c r="R2" s="715"/>
      <c r="S2" s="715"/>
      <c r="T2" s="715" t="s">
        <v>490</v>
      </c>
      <c r="U2" s="715"/>
      <c r="V2" s="715"/>
      <c r="W2" s="715"/>
      <c r="X2" s="715" t="s">
        <v>88</v>
      </c>
      <c r="Y2" s="715" t="s">
        <v>90</v>
      </c>
      <c r="Z2" s="715" t="s">
        <v>92</v>
      </c>
      <c r="AA2" s="715" t="s">
        <v>94</v>
      </c>
      <c r="AB2" s="717" t="s">
        <v>11</v>
      </c>
      <c r="AD2" s="719" t="s">
        <v>62</v>
      </c>
      <c r="AE2" s="713" t="s">
        <v>64</v>
      </c>
      <c r="AF2" s="713"/>
      <c r="AG2" s="713"/>
      <c r="AH2" s="713"/>
      <c r="AI2" s="713" t="s">
        <v>485</v>
      </c>
      <c r="AJ2" s="713" t="s">
        <v>14</v>
      </c>
      <c r="AK2" s="713" t="s">
        <v>75</v>
      </c>
      <c r="AL2" s="713"/>
      <c r="AM2" s="713"/>
      <c r="AN2" s="713"/>
      <c r="AO2" s="713" t="s">
        <v>503</v>
      </c>
      <c r="AP2" s="713"/>
      <c r="AQ2" s="713"/>
      <c r="AR2" s="713"/>
      <c r="AS2" s="713" t="s">
        <v>486</v>
      </c>
      <c r="AT2" s="713" t="s">
        <v>492</v>
      </c>
      <c r="AU2" s="713" t="s">
        <v>92</v>
      </c>
      <c r="AV2" s="713" t="s">
        <v>94</v>
      </c>
      <c r="AW2" s="709" t="s">
        <v>11</v>
      </c>
      <c r="AY2" s="747" t="s">
        <v>117</v>
      </c>
      <c r="AZ2" s="737" t="s">
        <v>119</v>
      </c>
      <c r="BA2" s="737" t="s">
        <v>493</v>
      </c>
      <c r="BB2" s="739" t="s">
        <v>494</v>
      </c>
      <c r="BD2" s="741" t="s">
        <v>482</v>
      </c>
      <c r="BE2" s="742"/>
      <c r="BF2" s="742"/>
      <c r="BG2" s="743"/>
      <c r="BI2" s="744" t="s">
        <v>126</v>
      </c>
      <c r="BJ2" s="745"/>
      <c r="BK2" s="745"/>
      <c r="BL2" s="746"/>
      <c r="BN2" s="741" t="s">
        <v>482</v>
      </c>
      <c r="BO2" s="742"/>
      <c r="BP2" s="742"/>
      <c r="BQ2" s="743"/>
      <c r="BS2" s="744" t="s">
        <v>126</v>
      </c>
      <c r="BT2" s="745"/>
      <c r="BU2" s="745"/>
      <c r="BV2" s="746"/>
      <c r="BX2" s="741" t="s">
        <v>482</v>
      </c>
      <c r="BY2" s="742"/>
      <c r="BZ2" s="742"/>
      <c r="CA2" s="743"/>
      <c r="CC2" s="744" t="s">
        <v>126</v>
      </c>
      <c r="CD2" s="745"/>
      <c r="CE2" s="745"/>
      <c r="CF2" s="746"/>
    </row>
    <row r="3" spans="1:84" ht="27.75" thickBot="1">
      <c r="A3" s="754"/>
      <c r="B3" s="750"/>
      <c r="C3" s="750"/>
      <c r="D3" s="750"/>
      <c r="E3" s="750"/>
      <c r="F3" s="750"/>
      <c r="G3" s="752"/>
      <c r="I3" s="726"/>
      <c r="J3" s="619" t="s">
        <v>65</v>
      </c>
      <c r="K3" s="619" t="s">
        <v>67</v>
      </c>
      <c r="L3" s="619" t="s">
        <v>69</v>
      </c>
      <c r="M3" s="619" t="s">
        <v>71</v>
      </c>
      <c r="N3" s="716"/>
      <c r="O3" s="716"/>
      <c r="P3" s="619" t="s">
        <v>65</v>
      </c>
      <c r="Q3" s="619" t="s">
        <v>67</v>
      </c>
      <c r="R3" s="619" t="s">
        <v>78</v>
      </c>
      <c r="S3" s="619" t="s">
        <v>71</v>
      </c>
      <c r="T3" s="619" t="s">
        <v>81</v>
      </c>
      <c r="U3" s="619" t="s">
        <v>83</v>
      </c>
      <c r="V3" s="619" t="s">
        <v>85</v>
      </c>
      <c r="W3" s="619" t="s">
        <v>71</v>
      </c>
      <c r="X3" s="716"/>
      <c r="Y3" s="716"/>
      <c r="Z3" s="716"/>
      <c r="AA3" s="716"/>
      <c r="AB3" s="718"/>
      <c r="AD3" s="720"/>
      <c r="AE3" s="618" t="s">
        <v>65</v>
      </c>
      <c r="AF3" s="618" t="s">
        <v>67</v>
      </c>
      <c r="AG3" s="618" t="s">
        <v>69</v>
      </c>
      <c r="AH3" s="618" t="s">
        <v>71</v>
      </c>
      <c r="AI3" s="714"/>
      <c r="AJ3" s="714"/>
      <c r="AK3" s="618" t="s">
        <v>65</v>
      </c>
      <c r="AL3" s="618" t="s">
        <v>67</v>
      </c>
      <c r="AM3" s="618" t="s">
        <v>78</v>
      </c>
      <c r="AN3" s="618" t="s">
        <v>71</v>
      </c>
      <c r="AO3" s="618" t="s">
        <v>81</v>
      </c>
      <c r="AP3" s="618" t="s">
        <v>83</v>
      </c>
      <c r="AQ3" s="618" t="s">
        <v>85</v>
      </c>
      <c r="AR3" s="618" t="s">
        <v>71</v>
      </c>
      <c r="AS3" s="714"/>
      <c r="AT3" s="714"/>
      <c r="AU3" s="714"/>
      <c r="AV3" s="714"/>
      <c r="AW3" s="710"/>
      <c r="AY3" s="748"/>
      <c r="AZ3" s="738"/>
      <c r="BA3" s="738"/>
      <c r="BB3" s="740"/>
      <c r="BD3" s="617" t="s">
        <v>81</v>
      </c>
      <c r="BE3" s="615" t="s">
        <v>83</v>
      </c>
      <c r="BF3" s="615" t="s">
        <v>85</v>
      </c>
      <c r="BG3" s="616" t="s">
        <v>71</v>
      </c>
      <c r="BI3" s="111" t="s">
        <v>81</v>
      </c>
      <c r="BJ3" s="112" t="s">
        <v>83</v>
      </c>
      <c r="BK3" s="112" t="s">
        <v>85</v>
      </c>
      <c r="BL3" s="113" t="s">
        <v>71</v>
      </c>
      <c r="BN3" s="617" t="s">
        <v>81</v>
      </c>
      <c r="BO3" s="615" t="s">
        <v>83</v>
      </c>
      <c r="BP3" s="615" t="s">
        <v>85</v>
      </c>
      <c r="BQ3" s="616" t="s">
        <v>71</v>
      </c>
      <c r="BS3" s="111" t="s">
        <v>81</v>
      </c>
      <c r="BT3" s="112" t="s">
        <v>83</v>
      </c>
      <c r="BU3" s="112" t="s">
        <v>85</v>
      </c>
      <c r="BV3" s="113" t="s">
        <v>71</v>
      </c>
      <c r="BX3" s="617" t="s">
        <v>81</v>
      </c>
      <c r="BY3" s="615" t="s">
        <v>83</v>
      </c>
      <c r="BZ3" s="615" t="s">
        <v>85</v>
      </c>
      <c r="CA3" s="616" t="s">
        <v>71</v>
      </c>
      <c r="CC3" s="111" t="s">
        <v>81</v>
      </c>
      <c r="CD3" s="112" t="s">
        <v>83</v>
      </c>
      <c r="CE3" s="112" t="s">
        <v>85</v>
      </c>
      <c r="CF3" s="113" t="s">
        <v>71</v>
      </c>
    </row>
    <row r="4" spans="1:84" ht="14.45" hidden="1" customHeight="1">
      <c r="A4" s="93" t="s">
        <v>49</v>
      </c>
      <c r="B4" s="94" t="s">
        <v>51</v>
      </c>
      <c r="C4" s="94" t="s">
        <v>53</v>
      </c>
      <c r="D4" s="94" t="s">
        <v>55</v>
      </c>
      <c r="E4" s="94" t="s">
        <v>57</v>
      </c>
      <c r="F4" s="94" t="s">
        <v>59</v>
      </c>
      <c r="G4" s="95" t="s">
        <v>61</v>
      </c>
      <c r="I4" s="93" t="s">
        <v>63</v>
      </c>
      <c r="J4" s="94" t="s">
        <v>66</v>
      </c>
      <c r="K4" s="94" t="s">
        <v>68</v>
      </c>
      <c r="L4" s="94" t="s">
        <v>70</v>
      </c>
      <c r="M4" s="94" t="s">
        <v>72</v>
      </c>
      <c r="N4" s="94" t="s">
        <v>73</v>
      </c>
      <c r="O4" s="94" t="s">
        <v>74</v>
      </c>
      <c r="P4" s="94" t="s">
        <v>76</v>
      </c>
      <c r="Q4" s="94" t="s">
        <v>77</v>
      </c>
      <c r="R4" s="94" t="s">
        <v>79</v>
      </c>
      <c r="S4" s="94" t="s">
        <v>80</v>
      </c>
      <c r="T4" s="94" t="s">
        <v>82</v>
      </c>
      <c r="U4" s="94" t="s">
        <v>84</v>
      </c>
      <c r="V4" s="94" t="s">
        <v>86</v>
      </c>
      <c r="W4" s="94" t="s">
        <v>87</v>
      </c>
      <c r="X4" s="94" t="s">
        <v>89</v>
      </c>
      <c r="Y4" s="94" t="s">
        <v>91</v>
      </c>
      <c r="Z4" s="94" t="s">
        <v>93</v>
      </c>
      <c r="AA4" s="94" t="s">
        <v>95</v>
      </c>
      <c r="AB4" s="95" t="s">
        <v>96</v>
      </c>
      <c r="AD4" s="93" t="s">
        <v>97</v>
      </c>
      <c r="AE4" s="94" t="s">
        <v>98</v>
      </c>
      <c r="AF4" s="94" t="s">
        <v>99</v>
      </c>
      <c r="AG4" s="94" t="s">
        <v>100</v>
      </c>
      <c r="AH4" s="94" t="s">
        <v>101</v>
      </c>
      <c r="AI4" s="94" t="s">
        <v>102</v>
      </c>
      <c r="AJ4" s="94" t="s">
        <v>103</v>
      </c>
      <c r="AK4" s="94" t="s">
        <v>104</v>
      </c>
      <c r="AL4" s="94" t="s">
        <v>105</v>
      </c>
      <c r="AM4" s="94" t="s">
        <v>106</v>
      </c>
      <c r="AN4" s="94" t="s">
        <v>107</v>
      </c>
      <c r="AO4" s="94" t="s">
        <v>108</v>
      </c>
      <c r="AP4" s="94" t="s">
        <v>109</v>
      </c>
      <c r="AQ4" s="94" t="s">
        <v>110</v>
      </c>
      <c r="AR4" s="94" t="s">
        <v>111</v>
      </c>
      <c r="AS4" s="94" t="s">
        <v>112</v>
      </c>
      <c r="AT4" s="94" t="s">
        <v>113</v>
      </c>
      <c r="AU4" s="94" t="s">
        <v>114</v>
      </c>
      <c r="AV4" s="94" t="s">
        <v>115</v>
      </c>
      <c r="AW4" s="95" t="s">
        <v>116</v>
      </c>
      <c r="AY4" s="93" t="s">
        <v>118</v>
      </c>
      <c r="AZ4" s="94" t="s">
        <v>120</v>
      </c>
      <c r="BA4" s="94" t="s">
        <v>507</v>
      </c>
      <c r="BB4" s="95" t="s">
        <v>508</v>
      </c>
      <c r="BD4" s="100" t="s">
        <v>122</v>
      </c>
      <c r="BE4" s="101" t="s">
        <v>123</v>
      </c>
      <c r="BF4" s="101" t="s">
        <v>124</v>
      </c>
      <c r="BG4" s="102" t="s">
        <v>125</v>
      </c>
      <c r="BI4" s="93" t="s">
        <v>127</v>
      </c>
      <c r="BJ4" s="94" t="s">
        <v>128</v>
      </c>
      <c r="BK4" s="94" t="s">
        <v>129</v>
      </c>
      <c r="BL4" s="95" t="s">
        <v>130</v>
      </c>
      <c r="BN4" s="100" t="s">
        <v>122</v>
      </c>
      <c r="BO4" s="101" t="s">
        <v>123</v>
      </c>
      <c r="BP4" s="101" t="s">
        <v>124</v>
      </c>
      <c r="BQ4" s="102" t="s">
        <v>125</v>
      </c>
      <c r="BS4" s="93" t="s">
        <v>127</v>
      </c>
      <c r="BT4" s="94" t="s">
        <v>128</v>
      </c>
      <c r="BU4" s="94" t="s">
        <v>129</v>
      </c>
      <c r="BV4" s="95" t="s">
        <v>130</v>
      </c>
      <c r="BX4" s="100" t="s">
        <v>122</v>
      </c>
      <c r="BY4" s="101" t="s">
        <v>123</v>
      </c>
      <c r="BZ4" s="101" t="s">
        <v>124</v>
      </c>
      <c r="CA4" s="102" t="s">
        <v>125</v>
      </c>
      <c r="CC4" s="93" t="s">
        <v>127</v>
      </c>
      <c r="CD4" s="94" t="s">
        <v>128</v>
      </c>
      <c r="CE4" s="94" t="s">
        <v>129</v>
      </c>
      <c r="CF4" s="95" t="s">
        <v>130</v>
      </c>
    </row>
    <row r="5" spans="1:84">
      <c r="A5" s="96" t="s">
        <v>1140</v>
      </c>
      <c r="B5" s="290" t="s">
        <v>983</v>
      </c>
      <c r="C5" s="28" t="s">
        <v>131</v>
      </c>
      <c r="D5" s="300">
        <v>9378695</v>
      </c>
      <c r="E5" s="299">
        <v>17</v>
      </c>
      <c r="F5" s="299">
        <v>1</v>
      </c>
      <c r="G5" s="29"/>
      <c r="I5" s="46" t="str">
        <f t="shared" ref="I5:I68" si="0">IF(OR(ISBLANK(P5),ISBLANK(G5)),"·",P5*G5/F5/1000000)</f>
        <v>·</v>
      </c>
      <c r="J5" s="47">
        <f t="shared" ref="J5:J68" si="1">IF(ISBLANK(P5),"·",P5/D5)</f>
        <v>18.395946131098196</v>
      </c>
      <c r="K5" s="47">
        <f t="shared" ref="K5:K68" si="2">IF(Q5="","·",Q5/D5)</f>
        <v>15.231585204551379</v>
      </c>
      <c r="L5" s="92"/>
      <c r="M5" s="47">
        <f t="shared" ref="M5:M40" si="3">IF(ISBLANK(Q5),"·",S5/D5)</f>
        <v>3.1642867157957477</v>
      </c>
      <c r="N5" s="47">
        <f t="shared" ref="N5:N67" si="4">IF(ISBLANK(P5),"·",P5/O5)</f>
        <v>18.395946131098196</v>
      </c>
      <c r="O5" s="520">
        <v>9378695</v>
      </c>
      <c r="P5" s="502">
        <v>172529968</v>
      </c>
      <c r="Q5" s="353">
        <v>142852392</v>
      </c>
      <c r="R5" s="92"/>
      <c r="S5" s="546">
        <v>29676880</v>
      </c>
      <c r="T5" s="266"/>
      <c r="U5" s="104"/>
      <c r="V5" s="104"/>
      <c r="W5" s="514">
        <v>70.997748999999999</v>
      </c>
      <c r="X5" s="506"/>
      <c r="Y5" s="355"/>
      <c r="Z5" s="572">
        <v>0</v>
      </c>
      <c r="AA5" s="572">
        <v>0</v>
      </c>
      <c r="AB5" s="49"/>
      <c r="AD5" s="46">
        <v>0</v>
      </c>
      <c r="AE5" s="47" t="str">
        <f>IF(ISBLANK(AK5),"·",AK5/D5)</f>
        <v>·</v>
      </c>
      <c r="AF5" s="47" t="str">
        <f t="shared" ref="AF5:AF68" si="5">IF(AL5="","·",AL5/D5)</f>
        <v>·</v>
      </c>
      <c r="AG5" s="92" t="str">
        <f>IF(ISBLANK(AM5),"·",AM5/D5)</f>
        <v>·</v>
      </c>
      <c r="AH5" s="47" t="str">
        <f>IF(ISBLANK(AN5),"·",AN5/D5)</f>
        <v>·</v>
      </c>
      <c r="AI5" s="47" t="str">
        <f>IF(ISBLANK(AK5),"·",AK5/AJ5)</f>
        <v>·</v>
      </c>
      <c r="AJ5" s="520"/>
      <c r="AK5" s="502"/>
      <c r="AL5" s="353"/>
      <c r="AM5" s="92"/>
      <c r="AN5" s="546"/>
      <c r="AO5" s="266"/>
      <c r="AP5" s="104"/>
      <c r="AQ5" s="104"/>
      <c r="AR5" s="514"/>
      <c r="AS5" s="506"/>
      <c r="AT5" s="355"/>
      <c r="AU5" s="572">
        <v>0</v>
      </c>
      <c r="AV5" s="572">
        <v>0</v>
      </c>
      <c r="AW5" s="49"/>
      <c r="AY5" s="68" t="e">
        <f t="shared" ref="AY5:AZ22" si="6">AU5/Z5</f>
        <v>#DIV/0!</v>
      </c>
      <c r="AZ5" s="69" t="e">
        <f t="shared" si="6"/>
        <v>#DIV/0!</v>
      </c>
      <c r="BA5" s="69" t="e">
        <f t="shared" ref="BA5:BA68" si="7">(AL5/AK5) - (Q5/P5)</f>
        <v>#DIV/0!</v>
      </c>
      <c r="BB5" s="70" t="e">
        <f t="array" ref="BB5">AVERAGE(AL5:AL10/AK5:AK10) - AVERAGE(Q5:Q10/P5:P10)</f>
        <v>#DIV/0!</v>
      </c>
      <c r="BD5" s="103"/>
      <c r="BE5" s="104"/>
      <c r="BF5" s="104"/>
      <c r="BG5" s="86" t="str">
        <f>IF( OR(ISBLANK($S5:$S10),ISBLANK($AN5:$AN10), ISBLANK($W5:$W10),ISBLANK($AR5:$AR10)), "·", bdRateHermite( $S5:$S10,$W5:$W10, $AN5:$AN10,$AR5:$AR10))</f>
        <v>·</v>
      </c>
      <c r="BI5" s="103"/>
      <c r="BJ5" s="104"/>
      <c r="BK5" s="104"/>
      <c r="BL5" s="85" t="str">
        <f>IF(OR(ISBLANK($P5:$P10),ISBLANK($AK5:$AK10),ISBLANK($W5:$W10),ISBLANK($AR5:$AR10)),"·",bdRateHermite($P5:$P10,$W5:$W10,$AK5:$AK10,$AR5:$AR10))</f>
        <v>·</v>
      </c>
      <c r="BN5" s="103"/>
      <c r="BO5" s="104"/>
      <c r="BP5" s="104"/>
      <c r="BQ5" s="86" t="str">
        <f>IF( OR(ISBLANK($S5:$S10),ISBLANK($AN5:$AN10), ISBLANK($W5:$W10),ISBLANK($AR5:$AR10)), "·", bdRateHermite( $S6:$S10,$W6:$W10, $AN6:$AN10,$AR6:$AR10))</f>
        <v>·</v>
      </c>
      <c r="BS5" s="103"/>
      <c r="BT5" s="104"/>
      <c r="BU5" s="104"/>
      <c r="BV5" s="85" t="str">
        <f>IF(OR(ISBLANK($P5:$P10),ISBLANK($AK5:$AK10),ISBLANK($W5:$W10),ISBLANK($AR5:$AR10)),"·",bdRateHermite($P6:$P10,$W6:$W10,$AK6:$AK10,$AR6:$AR10))</f>
        <v>·</v>
      </c>
      <c r="BX5" s="103"/>
      <c r="BY5" s="104"/>
      <c r="BZ5" s="104"/>
      <c r="CA5" s="86" t="str">
        <f>IF( OR(ISBLANK($S5:$S9),ISBLANK($AN5:$AN9), ISBLANK($W5:$W9),ISBLANK($AR5:$AR9)), "·", bdRateHermite( $S5:$S9,$W5:$W9, $AN5:$AN9,$AR5:$AR9))</f>
        <v>·</v>
      </c>
      <c r="CC5" s="103"/>
      <c r="CD5" s="104"/>
      <c r="CE5" s="104"/>
      <c r="CF5" s="85" t="str">
        <f>IF(OR(ISBLANK($P5:$P9),ISBLANK($AK5:$AK9),ISBLANK($W5:$W9),ISBLANK($AR5:$AR9)),"·",bdRateHermite($P5:$P9,$W5:$W9,$AK5:$AK9,$AR5:$AR9))</f>
        <v>·</v>
      </c>
    </row>
    <row r="6" spans="1:84" outlineLevel="1">
      <c r="A6" s="13"/>
      <c r="B6" s="291" t="s">
        <v>983</v>
      </c>
      <c r="C6" s="15" t="s">
        <v>132</v>
      </c>
      <c r="D6" s="300">
        <v>9378695</v>
      </c>
      <c r="E6" s="299">
        <v>17</v>
      </c>
      <c r="F6" s="299">
        <v>1</v>
      </c>
      <c r="G6" s="16"/>
      <c r="I6" s="30" t="str">
        <f t="shared" si="0"/>
        <v>·</v>
      </c>
      <c r="J6" s="31">
        <f t="shared" si="1"/>
        <v>19.557640375340068</v>
      </c>
      <c r="K6" s="31">
        <f t="shared" si="2"/>
        <v>15.231585204551379</v>
      </c>
      <c r="L6" s="87"/>
      <c r="M6" s="31">
        <f t="shared" si="3"/>
        <v>4.3259809600376169</v>
      </c>
      <c r="N6" s="31">
        <f t="shared" si="4"/>
        <v>19.557640375340068</v>
      </c>
      <c r="O6" s="521">
        <v>9378695</v>
      </c>
      <c r="P6" s="503">
        <v>183425144</v>
      </c>
      <c r="Q6" s="357">
        <v>142852392</v>
      </c>
      <c r="R6" s="87"/>
      <c r="S6" s="547">
        <v>40572056</v>
      </c>
      <c r="T6" s="267"/>
      <c r="U6" s="106"/>
      <c r="V6" s="106"/>
      <c r="W6" s="515">
        <v>77.007507000000004</v>
      </c>
      <c r="X6" s="507"/>
      <c r="Y6" s="359"/>
      <c r="Z6" s="573">
        <v>0</v>
      </c>
      <c r="AA6" s="573">
        <v>0</v>
      </c>
      <c r="AB6" s="33"/>
      <c r="AD6" s="30">
        <v>0</v>
      </c>
      <c r="AE6" s="31" t="str">
        <f t="shared" ref="AE6:AE69" si="8">IF(ISBLANK(AK6),"·",AK6/D6)</f>
        <v>·</v>
      </c>
      <c r="AF6" s="31" t="str">
        <f t="shared" si="5"/>
        <v>·</v>
      </c>
      <c r="AG6" s="87" t="str">
        <f t="shared" ref="AG6:AG69" si="9">IF(ISBLANK(AM6),"·",AM6/D6)</f>
        <v>·</v>
      </c>
      <c r="AH6" s="31" t="str">
        <f t="shared" ref="AH6:AH69" si="10">IF(ISBLANK(AN6),"·",AN6/D6)</f>
        <v>·</v>
      </c>
      <c r="AI6" s="31" t="str">
        <f t="shared" ref="AI6:AI69" si="11">IF(ISBLANK(AK6),"·",AK6/AJ6)</f>
        <v>·</v>
      </c>
      <c r="AJ6" s="521"/>
      <c r="AK6" s="503"/>
      <c r="AL6" s="357"/>
      <c r="AM6" s="87"/>
      <c r="AN6" s="547"/>
      <c r="AO6" s="267"/>
      <c r="AP6" s="106"/>
      <c r="AQ6" s="106"/>
      <c r="AR6" s="515"/>
      <c r="AS6" s="507"/>
      <c r="AT6" s="359"/>
      <c r="AU6" s="573">
        <v>0</v>
      </c>
      <c r="AV6" s="573">
        <v>0</v>
      </c>
      <c r="AW6" s="33"/>
      <c r="AY6" s="56" t="e">
        <f t="shared" si="6"/>
        <v>#DIV/0!</v>
      </c>
      <c r="AZ6" s="57" t="e">
        <f t="shared" si="6"/>
        <v>#DIV/0!</v>
      </c>
      <c r="BA6" s="57" t="e">
        <f t="shared" si="7"/>
        <v>#DIV/0!</v>
      </c>
      <c r="BB6" s="58"/>
      <c r="BD6" s="105"/>
      <c r="BE6" s="106"/>
      <c r="BF6" s="106"/>
      <c r="BG6" s="76"/>
      <c r="BI6" s="105"/>
      <c r="BJ6" s="106"/>
      <c r="BK6" s="106"/>
      <c r="BL6" s="76"/>
      <c r="BN6" s="105"/>
      <c r="BO6" s="106"/>
      <c r="BP6" s="106"/>
      <c r="BQ6" s="76"/>
      <c r="BS6" s="105"/>
      <c r="BT6" s="106"/>
      <c r="BU6" s="106"/>
      <c r="BV6" s="76"/>
      <c r="BX6" s="105"/>
      <c r="BY6" s="106"/>
      <c r="BZ6" s="106"/>
      <c r="CA6" s="76"/>
      <c r="CC6" s="105"/>
      <c r="CD6" s="106"/>
      <c r="CE6" s="106"/>
      <c r="CF6" s="76"/>
    </row>
    <row r="7" spans="1:84" outlineLevel="1">
      <c r="A7" s="13"/>
      <c r="B7" s="291" t="s">
        <v>983</v>
      </c>
      <c r="C7" s="15" t="s">
        <v>133</v>
      </c>
      <c r="D7" s="300">
        <v>9378695</v>
      </c>
      <c r="E7" s="299">
        <v>17</v>
      </c>
      <c r="F7" s="299">
        <v>1</v>
      </c>
      <c r="G7" s="16"/>
      <c r="I7" s="30" t="str">
        <f t="shared" si="0"/>
        <v>·</v>
      </c>
      <c r="J7" s="31">
        <f t="shared" si="1"/>
        <v>20.950519875099893</v>
      </c>
      <c r="K7" s="31">
        <f t="shared" si="2"/>
        <v>15.231585204551379</v>
      </c>
      <c r="L7" s="87"/>
      <c r="M7" s="31">
        <f t="shared" si="3"/>
        <v>5.7188604597974448</v>
      </c>
      <c r="N7" s="31">
        <f t="shared" si="4"/>
        <v>20.950519875099893</v>
      </c>
      <c r="O7" s="521">
        <v>9378695</v>
      </c>
      <c r="P7" s="503">
        <v>196488536</v>
      </c>
      <c r="Q7" s="357">
        <v>142852392</v>
      </c>
      <c r="R7" s="87"/>
      <c r="S7" s="547">
        <v>53635448</v>
      </c>
      <c r="T7" s="267"/>
      <c r="U7" s="106"/>
      <c r="V7" s="106"/>
      <c r="W7" s="515">
        <v>83.005607999999995</v>
      </c>
      <c r="X7" s="507"/>
      <c r="Y7" s="359"/>
      <c r="Z7" s="573">
        <v>0</v>
      </c>
      <c r="AA7" s="573">
        <v>0</v>
      </c>
      <c r="AB7" s="33"/>
      <c r="AD7" s="30">
        <v>0</v>
      </c>
      <c r="AE7" s="31" t="str">
        <f t="shared" si="8"/>
        <v>·</v>
      </c>
      <c r="AF7" s="31" t="str">
        <f t="shared" si="5"/>
        <v>·</v>
      </c>
      <c r="AG7" s="87" t="str">
        <f t="shared" si="9"/>
        <v>·</v>
      </c>
      <c r="AH7" s="31" t="str">
        <f t="shared" si="10"/>
        <v>·</v>
      </c>
      <c r="AI7" s="31" t="str">
        <f t="shared" si="11"/>
        <v>·</v>
      </c>
      <c r="AJ7" s="521"/>
      <c r="AK7" s="503"/>
      <c r="AL7" s="357"/>
      <c r="AM7" s="87"/>
      <c r="AN7" s="547"/>
      <c r="AO7" s="267"/>
      <c r="AP7" s="106"/>
      <c r="AQ7" s="106"/>
      <c r="AR7" s="515"/>
      <c r="AS7" s="507"/>
      <c r="AT7" s="359"/>
      <c r="AU7" s="573">
        <v>0</v>
      </c>
      <c r="AV7" s="573">
        <v>0</v>
      </c>
      <c r="AW7" s="33"/>
      <c r="AY7" s="56" t="e">
        <f t="shared" si="6"/>
        <v>#DIV/0!</v>
      </c>
      <c r="AZ7" s="57" t="e">
        <f t="shared" si="6"/>
        <v>#DIV/0!</v>
      </c>
      <c r="BA7" s="57" t="e">
        <f t="shared" si="7"/>
        <v>#DIV/0!</v>
      </c>
      <c r="BB7" s="58"/>
      <c r="BD7" s="105"/>
      <c r="BE7" s="106"/>
      <c r="BF7" s="106"/>
      <c r="BG7" s="76"/>
      <c r="BI7" s="105"/>
      <c r="BJ7" s="106"/>
      <c r="BK7" s="106"/>
      <c r="BL7" s="76"/>
      <c r="BN7" s="105"/>
      <c r="BO7" s="106"/>
      <c r="BP7" s="106"/>
      <c r="BQ7" s="76"/>
      <c r="BS7" s="105"/>
      <c r="BT7" s="106"/>
      <c r="BU7" s="106"/>
      <c r="BV7" s="76"/>
      <c r="BX7" s="105"/>
      <c r="BY7" s="106"/>
      <c r="BZ7" s="106"/>
      <c r="CA7" s="76"/>
      <c r="CC7" s="105"/>
      <c r="CD7" s="106"/>
      <c r="CE7" s="106"/>
      <c r="CF7" s="76"/>
    </row>
    <row r="8" spans="1:84" outlineLevel="1">
      <c r="A8" s="13"/>
      <c r="B8" s="291" t="s">
        <v>983</v>
      </c>
      <c r="C8" s="15" t="s">
        <v>134</v>
      </c>
      <c r="D8" s="300">
        <v>9378695</v>
      </c>
      <c r="E8" s="299">
        <v>17</v>
      </c>
      <c r="F8" s="299">
        <v>1</v>
      </c>
      <c r="G8" s="16"/>
      <c r="I8" s="30" t="str">
        <f t="shared" si="0"/>
        <v>·</v>
      </c>
      <c r="J8" s="31">
        <f t="shared" si="1"/>
        <v>22.585188237809206</v>
      </c>
      <c r="K8" s="31">
        <f t="shared" si="2"/>
        <v>15.231585204551379</v>
      </c>
      <c r="L8" s="87"/>
      <c r="M8" s="31">
        <f t="shared" si="3"/>
        <v>7.3535296755038946</v>
      </c>
      <c r="N8" s="31">
        <f t="shared" si="4"/>
        <v>22.585188237809206</v>
      </c>
      <c r="O8" s="521">
        <v>9378695</v>
      </c>
      <c r="P8" s="503">
        <v>211819592</v>
      </c>
      <c r="Q8" s="357">
        <v>142852392</v>
      </c>
      <c r="R8" s="87"/>
      <c r="S8" s="547">
        <v>68966512</v>
      </c>
      <c r="T8" s="267"/>
      <c r="U8" s="106"/>
      <c r="V8" s="106"/>
      <c r="W8" s="515">
        <v>88.925278000000006</v>
      </c>
      <c r="X8" s="507"/>
      <c r="Y8" s="359"/>
      <c r="Z8" s="573">
        <v>0</v>
      </c>
      <c r="AA8" s="573">
        <v>0</v>
      </c>
      <c r="AB8" s="33"/>
      <c r="AD8" s="30">
        <v>0</v>
      </c>
      <c r="AE8" s="31" t="str">
        <f t="shared" si="8"/>
        <v>·</v>
      </c>
      <c r="AF8" s="31" t="str">
        <f t="shared" si="5"/>
        <v>·</v>
      </c>
      <c r="AG8" s="87" t="str">
        <f t="shared" si="9"/>
        <v>·</v>
      </c>
      <c r="AH8" s="31" t="str">
        <f t="shared" si="10"/>
        <v>·</v>
      </c>
      <c r="AI8" s="31" t="str">
        <f t="shared" si="11"/>
        <v>·</v>
      </c>
      <c r="AJ8" s="521"/>
      <c r="AK8" s="503"/>
      <c r="AL8" s="357"/>
      <c r="AM8" s="87"/>
      <c r="AN8" s="547"/>
      <c r="AO8" s="267"/>
      <c r="AP8" s="106"/>
      <c r="AQ8" s="106"/>
      <c r="AR8" s="515"/>
      <c r="AS8" s="507"/>
      <c r="AT8" s="359"/>
      <c r="AU8" s="573">
        <v>0</v>
      </c>
      <c r="AV8" s="573">
        <v>0</v>
      </c>
      <c r="AW8" s="33"/>
      <c r="AY8" s="56" t="e">
        <f t="shared" si="6"/>
        <v>#DIV/0!</v>
      </c>
      <c r="AZ8" s="57" t="e">
        <f t="shared" si="6"/>
        <v>#DIV/0!</v>
      </c>
      <c r="BA8" s="57" t="e">
        <f t="shared" si="7"/>
        <v>#DIV/0!</v>
      </c>
      <c r="BB8" s="58"/>
      <c r="BD8" s="105"/>
      <c r="BE8" s="106"/>
      <c r="BF8" s="106"/>
      <c r="BG8" s="76"/>
      <c r="BI8" s="105"/>
      <c r="BJ8" s="106"/>
      <c r="BK8" s="106"/>
      <c r="BL8" s="76"/>
      <c r="BN8" s="105"/>
      <c r="BO8" s="106"/>
      <c r="BP8" s="106"/>
      <c r="BQ8" s="76"/>
      <c r="BS8" s="105"/>
      <c r="BT8" s="106"/>
      <c r="BU8" s="106"/>
      <c r="BV8" s="76"/>
      <c r="BX8" s="105"/>
      <c r="BY8" s="106"/>
      <c r="BZ8" s="106"/>
      <c r="CA8" s="76"/>
      <c r="CC8" s="105"/>
      <c r="CD8" s="106"/>
      <c r="CE8" s="106"/>
      <c r="CF8" s="76"/>
    </row>
    <row r="9" spans="1:84" outlineLevel="1">
      <c r="A9" s="13"/>
      <c r="B9" s="291" t="s">
        <v>983</v>
      </c>
      <c r="C9" s="15" t="s">
        <v>135</v>
      </c>
      <c r="D9" s="300">
        <v>9378695</v>
      </c>
      <c r="E9" s="299">
        <v>17</v>
      </c>
      <c r="F9" s="299">
        <v>1</v>
      </c>
      <c r="G9" s="16"/>
      <c r="I9" s="30" t="str">
        <f t="shared" si="0"/>
        <v>·</v>
      </c>
      <c r="J9" s="31">
        <f t="shared" si="1"/>
        <v>23.706683285894254</v>
      </c>
      <c r="K9" s="31">
        <f t="shared" si="2"/>
        <v>15.231585204551379</v>
      </c>
      <c r="L9" s="87"/>
      <c r="M9" s="31">
        <f t="shared" si="3"/>
        <v>8.4750247235889429</v>
      </c>
      <c r="N9" s="31">
        <f t="shared" si="4"/>
        <v>23.706683285894254</v>
      </c>
      <c r="O9" s="521">
        <v>9378695</v>
      </c>
      <c r="P9" s="503">
        <v>222337752</v>
      </c>
      <c r="Q9" s="357">
        <v>142852392</v>
      </c>
      <c r="R9" s="87"/>
      <c r="S9" s="547">
        <v>79484672</v>
      </c>
      <c r="T9" s="267"/>
      <c r="U9" s="106"/>
      <c r="V9" s="106"/>
      <c r="W9" s="515">
        <v>94.569305</v>
      </c>
      <c r="X9" s="507"/>
      <c r="Y9" s="359"/>
      <c r="Z9" s="573">
        <v>0</v>
      </c>
      <c r="AA9" s="573">
        <v>0</v>
      </c>
      <c r="AB9" s="33"/>
      <c r="AD9" s="30">
        <v>0</v>
      </c>
      <c r="AE9" s="31" t="str">
        <f t="shared" si="8"/>
        <v>·</v>
      </c>
      <c r="AF9" s="31" t="str">
        <f t="shared" si="5"/>
        <v>·</v>
      </c>
      <c r="AG9" s="87" t="str">
        <f t="shared" si="9"/>
        <v>·</v>
      </c>
      <c r="AH9" s="31" t="str">
        <f t="shared" si="10"/>
        <v>·</v>
      </c>
      <c r="AI9" s="31" t="str">
        <f t="shared" si="11"/>
        <v>·</v>
      </c>
      <c r="AJ9" s="521"/>
      <c r="AK9" s="503"/>
      <c r="AL9" s="357"/>
      <c r="AM9" s="87"/>
      <c r="AN9" s="547"/>
      <c r="AO9" s="267"/>
      <c r="AP9" s="106"/>
      <c r="AQ9" s="106"/>
      <c r="AR9" s="515"/>
      <c r="AS9" s="507"/>
      <c r="AT9" s="359"/>
      <c r="AU9" s="573">
        <v>0</v>
      </c>
      <c r="AV9" s="573">
        <v>0</v>
      </c>
      <c r="AW9" s="33"/>
      <c r="AY9" s="56" t="e">
        <f t="shared" si="6"/>
        <v>#DIV/0!</v>
      </c>
      <c r="AZ9" s="57" t="e">
        <f t="shared" si="6"/>
        <v>#DIV/0!</v>
      </c>
      <c r="BA9" s="57" t="e">
        <f t="shared" si="7"/>
        <v>#DIV/0!</v>
      </c>
      <c r="BB9" s="58"/>
      <c r="BD9" s="105"/>
      <c r="BE9" s="106"/>
      <c r="BF9" s="106"/>
      <c r="BG9" s="76"/>
      <c r="BI9" s="105"/>
      <c r="BJ9" s="106"/>
      <c r="BK9" s="106"/>
      <c r="BL9" s="76"/>
      <c r="BN9" s="105"/>
      <c r="BO9" s="106"/>
      <c r="BP9" s="106"/>
      <c r="BQ9" s="76"/>
      <c r="BS9" s="105"/>
      <c r="BT9" s="106"/>
      <c r="BU9" s="106"/>
      <c r="BV9" s="76"/>
      <c r="BX9" s="105"/>
      <c r="BY9" s="106"/>
      <c r="BZ9" s="106"/>
      <c r="CA9" s="76"/>
      <c r="CC9" s="105"/>
      <c r="CD9" s="106"/>
      <c r="CE9" s="106"/>
      <c r="CF9" s="76"/>
    </row>
    <row r="10" spans="1:84" ht="14.25" outlineLevel="1" thickBot="1">
      <c r="A10" s="13"/>
      <c r="B10" s="292" t="s">
        <v>983</v>
      </c>
      <c r="C10" s="22" t="s">
        <v>136</v>
      </c>
      <c r="D10" s="301">
        <v>9378695</v>
      </c>
      <c r="E10" s="302">
        <v>17</v>
      </c>
      <c r="F10" s="302">
        <v>1</v>
      </c>
      <c r="G10" s="23"/>
      <c r="I10" s="34" t="str">
        <f t="shared" si="0"/>
        <v>·</v>
      </c>
      <c r="J10" s="35">
        <f t="shared" si="1"/>
        <v>24.92800117713605</v>
      </c>
      <c r="K10" s="35">
        <f t="shared" si="2"/>
        <v>15.231585204551379</v>
      </c>
      <c r="L10" s="88"/>
      <c r="M10" s="35">
        <f t="shared" si="3"/>
        <v>9.6963426148307406</v>
      </c>
      <c r="N10" s="35">
        <f t="shared" si="4"/>
        <v>24.92800117713605</v>
      </c>
      <c r="O10" s="522">
        <v>9378695</v>
      </c>
      <c r="P10" s="505">
        <v>233792120</v>
      </c>
      <c r="Q10" s="361">
        <v>142852392</v>
      </c>
      <c r="R10" s="88"/>
      <c r="S10" s="548">
        <v>90939040</v>
      </c>
      <c r="T10" s="545"/>
      <c r="U10" s="109"/>
      <c r="V10" s="109"/>
      <c r="W10" s="517">
        <v>99.340401</v>
      </c>
      <c r="X10" s="509"/>
      <c r="Y10" s="363"/>
      <c r="Z10" s="575">
        <v>0</v>
      </c>
      <c r="AA10" s="575">
        <v>0</v>
      </c>
      <c r="AB10" s="37"/>
      <c r="AD10" s="34">
        <v>0</v>
      </c>
      <c r="AE10" s="35" t="str">
        <f t="shared" si="8"/>
        <v>·</v>
      </c>
      <c r="AF10" s="35" t="str">
        <f t="shared" si="5"/>
        <v>·</v>
      </c>
      <c r="AG10" s="88" t="str">
        <f t="shared" si="9"/>
        <v>·</v>
      </c>
      <c r="AH10" s="35" t="str">
        <f t="shared" si="10"/>
        <v>·</v>
      </c>
      <c r="AI10" s="35" t="str">
        <f t="shared" si="11"/>
        <v>·</v>
      </c>
      <c r="AJ10" s="522"/>
      <c r="AK10" s="505"/>
      <c r="AL10" s="361"/>
      <c r="AM10" s="88"/>
      <c r="AN10" s="548"/>
      <c r="AO10" s="545"/>
      <c r="AP10" s="109"/>
      <c r="AQ10" s="109"/>
      <c r="AR10" s="517"/>
      <c r="AS10" s="509"/>
      <c r="AT10" s="363"/>
      <c r="AU10" s="575">
        <v>0</v>
      </c>
      <c r="AV10" s="575">
        <v>0</v>
      </c>
      <c r="AW10" s="37"/>
      <c r="AY10" s="59" t="e">
        <f t="shared" si="6"/>
        <v>#DIV/0!</v>
      </c>
      <c r="AZ10" s="60" t="e">
        <f t="shared" si="6"/>
        <v>#DIV/0!</v>
      </c>
      <c r="BA10" s="60" t="e">
        <f t="shared" si="7"/>
        <v>#DIV/0!</v>
      </c>
      <c r="BB10" s="61"/>
      <c r="BD10" s="108"/>
      <c r="BE10" s="109"/>
      <c r="BF10" s="109"/>
      <c r="BG10" s="79"/>
      <c r="BI10" s="108"/>
      <c r="BJ10" s="109"/>
      <c r="BK10" s="109"/>
      <c r="BL10" s="82"/>
      <c r="BN10" s="134"/>
      <c r="BO10" s="135"/>
      <c r="BP10" s="135"/>
      <c r="BQ10" s="82"/>
      <c r="BS10" s="134"/>
      <c r="BT10" s="135"/>
      <c r="BU10" s="135"/>
      <c r="BV10" s="82"/>
      <c r="BX10" s="134"/>
      <c r="BY10" s="135"/>
      <c r="BZ10" s="135"/>
      <c r="CA10" s="82"/>
      <c r="CC10" s="134"/>
      <c r="CD10" s="135"/>
      <c r="CE10" s="135"/>
      <c r="CF10" s="82"/>
    </row>
    <row r="11" spans="1:84">
      <c r="A11" s="13"/>
      <c r="B11" s="294" t="s">
        <v>984</v>
      </c>
      <c r="C11" s="28" t="s">
        <v>131</v>
      </c>
      <c r="D11" s="303">
        <v>9477876</v>
      </c>
      <c r="E11" s="304">
        <v>19</v>
      </c>
      <c r="F11" s="304">
        <v>1</v>
      </c>
      <c r="G11" s="29"/>
      <c r="I11" s="46" t="str">
        <f t="shared" si="0"/>
        <v>·</v>
      </c>
      <c r="J11" s="47">
        <f t="shared" si="1"/>
        <v>20.03955991827705</v>
      </c>
      <c r="K11" s="47">
        <f t="shared" si="2"/>
        <v>16.495123590981777</v>
      </c>
      <c r="L11" s="87"/>
      <c r="M11" s="47">
        <f t="shared" si="3"/>
        <v>3.5443578286949524</v>
      </c>
      <c r="N11" s="47">
        <f t="shared" si="4"/>
        <v>20.03955991827705</v>
      </c>
      <c r="O11" s="520">
        <v>9477876</v>
      </c>
      <c r="P11" s="502">
        <v>189932464</v>
      </c>
      <c r="Q11" s="353">
        <v>156338736</v>
      </c>
      <c r="R11" s="87"/>
      <c r="S11" s="546">
        <v>33592984</v>
      </c>
      <c r="T11" s="266"/>
      <c r="U11" s="104"/>
      <c r="V11" s="104"/>
      <c r="W11" s="514">
        <v>70.996391000000003</v>
      </c>
      <c r="X11" s="506"/>
      <c r="Y11" s="355"/>
      <c r="Z11" s="572">
        <v>0</v>
      </c>
      <c r="AA11" s="572">
        <v>0</v>
      </c>
      <c r="AB11" s="49"/>
      <c r="AD11" s="46">
        <v>0</v>
      </c>
      <c r="AE11" s="47" t="str">
        <f t="shared" si="8"/>
        <v>·</v>
      </c>
      <c r="AF11" s="47" t="str">
        <f t="shared" si="5"/>
        <v>·</v>
      </c>
      <c r="AG11" s="87" t="str">
        <f t="shared" si="9"/>
        <v>·</v>
      </c>
      <c r="AH11" s="47" t="str">
        <f t="shared" si="10"/>
        <v>·</v>
      </c>
      <c r="AI11" s="47" t="str">
        <f t="shared" si="11"/>
        <v>·</v>
      </c>
      <c r="AJ11" s="520"/>
      <c r="AK11" s="502"/>
      <c r="AL11" s="353"/>
      <c r="AM11" s="87"/>
      <c r="AN11" s="546"/>
      <c r="AO11" s="266"/>
      <c r="AP11" s="104"/>
      <c r="AQ11" s="104"/>
      <c r="AR11" s="514"/>
      <c r="AS11" s="506"/>
      <c r="AT11" s="355"/>
      <c r="AU11" s="572">
        <v>0</v>
      </c>
      <c r="AV11" s="572">
        <v>0</v>
      </c>
      <c r="AW11" s="49"/>
      <c r="AY11" s="68" t="e">
        <f t="shared" si="6"/>
        <v>#DIV/0!</v>
      </c>
      <c r="AZ11" s="69" t="e">
        <f t="shared" si="6"/>
        <v>#DIV/0!</v>
      </c>
      <c r="BA11" s="69" t="e">
        <f t="shared" si="7"/>
        <v>#DIV/0!</v>
      </c>
      <c r="BB11" s="70" t="e">
        <f t="array" ref="BB11">AVERAGE(AL11:AL16/AK11:AK16) - AVERAGE(Q11:Q16/P11:P16)</f>
        <v>#DIV/0!</v>
      </c>
      <c r="BD11" s="103"/>
      <c r="BE11" s="104"/>
      <c r="BF11" s="104"/>
      <c r="BG11" s="86" t="str">
        <f>IF( OR(ISBLANK($S11:$S16),ISBLANK($AN11:$AN16), ISBLANK($W11:$W16),ISBLANK($AR11:$AR16)), "·", bdRateHermite( $S11:$S16,$W11:$W16, $AN11:$AN16,$AR11:$AR16))</f>
        <v>·</v>
      </c>
      <c r="BI11" s="103"/>
      <c r="BJ11" s="104"/>
      <c r="BK11" s="104"/>
      <c r="BL11" s="85" t="str">
        <f>IF(OR(ISBLANK($P11:$P16),ISBLANK($AK11:$AK16),ISBLANK($W11:$W16),ISBLANK($AR11:$AR16)),"·",bdRateHermite($P11:$P16,$W11:$W16,$AK11:$AK16,$AR11:$AR16))</f>
        <v>·</v>
      </c>
      <c r="BN11" s="103"/>
      <c r="BO11" s="104"/>
      <c r="BP11" s="104"/>
      <c r="BQ11" s="86" t="str">
        <f>IF( OR(ISBLANK($S11:$S16),ISBLANK($AN11:$AN16), ISBLANK($W11:$W16),ISBLANK($AR11:$AR16)), "·", bdRateHermite( $S12:$S16,$W12:$W16, $AN12:$AN16,$AR12:$AR16))</f>
        <v>·</v>
      </c>
      <c r="BS11" s="103"/>
      <c r="BT11" s="104"/>
      <c r="BU11" s="104"/>
      <c r="BV11" s="85" t="str">
        <f>IF(OR(ISBLANK($P11:$P16),ISBLANK($AK11:$AK16),ISBLANK($W11:$W16),ISBLANK($AR11:$AR16)),"·",bdRateHermite($P12:$P16,$W12:$W16,$AK12:$AK16,$AR12:$AR16))</f>
        <v>·</v>
      </c>
      <c r="BX11" s="103"/>
      <c r="BY11" s="104"/>
      <c r="BZ11" s="104"/>
      <c r="CA11" s="86" t="str">
        <f>IF( OR(ISBLANK($S11:$S15),ISBLANK($AN11:$AN15), ISBLANK($W11:$W15),ISBLANK($AR11:$AR15)), "·", bdRateHermite( $S11:$S15,$W11:$W15, $AN11:$AN15,$AR11:$AR15))</f>
        <v>·</v>
      </c>
      <c r="CC11" s="103"/>
      <c r="CD11" s="104"/>
      <c r="CE11" s="104"/>
      <c r="CF11" s="85" t="str">
        <f>IF(OR(ISBLANK($P11:$P15),ISBLANK($AK11:$AK15),ISBLANK($W11:$W15),ISBLANK($AR11:$AR15)),"·",bdRateHermite($P11:$P15,$W11:$W15,$AK11:$AK15,$AR11:$AR15))</f>
        <v>·</v>
      </c>
    </row>
    <row r="12" spans="1:84" outlineLevel="1">
      <c r="A12" s="13"/>
      <c r="B12" s="295" t="s">
        <v>984</v>
      </c>
      <c r="C12" s="15" t="s">
        <v>132</v>
      </c>
      <c r="D12" s="300">
        <v>9477876</v>
      </c>
      <c r="E12" s="299">
        <v>19</v>
      </c>
      <c r="F12" s="299">
        <v>1</v>
      </c>
      <c r="G12" s="16"/>
      <c r="I12" s="30" t="str">
        <f t="shared" si="0"/>
        <v>·</v>
      </c>
      <c r="J12" s="31">
        <f t="shared" si="1"/>
        <v>21.240647588130503</v>
      </c>
      <c r="K12" s="31">
        <f t="shared" si="2"/>
        <v>16.495123590981777</v>
      </c>
      <c r="L12" s="87"/>
      <c r="M12" s="31">
        <f t="shared" si="3"/>
        <v>4.7454454985484089</v>
      </c>
      <c r="N12" s="31">
        <f t="shared" si="4"/>
        <v>21.240647588130503</v>
      </c>
      <c r="O12" s="521">
        <v>9477876</v>
      </c>
      <c r="P12" s="503">
        <v>201316224</v>
      </c>
      <c r="Q12" s="357">
        <v>156338736</v>
      </c>
      <c r="R12" s="87"/>
      <c r="S12" s="547">
        <v>44976744</v>
      </c>
      <c r="T12" s="267"/>
      <c r="U12" s="106"/>
      <c r="V12" s="106"/>
      <c r="W12" s="515">
        <v>77.010093999999995</v>
      </c>
      <c r="X12" s="507"/>
      <c r="Y12" s="359"/>
      <c r="Z12" s="573">
        <v>0</v>
      </c>
      <c r="AA12" s="573">
        <v>0</v>
      </c>
      <c r="AB12" s="33"/>
      <c r="AD12" s="30">
        <v>0</v>
      </c>
      <c r="AE12" s="31" t="str">
        <f t="shared" si="8"/>
        <v>·</v>
      </c>
      <c r="AF12" s="31" t="str">
        <f t="shared" si="5"/>
        <v>·</v>
      </c>
      <c r="AG12" s="87" t="str">
        <f t="shared" si="9"/>
        <v>·</v>
      </c>
      <c r="AH12" s="31" t="str">
        <f t="shared" si="10"/>
        <v>·</v>
      </c>
      <c r="AI12" s="31" t="str">
        <f t="shared" si="11"/>
        <v>·</v>
      </c>
      <c r="AJ12" s="521"/>
      <c r="AK12" s="503"/>
      <c r="AL12" s="357"/>
      <c r="AM12" s="87"/>
      <c r="AN12" s="547"/>
      <c r="AO12" s="267"/>
      <c r="AP12" s="106"/>
      <c r="AQ12" s="106"/>
      <c r="AR12" s="515"/>
      <c r="AS12" s="507"/>
      <c r="AT12" s="359"/>
      <c r="AU12" s="573">
        <v>0</v>
      </c>
      <c r="AV12" s="573">
        <v>0</v>
      </c>
      <c r="AW12" s="33"/>
      <c r="AY12" s="56" t="e">
        <f t="shared" si="6"/>
        <v>#DIV/0!</v>
      </c>
      <c r="AZ12" s="57" t="e">
        <f t="shared" si="6"/>
        <v>#DIV/0!</v>
      </c>
      <c r="BA12" s="57" t="e">
        <f t="shared" si="7"/>
        <v>#DIV/0!</v>
      </c>
      <c r="BB12" s="58"/>
      <c r="BD12" s="105"/>
      <c r="BE12" s="106"/>
      <c r="BF12" s="106"/>
      <c r="BG12" s="76"/>
      <c r="BI12" s="105"/>
      <c r="BJ12" s="106"/>
      <c r="BK12" s="106"/>
      <c r="BL12" s="76"/>
      <c r="BN12" s="105"/>
      <c r="BO12" s="106"/>
      <c r="BP12" s="106"/>
      <c r="BQ12" s="76"/>
      <c r="BS12" s="105"/>
      <c r="BT12" s="106"/>
      <c r="BU12" s="106"/>
      <c r="BV12" s="76"/>
      <c r="BX12" s="105"/>
      <c r="BY12" s="106"/>
      <c r="BZ12" s="106"/>
      <c r="CA12" s="76"/>
      <c r="CC12" s="105"/>
      <c r="CD12" s="106"/>
      <c r="CE12" s="106"/>
      <c r="CF12" s="76"/>
    </row>
    <row r="13" spans="1:84" outlineLevel="1">
      <c r="A13" s="13"/>
      <c r="B13" s="295" t="s">
        <v>984</v>
      </c>
      <c r="C13" s="15" t="s">
        <v>133</v>
      </c>
      <c r="D13" s="300">
        <v>9477876</v>
      </c>
      <c r="E13" s="299">
        <v>19</v>
      </c>
      <c r="F13" s="299">
        <v>1</v>
      </c>
      <c r="G13" s="16"/>
      <c r="I13" s="30" t="str">
        <f t="shared" si="0"/>
        <v>·</v>
      </c>
      <c r="J13" s="31">
        <f t="shared" si="1"/>
        <v>22.703985576515244</v>
      </c>
      <c r="K13" s="31">
        <f t="shared" si="2"/>
        <v>16.495123590981777</v>
      </c>
      <c r="L13" s="87"/>
      <c r="M13" s="31">
        <f t="shared" si="3"/>
        <v>6.2087834869331484</v>
      </c>
      <c r="N13" s="31">
        <f t="shared" si="4"/>
        <v>22.703985576515244</v>
      </c>
      <c r="O13" s="521">
        <v>9477876</v>
      </c>
      <c r="P13" s="503">
        <v>215185560</v>
      </c>
      <c r="Q13" s="357">
        <v>156338736</v>
      </c>
      <c r="R13" s="87"/>
      <c r="S13" s="547">
        <v>58846080</v>
      </c>
      <c r="T13" s="267"/>
      <c r="U13" s="106"/>
      <c r="V13" s="106"/>
      <c r="W13" s="515">
        <v>83.004929000000004</v>
      </c>
      <c r="X13" s="507"/>
      <c r="Y13" s="359"/>
      <c r="Z13" s="573">
        <v>0</v>
      </c>
      <c r="AA13" s="573">
        <v>0</v>
      </c>
      <c r="AB13" s="33"/>
      <c r="AD13" s="30">
        <v>0</v>
      </c>
      <c r="AE13" s="31" t="str">
        <f t="shared" si="8"/>
        <v>·</v>
      </c>
      <c r="AF13" s="31" t="str">
        <f t="shared" si="5"/>
        <v>·</v>
      </c>
      <c r="AG13" s="87" t="str">
        <f t="shared" si="9"/>
        <v>·</v>
      </c>
      <c r="AH13" s="31" t="str">
        <f t="shared" si="10"/>
        <v>·</v>
      </c>
      <c r="AI13" s="31" t="str">
        <f t="shared" si="11"/>
        <v>·</v>
      </c>
      <c r="AJ13" s="521"/>
      <c r="AK13" s="503"/>
      <c r="AL13" s="357"/>
      <c r="AM13" s="87"/>
      <c r="AN13" s="547"/>
      <c r="AO13" s="267"/>
      <c r="AP13" s="106"/>
      <c r="AQ13" s="106"/>
      <c r="AR13" s="515"/>
      <c r="AS13" s="507"/>
      <c r="AT13" s="359"/>
      <c r="AU13" s="573">
        <v>0</v>
      </c>
      <c r="AV13" s="573">
        <v>0</v>
      </c>
      <c r="AW13" s="33"/>
      <c r="AY13" s="56" t="e">
        <f t="shared" si="6"/>
        <v>#DIV/0!</v>
      </c>
      <c r="AZ13" s="57" t="e">
        <f t="shared" si="6"/>
        <v>#DIV/0!</v>
      </c>
      <c r="BA13" s="57" t="e">
        <f t="shared" si="7"/>
        <v>#DIV/0!</v>
      </c>
      <c r="BB13" s="58"/>
      <c r="BD13" s="105"/>
      <c r="BE13" s="106"/>
      <c r="BF13" s="106"/>
      <c r="BG13" s="76"/>
      <c r="BI13" s="105"/>
      <c r="BJ13" s="106"/>
      <c r="BK13" s="106"/>
      <c r="BL13" s="76"/>
      <c r="BN13" s="105"/>
      <c r="BO13" s="106"/>
      <c r="BP13" s="106"/>
      <c r="BQ13" s="76"/>
      <c r="BS13" s="105"/>
      <c r="BT13" s="106"/>
      <c r="BU13" s="106"/>
      <c r="BV13" s="76"/>
      <c r="BX13" s="105"/>
      <c r="BY13" s="106"/>
      <c r="BZ13" s="106"/>
      <c r="CA13" s="76"/>
      <c r="CC13" s="105"/>
      <c r="CD13" s="106"/>
      <c r="CE13" s="106"/>
      <c r="CF13" s="76"/>
    </row>
    <row r="14" spans="1:84" outlineLevel="1">
      <c r="A14" s="13"/>
      <c r="B14" s="295" t="s">
        <v>984</v>
      </c>
      <c r="C14" s="15" t="s">
        <v>134</v>
      </c>
      <c r="D14" s="300">
        <v>9477876</v>
      </c>
      <c r="E14" s="299">
        <v>19</v>
      </c>
      <c r="F14" s="299">
        <v>1</v>
      </c>
      <c r="G14" s="16"/>
      <c r="I14" s="30" t="str">
        <f t="shared" si="0"/>
        <v>·</v>
      </c>
      <c r="J14" s="31">
        <f t="shared" si="1"/>
        <v>24.173980752649644</v>
      </c>
      <c r="K14" s="31">
        <f t="shared" si="2"/>
        <v>16.495123590981777</v>
      </c>
      <c r="L14" s="87"/>
      <c r="M14" s="31">
        <f t="shared" si="3"/>
        <v>7.6787786630675479</v>
      </c>
      <c r="N14" s="31">
        <f t="shared" si="4"/>
        <v>24.173980752649644</v>
      </c>
      <c r="O14" s="521">
        <v>9477876</v>
      </c>
      <c r="P14" s="503">
        <v>229117992</v>
      </c>
      <c r="Q14" s="357">
        <v>156338736</v>
      </c>
      <c r="R14" s="87"/>
      <c r="S14" s="547">
        <v>72778512</v>
      </c>
      <c r="T14" s="267"/>
      <c r="U14" s="106"/>
      <c r="V14" s="106"/>
      <c r="W14" s="515">
        <v>88.927277000000004</v>
      </c>
      <c r="X14" s="507"/>
      <c r="Y14" s="359"/>
      <c r="Z14" s="573">
        <v>0</v>
      </c>
      <c r="AA14" s="573">
        <v>0</v>
      </c>
      <c r="AB14" s="33"/>
      <c r="AD14" s="30">
        <v>0</v>
      </c>
      <c r="AE14" s="31" t="str">
        <f t="shared" si="8"/>
        <v>·</v>
      </c>
      <c r="AF14" s="31" t="str">
        <f t="shared" si="5"/>
        <v>·</v>
      </c>
      <c r="AG14" s="87" t="str">
        <f t="shared" si="9"/>
        <v>·</v>
      </c>
      <c r="AH14" s="31" t="str">
        <f t="shared" si="10"/>
        <v>·</v>
      </c>
      <c r="AI14" s="31" t="str">
        <f t="shared" si="11"/>
        <v>·</v>
      </c>
      <c r="AJ14" s="521"/>
      <c r="AK14" s="503"/>
      <c r="AL14" s="357"/>
      <c r="AM14" s="87"/>
      <c r="AN14" s="547"/>
      <c r="AO14" s="267"/>
      <c r="AP14" s="106"/>
      <c r="AQ14" s="106"/>
      <c r="AR14" s="515"/>
      <c r="AS14" s="507"/>
      <c r="AT14" s="359"/>
      <c r="AU14" s="573">
        <v>0</v>
      </c>
      <c r="AV14" s="573">
        <v>0</v>
      </c>
      <c r="AW14" s="33"/>
      <c r="AY14" s="56" t="e">
        <f t="shared" si="6"/>
        <v>#DIV/0!</v>
      </c>
      <c r="AZ14" s="57" t="e">
        <f t="shared" si="6"/>
        <v>#DIV/0!</v>
      </c>
      <c r="BA14" s="57" t="e">
        <f t="shared" si="7"/>
        <v>#DIV/0!</v>
      </c>
      <c r="BB14" s="58"/>
      <c r="BD14" s="105"/>
      <c r="BE14" s="106"/>
      <c r="BF14" s="106"/>
      <c r="BG14" s="76"/>
      <c r="BI14" s="105"/>
      <c r="BJ14" s="106"/>
      <c r="BK14" s="106"/>
      <c r="BL14" s="76"/>
      <c r="BN14" s="105"/>
      <c r="BO14" s="106"/>
      <c r="BP14" s="106"/>
      <c r="BQ14" s="76"/>
      <c r="BS14" s="105"/>
      <c r="BT14" s="106"/>
      <c r="BU14" s="106"/>
      <c r="BV14" s="76"/>
      <c r="BX14" s="105"/>
      <c r="BY14" s="106"/>
      <c r="BZ14" s="106"/>
      <c r="CA14" s="76"/>
      <c r="CC14" s="105"/>
      <c r="CD14" s="106"/>
      <c r="CE14" s="106"/>
      <c r="CF14" s="76"/>
    </row>
    <row r="15" spans="1:84" outlineLevel="1">
      <c r="A15" s="13"/>
      <c r="B15" s="295" t="s">
        <v>984</v>
      </c>
      <c r="C15" s="15" t="s">
        <v>135</v>
      </c>
      <c r="D15" s="300">
        <v>9477876</v>
      </c>
      <c r="E15" s="299">
        <v>19</v>
      </c>
      <c r="F15" s="299">
        <v>1</v>
      </c>
      <c r="G15" s="16"/>
      <c r="I15" s="30" t="str">
        <f t="shared" si="0"/>
        <v>·</v>
      </c>
      <c r="J15" s="31">
        <f t="shared" si="1"/>
        <v>25.364449165614744</v>
      </c>
      <c r="K15" s="31">
        <f t="shared" si="2"/>
        <v>16.495123590981777</v>
      </c>
      <c r="L15" s="87"/>
      <c r="M15" s="31">
        <f t="shared" si="3"/>
        <v>8.8692470760326465</v>
      </c>
      <c r="N15" s="31">
        <f t="shared" si="4"/>
        <v>25.364449165614744</v>
      </c>
      <c r="O15" s="521">
        <v>9477876</v>
      </c>
      <c r="P15" s="503">
        <v>240401104</v>
      </c>
      <c r="Q15" s="357">
        <v>156338736</v>
      </c>
      <c r="R15" s="87"/>
      <c r="S15" s="547">
        <v>84061624</v>
      </c>
      <c r="T15" s="267"/>
      <c r="U15" s="106"/>
      <c r="V15" s="106"/>
      <c r="W15" s="515">
        <v>94.567565999999999</v>
      </c>
      <c r="X15" s="507"/>
      <c r="Y15" s="359"/>
      <c r="Z15" s="573">
        <v>0</v>
      </c>
      <c r="AA15" s="573">
        <v>0</v>
      </c>
      <c r="AB15" s="33"/>
      <c r="AD15" s="30">
        <v>0</v>
      </c>
      <c r="AE15" s="31" t="str">
        <f t="shared" si="8"/>
        <v>·</v>
      </c>
      <c r="AF15" s="31" t="str">
        <f t="shared" si="5"/>
        <v>·</v>
      </c>
      <c r="AG15" s="87" t="str">
        <f t="shared" si="9"/>
        <v>·</v>
      </c>
      <c r="AH15" s="31" t="str">
        <f t="shared" si="10"/>
        <v>·</v>
      </c>
      <c r="AI15" s="31" t="str">
        <f t="shared" si="11"/>
        <v>·</v>
      </c>
      <c r="AJ15" s="521"/>
      <c r="AK15" s="503"/>
      <c r="AL15" s="357"/>
      <c r="AM15" s="87"/>
      <c r="AN15" s="547"/>
      <c r="AO15" s="267"/>
      <c r="AP15" s="106"/>
      <c r="AQ15" s="106"/>
      <c r="AR15" s="515"/>
      <c r="AS15" s="507"/>
      <c r="AT15" s="359"/>
      <c r="AU15" s="573">
        <v>0</v>
      </c>
      <c r="AV15" s="573">
        <v>0</v>
      </c>
      <c r="AW15" s="33"/>
      <c r="AY15" s="56" t="e">
        <f t="shared" si="6"/>
        <v>#DIV/0!</v>
      </c>
      <c r="AZ15" s="57" t="e">
        <f t="shared" si="6"/>
        <v>#DIV/0!</v>
      </c>
      <c r="BA15" s="57" t="e">
        <f t="shared" si="7"/>
        <v>#DIV/0!</v>
      </c>
      <c r="BB15" s="58"/>
      <c r="BD15" s="105"/>
      <c r="BE15" s="106"/>
      <c r="BF15" s="106"/>
      <c r="BG15" s="76"/>
      <c r="BI15" s="105"/>
      <c r="BJ15" s="106"/>
      <c r="BK15" s="106"/>
      <c r="BL15" s="76"/>
      <c r="BN15" s="105"/>
      <c r="BO15" s="106"/>
      <c r="BP15" s="106"/>
      <c r="BQ15" s="76"/>
      <c r="BS15" s="105"/>
      <c r="BT15" s="106"/>
      <c r="BU15" s="106"/>
      <c r="BV15" s="76"/>
      <c r="BX15" s="105"/>
      <c r="BY15" s="106"/>
      <c r="BZ15" s="106"/>
      <c r="CA15" s="76"/>
      <c r="CC15" s="105"/>
      <c r="CD15" s="106"/>
      <c r="CE15" s="106"/>
      <c r="CF15" s="76"/>
    </row>
    <row r="16" spans="1:84" ht="14.25" outlineLevel="1" thickBot="1">
      <c r="A16" s="13"/>
      <c r="B16" s="296" t="s">
        <v>984</v>
      </c>
      <c r="C16" s="19" t="s">
        <v>136</v>
      </c>
      <c r="D16" s="305">
        <v>9477876</v>
      </c>
      <c r="E16" s="306">
        <v>19</v>
      </c>
      <c r="F16" s="306">
        <v>1</v>
      </c>
      <c r="G16" s="20"/>
      <c r="I16" s="34" t="str">
        <f t="shared" si="0"/>
        <v>·</v>
      </c>
      <c r="J16" s="35">
        <f t="shared" si="1"/>
        <v>26.622548765145272</v>
      </c>
      <c r="K16" s="35">
        <f t="shared" si="2"/>
        <v>16.495123590981777</v>
      </c>
      <c r="L16" s="89"/>
      <c r="M16" s="35">
        <f t="shared" si="3"/>
        <v>10.127347519634146</v>
      </c>
      <c r="N16" s="35">
        <f t="shared" si="4"/>
        <v>26.622548765145272</v>
      </c>
      <c r="O16" s="525">
        <v>9477876</v>
      </c>
      <c r="P16" s="505">
        <v>252325216</v>
      </c>
      <c r="Q16" s="361">
        <v>156338736</v>
      </c>
      <c r="R16" s="89"/>
      <c r="S16" s="548">
        <v>95985744</v>
      </c>
      <c r="T16" s="545"/>
      <c r="U16" s="109"/>
      <c r="V16" s="109"/>
      <c r="W16" s="517">
        <v>99.339759999999998</v>
      </c>
      <c r="X16" s="509"/>
      <c r="Y16" s="363"/>
      <c r="Z16" s="575">
        <v>0</v>
      </c>
      <c r="AA16" s="575">
        <v>0</v>
      </c>
      <c r="AB16" s="37"/>
      <c r="AD16" s="34">
        <v>0</v>
      </c>
      <c r="AE16" s="35" t="str">
        <f t="shared" si="8"/>
        <v>·</v>
      </c>
      <c r="AF16" s="35" t="str">
        <f t="shared" si="5"/>
        <v>·</v>
      </c>
      <c r="AG16" s="89" t="str">
        <f t="shared" si="9"/>
        <v>·</v>
      </c>
      <c r="AH16" s="35" t="str">
        <f t="shared" si="10"/>
        <v>·</v>
      </c>
      <c r="AI16" s="35" t="str">
        <f t="shared" si="11"/>
        <v>·</v>
      </c>
      <c r="AJ16" s="525"/>
      <c r="AK16" s="505"/>
      <c r="AL16" s="361"/>
      <c r="AM16" s="89"/>
      <c r="AN16" s="548"/>
      <c r="AO16" s="545"/>
      <c r="AP16" s="109"/>
      <c r="AQ16" s="109"/>
      <c r="AR16" s="517"/>
      <c r="AS16" s="509"/>
      <c r="AT16" s="363"/>
      <c r="AU16" s="575">
        <v>0</v>
      </c>
      <c r="AV16" s="575">
        <v>0</v>
      </c>
      <c r="AW16" s="37"/>
      <c r="AY16" s="59" t="e">
        <f t="shared" si="6"/>
        <v>#DIV/0!</v>
      </c>
      <c r="AZ16" s="60" t="e">
        <f t="shared" si="6"/>
        <v>#DIV/0!</v>
      </c>
      <c r="BA16" s="60" t="e">
        <f t="shared" si="7"/>
        <v>#DIV/0!</v>
      </c>
      <c r="BB16" s="61"/>
      <c r="BD16" s="108"/>
      <c r="BE16" s="109"/>
      <c r="BF16" s="109"/>
      <c r="BG16" s="79"/>
      <c r="BI16" s="108"/>
      <c r="BJ16" s="109"/>
      <c r="BK16" s="109"/>
      <c r="BL16" s="79"/>
      <c r="BN16" s="108"/>
      <c r="BO16" s="109"/>
      <c r="BP16" s="109"/>
      <c r="BQ16" s="79"/>
      <c r="BS16" s="108"/>
      <c r="BT16" s="109"/>
      <c r="BU16" s="109"/>
      <c r="BV16" s="79"/>
      <c r="BX16" s="108"/>
      <c r="BY16" s="109"/>
      <c r="BZ16" s="109"/>
      <c r="CA16" s="79"/>
      <c r="CC16" s="108"/>
      <c r="CD16" s="109"/>
      <c r="CE16" s="109"/>
      <c r="CF16" s="79"/>
    </row>
    <row r="17" spans="1:84">
      <c r="A17" s="13"/>
      <c r="B17" s="293" t="s">
        <v>985</v>
      </c>
      <c r="C17" s="25" t="s">
        <v>131</v>
      </c>
      <c r="D17" s="300">
        <v>9740660</v>
      </c>
      <c r="E17" s="299">
        <v>20</v>
      </c>
      <c r="F17" s="299">
        <v>1</v>
      </c>
      <c r="G17" s="26"/>
      <c r="I17" s="46" t="str">
        <f t="shared" si="0"/>
        <v>·</v>
      </c>
      <c r="J17" s="47">
        <f t="shared" si="1"/>
        <v>18.239576373674886</v>
      </c>
      <c r="K17" s="47">
        <f t="shared" si="2"/>
        <v>15.062052879373677</v>
      </c>
      <c r="L17" s="90"/>
      <c r="M17" s="47">
        <f t="shared" si="3"/>
        <v>3.1774471134399516</v>
      </c>
      <c r="N17" s="47">
        <f t="shared" si="4"/>
        <v>18.239576373674886</v>
      </c>
      <c r="O17" s="520">
        <v>9740660</v>
      </c>
      <c r="P17" s="502">
        <v>177665512</v>
      </c>
      <c r="Q17" s="353">
        <v>146714336</v>
      </c>
      <c r="R17" s="90"/>
      <c r="S17" s="546">
        <v>30950432</v>
      </c>
      <c r="T17" s="266"/>
      <c r="U17" s="104"/>
      <c r="V17" s="104"/>
      <c r="W17" s="514">
        <v>70.996887000000001</v>
      </c>
      <c r="X17" s="506"/>
      <c r="Y17" s="355"/>
      <c r="Z17" s="572">
        <v>0</v>
      </c>
      <c r="AA17" s="572">
        <v>0</v>
      </c>
      <c r="AB17" s="49"/>
      <c r="AD17" s="46">
        <v>0</v>
      </c>
      <c r="AE17" s="47" t="str">
        <f t="shared" si="8"/>
        <v>·</v>
      </c>
      <c r="AF17" s="47" t="str">
        <f t="shared" si="5"/>
        <v>·</v>
      </c>
      <c r="AG17" s="90" t="str">
        <f t="shared" si="9"/>
        <v>·</v>
      </c>
      <c r="AH17" s="47" t="str">
        <f t="shared" si="10"/>
        <v>·</v>
      </c>
      <c r="AI17" s="47" t="str">
        <f t="shared" si="11"/>
        <v>·</v>
      </c>
      <c r="AJ17" s="520"/>
      <c r="AK17" s="502"/>
      <c r="AL17" s="353"/>
      <c r="AM17" s="90"/>
      <c r="AN17" s="546"/>
      <c r="AO17" s="266"/>
      <c r="AP17" s="104"/>
      <c r="AQ17" s="104"/>
      <c r="AR17" s="514"/>
      <c r="AS17" s="506"/>
      <c r="AT17" s="355"/>
      <c r="AU17" s="572">
        <v>0</v>
      </c>
      <c r="AV17" s="572">
        <v>0</v>
      </c>
      <c r="AW17" s="49"/>
      <c r="AY17" s="68" t="e">
        <f t="shared" si="6"/>
        <v>#DIV/0!</v>
      </c>
      <c r="AZ17" s="69" t="e">
        <f t="shared" si="6"/>
        <v>#DIV/0!</v>
      </c>
      <c r="BA17" s="69" t="e">
        <f t="shared" si="7"/>
        <v>#DIV/0!</v>
      </c>
      <c r="BB17" s="70" t="e">
        <f t="array" ref="BB17">AVERAGE(AL17:AL22/AK17:AK22) - AVERAGE(Q17:Q22/P17:P22)</f>
        <v>#DIV/0!</v>
      </c>
      <c r="BD17" s="103"/>
      <c r="BE17" s="104"/>
      <c r="BF17" s="104"/>
      <c r="BG17" s="86" t="str">
        <f>IF( OR(ISBLANK($S17:$S22),ISBLANK($AN17:$AN22), ISBLANK($W17:$W22),ISBLANK($AR17:$AR22)), "·", bdRateHermite( $S17:$S22,$W17:$W22, $AN17:$AN22,$AR17:$AR22))</f>
        <v>·</v>
      </c>
      <c r="BI17" s="103"/>
      <c r="BJ17" s="104"/>
      <c r="BK17" s="104"/>
      <c r="BL17" s="85" t="str">
        <f>IF(OR(ISBLANK($P17:$P22),ISBLANK($AK17:$AK22),ISBLANK($W17:$W22),ISBLANK($AR17:$AR22)),"·",bdRateHermite($P17:$P22,$W17:$W22,$AK17:$AK22,$AR17:$AR22))</f>
        <v>·</v>
      </c>
      <c r="BN17" s="103"/>
      <c r="BO17" s="104"/>
      <c r="BP17" s="104"/>
      <c r="BQ17" s="86" t="str">
        <f>IF( OR(ISBLANK($S17:$S22),ISBLANK($AN17:$AN22), ISBLANK($W17:$W22),ISBLANK($AR17:$AR22)), "·", bdRateHermite( $S18:$S22,$W18:$W22, $AN18:$AN22,$AR18:$AR22))</f>
        <v>·</v>
      </c>
      <c r="BS17" s="103"/>
      <c r="BT17" s="104"/>
      <c r="BU17" s="104"/>
      <c r="BV17" s="85" t="str">
        <f>IF(OR(ISBLANK($P17:$P22),ISBLANK($AK17:$AK22),ISBLANK($W17:$W22),ISBLANK($AR17:$AR22)),"·",bdRateHermite($P18:$P22,$W18:$W22,$AK18:$AK22,$AR18:$AR22))</f>
        <v>·</v>
      </c>
      <c r="BX17" s="103"/>
      <c r="BY17" s="104"/>
      <c r="BZ17" s="104"/>
      <c r="CA17" s="86" t="str">
        <f>IF( OR(ISBLANK($S17:$S21),ISBLANK($AN17:$AN21), ISBLANK($W17:$W21),ISBLANK($AR17:$AR21)), "·", bdRateHermite( $S17:$S21,$W17:$W21, $AN17:$AN21,$AR17:$AR21))</f>
        <v>·</v>
      </c>
      <c r="CC17" s="103"/>
      <c r="CD17" s="104"/>
      <c r="CE17" s="104"/>
      <c r="CF17" s="85" t="str">
        <f>IF(OR(ISBLANK($P17:$P21),ISBLANK($AK17:$AK21),ISBLANK($W17:$W21),ISBLANK($AR17:$AR21)),"·",bdRateHermite($P17:$P21,$W17:$W21,$AK17:$AK21,$AR17:$AR21))</f>
        <v>·</v>
      </c>
    </row>
    <row r="18" spans="1:84" outlineLevel="1">
      <c r="A18" s="13"/>
      <c r="B18" s="291" t="s">
        <v>985</v>
      </c>
      <c r="C18" s="15" t="s">
        <v>132</v>
      </c>
      <c r="D18" s="300">
        <v>9740660</v>
      </c>
      <c r="E18" s="299">
        <v>20</v>
      </c>
      <c r="F18" s="299">
        <v>1</v>
      </c>
      <c r="G18" s="16"/>
      <c r="I18" s="30" t="str">
        <f t="shared" si="0"/>
        <v>·</v>
      </c>
      <c r="J18" s="31">
        <f t="shared" si="1"/>
        <v>19.397301620218752</v>
      </c>
      <c r="K18" s="31">
        <f t="shared" si="2"/>
        <v>15.062052879373677</v>
      </c>
      <c r="L18" s="87"/>
      <c r="M18" s="31">
        <f t="shared" si="3"/>
        <v>4.3351723599838206</v>
      </c>
      <c r="N18" s="31">
        <f t="shared" si="4"/>
        <v>19.397301620218752</v>
      </c>
      <c r="O18" s="523">
        <v>9740660</v>
      </c>
      <c r="P18" s="503">
        <v>188942520</v>
      </c>
      <c r="Q18" s="357">
        <v>146714336</v>
      </c>
      <c r="R18" s="87"/>
      <c r="S18" s="547">
        <v>42227440</v>
      </c>
      <c r="T18" s="267"/>
      <c r="U18" s="106"/>
      <c r="V18" s="106"/>
      <c r="W18" s="515">
        <v>77.013099999999994</v>
      </c>
      <c r="X18" s="507"/>
      <c r="Y18" s="359"/>
      <c r="Z18" s="573">
        <v>0</v>
      </c>
      <c r="AA18" s="573">
        <v>0</v>
      </c>
      <c r="AB18" s="33"/>
      <c r="AD18" s="30">
        <v>0</v>
      </c>
      <c r="AE18" s="31" t="str">
        <f t="shared" si="8"/>
        <v>·</v>
      </c>
      <c r="AF18" s="31" t="str">
        <f t="shared" si="5"/>
        <v>·</v>
      </c>
      <c r="AG18" s="87" t="str">
        <f t="shared" si="9"/>
        <v>·</v>
      </c>
      <c r="AH18" s="31" t="str">
        <f t="shared" si="10"/>
        <v>·</v>
      </c>
      <c r="AI18" s="31" t="str">
        <f t="shared" si="11"/>
        <v>·</v>
      </c>
      <c r="AJ18" s="523"/>
      <c r="AK18" s="503"/>
      <c r="AL18" s="357"/>
      <c r="AM18" s="87"/>
      <c r="AN18" s="547"/>
      <c r="AO18" s="267"/>
      <c r="AP18" s="106"/>
      <c r="AQ18" s="106"/>
      <c r="AR18" s="515"/>
      <c r="AS18" s="507"/>
      <c r="AT18" s="359"/>
      <c r="AU18" s="573">
        <v>0</v>
      </c>
      <c r="AV18" s="573">
        <v>0</v>
      </c>
      <c r="AW18" s="33"/>
      <c r="AY18" s="56" t="e">
        <f t="shared" si="6"/>
        <v>#DIV/0!</v>
      </c>
      <c r="AZ18" s="57" t="e">
        <f t="shared" si="6"/>
        <v>#DIV/0!</v>
      </c>
      <c r="BA18" s="57" t="e">
        <f t="shared" si="7"/>
        <v>#DIV/0!</v>
      </c>
      <c r="BB18" s="58"/>
      <c r="BD18" s="105"/>
      <c r="BE18" s="106"/>
      <c r="BF18" s="106"/>
      <c r="BG18" s="107"/>
      <c r="BI18" s="105"/>
      <c r="BJ18" s="106"/>
      <c r="BK18" s="106"/>
      <c r="BL18" s="76"/>
      <c r="BN18" s="105"/>
      <c r="BO18" s="106"/>
      <c r="BP18" s="106"/>
      <c r="BQ18" s="107"/>
      <c r="BS18" s="105"/>
      <c r="BT18" s="106"/>
      <c r="BU18" s="106"/>
      <c r="BV18" s="76"/>
      <c r="BX18" s="105"/>
      <c r="BY18" s="106"/>
      <c r="BZ18" s="106"/>
      <c r="CA18" s="107"/>
      <c r="CC18" s="105"/>
      <c r="CD18" s="106"/>
      <c r="CE18" s="106"/>
      <c r="CF18" s="76"/>
    </row>
    <row r="19" spans="1:84" outlineLevel="1">
      <c r="A19" s="13"/>
      <c r="B19" s="291" t="s">
        <v>985</v>
      </c>
      <c r="C19" s="15" t="s">
        <v>133</v>
      </c>
      <c r="D19" s="300">
        <v>9740660</v>
      </c>
      <c r="E19" s="299">
        <v>20</v>
      </c>
      <c r="F19" s="299">
        <v>1</v>
      </c>
      <c r="G19" s="16"/>
      <c r="I19" s="30" t="str">
        <f t="shared" si="0"/>
        <v>·</v>
      </c>
      <c r="J19" s="31">
        <f t="shared" si="1"/>
        <v>20.785150903532205</v>
      </c>
      <c r="K19" s="31">
        <f t="shared" si="2"/>
        <v>15.062052879373677</v>
      </c>
      <c r="L19" s="87"/>
      <c r="M19" s="31">
        <f t="shared" si="3"/>
        <v>5.7230216432972716</v>
      </c>
      <c r="N19" s="31">
        <f t="shared" si="4"/>
        <v>20.785150903532205</v>
      </c>
      <c r="O19" s="523">
        <v>9740660</v>
      </c>
      <c r="P19" s="503">
        <v>202461088</v>
      </c>
      <c r="Q19" s="357">
        <v>146714336</v>
      </c>
      <c r="R19" s="87"/>
      <c r="S19" s="547">
        <v>55746008</v>
      </c>
      <c r="T19" s="267"/>
      <c r="U19" s="106"/>
      <c r="V19" s="106"/>
      <c r="W19" s="515">
        <v>83.004752999999994</v>
      </c>
      <c r="X19" s="507"/>
      <c r="Y19" s="359"/>
      <c r="Z19" s="573">
        <v>0</v>
      </c>
      <c r="AA19" s="573">
        <v>0</v>
      </c>
      <c r="AB19" s="33"/>
      <c r="AD19" s="30">
        <v>0</v>
      </c>
      <c r="AE19" s="31" t="str">
        <f t="shared" si="8"/>
        <v>·</v>
      </c>
      <c r="AF19" s="31" t="str">
        <f t="shared" si="5"/>
        <v>·</v>
      </c>
      <c r="AG19" s="87" t="str">
        <f t="shared" si="9"/>
        <v>·</v>
      </c>
      <c r="AH19" s="31" t="str">
        <f t="shared" si="10"/>
        <v>·</v>
      </c>
      <c r="AI19" s="31" t="str">
        <f t="shared" si="11"/>
        <v>·</v>
      </c>
      <c r="AJ19" s="523"/>
      <c r="AK19" s="503"/>
      <c r="AL19" s="357"/>
      <c r="AM19" s="87"/>
      <c r="AN19" s="547"/>
      <c r="AO19" s="267"/>
      <c r="AP19" s="106"/>
      <c r="AQ19" s="106"/>
      <c r="AR19" s="515"/>
      <c r="AS19" s="507"/>
      <c r="AT19" s="359"/>
      <c r="AU19" s="573">
        <v>0</v>
      </c>
      <c r="AV19" s="573">
        <v>0</v>
      </c>
      <c r="AW19" s="33"/>
      <c r="AY19" s="56" t="e">
        <f t="shared" si="6"/>
        <v>#DIV/0!</v>
      </c>
      <c r="AZ19" s="57" t="e">
        <f t="shared" si="6"/>
        <v>#DIV/0!</v>
      </c>
      <c r="BA19" s="57" t="e">
        <f t="shared" si="7"/>
        <v>#DIV/0!</v>
      </c>
      <c r="BB19" s="58"/>
      <c r="BD19" s="105"/>
      <c r="BE19" s="106"/>
      <c r="BF19" s="106"/>
      <c r="BG19" s="107"/>
      <c r="BI19" s="105"/>
      <c r="BJ19" s="106"/>
      <c r="BK19" s="106"/>
      <c r="BL19" s="76"/>
      <c r="BN19" s="105"/>
      <c r="BO19" s="106"/>
      <c r="BP19" s="106"/>
      <c r="BQ19" s="107"/>
      <c r="BS19" s="105"/>
      <c r="BT19" s="106"/>
      <c r="BU19" s="106"/>
      <c r="BV19" s="76"/>
      <c r="BX19" s="105"/>
      <c r="BY19" s="106"/>
      <c r="BZ19" s="106"/>
      <c r="CA19" s="107"/>
      <c r="CC19" s="105"/>
      <c r="CD19" s="106"/>
      <c r="CE19" s="106"/>
      <c r="CF19" s="76"/>
    </row>
    <row r="20" spans="1:84" outlineLevel="1">
      <c r="A20" s="13"/>
      <c r="B20" s="291" t="s">
        <v>985</v>
      </c>
      <c r="C20" s="15" t="s">
        <v>134</v>
      </c>
      <c r="D20" s="300">
        <v>9740660</v>
      </c>
      <c r="E20" s="299">
        <v>20</v>
      </c>
      <c r="F20" s="299">
        <v>1</v>
      </c>
      <c r="G20" s="16"/>
      <c r="I20" s="30" t="str">
        <f t="shared" si="0"/>
        <v>·</v>
      </c>
      <c r="J20" s="31">
        <f t="shared" si="1"/>
        <v>22.328898452466259</v>
      </c>
      <c r="K20" s="31">
        <f t="shared" si="2"/>
        <v>15.062052879373677</v>
      </c>
      <c r="L20" s="87"/>
      <c r="M20" s="31">
        <f t="shared" si="3"/>
        <v>7.2667691922313269</v>
      </c>
      <c r="N20" s="31">
        <f t="shared" si="4"/>
        <v>22.328898452466259</v>
      </c>
      <c r="O20" s="523">
        <v>9740660</v>
      </c>
      <c r="P20" s="503">
        <v>217498208</v>
      </c>
      <c r="Q20" s="357">
        <v>146714336</v>
      </c>
      <c r="R20" s="87"/>
      <c r="S20" s="547">
        <v>70783128</v>
      </c>
      <c r="T20" s="267"/>
      <c r="U20" s="106"/>
      <c r="V20" s="106"/>
      <c r="W20" s="515">
        <v>88.926154999999994</v>
      </c>
      <c r="X20" s="507"/>
      <c r="Y20" s="359"/>
      <c r="Z20" s="573">
        <v>0</v>
      </c>
      <c r="AA20" s="573">
        <v>0</v>
      </c>
      <c r="AB20" s="33"/>
      <c r="AD20" s="30">
        <v>0</v>
      </c>
      <c r="AE20" s="31" t="str">
        <f t="shared" si="8"/>
        <v>·</v>
      </c>
      <c r="AF20" s="31" t="str">
        <f t="shared" si="5"/>
        <v>·</v>
      </c>
      <c r="AG20" s="87" t="str">
        <f t="shared" si="9"/>
        <v>·</v>
      </c>
      <c r="AH20" s="31" t="str">
        <f t="shared" si="10"/>
        <v>·</v>
      </c>
      <c r="AI20" s="31" t="str">
        <f t="shared" si="11"/>
        <v>·</v>
      </c>
      <c r="AJ20" s="523"/>
      <c r="AK20" s="503"/>
      <c r="AL20" s="357"/>
      <c r="AM20" s="87"/>
      <c r="AN20" s="547"/>
      <c r="AO20" s="267"/>
      <c r="AP20" s="106"/>
      <c r="AQ20" s="106"/>
      <c r="AR20" s="515"/>
      <c r="AS20" s="507"/>
      <c r="AT20" s="359"/>
      <c r="AU20" s="573">
        <v>0</v>
      </c>
      <c r="AV20" s="573">
        <v>0</v>
      </c>
      <c r="AW20" s="33"/>
      <c r="AY20" s="56" t="e">
        <f t="shared" si="6"/>
        <v>#DIV/0!</v>
      </c>
      <c r="AZ20" s="57" t="e">
        <f t="shared" si="6"/>
        <v>#DIV/0!</v>
      </c>
      <c r="BA20" s="57" t="e">
        <f t="shared" si="7"/>
        <v>#DIV/0!</v>
      </c>
      <c r="BB20" s="58"/>
      <c r="BD20" s="105"/>
      <c r="BE20" s="106"/>
      <c r="BF20" s="106"/>
      <c r="BG20" s="107"/>
      <c r="BI20" s="105"/>
      <c r="BJ20" s="106"/>
      <c r="BK20" s="106"/>
      <c r="BL20" s="76"/>
      <c r="BN20" s="105"/>
      <c r="BO20" s="106"/>
      <c r="BP20" s="106"/>
      <c r="BQ20" s="107"/>
      <c r="BS20" s="105"/>
      <c r="BT20" s="106"/>
      <c r="BU20" s="106"/>
      <c r="BV20" s="76"/>
      <c r="BX20" s="105"/>
      <c r="BY20" s="106"/>
      <c r="BZ20" s="106"/>
      <c r="CA20" s="107"/>
      <c r="CC20" s="105"/>
      <c r="CD20" s="106"/>
      <c r="CE20" s="106"/>
      <c r="CF20" s="76"/>
    </row>
    <row r="21" spans="1:84" outlineLevel="1">
      <c r="A21" s="13"/>
      <c r="B21" s="291" t="s">
        <v>985</v>
      </c>
      <c r="C21" s="15" t="s">
        <v>135</v>
      </c>
      <c r="D21" s="300">
        <v>9740660</v>
      </c>
      <c r="E21" s="299">
        <v>20</v>
      </c>
      <c r="F21" s="299">
        <v>1</v>
      </c>
      <c r="G21" s="16"/>
      <c r="I21" s="30" t="str">
        <f t="shared" si="0"/>
        <v>·</v>
      </c>
      <c r="J21" s="31">
        <f t="shared" si="1"/>
        <v>23.47235444004821</v>
      </c>
      <c r="K21" s="31">
        <f t="shared" si="2"/>
        <v>15.062052879373677</v>
      </c>
      <c r="L21" s="87"/>
      <c r="M21" s="31">
        <f t="shared" si="3"/>
        <v>8.4102251798132777</v>
      </c>
      <c r="N21" s="31">
        <f t="shared" si="4"/>
        <v>23.47235444004821</v>
      </c>
      <c r="O21" s="523">
        <v>9740660</v>
      </c>
      <c r="P21" s="503">
        <v>228636224</v>
      </c>
      <c r="Q21" s="357">
        <v>146714336</v>
      </c>
      <c r="R21" s="87"/>
      <c r="S21" s="547">
        <v>81921144</v>
      </c>
      <c r="T21" s="267"/>
      <c r="U21" s="106"/>
      <c r="V21" s="106"/>
      <c r="W21" s="515">
        <v>94.569327999999999</v>
      </c>
      <c r="X21" s="507"/>
      <c r="Y21" s="359"/>
      <c r="Z21" s="573">
        <v>0</v>
      </c>
      <c r="AA21" s="573">
        <v>0</v>
      </c>
      <c r="AB21" s="33"/>
      <c r="AD21" s="30">
        <v>0</v>
      </c>
      <c r="AE21" s="31" t="str">
        <f t="shared" si="8"/>
        <v>·</v>
      </c>
      <c r="AF21" s="31" t="str">
        <f t="shared" si="5"/>
        <v>·</v>
      </c>
      <c r="AG21" s="87" t="str">
        <f t="shared" si="9"/>
        <v>·</v>
      </c>
      <c r="AH21" s="31" t="str">
        <f t="shared" si="10"/>
        <v>·</v>
      </c>
      <c r="AI21" s="31" t="str">
        <f t="shared" si="11"/>
        <v>·</v>
      </c>
      <c r="AJ21" s="523"/>
      <c r="AK21" s="503"/>
      <c r="AL21" s="357"/>
      <c r="AM21" s="87"/>
      <c r="AN21" s="547"/>
      <c r="AO21" s="267"/>
      <c r="AP21" s="106"/>
      <c r="AQ21" s="106"/>
      <c r="AR21" s="515"/>
      <c r="AS21" s="507"/>
      <c r="AT21" s="359"/>
      <c r="AU21" s="573">
        <v>0</v>
      </c>
      <c r="AV21" s="573">
        <v>0</v>
      </c>
      <c r="AW21" s="33"/>
      <c r="AY21" s="56" t="e">
        <f t="shared" si="6"/>
        <v>#DIV/0!</v>
      </c>
      <c r="AZ21" s="57" t="e">
        <f t="shared" si="6"/>
        <v>#DIV/0!</v>
      </c>
      <c r="BA21" s="57" t="e">
        <f t="shared" si="7"/>
        <v>#DIV/0!</v>
      </c>
      <c r="BB21" s="58"/>
      <c r="BD21" s="105"/>
      <c r="BE21" s="106"/>
      <c r="BF21" s="106"/>
      <c r="BG21" s="107"/>
      <c r="BI21" s="105"/>
      <c r="BJ21" s="106"/>
      <c r="BK21" s="106"/>
      <c r="BL21" s="76"/>
      <c r="BN21" s="105"/>
      <c r="BO21" s="106"/>
      <c r="BP21" s="106"/>
      <c r="BQ21" s="107"/>
      <c r="BS21" s="105"/>
      <c r="BT21" s="106"/>
      <c r="BU21" s="106"/>
      <c r="BV21" s="76"/>
      <c r="BX21" s="105"/>
      <c r="BY21" s="106"/>
      <c r="BZ21" s="106"/>
      <c r="CA21" s="107"/>
      <c r="CC21" s="105"/>
      <c r="CD21" s="106"/>
      <c r="CE21" s="106"/>
      <c r="CF21" s="76"/>
    </row>
    <row r="22" spans="1:84" ht="14.25" outlineLevel="1" thickBot="1">
      <c r="A22" s="13"/>
      <c r="B22" s="292" t="s">
        <v>985</v>
      </c>
      <c r="C22" s="19" t="s">
        <v>136</v>
      </c>
      <c r="D22" s="301">
        <v>9740660</v>
      </c>
      <c r="E22" s="302">
        <v>20</v>
      </c>
      <c r="F22" s="302">
        <v>1</v>
      </c>
      <c r="G22" s="20"/>
      <c r="I22" s="34" t="str">
        <f t="shared" si="0"/>
        <v>·</v>
      </c>
      <c r="J22" s="35">
        <f t="shared" si="1"/>
        <v>24.686453689996366</v>
      </c>
      <c r="K22" s="35">
        <f t="shared" si="2"/>
        <v>15.062052879373677</v>
      </c>
      <c r="L22" s="88"/>
      <c r="M22" s="35">
        <f t="shared" si="3"/>
        <v>9.6243244297614332</v>
      </c>
      <c r="N22" s="35">
        <f t="shared" si="4"/>
        <v>24.686453689996366</v>
      </c>
      <c r="O22" s="524">
        <v>9740660</v>
      </c>
      <c r="P22" s="505">
        <v>240462352</v>
      </c>
      <c r="Q22" s="361">
        <v>146714336</v>
      </c>
      <c r="R22" s="88"/>
      <c r="S22" s="548">
        <v>93747272</v>
      </c>
      <c r="T22" s="545"/>
      <c r="U22" s="109"/>
      <c r="V22" s="109"/>
      <c r="W22" s="517">
        <v>99.341812000000004</v>
      </c>
      <c r="X22" s="509"/>
      <c r="Y22" s="363"/>
      <c r="Z22" s="575">
        <v>0</v>
      </c>
      <c r="AA22" s="575">
        <v>0</v>
      </c>
      <c r="AB22" s="37"/>
      <c r="AD22" s="34">
        <v>0</v>
      </c>
      <c r="AE22" s="35" t="str">
        <f t="shared" si="8"/>
        <v>·</v>
      </c>
      <c r="AF22" s="35" t="str">
        <f t="shared" si="5"/>
        <v>·</v>
      </c>
      <c r="AG22" s="88" t="str">
        <f t="shared" si="9"/>
        <v>·</v>
      </c>
      <c r="AH22" s="35" t="str">
        <f t="shared" si="10"/>
        <v>·</v>
      </c>
      <c r="AI22" s="35" t="str">
        <f t="shared" si="11"/>
        <v>·</v>
      </c>
      <c r="AJ22" s="524"/>
      <c r="AK22" s="505"/>
      <c r="AL22" s="361"/>
      <c r="AM22" s="88"/>
      <c r="AN22" s="548"/>
      <c r="AO22" s="545"/>
      <c r="AP22" s="109"/>
      <c r="AQ22" s="109"/>
      <c r="AR22" s="517"/>
      <c r="AS22" s="509"/>
      <c r="AT22" s="363"/>
      <c r="AU22" s="575">
        <v>0</v>
      </c>
      <c r="AV22" s="575">
        <v>0</v>
      </c>
      <c r="AW22" s="37"/>
      <c r="AY22" s="59" t="e">
        <f t="shared" si="6"/>
        <v>#DIV/0!</v>
      </c>
      <c r="AZ22" s="60" t="e">
        <f t="shared" si="6"/>
        <v>#DIV/0!</v>
      </c>
      <c r="BA22" s="60" t="e">
        <f t="shared" si="7"/>
        <v>#DIV/0!</v>
      </c>
      <c r="BB22" s="61"/>
      <c r="BD22" s="108"/>
      <c r="BE22" s="109"/>
      <c r="BF22" s="109"/>
      <c r="BG22" s="110"/>
      <c r="BI22" s="108"/>
      <c r="BJ22" s="109"/>
      <c r="BK22" s="109"/>
      <c r="BL22" s="79"/>
      <c r="BN22" s="108"/>
      <c r="BO22" s="109"/>
      <c r="BP22" s="109"/>
      <c r="BQ22" s="110"/>
      <c r="BS22" s="108"/>
      <c r="BT22" s="109"/>
      <c r="BU22" s="109"/>
      <c r="BV22" s="79"/>
      <c r="BX22" s="108"/>
      <c r="BY22" s="109"/>
      <c r="BZ22" s="109"/>
      <c r="CA22" s="110"/>
      <c r="CC22" s="108"/>
      <c r="CD22" s="109"/>
      <c r="CE22" s="109"/>
      <c r="CF22" s="79"/>
    </row>
    <row r="23" spans="1:84">
      <c r="A23" s="13"/>
      <c r="B23" s="294" t="s">
        <v>986</v>
      </c>
      <c r="C23" s="28" t="s">
        <v>131</v>
      </c>
      <c r="D23" s="303">
        <v>5865647</v>
      </c>
      <c r="E23" s="304">
        <v>19</v>
      </c>
      <c r="F23" s="304">
        <v>1</v>
      </c>
      <c r="G23" s="29"/>
      <c r="I23" s="46" t="str">
        <f t="shared" si="0"/>
        <v>·</v>
      </c>
      <c r="J23" s="47">
        <f t="shared" si="1"/>
        <v>18.529559654714987</v>
      </c>
      <c r="K23" s="47">
        <f t="shared" si="2"/>
        <v>15.243402134495989</v>
      </c>
      <c r="L23" s="92"/>
      <c r="M23" s="47">
        <f t="shared" si="3"/>
        <v>3.2860388632319673</v>
      </c>
      <c r="N23" s="47">
        <f t="shared" si="4"/>
        <v>18.529559654714987</v>
      </c>
      <c r="O23" s="520">
        <v>5865647</v>
      </c>
      <c r="P23" s="502">
        <v>108687856</v>
      </c>
      <c r="Q23" s="353">
        <v>89412416</v>
      </c>
      <c r="R23" s="92"/>
      <c r="S23" s="546">
        <v>19274744</v>
      </c>
      <c r="T23" s="266"/>
      <c r="U23" s="104"/>
      <c r="V23" s="104"/>
      <c r="W23" s="514">
        <v>70.998183999999995</v>
      </c>
      <c r="X23" s="506"/>
      <c r="Y23" s="355"/>
      <c r="Z23" s="572">
        <v>0</v>
      </c>
      <c r="AA23" s="572">
        <v>0</v>
      </c>
      <c r="AB23" s="49"/>
      <c r="AD23" s="46">
        <v>0</v>
      </c>
      <c r="AE23" s="47" t="str">
        <f t="shared" si="8"/>
        <v>·</v>
      </c>
      <c r="AF23" s="47" t="str">
        <f t="shared" si="5"/>
        <v>·</v>
      </c>
      <c r="AG23" s="92" t="str">
        <f t="shared" si="9"/>
        <v>·</v>
      </c>
      <c r="AH23" s="47" t="str">
        <f t="shared" si="10"/>
        <v>·</v>
      </c>
      <c r="AI23" s="47" t="str">
        <f t="shared" si="11"/>
        <v>·</v>
      </c>
      <c r="AJ23" s="520"/>
      <c r="AK23" s="502"/>
      <c r="AL23" s="353"/>
      <c r="AM23" s="92"/>
      <c r="AN23" s="546"/>
      <c r="AO23" s="266"/>
      <c r="AP23" s="104"/>
      <c r="AQ23" s="104"/>
      <c r="AR23" s="514"/>
      <c r="AS23" s="506"/>
      <c r="AT23" s="355"/>
      <c r="AU23" s="572">
        <v>0</v>
      </c>
      <c r="AV23" s="572">
        <v>0</v>
      </c>
      <c r="AW23" s="49"/>
      <c r="AY23" s="68" t="e">
        <f t="shared" ref="AY23:AZ80" si="12">AU23/Z23</f>
        <v>#DIV/0!</v>
      </c>
      <c r="AZ23" s="69" t="e">
        <f t="shared" si="12"/>
        <v>#DIV/0!</v>
      </c>
      <c r="BA23" s="69" t="e">
        <f t="shared" si="7"/>
        <v>#DIV/0!</v>
      </c>
      <c r="BB23" s="70" t="e">
        <f t="array" ref="BB23">AVERAGE(AL23:AL28/AK23:AK28) - AVERAGE(Q23:Q28/P23:P28)</f>
        <v>#DIV/0!</v>
      </c>
      <c r="BD23" s="103"/>
      <c r="BE23" s="104"/>
      <c r="BF23" s="104"/>
      <c r="BG23" s="86" t="str">
        <f>IF( OR(ISBLANK($S23:$S28),ISBLANK($AN23:$AN28), ISBLANK($W23:$W28),ISBLANK($AR23:$AR28)), "·", bdRateHermite( $S23:$S28,$W23:$W28, $AN23:$AN28,$AR23:$AR28))</f>
        <v>·</v>
      </c>
      <c r="BI23" s="103"/>
      <c r="BJ23" s="104"/>
      <c r="BK23" s="104"/>
      <c r="BL23" s="85" t="str">
        <f>IF(OR(ISBLANK($P23:$P28),ISBLANK($AK23:$AK28),ISBLANK($W23:$W28),ISBLANK($AR23:$AR28)),"·",bdRateHermite($P23:$P28,$W23:$W28,$AK23:$AK28,$AR23:$AR28))</f>
        <v>·</v>
      </c>
      <c r="BN23" s="103"/>
      <c r="BO23" s="104"/>
      <c r="BP23" s="104"/>
      <c r="BQ23" s="86" t="str">
        <f>IF( OR(ISBLANK($S23:$S28),ISBLANK($AN23:$AN28), ISBLANK($W23:$W28),ISBLANK($AR23:$AR28)), "·", bdRateHermite( $S24:$S28,$W24:$W28, $AN24:$AN28,$AR24:$AR28))</f>
        <v>·</v>
      </c>
      <c r="BS23" s="103"/>
      <c r="BT23" s="104"/>
      <c r="BU23" s="104"/>
      <c r="BV23" s="85" t="str">
        <f>IF(OR(ISBLANK($P23:$P28),ISBLANK($AK23:$AK28),ISBLANK($W23:$W28),ISBLANK($AR23:$AR28)),"·",bdRateHermite($P24:$P28,$W24:$W28,$AK24:$AK28,$AR24:$AR28))</f>
        <v>·</v>
      </c>
      <c r="BX23" s="103"/>
      <c r="BY23" s="104"/>
      <c r="BZ23" s="104"/>
      <c r="CA23" s="86" t="str">
        <f>IF( OR(ISBLANK($S23:$S27),ISBLANK($AN23:$AN27), ISBLANK($W23:$W27),ISBLANK($AR23:$AR27)), "·", bdRateHermite( $S23:$S27,$W23:$W27, $AN23:$AN27,$AR23:$AR27))</f>
        <v>·</v>
      </c>
      <c r="CC23" s="103"/>
      <c r="CD23" s="104"/>
      <c r="CE23" s="104"/>
      <c r="CF23" s="85" t="str">
        <f>IF(OR(ISBLANK($P23:$P27),ISBLANK($AK23:$AK27),ISBLANK($W23:$W27),ISBLANK($AR23:$AR27)),"·",bdRateHermite($P23:$P27,$W23:$W27,$AK23:$AK27,$AR23:$AR27))</f>
        <v>·</v>
      </c>
    </row>
    <row r="24" spans="1:84" outlineLevel="1">
      <c r="A24" s="13"/>
      <c r="B24" s="295" t="s">
        <v>986</v>
      </c>
      <c r="C24" s="15" t="s">
        <v>132</v>
      </c>
      <c r="D24" s="300">
        <v>5865647</v>
      </c>
      <c r="E24" s="299">
        <v>19</v>
      </c>
      <c r="F24" s="299">
        <v>1</v>
      </c>
      <c r="G24" s="16"/>
      <c r="I24" s="30" t="str">
        <f t="shared" si="0"/>
        <v>·</v>
      </c>
      <c r="J24" s="31">
        <f t="shared" si="1"/>
        <v>19.673144326619042</v>
      </c>
      <c r="K24" s="31">
        <f t="shared" si="2"/>
        <v>15.243402134495989</v>
      </c>
      <c r="L24" s="87"/>
      <c r="M24" s="31">
        <f t="shared" si="3"/>
        <v>4.429623535136022</v>
      </c>
      <c r="N24" s="31">
        <f t="shared" si="4"/>
        <v>19.673144326619042</v>
      </c>
      <c r="O24" s="521">
        <v>5865647</v>
      </c>
      <c r="P24" s="503">
        <v>115395720</v>
      </c>
      <c r="Q24" s="357">
        <v>89412416</v>
      </c>
      <c r="R24" s="87"/>
      <c r="S24" s="547">
        <v>25982608</v>
      </c>
      <c r="T24" s="267"/>
      <c r="U24" s="106"/>
      <c r="V24" s="106"/>
      <c r="W24" s="515">
        <v>77.010231000000005</v>
      </c>
      <c r="X24" s="507"/>
      <c r="Y24" s="359"/>
      <c r="Z24" s="573">
        <v>0</v>
      </c>
      <c r="AA24" s="573">
        <v>0</v>
      </c>
      <c r="AB24" s="33"/>
      <c r="AD24" s="30">
        <v>0</v>
      </c>
      <c r="AE24" s="31" t="str">
        <f t="shared" si="8"/>
        <v>·</v>
      </c>
      <c r="AF24" s="31" t="str">
        <f t="shared" si="5"/>
        <v>·</v>
      </c>
      <c r="AG24" s="87" t="str">
        <f t="shared" si="9"/>
        <v>·</v>
      </c>
      <c r="AH24" s="31" t="str">
        <f t="shared" si="10"/>
        <v>·</v>
      </c>
      <c r="AI24" s="31" t="str">
        <f t="shared" si="11"/>
        <v>·</v>
      </c>
      <c r="AJ24" s="521"/>
      <c r="AK24" s="503"/>
      <c r="AL24" s="357"/>
      <c r="AM24" s="87"/>
      <c r="AN24" s="547"/>
      <c r="AO24" s="267"/>
      <c r="AP24" s="106"/>
      <c r="AQ24" s="106"/>
      <c r="AR24" s="515"/>
      <c r="AS24" s="507"/>
      <c r="AT24" s="359"/>
      <c r="AU24" s="573">
        <v>0</v>
      </c>
      <c r="AV24" s="573">
        <v>0</v>
      </c>
      <c r="AW24" s="33"/>
      <c r="AY24" s="56" t="e">
        <f t="shared" si="12"/>
        <v>#DIV/0!</v>
      </c>
      <c r="AZ24" s="57" t="e">
        <f t="shared" si="12"/>
        <v>#DIV/0!</v>
      </c>
      <c r="BA24" s="57" t="e">
        <f t="shared" si="7"/>
        <v>#DIV/0!</v>
      </c>
      <c r="BB24" s="58"/>
      <c r="BD24" s="105"/>
      <c r="BE24" s="106"/>
      <c r="BF24" s="106"/>
      <c r="BG24" s="76"/>
      <c r="BI24" s="105"/>
      <c r="BJ24" s="106"/>
      <c r="BK24" s="106"/>
      <c r="BL24" s="76"/>
      <c r="BN24" s="105"/>
      <c r="BO24" s="106"/>
      <c r="BP24" s="106"/>
      <c r="BQ24" s="76"/>
      <c r="BS24" s="105"/>
      <c r="BT24" s="106"/>
      <c r="BU24" s="106"/>
      <c r="BV24" s="76"/>
      <c r="BX24" s="105"/>
      <c r="BY24" s="106"/>
      <c r="BZ24" s="106"/>
      <c r="CA24" s="76"/>
      <c r="CC24" s="105"/>
      <c r="CD24" s="106"/>
      <c r="CE24" s="106"/>
      <c r="CF24" s="76"/>
    </row>
    <row r="25" spans="1:84" outlineLevel="1">
      <c r="A25" s="13"/>
      <c r="B25" s="295" t="s">
        <v>986</v>
      </c>
      <c r="C25" s="15" t="s">
        <v>133</v>
      </c>
      <c r="D25" s="300">
        <v>5865647</v>
      </c>
      <c r="E25" s="299">
        <v>19</v>
      </c>
      <c r="F25" s="299">
        <v>1</v>
      </c>
      <c r="G25" s="16"/>
      <c r="I25" s="30" t="str">
        <f t="shared" si="0"/>
        <v>·</v>
      </c>
      <c r="J25" s="31">
        <f t="shared" si="1"/>
        <v>21.079490122743493</v>
      </c>
      <c r="K25" s="31">
        <f t="shared" si="2"/>
        <v>15.243402134495989</v>
      </c>
      <c r="L25" s="87"/>
      <c r="M25" s="31">
        <f t="shared" si="3"/>
        <v>5.8359693312604728</v>
      </c>
      <c r="N25" s="31">
        <f t="shared" si="4"/>
        <v>21.079490122743493</v>
      </c>
      <c r="O25" s="521">
        <v>5865647</v>
      </c>
      <c r="P25" s="503">
        <v>123644848</v>
      </c>
      <c r="Q25" s="357">
        <v>89412416</v>
      </c>
      <c r="R25" s="87"/>
      <c r="S25" s="547">
        <v>34231736</v>
      </c>
      <c r="T25" s="267"/>
      <c r="U25" s="106"/>
      <c r="V25" s="106"/>
      <c r="W25" s="515">
        <v>83.005736999999996</v>
      </c>
      <c r="X25" s="507"/>
      <c r="Y25" s="359"/>
      <c r="Z25" s="573">
        <v>0</v>
      </c>
      <c r="AA25" s="573">
        <v>0</v>
      </c>
      <c r="AB25" s="33"/>
      <c r="AD25" s="30">
        <v>0</v>
      </c>
      <c r="AE25" s="31" t="str">
        <f t="shared" si="8"/>
        <v>·</v>
      </c>
      <c r="AF25" s="31" t="str">
        <f t="shared" si="5"/>
        <v>·</v>
      </c>
      <c r="AG25" s="87" t="str">
        <f t="shared" si="9"/>
        <v>·</v>
      </c>
      <c r="AH25" s="31" t="str">
        <f t="shared" si="10"/>
        <v>·</v>
      </c>
      <c r="AI25" s="31" t="str">
        <f t="shared" si="11"/>
        <v>·</v>
      </c>
      <c r="AJ25" s="521"/>
      <c r="AK25" s="503"/>
      <c r="AL25" s="357"/>
      <c r="AM25" s="87"/>
      <c r="AN25" s="547"/>
      <c r="AO25" s="267"/>
      <c r="AP25" s="106"/>
      <c r="AQ25" s="106"/>
      <c r="AR25" s="515"/>
      <c r="AS25" s="507"/>
      <c r="AT25" s="359"/>
      <c r="AU25" s="573">
        <v>0</v>
      </c>
      <c r="AV25" s="573">
        <v>0</v>
      </c>
      <c r="AW25" s="33"/>
      <c r="AY25" s="56" t="e">
        <f t="shared" si="12"/>
        <v>#DIV/0!</v>
      </c>
      <c r="AZ25" s="57" t="e">
        <f t="shared" si="12"/>
        <v>#DIV/0!</v>
      </c>
      <c r="BA25" s="57" t="e">
        <f t="shared" si="7"/>
        <v>#DIV/0!</v>
      </c>
      <c r="BB25" s="58"/>
      <c r="BD25" s="105"/>
      <c r="BE25" s="106"/>
      <c r="BF25" s="106"/>
      <c r="BG25" s="76"/>
      <c r="BI25" s="105"/>
      <c r="BJ25" s="106"/>
      <c r="BK25" s="106"/>
      <c r="BL25" s="76"/>
      <c r="BN25" s="105"/>
      <c r="BO25" s="106"/>
      <c r="BP25" s="106"/>
      <c r="BQ25" s="76"/>
      <c r="BS25" s="105"/>
      <c r="BT25" s="106"/>
      <c r="BU25" s="106"/>
      <c r="BV25" s="76"/>
      <c r="BX25" s="105"/>
      <c r="BY25" s="106"/>
      <c r="BZ25" s="106"/>
      <c r="CA25" s="76"/>
      <c r="CC25" s="105"/>
      <c r="CD25" s="106"/>
      <c r="CE25" s="106"/>
      <c r="CF25" s="76"/>
    </row>
    <row r="26" spans="1:84" outlineLevel="1">
      <c r="A26" s="13"/>
      <c r="B26" s="295" t="s">
        <v>986</v>
      </c>
      <c r="C26" s="15" t="s">
        <v>134</v>
      </c>
      <c r="D26" s="300">
        <v>5865647</v>
      </c>
      <c r="E26" s="299">
        <v>19</v>
      </c>
      <c r="F26" s="299">
        <v>1</v>
      </c>
      <c r="G26" s="16"/>
      <c r="I26" s="30" t="str">
        <f t="shared" si="0"/>
        <v>·</v>
      </c>
      <c r="J26" s="31">
        <f t="shared" si="1"/>
        <v>22.750843342601421</v>
      </c>
      <c r="K26" s="31">
        <f t="shared" si="2"/>
        <v>15.243402134495989</v>
      </c>
      <c r="L26" s="87"/>
      <c r="M26" s="31">
        <f t="shared" si="3"/>
        <v>7.5073239149918161</v>
      </c>
      <c r="N26" s="31">
        <f t="shared" si="4"/>
        <v>22.750843342601421</v>
      </c>
      <c r="O26" s="521">
        <v>5865647</v>
      </c>
      <c r="P26" s="503">
        <v>133448416</v>
      </c>
      <c r="Q26" s="357">
        <v>89412416</v>
      </c>
      <c r="R26" s="87"/>
      <c r="S26" s="547">
        <v>44035312</v>
      </c>
      <c r="T26" s="267"/>
      <c r="U26" s="106"/>
      <c r="V26" s="106"/>
      <c r="W26" s="515">
        <v>88.927398999999994</v>
      </c>
      <c r="X26" s="507"/>
      <c r="Y26" s="359"/>
      <c r="Z26" s="573">
        <v>0</v>
      </c>
      <c r="AA26" s="573">
        <v>0</v>
      </c>
      <c r="AB26" s="33"/>
      <c r="AD26" s="30">
        <v>0</v>
      </c>
      <c r="AE26" s="31" t="str">
        <f t="shared" si="8"/>
        <v>·</v>
      </c>
      <c r="AF26" s="31" t="str">
        <f t="shared" si="5"/>
        <v>·</v>
      </c>
      <c r="AG26" s="87" t="str">
        <f t="shared" si="9"/>
        <v>·</v>
      </c>
      <c r="AH26" s="31" t="str">
        <f t="shared" si="10"/>
        <v>·</v>
      </c>
      <c r="AI26" s="31" t="str">
        <f t="shared" si="11"/>
        <v>·</v>
      </c>
      <c r="AJ26" s="521"/>
      <c r="AK26" s="503"/>
      <c r="AL26" s="357"/>
      <c r="AM26" s="87"/>
      <c r="AN26" s="547"/>
      <c r="AO26" s="267"/>
      <c r="AP26" s="106"/>
      <c r="AQ26" s="106"/>
      <c r="AR26" s="515"/>
      <c r="AS26" s="507"/>
      <c r="AT26" s="359"/>
      <c r="AU26" s="573">
        <v>0</v>
      </c>
      <c r="AV26" s="573">
        <v>0</v>
      </c>
      <c r="AW26" s="33"/>
      <c r="AY26" s="56" t="e">
        <f t="shared" si="12"/>
        <v>#DIV/0!</v>
      </c>
      <c r="AZ26" s="57" t="e">
        <f t="shared" si="12"/>
        <v>#DIV/0!</v>
      </c>
      <c r="BA26" s="57" t="e">
        <f t="shared" si="7"/>
        <v>#DIV/0!</v>
      </c>
      <c r="BB26" s="58"/>
      <c r="BD26" s="105"/>
      <c r="BE26" s="106"/>
      <c r="BF26" s="106"/>
      <c r="BG26" s="76"/>
      <c r="BI26" s="105"/>
      <c r="BJ26" s="106"/>
      <c r="BK26" s="106"/>
      <c r="BL26" s="76"/>
      <c r="BN26" s="105"/>
      <c r="BO26" s="106"/>
      <c r="BP26" s="106"/>
      <c r="BQ26" s="76"/>
      <c r="BS26" s="105"/>
      <c r="BT26" s="106"/>
      <c r="BU26" s="106"/>
      <c r="BV26" s="76"/>
      <c r="BX26" s="105"/>
      <c r="BY26" s="106"/>
      <c r="BZ26" s="106"/>
      <c r="CA26" s="76"/>
      <c r="CC26" s="105"/>
      <c r="CD26" s="106"/>
      <c r="CE26" s="106"/>
      <c r="CF26" s="76"/>
    </row>
    <row r="27" spans="1:84" outlineLevel="1">
      <c r="A27" s="13"/>
      <c r="B27" s="295" t="s">
        <v>986</v>
      </c>
      <c r="C27" s="15" t="s">
        <v>135</v>
      </c>
      <c r="D27" s="300">
        <v>5865647</v>
      </c>
      <c r="E27" s="299">
        <v>19</v>
      </c>
      <c r="F27" s="299">
        <v>1</v>
      </c>
      <c r="G27" s="16"/>
      <c r="I27" s="30" t="str">
        <f t="shared" si="0"/>
        <v>·</v>
      </c>
      <c r="J27" s="31">
        <f t="shared" si="1"/>
        <v>23.931409442129741</v>
      </c>
      <c r="K27" s="31">
        <f t="shared" si="2"/>
        <v>15.243402134495989</v>
      </c>
      <c r="L27" s="87"/>
      <c r="M27" s="31">
        <f t="shared" si="3"/>
        <v>8.6878900145201374</v>
      </c>
      <c r="N27" s="31">
        <f t="shared" si="4"/>
        <v>23.931409442129741</v>
      </c>
      <c r="O27" s="521">
        <v>5865647</v>
      </c>
      <c r="P27" s="503">
        <v>140373200</v>
      </c>
      <c r="Q27" s="357">
        <v>89412416</v>
      </c>
      <c r="R27" s="87"/>
      <c r="S27" s="547">
        <v>50960096</v>
      </c>
      <c r="T27" s="267"/>
      <c r="U27" s="106"/>
      <c r="V27" s="106"/>
      <c r="W27" s="515">
        <v>94.568511999999998</v>
      </c>
      <c r="X27" s="507"/>
      <c r="Y27" s="359"/>
      <c r="Z27" s="573">
        <v>0</v>
      </c>
      <c r="AA27" s="573">
        <v>0</v>
      </c>
      <c r="AB27" s="33"/>
      <c r="AD27" s="30">
        <v>0</v>
      </c>
      <c r="AE27" s="31" t="str">
        <f t="shared" si="8"/>
        <v>·</v>
      </c>
      <c r="AF27" s="31" t="str">
        <f t="shared" si="5"/>
        <v>·</v>
      </c>
      <c r="AG27" s="87" t="str">
        <f t="shared" si="9"/>
        <v>·</v>
      </c>
      <c r="AH27" s="31" t="str">
        <f t="shared" si="10"/>
        <v>·</v>
      </c>
      <c r="AI27" s="31" t="str">
        <f t="shared" si="11"/>
        <v>·</v>
      </c>
      <c r="AJ27" s="521"/>
      <c r="AK27" s="503"/>
      <c r="AL27" s="357"/>
      <c r="AM27" s="87"/>
      <c r="AN27" s="547"/>
      <c r="AO27" s="267"/>
      <c r="AP27" s="106"/>
      <c r="AQ27" s="106"/>
      <c r="AR27" s="515"/>
      <c r="AS27" s="507"/>
      <c r="AT27" s="359"/>
      <c r="AU27" s="573">
        <v>0</v>
      </c>
      <c r="AV27" s="573">
        <v>0</v>
      </c>
      <c r="AW27" s="33"/>
      <c r="AY27" s="56" t="e">
        <f t="shared" si="12"/>
        <v>#DIV/0!</v>
      </c>
      <c r="AZ27" s="57" t="e">
        <f t="shared" si="12"/>
        <v>#DIV/0!</v>
      </c>
      <c r="BA27" s="57" t="e">
        <f t="shared" si="7"/>
        <v>#DIV/0!</v>
      </c>
      <c r="BB27" s="58"/>
      <c r="BD27" s="105"/>
      <c r="BE27" s="106"/>
      <c r="BF27" s="106"/>
      <c r="BG27" s="76"/>
      <c r="BI27" s="105"/>
      <c r="BJ27" s="106"/>
      <c r="BK27" s="106"/>
      <c r="BL27" s="76"/>
      <c r="BN27" s="105"/>
      <c r="BO27" s="106"/>
      <c r="BP27" s="106"/>
      <c r="BQ27" s="76"/>
      <c r="BS27" s="105"/>
      <c r="BT27" s="106"/>
      <c r="BU27" s="106"/>
      <c r="BV27" s="76"/>
      <c r="BX27" s="105"/>
      <c r="BY27" s="106"/>
      <c r="BZ27" s="106"/>
      <c r="CA27" s="76"/>
      <c r="CC27" s="105"/>
      <c r="CD27" s="106"/>
      <c r="CE27" s="106"/>
      <c r="CF27" s="76"/>
    </row>
    <row r="28" spans="1:84" ht="14.25" outlineLevel="1" thickBot="1">
      <c r="A28" s="13"/>
      <c r="B28" s="296" t="s">
        <v>986</v>
      </c>
      <c r="C28" s="22" t="s">
        <v>136</v>
      </c>
      <c r="D28" s="305">
        <v>5865647</v>
      </c>
      <c r="E28" s="306">
        <v>19</v>
      </c>
      <c r="F28" s="306">
        <v>1</v>
      </c>
      <c r="G28" s="23"/>
      <c r="I28" s="34" t="str">
        <f t="shared" si="0"/>
        <v>·</v>
      </c>
      <c r="J28" s="35">
        <f t="shared" si="1"/>
        <v>25.164125969394341</v>
      </c>
      <c r="K28" s="35">
        <f t="shared" si="2"/>
        <v>15.243402134495989</v>
      </c>
      <c r="L28" s="88"/>
      <c r="M28" s="35">
        <f t="shared" si="3"/>
        <v>9.9206065417847338</v>
      </c>
      <c r="N28" s="35">
        <f t="shared" si="4"/>
        <v>25.164125969394341</v>
      </c>
      <c r="O28" s="522">
        <v>5865647</v>
      </c>
      <c r="P28" s="505">
        <v>147603880</v>
      </c>
      <c r="Q28" s="361">
        <v>89412416</v>
      </c>
      <c r="R28" s="88"/>
      <c r="S28" s="548">
        <v>58190776</v>
      </c>
      <c r="T28" s="545"/>
      <c r="U28" s="109"/>
      <c r="V28" s="109"/>
      <c r="W28" s="517">
        <v>99.340819999999994</v>
      </c>
      <c r="X28" s="509"/>
      <c r="Y28" s="363"/>
      <c r="Z28" s="575">
        <v>0</v>
      </c>
      <c r="AA28" s="575">
        <v>0</v>
      </c>
      <c r="AB28" s="37"/>
      <c r="AD28" s="34">
        <v>0</v>
      </c>
      <c r="AE28" s="35" t="str">
        <f t="shared" si="8"/>
        <v>·</v>
      </c>
      <c r="AF28" s="35" t="str">
        <f t="shared" si="5"/>
        <v>·</v>
      </c>
      <c r="AG28" s="88" t="str">
        <f t="shared" si="9"/>
        <v>·</v>
      </c>
      <c r="AH28" s="35" t="str">
        <f t="shared" si="10"/>
        <v>·</v>
      </c>
      <c r="AI28" s="35" t="str">
        <f t="shared" si="11"/>
        <v>·</v>
      </c>
      <c r="AJ28" s="522"/>
      <c r="AK28" s="505"/>
      <c r="AL28" s="361"/>
      <c r="AM28" s="88"/>
      <c r="AN28" s="548"/>
      <c r="AO28" s="545"/>
      <c r="AP28" s="109"/>
      <c r="AQ28" s="109"/>
      <c r="AR28" s="517"/>
      <c r="AS28" s="509"/>
      <c r="AT28" s="363"/>
      <c r="AU28" s="575">
        <v>0</v>
      </c>
      <c r="AV28" s="575">
        <v>0</v>
      </c>
      <c r="AW28" s="37"/>
      <c r="AY28" s="59" t="e">
        <f t="shared" si="12"/>
        <v>#DIV/0!</v>
      </c>
      <c r="AZ28" s="60" t="e">
        <f t="shared" si="12"/>
        <v>#DIV/0!</v>
      </c>
      <c r="BA28" s="60" t="e">
        <f t="shared" si="7"/>
        <v>#DIV/0!</v>
      </c>
      <c r="BB28" s="61"/>
      <c r="BD28" s="108"/>
      <c r="BE28" s="109"/>
      <c r="BF28" s="109"/>
      <c r="BG28" s="79"/>
      <c r="BI28" s="108"/>
      <c r="BJ28" s="109"/>
      <c r="BK28" s="109"/>
      <c r="BL28" s="82"/>
      <c r="BN28" s="134"/>
      <c r="BO28" s="135"/>
      <c r="BP28" s="135"/>
      <c r="BQ28" s="82"/>
      <c r="BS28" s="134"/>
      <c r="BT28" s="135"/>
      <c r="BU28" s="135"/>
      <c r="BV28" s="82"/>
      <c r="BX28" s="134"/>
      <c r="BY28" s="135"/>
      <c r="BZ28" s="135"/>
      <c r="CA28" s="82"/>
      <c r="CC28" s="134"/>
      <c r="CD28" s="135"/>
      <c r="CE28" s="135"/>
      <c r="CF28" s="82"/>
    </row>
    <row r="29" spans="1:84">
      <c r="A29" s="13"/>
      <c r="B29" s="293" t="s">
        <v>987</v>
      </c>
      <c r="C29" s="28" t="s">
        <v>131</v>
      </c>
      <c r="D29" s="307">
        <v>5538380</v>
      </c>
      <c r="E29" s="308">
        <v>19</v>
      </c>
      <c r="F29" s="308">
        <v>1</v>
      </c>
      <c r="G29" s="29"/>
      <c r="I29" s="46" t="str">
        <f t="shared" si="0"/>
        <v>·</v>
      </c>
      <c r="J29" s="47">
        <f t="shared" si="1"/>
        <v>20.424280024122577</v>
      </c>
      <c r="K29" s="47">
        <f t="shared" si="2"/>
        <v>16.990158132883622</v>
      </c>
      <c r="L29" s="87"/>
      <c r="M29" s="47">
        <f t="shared" si="3"/>
        <v>3.4339890003936171</v>
      </c>
      <c r="N29" s="47">
        <f t="shared" si="4"/>
        <v>20.424280024122577</v>
      </c>
      <c r="O29" s="520">
        <v>5538380</v>
      </c>
      <c r="P29" s="502">
        <v>113117424</v>
      </c>
      <c r="Q29" s="353">
        <v>94097952</v>
      </c>
      <c r="R29" s="87"/>
      <c r="S29" s="546">
        <v>19018736</v>
      </c>
      <c r="T29" s="266"/>
      <c r="U29" s="104"/>
      <c r="V29" s="104"/>
      <c r="W29" s="514">
        <v>70.993926999999999</v>
      </c>
      <c r="X29" s="506"/>
      <c r="Y29" s="355"/>
      <c r="Z29" s="572">
        <v>0</v>
      </c>
      <c r="AA29" s="572">
        <v>0</v>
      </c>
      <c r="AB29" s="49"/>
      <c r="AD29" s="46">
        <v>0</v>
      </c>
      <c r="AE29" s="47" t="str">
        <f t="shared" si="8"/>
        <v>·</v>
      </c>
      <c r="AF29" s="47" t="str">
        <f t="shared" si="5"/>
        <v>·</v>
      </c>
      <c r="AG29" s="87" t="str">
        <f t="shared" si="9"/>
        <v>·</v>
      </c>
      <c r="AH29" s="47" t="str">
        <f t="shared" si="10"/>
        <v>·</v>
      </c>
      <c r="AI29" s="47" t="str">
        <f t="shared" si="11"/>
        <v>·</v>
      </c>
      <c r="AJ29" s="520"/>
      <c r="AK29" s="502"/>
      <c r="AL29" s="353"/>
      <c r="AM29" s="87"/>
      <c r="AN29" s="546"/>
      <c r="AO29" s="266"/>
      <c r="AP29" s="104"/>
      <c r="AQ29" s="104"/>
      <c r="AR29" s="514"/>
      <c r="AS29" s="506"/>
      <c r="AT29" s="355"/>
      <c r="AU29" s="572">
        <v>0</v>
      </c>
      <c r="AV29" s="572">
        <v>0</v>
      </c>
      <c r="AW29" s="49"/>
      <c r="AY29" s="68" t="e">
        <f t="shared" si="12"/>
        <v>#DIV/0!</v>
      </c>
      <c r="AZ29" s="69" t="e">
        <f t="shared" si="12"/>
        <v>#DIV/0!</v>
      </c>
      <c r="BA29" s="69" t="e">
        <f t="shared" si="7"/>
        <v>#DIV/0!</v>
      </c>
      <c r="BB29" s="70" t="e">
        <f t="array" ref="BB29">AVERAGE(AL29:AL34/AK29:AK34) - AVERAGE(Q29:Q34/P29:P34)</f>
        <v>#DIV/0!</v>
      </c>
      <c r="BD29" s="103"/>
      <c r="BE29" s="104"/>
      <c r="BF29" s="104"/>
      <c r="BG29" s="86" t="str">
        <f>IF( OR(ISBLANK($S29:$S34),ISBLANK($AN29:$AN34), ISBLANK($W29:$W34),ISBLANK($AR29:$AR34)), "·", bdRateHermite( $S29:$S34,$W29:$W34, $AN29:$AN34,$AR29:$AR34))</f>
        <v>·</v>
      </c>
      <c r="BI29" s="103"/>
      <c r="BJ29" s="104"/>
      <c r="BK29" s="104"/>
      <c r="BL29" s="85" t="str">
        <f>IF(OR(ISBLANK($P29:$P34),ISBLANK($AK29:$AK34),ISBLANK($W29:$W34),ISBLANK($AR29:$AR34)),"·",bdRateHermite($P29:$P34,$W29:$W34,$AK29:$AK34,$AR29:$AR34))</f>
        <v>·</v>
      </c>
      <c r="BN29" s="103"/>
      <c r="BO29" s="104"/>
      <c r="BP29" s="104"/>
      <c r="BQ29" s="86" t="str">
        <f>IF( OR(ISBLANK($S29:$S34),ISBLANK($AN29:$AN34), ISBLANK($W29:$W34),ISBLANK($AR29:$AR34)), "·", bdRateHermite( $S30:$S34,$W30:$W34, $AN30:$AN34,$AR30:$AR34))</f>
        <v>·</v>
      </c>
      <c r="BS29" s="103"/>
      <c r="BT29" s="104"/>
      <c r="BU29" s="104"/>
      <c r="BV29" s="85" t="str">
        <f>IF(OR(ISBLANK($P29:$P34),ISBLANK($AK29:$AK34),ISBLANK($W29:$W34),ISBLANK($AR29:$AR34)),"·",bdRateHermite($P30:$P34,$W30:$W34,$AK30:$AK34,$AR30:$AR34))</f>
        <v>·</v>
      </c>
      <c r="BX29" s="103"/>
      <c r="BY29" s="104"/>
      <c r="BZ29" s="104"/>
      <c r="CA29" s="86" t="str">
        <f>IF( OR(ISBLANK($S29:$S33),ISBLANK($AN29:$AN33), ISBLANK($W29:$W33),ISBLANK($AR29:$AR33)), "·", bdRateHermite( $S29:$S33,$W29:$W33, $AN29:$AN33,$AR29:$AR33))</f>
        <v>·</v>
      </c>
      <c r="CC29" s="103"/>
      <c r="CD29" s="104"/>
      <c r="CE29" s="104"/>
      <c r="CF29" s="85" t="str">
        <f>IF(OR(ISBLANK($P29:$P33),ISBLANK($AK29:$AK33),ISBLANK($W29:$W33),ISBLANK($AR29:$AR33)),"·",bdRateHermite($P29:$P33,$W29:$W33,$AK29:$AK33,$AR29:$AR33))</f>
        <v>·</v>
      </c>
    </row>
    <row r="30" spans="1:84" outlineLevel="1">
      <c r="A30" s="13"/>
      <c r="B30" s="291" t="s">
        <v>987</v>
      </c>
      <c r="C30" s="15" t="s">
        <v>132</v>
      </c>
      <c r="D30" s="300">
        <v>5538380</v>
      </c>
      <c r="E30" s="299">
        <v>19</v>
      </c>
      <c r="F30" s="299">
        <v>1</v>
      </c>
      <c r="G30" s="16"/>
      <c r="I30" s="30" t="str">
        <f t="shared" si="0"/>
        <v>·</v>
      </c>
      <c r="J30" s="31">
        <f t="shared" si="1"/>
        <v>21.610495487850237</v>
      </c>
      <c r="K30" s="31">
        <f t="shared" si="2"/>
        <v>16.990158132883622</v>
      </c>
      <c r="L30" s="87"/>
      <c r="M30" s="31">
        <f t="shared" si="3"/>
        <v>4.6202044641212776</v>
      </c>
      <c r="N30" s="31">
        <f t="shared" si="4"/>
        <v>21.610495487850237</v>
      </c>
      <c r="O30" s="521">
        <v>5538380</v>
      </c>
      <c r="P30" s="503">
        <v>119687136</v>
      </c>
      <c r="Q30" s="357">
        <v>94097952</v>
      </c>
      <c r="R30" s="87"/>
      <c r="S30" s="547">
        <v>25588448</v>
      </c>
      <c r="T30" s="267"/>
      <c r="U30" s="106"/>
      <c r="V30" s="106"/>
      <c r="W30" s="515">
        <v>77.010695999999996</v>
      </c>
      <c r="X30" s="507"/>
      <c r="Y30" s="359"/>
      <c r="Z30" s="573">
        <v>0</v>
      </c>
      <c r="AA30" s="573">
        <v>0</v>
      </c>
      <c r="AB30" s="33"/>
      <c r="AD30" s="30">
        <v>0</v>
      </c>
      <c r="AE30" s="31" t="str">
        <f t="shared" si="8"/>
        <v>·</v>
      </c>
      <c r="AF30" s="31" t="str">
        <f t="shared" si="5"/>
        <v>·</v>
      </c>
      <c r="AG30" s="87" t="str">
        <f t="shared" si="9"/>
        <v>·</v>
      </c>
      <c r="AH30" s="31" t="str">
        <f t="shared" si="10"/>
        <v>·</v>
      </c>
      <c r="AI30" s="31" t="str">
        <f t="shared" si="11"/>
        <v>·</v>
      </c>
      <c r="AJ30" s="521"/>
      <c r="AK30" s="503"/>
      <c r="AL30" s="357"/>
      <c r="AM30" s="87"/>
      <c r="AN30" s="547"/>
      <c r="AO30" s="267"/>
      <c r="AP30" s="106"/>
      <c r="AQ30" s="106"/>
      <c r="AR30" s="515"/>
      <c r="AS30" s="507"/>
      <c r="AT30" s="359"/>
      <c r="AU30" s="573">
        <v>0</v>
      </c>
      <c r="AV30" s="573">
        <v>0</v>
      </c>
      <c r="AW30" s="33"/>
      <c r="AY30" s="56" t="e">
        <f t="shared" si="12"/>
        <v>#DIV/0!</v>
      </c>
      <c r="AZ30" s="57" t="e">
        <f t="shared" si="12"/>
        <v>#DIV/0!</v>
      </c>
      <c r="BA30" s="57" t="e">
        <f t="shared" si="7"/>
        <v>#DIV/0!</v>
      </c>
      <c r="BB30" s="58"/>
      <c r="BD30" s="105"/>
      <c r="BE30" s="106"/>
      <c r="BF30" s="106"/>
      <c r="BG30" s="76"/>
      <c r="BI30" s="105"/>
      <c r="BJ30" s="106"/>
      <c r="BK30" s="106"/>
      <c r="BL30" s="76"/>
      <c r="BN30" s="105"/>
      <c r="BO30" s="106"/>
      <c r="BP30" s="106"/>
      <c r="BQ30" s="76"/>
      <c r="BS30" s="105"/>
      <c r="BT30" s="106"/>
      <c r="BU30" s="106"/>
      <c r="BV30" s="76"/>
      <c r="BX30" s="105"/>
      <c r="BY30" s="106"/>
      <c r="BZ30" s="106"/>
      <c r="CA30" s="76"/>
      <c r="CC30" s="105"/>
      <c r="CD30" s="106"/>
      <c r="CE30" s="106"/>
      <c r="CF30" s="76"/>
    </row>
    <row r="31" spans="1:84" outlineLevel="1">
      <c r="A31" s="13"/>
      <c r="B31" s="291" t="s">
        <v>987</v>
      </c>
      <c r="C31" s="15" t="s">
        <v>133</v>
      </c>
      <c r="D31" s="300">
        <v>5538380</v>
      </c>
      <c r="E31" s="299">
        <v>19</v>
      </c>
      <c r="F31" s="299">
        <v>1</v>
      </c>
      <c r="G31" s="16"/>
      <c r="I31" s="30" t="str">
        <f t="shared" si="0"/>
        <v>·</v>
      </c>
      <c r="J31" s="31">
        <f t="shared" si="1"/>
        <v>23.026693004091449</v>
      </c>
      <c r="K31" s="31">
        <f t="shared" si="2"/>
        <v>16.990158132883622</v>
      </c>
      <c r="L31" s="87"/>
      <c r="M31" s="31">
        <f t="shared" si="3"/>
        <v>6.0364019803624887</v>
      </c>
      <c r="N31" s="31">
        <f t="shared" si="4"/>
        <v>23.026693004091449</v>
      </c>
      <c r="O31" s="521">
        <v>5538380</v>
      </c>
      <c r="P31" s="503">
        <v>127530576</v>
      </c>
      <c r="Q31" s="357">
        <v>94097952</v>
      </c>
      <c r="R31" s="87"/>
      <c r="S31" s="547">
        <v>33431888</v>
      </c>
      <c r="T31" s="267"/>
      <c r="U31" s="106"/>
      <c r="V31" s="106"/>
      <c r="W31" s="515">
        <v>83.002930000000006</v>
      </c>
      <c r="X31" s="507"/>
      <c r="Y31" s="359"/>
      <c r="Z31" s="573">
        <v>0</v>
      </c>
      <c r="AA31" s="573">
        <v>0</v>
      </c>
      <c r="AB31" s="33"/>
      <c r="AD31" s="30">
        <v>0</v>
      </c>
      <c r="AE31" s="31" t="str">
        <f t="shared" si="8"/>
        <v>·</v>
      </c>
      <c r="AF31" s="31" t="str">
        <f t="shared" si="5"/>
        <v>·</v>
      </c>
      <c r="AG31" s="87" t="str">
        <f t="shared" si="9"/>
        <v>·</v>
      </c>
      <c r="AH31" s="31" t="str">
        <f t="shared" si="10"/>
        <v>·</v>
      </c>
      <c r="AI31" s="31" t="str">
        <f t="shared" si="11"/>
        <v>·</v>
      </c>
      <c r="AJ31" s="521"/>
      <c r="AK31" s="503"/>
      <c r="AL31" s="357"/>
      <c r="AM31" s="87"/>
      <c r="AN31" s="547"/>
      <c r="AO31" s="267"/>
      <c r="AP31" s="106"/>
      <c r="AQ31" s="106"/>
      <c r="AR31" s="515"/>
      <c r="AS31" s="507"/>
      <c r="AT31" s="359"/>
      <c r="AU31" s="573">
        <v>0</v>
      </c>
      <c r="AV31" s="573">
        <v>0</v>
      </c>
      <c r="AW31" s="33"/>
      <c r="AY31" s="56" t="e">
        <f t="shared" si="12"/>
        <v>#DIV/0!</v>
      </c>
      <c r="AZ31" s="57" t="e">
        <f t="shared" si="12"/>
        <v>#DIV/0!</v>
      </c>
      <c r="BA31" s="57" t="e">
        <f t="shared" si="7"/>
        <v>#DIV/0!</v>
      </c>
      <c r="BB31" s="58"/>
      <c r="BD31" s="105"/>
      <c r="BE31" s="106"/>
      <c r="BF31" s="106"/>
      <c r="BG31" s="76"/>
      <c r="BI31" s="105"/>
      <c r="BJ31" s="106"/>
      <c r="BK31" s="106"/>
      <c r="BL31" s="76"/>
      <c r="BN31" s="105"/>
      <c r="BO31" s="106"/>
      <c r="BP31" s="106"/>
      <c r="BQ31" s="76"/>
      <c r="BS31" s="105"/>
      <c r="BT31" s="106"/>
      <c r="BU31" s="106"/>
      <c r="BV31" s="76"/>
      <c r="BX31" s="105"/>
      <c r="BY31" s="106"/>
      <c r="BZ31" s="106"/>
      <c r="CA31" s="76"/>
      <c r="CC31" s="105"/>
      <c r="CD31" s="106"/>
      <c r="CE31" s="106"/>
      <c r="CF31" s="76"/>
    </row>
    <row r="32" spans="1:84" outlineLevel="1">
      <c r="A32" s="13"/>
      <c r="B32" s="291" t="s">
        <v>987</v>
      </c>
      <c r="C32" s="15" t="s">
        <v>134</v>
      </c>
      <c r="D32" s="300">
        <v>5538380</v>
      </c>
      <c r="E32" s="299">
        <v>19</v>
      </c>
      <c r="F32" s="299">
        <v>1</v>
      </c>
      <c r="G32" s="16"/>
      <c r="I32" s="30" t="str">
        <f t="shared" si="0"/>
        <v>·</v>
      </c>
      <c r="J32" s="31">
        <f t="shared" si="1"/>
        <v>24.56331273765975</v>
      </c>
      <c r="K32" s="31">
        <f t="shared" si="2"/>
        <v>16.990158132883622</v>
      </c>
      <c r="L32" s="87"/>
      <c r="M32" s="31">
        <f t="shared" si="3"/>
        <v>7.573021713930788</v>
      </c>
      <c r="N32" s="31">
        <f t="shared" si="4"/>
        <v>24.56331273765975</v>
      </c>
      <c r="O32" s="521">
        <v>5538380</v>
      </c>
      <c r="P32" s="503">
        <v>136040960</v>
      </c>
      <c r="Q32" s="357">
        <v>94097952</v>
      </c>
      <c r="R32" s="87"/>
      <c r="S32" s="547">
        <v>41942272</v>
      </c>
      <c r="T32" s="267"/>
      <c r="U32" s="106"/>
      <c r="V32" s="106"/>
      <c r="W32" s="515">
        <v>88.928229999999999</v>
      </c>
      <c r="X32" s="507"/>
      <c r="Y32" s="359"/>
      <c r="Z32" s="573">
        <v>0</v>
      </c>
      <c r="AA32" s="573">
        <v>0</v>
      </c>
      <c r="AB32" s="33"/>
      <c r="AD32" s="30">
        <v>0</v>
      </c>
      <c r="AE32" s="31" t="str">
        <f t="shared" si="8"/>
        <v>·</v>
      </c>
      <c r="AF32" s="31" t="str">
        <f t="shared" si="5"/>
        <v>·</v>
      </c>
      <c r="AG32" s="87" t="str">
        <f t="shared" si="9"/>
        <v>·</v>
      </c>
      <c r="AH32" s="31" t="str">
        <f t="shared" si="10"/>
        <v>·</v>
      </c>
      <c r="AI32" s="31" t="str">
        <f t="shared" si="11"/>
        <v>·</v>
      </c>
      <c r="AJ32" s="521"/>
      <c r="AK32" s="503"/>
      <c r="AL32" s="357"/>
      <c r="AM32" s="87"/>
      <c r="AN32" s="547"/>
      <c r="AO32" s="267"/>
      <c r="AP32" s="106"/>
      <c r="AQ32" s="106"/>
      <c r="AR32" s="515"/>
      <c r="AS32" s="507"/>
      <c r="AT32" s="359"/>
      <c r="AU32" s="573">
        <v>0</v>
      </c>
      <c r="AV32" s="573">
        <v>0</v>
      </c>
      <c r="AW32" s="33"/>
      <c r="AY32" s="56" t="e">
        <f t="shared" si="12"/>
        <v>#DIV/0!</v>
      </c>
      <c r="AZ32" s="57" t="e">
        <f t="shared" si="12"/>
        <v>#DIV/0!</v>
      </c>
      <c r="BA32" s="57" t="e">
        <f t="shared" si="7"/>
        <v>#DIV/0!</v>
      </c>
      <c r="BB32" s="58"/>
      <c r="BD32" s="105"/>
      <c r="BE32" s="106"/>
      <c r="BF32" s="106"/>
      <c r="BG32" s="76"/>
      <c r="BI32" s="105"/>
      <c r="BJ32" s="106"/>
      <c r="BK32" s="106"/>
      <c r="BL32" s="76"/>
      <c r="BN32" s="105"/>
      <c r="BO32" s="106"/>
      <c r="BP32" s="106"/>
      <c r="BQ32" s="76"/>
      <c r="BS32" s="105"/>
      <c r="BT32" s="106"/>
      <c r="BU32" s="106"/>
      <c r="BV32" s="76"/>
      <c r="BX32" s="105"/>
      <c r="BY32" s="106"/>
      <c r="BZ32" s="106"/>
      <c r="CA32" s="76"/>
      <c r="CC32" s="105"/>
      <c r="CD32" s="106"/>
      <c r="CE32" s="106"/>
      <c r="CF32" s="76"/>
    </row>
    <row r="33" spans="1:84" outlineLevel="1">
      <c r="A33" s="13"/>
      <c r="B33" s="291" t="s">
        <v>987</v>
      </c>
      <c r="C33" s="15" t="s">
        <v>135</v>
      </c>
      <c r="D33" s="300">
        <v>5538380</v>
      </c>
      <c r="E33" s="299">
        <v>19</v>
      </c>
      <c r="F33" s="299">
        <v>1</v>
      </c>
      <c r="G33" s="16"/>
      <c r="I33" s="30" t="str">
        <f t="shared" si="0"/>
        <v>·</v>
      </c>
      <c r="J33" s="31">
        <f t="shared" si="1"/>
        <v>25.730085692928256</v>
      </c>
      <c r="K33" s="31">
        <f t="shared" si="2"/>
        <v>16.990158132883622</v>
      </c>
      <c r="L33" s="87"/>
      <c r="M33" s="31">
        <f t="shared" si="3"/>
        <v>8.7397946691992967</v>
      </c>
      <c r="N33" s="31">
        <f t="shared" si="4"/>
        <v>25.730085692928256</v>
      </c>
      <c r="O33" s="521">
        <v>5538380</v>
      </c>
      <c r="P33" s="503">
        <v>142502992</v>
      </c>
      <c r="Q33" s="357">
        <v>94097952</v>
      </c>
      <c r="R33" s="87"/>
      <c r="S33" s="547">
        <v>48404304</v>
      </c>
      <c r="T33" s="267"/>
      <c r="U33" s="106"/>
      <c r="V33" s="106"/>
      <c r="W33" s="515">
        <v>94.569457999999997</v>
      </c>
      <c r="X33" s="507"/>
      <c r="Y33" s="359"/>
      <c r="Z33" s="573">
        <v>0</v>
      </c>
      <c r="AA33" s="573">
        <v>0</v>
      </c>
      <c r="AB33" s="33"/>
      <c r="AD33" s="30">
        <v>0</v>
      </c>
      <c r="AE33" s="31" t="str">
        <f t="shared" si="8"/>
        <v>·</v>
      </c>
      <c r="AF33" s="31" t="str">
        <f t="shared" si="5"/>
        <v>·</v>
      </c>
      <c r="AG33" s="87" t="str">
        <f t="shared" si="9"/>
        <v>·</v>
      </c>
      <c r="AH33" s="31" t="str">
        <f t="shared" si="10"/>
        <v>·</v>
      </c>
      <c r="AI33" s="31" t="str">
        <f t="shared" si="11"/>
        <v>·</v>
      </c>
      <c r="AJ33" s="521"/>
      <c r="AK33" s="503"/>
      <c r="AL33" s="357"/>
      <c r="AM33" s="87"/>
      <c r="AN33" s="547"/>
      <c r="AO33" s="267"/>
      <c r="AP33" s="106"/>
      <c r="AQ33" s="106"/>
      <c r="AR33" s="515"/>
      <c r="AS33" s="507"/>
      <c r="AT33" s="359"/>
      <c r="AU33" s="573">
        <v>0</v>
      </c>
      <c r="AV33" s="573">
        <v>0</v>
      </c>
      <c r="AW33" s="33"/>
      <c r="AY33" s="56" t="e">
        <f t="shared" si="12"/>
        <v>#DIV/0!</v>
      </c>
      <c r="AZ33" s="57" t="e">
        <f t="shared" si="12"/>
        <v>#DIV/0!</v>
      </c>
      <c r="BA33" s="57" t="e">
        <f t="shared" si="7"/>
        <v>#DIV/0!</v>
      </c>
      <c r="BB33" s="58"/>
      <c r="BD33" s="105"/>
      <c r="BE33" s="106"/>
      <c r="BF33" s="106"/>
      <c r="BG33" s="76"/>
      <c r="BI33" s="105"/>
      <c r="BJ33" s="106"/>
      <c r="BK33" s="106"/>
      <c r="BL33" s="76"/>
      <c r="BN33" s="105"/>
      <c r="BO33" s="106"/>
      <c r="BP33" s="106"/>
      <c r="BQ33" s="76"/>
      <c r="BS33" s="105"/>
      <c r="BT33" s="106"/>
      <c r="BU33" s="106"/>
      <c r="BV33" s="76"/>
      <c r="BX33" s="105"/>
      <c r="BY33" s="106"/>
      <c r="BZ33" s="106"/>
      <c r="CA33" s="76"/>
      <c r="CC33" s="105"/>
      <c r="CD33" s="106"/>
      <c r="CE33" s="106"/>
      <c r="CF33" s="76"/>
    </row>
    <row r="34" spans="1:84" ht="14.25" outlineLevel="1" thickBot="1">
      <c r="A34" s="13"/>
      <c r="B34" s="292" t="s">
        <v>987</v>
      </c>
      <c r="C34" s="19" t="s">
        <v>136</v>
      </c>
      <c r="D34" s="301">
        <v>5538380</v>
      </c>
      <c r="E34" s="302">
        <v>19</v>
      </c>
      <c r="F34" s="302">
        <v>1</v>
      </c>
      <c r="G34" s="20"/>
      <c r="I34" s="34" t="str">
        <f t="shared" si="0"/>
        <v>·</v>
      </c>
      <c r="J34" s="35">
        <f t="shared" si="1"/>
        <v>26.980260653837405</v>
      </c>
      <c r="K34" s="35">
        <f t="shared" si="2"/>
        <v>16.990158132883622</v>
      </c>
      <c r="L34" s="89"/>
      <c r="M34" s="35">
        <f t="shared" si="3"/>
        <v>9.9899710745741537</v>
      </c>
      <c r="N34" s="35">
        <f t="shared" si="4"/>
        <v>26.980260653837405</v>
      </c>
      <c r="O34" s="525">
        <v>5538380</v>
      </c>
      <c r="P34" s="505">
        <v>149426936</v>
      </c>
      <c r="Q34" s="361">
        <v>94097952</v>
      </c>
      <c r="R34" s="89"/>
      <c r="S34" s="548">
        <v>55328256</v>
      </c>
      <c r="T34" s="545"/>
      <c r="U34" s="109"/>
      <c r="V34" s="109"/>
      <c r="W34" s="517">
        <v>99.339989000000003</v>
      </c>
      <c r="X34" s="509"/>
      <c r="Y34" s="363"/>
      <c r="Z34" s="575">
        <v>0</v>
      </c>
      <c r="AA34" s="575">
        <v>0</v>
      </c>
      <c r="AB34" s="37"/>
      <c r="AD34" s="34">
        <v>0</v>
      </c>
      <c r="AE34" s="35" t="str">
        <f t="shared" si="8"/>
        <v>·</v>
      </c>
      <c r="AF34" s="35" t="str">
        <f t="shared" si="5"/>
        <v>·</v>
      </c>
      <c r="AG34" s="89" t="str">
        <f t="shared" si="9"/>
        <v>·</v>
      </c>
      <c r="AH34" s="35" t="str">
        <f t="shared" si="10"/>
        <v>·</v>
      </c>
      <c r="AI34" s="35" t="str">
        <f t="shared" si="11"/>
        <v>·</v>
      </c>
      <c r="AJ34" s="525"/>
      <c r="AK34" s="505"/>
      <c r="AL34" s="361"/>
      <c r="AM34" s="89"/>
      <c r="AN34" s="548"/>
      <c r="AO34" s="545"/>
      <c r="AP34" s="109"/>
      <c r="AQ34" s="109"/>
      <c r="AR34" s="517"/>
      <c r="AS34" s="509"/>
      <c r="AT34" s="363"/>
      <c r="AU34" s="575">
        <v>0</v>
      </c>
      <c r="AV34" s="575">
        <v>0</v>
      </c>
      <c r="AW34" s="37"/>
      <c r="AY34" s="59" t="e">
        <f t="shared" si="12"/>
        <v>#DIV/0!</v>
      </c>
      <c r="AZ34" s="60" t="e">
        <f t="shared" si="12"/>
        <v>#DIV/0!</v>
      </c>
      <c r="BA34" s="60" t="e">
        <f t="shared" si="7"/>
        <v>#DIV/0!</v>
      </c>
      <c r="BB34" s="61"/>
      <c r="BD34" s="108"/>
      <c r="BE34" s="109"/>
      <c r="BF34" s="109"/>
      <c r="BG34" s="79"/>
      <c r="BI34" s="108"/>
      <c r="BJ34" s="109"/>
      <c r="BK34" s="109"/>
      <c r="BL34" s="79"/>
      <c r="BN34" s="108"/>
      <c r="BO34" s="109"/>
      <c r="BP34" s="109"/>
      <c r="BQ34" s="79"/>
      <c r="BS34" s="108"/>
      <c r="BT34" s="109"/>
      <c r="BU34" s="109"/>
      <c r="BV34" s="79"/>
      <c r="BX34" s="108"/>
      <c r="BY34" s="109"/>
      <c r="BZ34" s="109"/>
      <c r="CA34" s="79"/>
      <c r="CC34" s="108"/>
      <c r="CD34" s="109"/>
      <c r="CE34" s="109"/>
      <c r="CF34" s="79"/>
    </row>
    <row r="35" spans="1:84">
      <c r="A35" s="13"/>
      <c r="B35" s="294" t="s">
        <v>988</v>
      </c>
      <c r="C35" s="25" t="s">
        <v>131</v>
      </c>
      <c r="D35" s="303">
        <v>7740280</v>
      </c>
      <c r="E35" s="304">
        <v>19</v>
      </c>
      <c r="F35" s="304">
        <v>1</v>
      </c>
      <c r="G35" s="26"/>
      <c r="I35" s="46" t="str">
        <f t="shared" si="0"/>
        <v>·</v>
      </c>
      <c r="J35" s="47">
        <f t="shared" si="1"/>
        <v>18.813038288020589</v>
      </c>
      <c r="K35" s="47">
        <f t="shared" si="2"/>
        <v>15.461782777884004</v>
      </c>
      <c r="L35" s="90"/>
      <c r="M35" s="47">
        <f t="shared" si="3"/>
        <v>3.3511614566914893</v>
      </c>
      <c r="N35" s="47">
        <f t="shared" si="4"/>
        <v>18.813038288020589</v>
      </c>
      <c r="O35" s="520">
        <v>7740280</v>
      </c>
      <c r="P35" s="502">
        <v>145618184</v>
      </c>
      <c r="Q35" s="353">
        <v>119678528</v>
      </c>
      <c r="R35" s="90"/>
      <c r="S35" s="546">
        <v>25938928</v>
      </c>
      <c r="T35" s="266"/>
      <c r="U35" s="104"/>
      <c r="V35" s="104"/>
      <c r="W35" s="514">
        <v>70.997024999999994</v>
      </c>
      <c r="X35" s="506"/>
      <c r="Y35" s="355"/>
      <c r="Z35" s="572">
        <v>0</v>
      </c>
      <c r="AA35" s="572">
        <v>0</v>
      </c>
      <c r="AB35" s="49"/>
      <c r="AD35" s="46">
        <v>0</v>
      </c>
      <c r="AE35" s="47" t="str">
        <f t="shared" si="8"/>
        <v>·</v>
      </c>
      <c r="AF35" s="47" t="str">
        <f t="shared" si="5"/>
        <v>·</v>
      </c>
      <c r="AG35" s="90" t="str">
        <f t="shared" si="9"/>
        <v>·</v>
      </c>
      <c r="AH35" s="47" t="str">
        <f t="shared" si="10"/>
        <v>·</v>
      </c>
      <c r="AI35" s="47" t="str">
        <f t="shared" si="11"/>
        <v>·</v>
      </c>
      <c r="AJ35" s="520"/>
      <c r="AK35" s="502"/>
      <c r="AL35" s="353"/>
      <c r="AM35" s="90"/>
      <c r="AN35" s="546"/>
      <c r="AO35" s="266"/>
      <c r="AP35" s="104"/>
      <c r="AQ35" s="104"/>
      <c r="AR35" s="514"/>
      <c r="AS35" s="506"/>
      <c r="AT35" s="355"/>
      <c r="AU35" s="572">
        <v>0</v>
      </c>
      <c r="AV35" s="572">
        <v>0</v>
      </c>
      <c r="AW35" s="49"/>
      <c r="AY35" s="68" t="e">
        <f t="shared" si="12"/>
        <v>#DIV/0!</v>
      </c>
      <c r="AZ35" s="69" t="e">
        <f t="shared" si="12"/>
        <v>#DIV/0!</v>
      </c>
      <c r="BA35" s="69" t="e">
        <f t="shared" si="7"/>
        <v>#DIV/0!</v>
      </c>
      <c r="BB35" s="70" t="e">
        <f t="array" ref="BB35">AVERAGE(AL35:AL40/AK35:AK40) - AVERAGE(Q35:Q40/P35:P40)</f>
        <v>#DIV/0!</v>
      </c>
      <c r="BD35" s="103"/>
      <c r="BE35" s="104"/>
      <c r="BF35" s="104"/>
      <c r="BG35" s="86" t="str">
        <f>IF( OR(ISBLANK($S35:$S40),ISBLANK($AN35:$AN40), ISBLANK($W35:$W40),ISBLANK($AR35:$AR40)), "·", bdRateHermite( $S35:$S40,$W35:$W40, $AN35:$AN40,$AR35:$AR40))</f>
        <v>·</v>
      </c>
      <c r="BI35" s="103"/>
      <c r="BJ35" s="104"/>
      <c r="BK35" s="104"/>
      <c r="BL35" s="85" t="str">
        <f>IF(OR(ISBLANK($P35:$P40),ISBLANK($AK35:$AK40),ISBLANK($W35:$W40),ISBLANK($AR35:$AR40)),"·",bdRateHermite($P35:$P40,$W35:$W40,$AK35:$AK40,$AR35:$AR40))</f>
        <v>·</v>
      </c>
      <c r="BN35" s="103"/>
      <c r="BO35" s="104"/>
      <c r="BP35" s="104"/>
      <c r="BQ35" s="86" t="str">
        <f>IF( OR(ISBLANK($S35:$S40),ISBLANK($AN35:$AN40), ISBLANK($W35:$W40),ISBLANK($AR35:$AR40)), "·", bdRateHermite( $S36:$S40,$W36:$W40, $AN36:$AN40,$AR36:$AR40))</f>
        <v>·</v>
      </c>
      <c r="BS35" s="103"/>
      <c r="BT35" s="104"/>
      <c r="BU35" s="104"/>
      <c r="BV35" s="85" t="str">
        <f>IF(OR(ISBLANK($P35:$P40),ISBLANK($AK35:$AK40),ISBLANK($W35:$W40),ISBLANK($AR35:$AR40)),"·",bdRateHermite($P36:$P40,$W36:$W40,$AK36:$AK40,$AR36:$AR40))</f>
        <v>·</v>
      </c>
      <c r="BX35" s="103"/>
      <c r="BY35" s="104"/>
      <c r="BZ35" s="104"/>
      <c r="CA35" s="86" t="str">
        <f>IF( OR(ISBLANK($S35:$S39),ISBLANK($AN35:$AN39), ISBLANK($W35:$W39),ISBLANK($AR35:$AR39)), "·", bdRateHermite( $S35:$S39,$W35:$W39, $AN35:$AN39,$AR35:$AR39))</f>
        <v>·</v>
      </c>
      <c r="CC35" s="103"/>
      <c r="CD35" s="104"/>
      <c r="CE35" s="104"/>
      <c r="CF35" s="85" t="str">
        <f>IF(OR(ISBLANK($P35:$P39),ISBLANK($AK35:$AK39),ISBLANK($W35:$W39),ISBLANK($AR35:$AR39)),"·",bdRateHermite($P35:$P39,$W35:$W39,$AK35:$AK39,$AR35:$AR39))</f>
        <v>·</v>
      </c>
    </row>
    <row r="36" spans="1:84" outlineLevel="1">
      <c r="A36" s="13"/>
      <c r="B36" s="291" t="s">
        <v>988</v>
      </c>
      <c r="C36" s="15" t="s">
        <v>132</v>
      </c>
      <c r="D36" s="300">
        <v>7740280</v>
      </c>
      <c r="E36" s="299">
        <v>19</v>
      </c>
      <c r="F36" s="299">
        <v>1</v>
      </c>
      <c r="G36" s="16"/>
      <c r="I36" s="30" t="str">
        <f t="shared" si="0"/>
        <v>·</v>
      </c>
      <c r="J36" s="31">
        <f t="shared" si="1"/>
        <v>20.003616406641619</v>
      </c>
      <c r="K36" s="31">
        <f t="shared" si="2"/>
        <v>15.461782777884004</v>
      </c>
      <c r="L36" s="87"/>
      <c r="M36" s="31">
        <f t="shared" si="3"/>
        <v>4.5417395753125209</v>
      </c>
      <c r="N36" s="31">
        <f t="shared" si="4"/>
        <v>20.003616406641619</v>
      </c>
      <c r="O36" s="523">
        <v>7740280</v>
      </c>
      <c r="P36" s="503">
        <v>154833592</v>
      </c>
      <c r="Q36" s="357">
        <v>119678528</v>
      </c>
      <c r="R36" s="87"/>
      <c r="S36" s="547">
        <v>35154336</v>
      </c>
      <c r="T36" s="267"/>
      <c r="U36" s="106"/>
      <c r="V36" s="106"/>
      <c r="W36" s="515">
        <v>77.010315000000006</v>
      </c>
      <c r="X36" s="507"/>
      <c r="Y36" s="359"/>
      <c r="Z36" s="573">
        <v>0</v>
      </c>
      <c r="AA36" s="573">
        <v>0</v>
      </c>
      <c r="AB36" s="33"/>
      <c r="AD36" s="30">
        <v>0</v>
      </c>
      <c r="AE36" s="31" t="str">
        <f t="shared" si="8"/>
        <v>·</v>
      </c>
      <c r="AF36" s="31" t="str">
        <f t="shared" si="5"/>
        <v>·</v>
      </c>
      <c r="AG36" s="87" t="str">
        <f t="shared" si="9"/>
        <v>·</v>
      </c>
      <c r="AH36" s="31" t="str">
        <f t="shared" si="10"/>
        <v>·</v>
      </c>
      <c r="AI36" s="31" t="str">
        <f t="shared" si="11"/>
        <v>·</v>
      </c>
      <c r="AJ36" s="523"/>
      <c r="AK36" s="503"/>
      <c r="AL36" s="357"/>
      <c r="AM36" s="87"/>
      <c r="AN36" s="547"/>
      <c r="AO36" s="267"/>
      <c r="AP36" s="106"/>
      <c r="AQ36" s="106"/>
      <c r="AR36" s="515"/>
      <c r="AS36" s="507"/>
      <c r="AT36" s="359"/>
      <c r="AU36" s="573">
        <v>0</v>
      </c>
      <c r="AV36" s="573">
        <v>0</v>
      </c>
      <c r="AW36" s="33"/>
      <c r="AY36" s="56" t="e">
        <f t="shared" si="12"/>
        <v>#DIV/0!</v>
      </c>
      <c r="AZ36" s="57" t="e">
        <f t="shared" si="12"/>
        <v>#DIV/0!</v>
      </c>
      <c r="BA36" s="57" t="e">
        <f t="shared" si="7"/>
        <v>#DIV/0!</v>
      </c>
      <c r="BB36" s="58"/>
      <c r="BD36" s="105"/>
      <c r="BE36" s="106"/>
      <c r="BF36" s="106"/>
      <c r="BG36" s="107"/>
      <c r="BI36" s="105"/>
      <c r="BJ36" s="106"/>
      <c r="BK36" s="106"/>
      <c r="BL36" s="76"/>
      <c r="BN36" s="105"/>
      <c r="BO36" s="106"/>
      <c r="BP36" s="106"/>
      <c r="BQ36" s="107"/>
      <c r="BS36" s="105"/>
      <c r="BT36" s="106"/>
      <c r="BU36" s="106"/>
      <c r="BV36" s="76"/>
      <c r="BX36" s="105"/>
      <c r="BY36" s="106"/>
      <c r="BZ36" s="106"/>
      <c r="CA36" s="107"/>
      <c r="CC36" s="105"/>
      <c r="CD36" s="106"/>
      <c r="CE36" s="106"/>
      <c r="CF36" s="76"/>
    </row>
    <row r="37" spans="1:84" outlineLevel="1">
      <c r="A37" s="13"/>
      <c r="B37" s="291" t="s">
        <v>988</v>
      </c>
      <c r="C37" s="15" t="s">
        <v>133</v>
      </c>
      <c r="D37" s="300">
        <v>7740280</v>
      </c>
      <c r="E37" s="299">
        <v>19</v>
      </c>
      <c r="F37" s="299">
        <v>1</v>
      </c>
      <c r="G37" s="16"/>
      <c r="I37" s="30" t="str">
        <f t="shared" si="0"/>
        <v>·</v>
      </c>
      <c r="J37" s="31">
        <f t="shared" si="1"/>
        <v>21.431001462479394</v>
      </c>
      <c r="K37" s="31">
        <f t="shared" si="2"/>
        <v>15.461782777884004</v>
      </c>
      <c r="L37" s="87"/>
      <c r="M37" s="31">
        <f t="shared" si="3"/>
        <v>5.9691246311502946</v>
      </c>
      <c r="N37" s="31">
        <f t="shared" si="4"/>
        <v>21.431001462479394</v>
      </c>
      <c r="O37" s="523">
        <v>7740280</v>
      </c>
      <c r="P37" s="503">
        <v>165881952</v>
      </c>
      <c r="Q37" s="357">
        <v>119678528</v>
      </c>
      <c r="R37" s="87"/>
      <c r="S37" s="547">
        <v>46202696</v>
      </c>
      <c r="T37" s="267"/>
      <c r="U37" s="106"/>
      <c r="V37" s="106"/>
      <c r="W37" s="515">
        <v>83.003403000000006</v>
      </c>
      <c r="X37" s="507"/>
      <c r="Y37" s="359"/>
      <c r="Z37" s="573">
        <v>0</v>
      </c>
      <c r="AA37" s="573">
        <v>0</v>
      </c>
      <c r="AB37" s="33"/>
      <c r="AD37" s="30">
        <v>0</v>
      </c>
      <c r="AE37" s="31" t="str">
        <f t="shared" si="8"/>
        <v>·</v>
      </c>
      <c r="AF37" s="31" t="str">
        <f t="shared" si="5"/>
        <v>·</v>
      </c>
      <c r="AG37" s="87" t="str">
        <f t="shared" si="9"/>
        <v>·</v>
      </c>
      <c r="AH37" s="31" t="str">
        <f t="shared" si="10"/>
        <v>·</v>
      </c>
      <c r="AI37" s="31" t="str">
        <f t="shared" si="11"/>
        <v>·</v>
      </c>
      <c r="AJ37" s="523"/>
      <c r="AK37" s="503"/>
      <c r="AL37" s="357"/>
      <c r="AM37" s="87"/>
      <c r="AN37" s="547"/>
      <c r="AO37" s="267"/>
      <c r="AP37" s="106"/>
      <c r="AQ37" s="106"/>
      <c r="AR37" s="515"/>
      <c r="AS37" s="507"/>
      <c r="AT37" s="359"/>
      <c r="AU37" s="573">
        <v>0</v>
      </c>
      <c r="AV37" s="573">
        <v>0</v>
      </c>
      <c r="AW37" s="33"/>
      <c r="AY37" s="56" t="e">
        <f t="shared" si="12"/>
        <v>#DIV/0!</v>
      </c>
      <c r="AZ37" s="57" t="e">
        <f t="shared" si="12"/>
        <v>#DIV/0!</v>
      </c>
      <c r="BA37" s="57" t="e">
        <f t="shared" si="7"/>
        <v>#DIV/0!</v>
      </c>
      <c r="BB37" s="58"/>
      <c r="BD37" s="105"/>
      <c r="BE37" s="106"/>
      <c r="BF37" s="106"/>
      <c r="BG37" s="107"/>
      <c r="BI37" s="105"/>
      <c r="BJ37" s="106"/>
      <c r="BK37" s="106"/>
      <c r="BL37" s="76"/>
      <c r="BN37" s="105"/>
      <c r="BO37" s="106"/>
      <c r="BP37" s="106"/>
      <c r="BQ37" s="107"/>
      <c r="BS37" s="105"/>
      <c r="BT37" s="106"/>
      <c r="BU37" s="106"/>
      <c r="BV37" s="76"/>
      <c r="BX37" s="105"/>
      <c r="BY37" s="106"/>
      <c r="BZ37" s="106"/>
      <c r="CA37" s="107"/>
      <c r="CC37" s="105"/>
      <c r="CD37" s="106"/>
      <c r="CE37" s="106"/>
      <c r="CF37" s="76"/>
    </row>
    <row r="38" spans="1:84" outlineLevel="1">
      <c r="A38" s="13"/>
      <c r="B38" s="291" t="s">
        <v>988</v>
      </c>
      <c r="C38" s="15" t="s">
        <v>134</v>
      </c>
      <c r="D38" s="300">
        <v>7740280</v>
      </c>
      <c r="E38" s="299">
        <v>19</v>
      </c>
      <c r="F38" s="299">
        <v>1</v>
      </c>
      <c r="G38" s="16"/>
      <c r="I38" s="30" t="str">
        <f t="shared" si="0"/>
        <v>·</v>
      </c>
      <c r="J38" s="31">
        <f t="shared" si="1"/>
        <v>22.858840248673175</v>
      </c>
      <c r="K38" s="31">
        <f t="shared" si="2"/>
        <v>15.461782777884004</v>
      </c>
      <c r="L38" s="87"/>
      <c r="M38" s="31">
        <f t="shared" si="3"/>
        <v>7.3969644508984169</v>
      </c>
      <c r="N38" s="31">
        <f t="shared" si="4"/>
        <v>22.858840248673175</v>
      </c>
      <c r="O38" s="523">
        <v>7740280</v>
      </c>
      <c r="P38" s="503">
        <v>176933824</v>
      </c>
      <c r="Q38" s="357">
        <v>119678528</v>
      </c>
      <c r="R38" s="87"/>
      <c r="S38" s="547">
        <v>57254576</v>
      </c>
      <c r="T38" s="267"/>
      <c r="U38" s="106"/>
      <c r="V38" s="106"/>
      <c r="W38" s="515">
        <v>88.926743000000002</v>
      </c>
      <c r="X38" s="507"/>
      <c r="Y38" s="359"/>
      <c r="Z38" s="573">
        <v>0</v>
      </c>
      <c r="AA38" s="573">
        <v>0</v>
      </c>
      <c r="AB38" s="33"/>
      <c r="AD38" s="30">
        <v>0</v>
      </c>
      <c r="AE38" s="31" t="str">
        <f t="shared" si="8"/>
        <v>·</v>
      </c>
      <c r="AF38" s="31" t="str">
        <f t="shared" si="5"/>
        <v>·</v>
      </c>
      <c r="AG38" s="87" t="str">
        <f t="shared" si="9"/>
        <v>·</v>
      </c>
      <c r="AH38" s="31" t="str">
        <f t="shared" si="10"/>
        <v>·</v>
      </c>
      <c r="AI38" s="31" t="str">
        <f t="shared" si="11"/>
        <v>·</v>
      </c>
      <c r="AJ38" s="523"/>
      <c r="AK38" s="503"/>
      <c r="AL38" s="357"/>
      <c r="AM38" s="87"/>
      <c r="AN38" s="547"/>
      <c r="AO38" s="267"/>
      <c r="AP38" s="106"/>
      <c r="AQ38" s="106"/>
      <c r="AR38" s="515"/>
      <c r="AS38" s="507"/>
      <c r="AT38" s="359"/>
      <c r="AU38" s="573">
        <v>0</v>
      </c>
      <c r="AV38" s="573">
        <v>0</v>
      </c>
      <c r="AW38" s="33"/>
      <c r="AY38" s="56" t="e">
        <f t="shared" si="12"/>
        <v>#DIV/0!</v>
      </c>
      <c r="AZ38" s="57" t="e">
        <f t="shared" si="12"/>
        <v>#DIV/0!</v>
      </c>
      <c r="BA38" s="57" t="e">
        <f t="shared" si="7"/>
        <v>#DIV/0!</v>
      </c>
      <c r="BB38" s="58"/>
      <c r="BD38" s="105"/>
      <c r="BE38" s="106"/>
      <c r="BF38" s="106"/>
      <c r="BG38" s="107"/>
      <c r="BI38" s="105"/>
      <c r="BJ38" s="106"/>
      <c r="BK38" s="106"/>
      <c r="BL38" s="76"/>
      <c r="BN38" s="105"/>
      <c r="BO38" s="106"/>
      <c r="BP38" s="106"/>
      <c r="BQ38" s="107"/>
      <c r="BS38" s="105"/>
      <c r="BT38" s="106"/>
      <c r="BU38" s="106"/>
      <c r="BV38" s="76"/>
      <c r="BX38" s="105"/>
      <c r="BY38" s="106"/>
      <c r="BZ38" s="106"/>
      <c r="CA38" s="107"/>
      <c r="CC38" s="105"/>
      <c r="CD38" s="106"/>
      <c r="CE38" s="106"/>
      <c r="CF38" s="76"/>
    </row>
    <row r="39" spans="1:84" outlineLevel="1">
      <c r="A39" s="13"/>
      <c r="B39" s="291" t="s">
        <v>988</v>
      </c>
      <c r="C39" s="15" t="s">
        <v>135</v>
      </c>
      <c r="D39" s="300">
        <v>7740280</v>
      </c>
      <c r="E39" s="299">
        <v>19</v>
      </c>
      <c r="F39" s="299">
        <v>1</v>
      </c>
      <c r="G39" s="16"/>
      <c r="I39" s="30" t="str">
        <f t="shared" si="0"/>
        <v>·</v>
      </c>
      <c r="J39" s="31">
        <f t="shared" si="1"/>
        <v>24.018128543153477</v>
      </c>
      <c r="K39" s="31">
        <f t="shared" si="2"/>
        <v>15.461782777884004</v>
      </c>
      <c r="L39" s="87"/>
      <c r="M39" s="31">
        <f t="shared" si="3"/>
        <v>8.5562527453787194</v>
      </c>
      <c r="N39" s="31">
        <f t="shared" si="4"/>
        <v>24.018128543153477</v>
      </c>
      <c r="O39" s="523">
        <v>7740280</v>
      </c>
      <c r="P39" s="503">
        <v>185907040</v>
      </c>
      <c r="Q39" s="357">
        <v>119678528</v>
      </c>
      <c r="R39" s="87"/>
      <c r="S39" s="547">
        <v>66227792</v>
      </c>
      <c r="T39" s="267"/>
      <c r="U39" s="106"/>
      <c r="V39" s="106"/>
      <c r="W39" s="515">
        <v>94.570785999999998</v>
      </c>
      <c r="X39" s="507"/>
      <c r="Y39" s="359"/>
      <c r="Z39" s="573">
        <v>0</v>
      </c>
      <c r="AA39" s="573">
        <v>0</v>
      </c>
      <c r="AB39" s="33"/>
      <c r="AD39" s="30">
        <v>0</v>
      </c>
      <c r="AE39" s="31" t="str">
        <f t="shared" si="8"/>
        <v>·</v>
      </c>
      <c r="AF39" s="31" t="str">
        <f t="shared" si="5"/>
        <v>·</v>
      </c>
      <c r="AG39" s="87" t="str">
        <f t="shared" si="9"/>
        <v>·</v>
      </c>
      <c r="AH39" s="31" t="str">
        <f t="shared" si="10"/>
        <v>·</v>
      </c>
      <c r="AI39" s="31" t="str">
        <f t="shared" si="11"/>
        <v>·</v>
      </c>
      <c r="AJ39" s="523"/>
      <c r="AK39" s="503"/>
      <c r="AL39" s="357"/>
      <c r="AM39" s="87"/>
      <c r="AN39" s="547"/>
      <c r="AO39" s="267"/>
      <c r="AP39" s="106"/>
      <c r="AQ39" s="106"/>
      <c r="AR39" s="515"/>
      <c r="AS39" s="507"/>
      <c r="AT39" s="359"/>
      <c r="AU39" s="573">
        <v>0</v>
      </c>
      <c r="AV39" s="573">
        <v>0</v>
      </c>
      <c r="AW39" s="33"/>
      <c r="AY39" s="56" t="e">
        <f t="shared" si="12"/>
        <v>#DIV/0!</v>
      </c>
      <c r="AZ39" s="57" t="e">
        <f t="shared" si="12"/>
        <v>#DIV/0!</v>
      </c>
      <c r="BA39" s="57" t="e">
        <f t="shared" si="7"/>
        <v>#DIV/0!</v>
      </c>
      <c r="BB39" s="58"/>
      <c r="BD39" s="105"/>
      <c r="BE39" s="106"/>
      <c r="BF39" s="106"/>
      <c r="BG39" s="107"/>
      <c r="BI39" s="105"/>
      <c r="BJ39" s="106"/>
      <c r="BK39" s="106"/>
      <c r="BL39" s="76"/>
      <c r="BN39" s="105"/>
      <c r="BO39" s="106"/>
      <c r="BP39" s="106"/>
      <c r="BQ39" s="107"/>
      <c r="BS39" s="105"/>
      <c r="BT39" s="106"/>
      <c r="BU39" s="106"/>
      <c r="BV39" s="76"/>
      <c r="BX39" s="105"/>
      <c r="BY39" s="106"/>
      <c r="BZ39" s="106"/>
      <c r="CA39" s="107"/>
      <c r="CC39" s="105"/>
      <c r="CD39" s="106"/>
      <c r="CE39" s="106"/>
      <c r="CF39" s="76"/>
    </row>
    <row r="40" spans="1:84" ht="14.25" outlineLevel="1" thickBot="1">
      <c r="A40" s="215"/>
      <c r="B40" s="292" t="s">
        <v>988</v>
      </c>
      <c r="C40" s="22" t="s">
        <v>136</v>
      </c>
      <c r="D40" s="301">
        <v>7740280</v>
      </c>
      <c r="E40" s="302">
        <v>19</v>
      </c>
      <c r="F40" s="302">
        <v>1</v>
      </c>
      <c r="G40" s="23"/>
      <c r="I40" s="34" t="str">
        <f t="shared" si="0"/>
        <v>·</v>
      </c>
      <c r="J40" s="35">
        <f t="shared" si="1"/>
        <v>25.248634933103194</v>
      </c>
      <c r="K40" s="35">
        <f t="shared" si="2"/>
        <v>15.461782777884004</v>
      </c>
      <c r="L40" s="88"/>
      <c r="M40" s="35">
        <f t="shared" si="3"/>
        <v>9.7867591353284382</v>
      </c>
      <c r="N40" s="35">
        <f t="shared" si="4"/>
        <v>25.248634933103194</v>
      </c>
      <c r="O40" s="524">
        <v>7740280</v>
      </c>
      <c r="P40" s="505">
        <v>195431504</v>
      </c>
      <c r="Q40" s="361">
        <v>119678528</v>
      </c>
      <c r="R40" s="88"/>
      <c r="S40" s="548">
        <v>75752256</v>
      </c>
      <c r="T40" s="545"/>
      <c r="U40" s="109"/>
      <c r="V40" s="109"/>
      <c r="W40" s="517">
        <v>99.342346000000006</v>
      </c>
      <c r="X40" s="509"/>
      <c r="Y40" s="363"/>
      <c r="Z40" s="575">
        <v>0</v>
      </c>
      <c r="AA40" s="575">
        <v>0</v>
      </c>
      <c r="AB40" s="37"/>
      <c r="AD40" s="34">
        <v>0</v>
      </c>
      <c r="AE40" s="35" t="str">
        <f t="shared" si="8"/>
        <v>·</v>
      </c>
      <c r="AF40" s="35" t="str">
        <f t="shared" si="5"/>
        <v>·</v>
      </c>
      <c r="AG40" s="88" t="str">
        <f t="shared" si="9"/>
        <v>·</v>
      </c>
      <c r="AH40" s="35" t="str">
        <f t="shared" si="10"/>
        <v>·</v>
      </c>
      <c r="AI40" s="35" t="str">
        <f t="shared" si="11"/>
        <v>·</v>
      </c>
      <c r="AJ40" s="524"/>
      <c r="AK40" s="505"/>
      <c r="AL40" s="361"/>
      <c r="AM40" s="88"/>
      <c r="AN40" s="548"/>
      <c r="AO40" s="545"/>
      <c r="AP40" s="109"/>
      <c r="AQ40" s="109"/>
      <c r="AR40" s="517"/>
      <c r="AS40" s="509"/>
      <c r="AT40" s="363"/>
      <c r="AU40" s="575">
        <v>0</v>
      </c>
      <c r="AV40" s="575">
        <v>0</v>
      </c>
      <c r="AW40" s="37"/>
      <c r="AY40" s="59" t="e">
        <f t="shared" si="12"/>
        <v>#DIV/0!</v>
      </c>
      <c r="AZ40" s="60" t="e">
        <f t="shared" si="12"/>
        <v>#DIV/0!</v>
      </c>
      <c r="BA40" s="60" t="e">
        <f t="shared" si="7"/>
        <v>#DIV/0!</v>
      </c>
      <c r="BB40" s="61"/>
      <c r="BD40" s="108"/>
      <c r="BE40" s="109"/>
      <c r="BF40" s="109"/>
      <c r="BG40" s="110"/>
      <c r="BI40" s="108"/>
      <c r="BJ40" s="109"/>
      <c r="BK40" s="109"/>
      <c r="BL40" s="79"/>
      <c r="BN40" s="108"/>
      <c r="BO40" s="109"/>
      <c r="BP40" s="109"/>
      <c r="BQ40" s="110"/>
      <c r="BS40" s="108"/>
      <c r="BT40" s="109"/>
      <c r="BU40" s="109"/>
      <c r="BV40" s="79"/>
      <c r="BX40" s="108"/>
      <c r="BY40" s="109"/>
      <c r="BZ40" s="109"/>
      <c r="CA40" s="110"/>
      <c r="CC40" s="108"/>
      <c r="CD40" s="109"/>
      <c r="CE40" s="109"/>
      <c r="CF40" s="79"/>
    </row>
    <row r="41" spans="1:84">
      <c r="A41" s="96" t="s">
        <v>1141</v>
      </c>
      <c r="B41" s="27" t="s">
        <v>1116</v>
      </c>
      <c r="C41" s="28" t="s">
        <v>1137</v>
      </c>
      <c r="D41" s="478">
        <v>47062018</v>
      </c>
      <c r="E41" s="28">
        <v>20</v>
      </c>
      <c r="F41" s="28">
        <v>1</v>
      </c>
      <c r="G41" s="29"/>
      <c r="H41" s="492"/>
      <c r="I41" s="46" t="str">
        <f t="shared" si="0"/>
        <v>·</v>
      </c>
      <c r="J41" s="47">
        <f t="shared" si="1"/>
        <v>25.007130803443236</v>
      </c>
      <c r="K41" s="47">
        <f t="shared" si="2"/>
        <v>24.375181191762749</v>
      </c>
      <c r="L41" s="47">
        <f>IF(ISBLANK(R41),"·",R41/D41)</f>
        <v>0.63193771248823205</v>
      </c>
      <c r="M41" s="92"/>
      <c r="N41" s="47">
        <f t="shared" si="4"/>
        <v>25.007130803443236</v>
      </c>
      <c r="O41" s="554">
        <v>47062018</v>
      </c>
      <c r="P41" s="502">
        <v>1176886040</v>
      </c>
      <c r="Q41" s="353">
        <v>1147145216</v>
      </c>
      <c r="R41" s="353">
        <v>29740264</v>
      </c>
      <c r="S41" s="549"/>
      <c r="T41" s="502">
        <v>22.413086</v>
      </c>
      <c r="U41" s="353">
        <v>27.658373000000001</v>
      </c>
      <c r="V41" s="353">
        <v>32.772568</v>
      </c>
      <c r="W41" s="549">
        <v>0</v>
      </c>
      <c r="X41" s="506"/>
      <c r="Y41" s="355"/>
      <c r="Z41" s="572">
        <v>0</v>
      </c>
      <c r="AA41" s="572">
        <v>0</v>
      </c>
      <c r="AB41" s="49"/>
      <c r="AD41" s="46" t="str">
        <f t="shared" ref="AD41:AD104" si="13">IF(OR(ISBLANK(AK41),ISBLANK(G41)),"·",AK41*G41/F41/1000000)</f>
        <v>·</v>
      </c>
      <c r="AE41" s="47" t="str">
        <f t="shared" si="8"/>
        <v>·</v>
      </c>
      <c r="AF41" s="47" t="str">
        <f t="shared" si="5"/>
        <v>·</v>
      </c>
      <c r="AG41" s="47" t="str">
        <f t="shared" si="9"/>
        <v>·</v>
      </c>
      <c r="AH41" s="92" t="str">
        <f t="shared" si="10"/>
        <v>·</v>
      </c>
      <c r="AI41" s="47" t="str">
        <f t="shared" si="11"/>
        <v>·</v>
      </c>
      <c r="AJ41" s="554"/>
      <c r="AK41" s="502"/>
      <c r="AL41" s="353"/>
      <c r="AM41" s="353"/>
      <c r="AN41" s="549"/>
      <c r="AO41" s="502"/>
      <c r="AP41" s="353"/>
      <c r="AQ41" s="353"/>
      <c r="AR41" s="549"/>
      <c r="AS41" s="506"/>
      <c r="AT41" s="355"/>
      <c r="AU41" s="572">
        <v>0</v>
      </c>
      <c r="AV41" s="572">
        <v>0</v>
      </c>
      <c r="AW41" s="49"/>
      <c r="AY41" s="68" t="e">
        <f t="shared" si="12"/>
        <v>#DIV/0!</v>
      </c>
      <c r="AZ41" s="69" t="e">
        <f t="shared" si="12"/>
        <v>#DIV/0!</v>
      </c>
      <c r="BA41" s="69" t="e">
        <f t="shared" si="7"/>
        <v>#DIV/0!</v>
      </c>
      <c r="BB41" s="70" t="e">
        <f t="array" ref="BB41">AVERAGE(AL41:AL46/AK41:AK46) - AVERAGE(Q41:Q46/P41:P46)</f>
        <v>#DIV/0!</v>
      </c>
      <c r="BD41" s="86" t="str">
        <f>IF( OR(ISBLANK($R41:$R46),ISBLANK($AM41:$AM46), ISBLANK(T41:T46),ISBLANK(AO41:AO46)), "·", bdRateHermite( $R41:$R46,$T41:$T46, $AM41:$AM46,$AO41:$AO46))</f>
        <v>·</v>
      </c>
      <c r="BE41" s="86" t="str">
        <f>IF( OR(ISBLANK($R41:$R46),ISBLANK($AM41:$AM46), ISBLANK(U41:U46),ISBLANK(AP41:AP46)), "·", bdRateHermite( $R41:$R46,$U41:$U46, $AM41:$AM46,$AP41:$AP46))</f>
        <v>·</v>
      </c>
      <c r="BF41" s="86" t="str">
        <f>IF( OR(ISBLANK($R41:$R46),ISBLANK($AM41:$AM46), ISBLANK(V41:V46),ISBLANK(AQ41:AQ46)), "·", bdRateHermite( $R41:$R46,$V41:$V46, $AM41:$AM46,$AQ41:$AQ46))</f>
        <v>·</v>
      </c>
      <c r="BG41" s="103"/>
      <c r="BI41" s="250" t="str">
        <f>IF(OR(ISBLANK($P41:$P46),ISBLANK($AK41:$AK46),ISBLANK(T41:T46),ISBLANK(AO41:AO46)),"·",bdRateHermite($P41:$P46,$T41:$T46,$AK41:$AK46,$AO41:$AO46))</f>
        <v>·</v>
      </c>
      <c r="BJ41" s="85" t="str">
        <f>IF(OR(ISBLANK($P41:$P46),ISBLANK($AK41:$AK46),ISBLANK(U41:U46),ISBLANK(AP41:AP46)),"·",bdRateHermite($P41:$P46,$U41:$U46,$AK41:$AK46,$AP41:$AP46))</f>
        <v>·</v>
      </c>
      <c r="BK41" s="254" t="str">
        <f>IF(OR(ISBLANK($P41:$P46),ISBLANK($AK41:$AK46),ISBLANK(V41:V46),ISBLANK(AQ41:AQ46)),"·",bdRateHermite($P41:$P46,$V41:$V46,$AK41:$AK46,$AQ41:$AQ46))</f>
        <v>·</v>
      </c>
      <c r="BL41" s="257"/>
      <c r="BM41" s="251"/>
      <c r="BN41" s="86" t="str">
        <f>IF( OR(ISBLANK($R41:$R46),ISBLANK($AM41:$AM46), ISBLANK(T41:T46),ISBLANK(AO41:AO46)), "·", bdRateHermite( $R42:$R46,$T42:$T46, $AM42:$AM46,$AO42:$AO46))</f>
        <v>·</v>
      </c>
      <c r="BO41" s="86" t="str">
        <f>IF( OR(ISBLANK($R41:$R46),ISBLANK($AM41:$AM46), ISBLANK(U41:U46),ISBLANK(AP41:AP46)), "·", bdRateHermite( $R42:$R46,$U42:$U46, $AM42:$AM46,$AP42:$AP46))</f>
        <v>·</v>
      </c>
      <c r="BP41" s="86" t="str">
        <f>IF( OR(ISBLANK($R41:$R46),ISBLANK($AM41:$AM46), ISBLANK(V41:V46),ISBLANK(AQ41:AQ46)), "·", bdRateHermite( $R42:$R46,$V42:$V46, $AM42:$AM46,$AQ42:$AQ46))</f>
        <v>·</v>
      </c>
      <c r="BQ41" s="103"/>
      <c r="BS41" s="250" t="str">
        <f>IF(OR(ISBLANK($P41:$P46),ISBLANK($AK41:$AK46),ISBLANK(T41:T46),ISBLANK(AO41:AO46)),"·",bdRateHermite($P42:$P46,$T42:$T46,$AK42:$AK46,$AO42:$AO46))</f>
        <v>·</v>
      </c>
      <c r="BT41" s="85" t="str">
        <f>IF(OR(ISBLANK($P41:$P46),ISBLANK($AK41:$AK46),ISBLANK(U41:U46),ISBLANK(AP41:AP46)),"·",bdRateHermite($P42:$P46,$U42:$U46,$AK42:$AK46,$AP42:$AP46))</f>
        <v>·</v>
      </c>
      <c r="BU41" s="254" t="str">
        <f>IF(OR(ISBLANK($P41:$P46),ISBLANK($AK41:$AK46),ISBLANK(V41:V46),ISBLANK(AQ41:AQ46)),"·",bdRateHermite($P42:$P46,$V42:$V46,$AK42:$AK46,$AQ42:$AQ46))</f>
        <v>·</v>
      </c>
      <c r="BV41" s="257"/>
      <c r="BX41" s="86" t="str">
        <f>IF( OR(ISBLANK($R41:$R46),ISBLANK($AM41:$AM46), ISBLANK(T41:T46),ISBLANK(AO41:AO46)), "·", bdRateHermite( $R41:$R45,$T41:$T45, $AM41:$AM45,$AO41:$AO45))</f>
        <v>·</v>
      </c>
      <c r="BY41" s="86" t="str">
        <f>IF( OR(ISBLANK($R41:$R46),ISBLANK($AM41:$AM46), ISBLANK(U41:U46),ISBLANK(AP41:AP46)), "·", bdRateHermite( $R41:$R45,$U41:$U45, $AM41:$AM45,$AP41:$AP45))</f>
        <v>·</v>
      </c>
      <c r="BZ41" s="86" t="str">
        <f>IF( OR(ISBLANK($R41:$R46),ISBLANK($AM41:$AM46), ISBLANK(V41:V46),ISBLANK(AQ41:AQ46)), "·", bdRateHermite( $R41:$R45,$V41:$V45, $AM41:$AM45,$AQ41:$AQ45))</f>
        <v>·</v>
      </c>
      <c r="CA41" s="103"/>
      <c r="CC41" s="250" t="str">
        <f>IF(OR(ISBLANK($P41:$P46),ISBLANK($AK41:$AK46),ISBLANK(T41:T46),ISBLANK(AO41:AO46)),"·",bdRateHermite($P41:$P45,$T41:$T45,$AK41:$AK45,$AO41:$AO45))</f>
        <v>·</v>
      </c>
      <c r="CD41" s="85" t="str">
        <f>IF(OR(ISBLANK($P41:$P46),ISBLANK($AK41:$AK46),ISBLANK(U41:U46),ISBLANK(AP41:AP46)),"·",bdRateHermite($P41:$P45,$U41:$U45,$AK41:$AK45,$AP41:$AP45))</f>
        <v>·</v>
      </c>
      <c r="CE41" s="254" t="str">
        <f>IF(OR(ISBLANK($P41:$P46),ISBLANK($AK41:$AK46),ISBLANK(V41:V46),ISBLANK(AQ41:AQ46)),"·",bdRateHermite($P41:$P45,$V41:$V45,$AK41:$AK45,$AQ41:$AQ45))</f>
        <v>·</v>
      </c>
      <c r="CF41" s="257"/>
    </row>
    <row r="42" spans="1:84" outlineLevel="1">
      <c r="A42" s="13"/>
      <c r="B42" s="14" t="s">
        <v>1116</v>
      </c>
      <c r="C42" s="15" t="s">
        <v>132</v>
      </c>
      <c r="D42" s="479">
        <v>47062018</v>
      </c>
      <c r="E42" s="15">
        <v>20</v>
      </c>
      <c r="F42" s="15">
        <v>1</v>
      </c>
      <c r="G42" s="16"/>
      <c r="H42" s="492"/>
      <c r="I42" s="30" t="str">
        <f t="shared" si="0"/>
        <v>·</v>
      </c>
      <c r="J42" s="31">
        <f t="shared" si="1"/>
        <v>25.529549710341787</v>
      </c>
      <c r="K42" s="31">
        <f t="shared" si="2"/>
        <v>24.375181191762749</v>
      </c>
      <c r="L42" s="31">
        <f t="shared" ref="L42:L82" si="14">IF(ISBLANK(R42),"·",R42/D42)</f>
        <v>1.1543566193867845</v>
      </c>
      <c r="M42" s="87"/>
      <c r="N42" s="31">
        <f t="shared" si="4"/>
        <v>25.529549710341787</v>
      </c>
      <c r="O42" s="544">
        <v>47062018</v>
      </c>
      <c r="P42" s="503">
        <v>1201472128</v>
      </c>
      <c r="Q42" s="357">
        <v>1147145216</v>
      </c>
      <c r="R42" s="357">
        <v>54326352</v>
      </c>
      <c r="S42" s="550"/>
      <c r="T42" s="503">
        <v>28.839655</v>
      </c>
      <c r="U42" s="357">
        <v>30.035682999999999</v>
      </c>
      <c r="V42" s="357">
        <v>33.976222999999997</v>
      </c>
      <c r="W42" s="550">
        <v>0</v>
      </c>
      <c r="X42" s="507"/>
      <c r="Y42" s="359"/>
      <c r="Z42" s="573">
        <v>0</v>
      </c>
      <c r="AA42" s="573">
        <v>0</v>
      </c>
      <c r="AB42" s="33"/>
      <c r="AD42" s="30" t="str">
        <f t="shared" si="13"/>
        <v>·</v>
      </c>
      <c r="AE42" s="31" t="str">
        <f t="shared" si="8"/>
        <v>·</v>
      </c>
      <c r="AF42" s="31" t="str">
        <f t="shared" si="5"/>
        <v>·</v>
      </c>
      <c r="AG42" s="31" t="str">
        <f t="shared" si="9"/>
        <v>·</v>
      </c>
      <c r="AH42" s="87" t="str">
        <f t="shared" si="10"/>
        <v>·</v>
      </c>
      <c r="AI42" s="31" t="str">
        <f t="shared" si="11"/>
        <v>·</v>
      </c>
      <c r="AJ42" s="544"/>
      <c r="AK42" s="503"/>
      <c r="AL42" s="357"/>
      <c r="AM42" s="357"/>
      <c r="AN42" s="550"/>
      <c r="AO42" s="503"/>
      <c r="AP42" s="357"/>
      <c r="AQ42" s="357"/>
      <c r="AR42" s="550"/>
      <c r="AS42" s="507"/>
      <c r="AT42" s="359"/>
      <c r="AU42" s="573">
        <v>0</v>
      </c>
      <c r="AV42" s="573">
        <v>0</v>
      </c>
      <c r="AW42" s="33"/>
      <c r="AY42" s="56" t="e">
        <f t="shared" si="12"/>
        <v>#DIV/0!</v>
      </c>
      <c r="AZ42" s="57" t="e">
        <f t="shared" si="12"/>
        <v>#DIV/0!</v>
      </c>
      <c r="BA42" s="57" t="e">
        <f t="shared" si="7"/>
        <v>#DIV/0!</v>
      </c>
      <c r="BB42" s="58"/>
      <c r="BD42" s="76"/>
      <c r="BE42" s="76"/>
      <c r="BF42" s="76"/>
      <c r="BG42" s="105"/>
      <c r="BI42" s="252"/>
      <c r="BJ42" s="76"/>
      <c r="BK42" s="255"/>
      <c r="BL42" s="258"/>
      <c r="BM42" s="251"/>
      <c r="BN42" s="76"/>
      <c r="BO42" s="76"/>
      <c r="BP42" s="76"/>
      <c r="BQ42" s="105"/>
      <c r="BS42" s="252"/>
      <c r="BT42" s="76"/>
      <c r="BU42" s="255"/>
      <c r="BV42" s="258"/>
      <c r="BX42" s="74"/>
      <c r="BY42" s="75"/>
      <c r="BZ42" s="264"/>
      <c r="CA42" s="105"/>
      <c r="CC42" s="260"/>
      <c r="CD42" s="75"/>
      <c r="CE42" s="262"/>
      <c r="CF42" s="258"/>
    </row>
    <row r="43" spans="1:84" outlineLevel="1">
      <c r="A43" s="13"/>
      <c r="B43" s="14" t="s">
        <v>1116</v>
      </c>
      <c r="C43" s="15" t="s">
        <v>133</v>
      </c>
      <c r="D43" s="479">
        <v>47062018</v>
      </c>
      <c r="E43" s="15">
        <v>20</v>
      </c>
      <c r="F43" s="15">
        <v>1</v>
      </c>
      <c r="G43" s="16"/>
      <c r="H43" s="492"/>
      <c r="I43" s="30" t="str">
        <f t="shared" si="0"/>
        <v>·</v>
      </c>
      <c r="J43" s="31">
        <f t="shared" si="1"/>
        <v>26.402705128369124</v>
      </c>
      <c r="K43" s="31">
        <f t="shared" si="2"/>
        <v>24.375181191762749</v>
      </c>
      <c r="L43" s="31">
        <f t="shared" si="14"/>
        <v>2.0275120374141204</v>
      </c>
      <c r="M43" s="87"/>
      <c r="N43" s="31">
        <f t="shared" si="4"/>
        <v>26.402705128369124</v>
      </c>
      <c r="O43" s="544">
        <v>47062018</v>
      </c>
      <c r="P43" s="503">
        <v>1242564584</v>
      </c>
      <c r="Q43" s="357">
        <v>1147145216</v>
      </c>
      <c r="R43" s="357">
        <v>95418808</v>
      </c>
      <c r="S43" s="550"/>
      <c r="T43" s="503">
        <v>34.791592000000001</v>
      </c>
      <c r="U43" s="357">
        <v>35.072754000000003</v>
      </c>
      <c r="V43" s="357">
        <v>37.144779</v>
      </c>
      <c r="W43" s="550">
        <v>0</v>
      </c>
      <c r="X43" s="507"/>
      <c r="Y43" s="359"/>
      <c r="Z43" s="573">
        <v>0</v>
      </c>
      <c r="AA43" s="573">
        <v>0</v>
      </c>
      <c r="AB43" s="33"/>
      <c r="AD43" s="30" t="str">
        <f t="shared" si="13"/>
        <v>·</v>
      </c>
      <c r="AE43" s="31" t="str">
        <f t="shared" si="8"/>
        <v>·</v>
      </c>
      <c r="AF43" s="31" t="str">
        <f t="shared" si="5"/>
        <v>·</v>
      </c>
      <c r="AG43" s="31" t="str">
        <f t="shared" si="9"/>
        <v>·</v>
      </c>
      <c r="AH43" s="87" t="str">
        <f t="shared" si="10"/>
        <v>·</v>
      </c>
      <c r="AI43" s="31" t="str">
        <f t="shared" si="11"/>
        <v>·</v>
      </c>
      <c r="AJ43" s="544"/>
      <c r="AK43" s="503"/>
      <c r="AL43" s="357"/>
      <c r="AM43" s="357"/>
      <c r="AN43" s="550"/>
      <c r="AO43" s="503"/>
      <c r="AP43" s="357"/>
      <c r="AQ43" s="357"/>
      <c r="AR43" s="550"/>
      <c r="AS43" s="507"/>
      <c r="AT43" s="359"/>
      <c r="AU43" s="573">
        <v>0</v>
      </c>
      <c r="AV43" s="573">
        <v>0</v>
      </c>
      <c r="AW43" s="33"/>
      <c r="AY43" s="56" t="e">
        <f t="shared" si="12"/>
        <v>#DIV/0!</v>
      </c>
      <c r="AZ43" s="57" t="e">
        <f t="shared" si="12"/>
        <v>#DIV/0!</v>
      </c>
      <c r="BA43" s="57" t="e">
        <f t="shared" si="7"/>
        <v>#DIV/0!</v>
      </c>
      <c r="BB43" s="58"/>
      <c r="BD43" s="76"/>
      <c r="BE43" s="76"/>
      <c r="BF43" s="76"/>
      <c r="BG43" s="105"/>
      <c r="BI43" s="252"/>
      <c r="BJ43" s="76"/>
      <c r="BK43" s="255"/>
      <c r="BL43" s="258"/>
      <c r="BM43" s="251"/>
      <c r="BN43" s="76"/>
      <c r="BO43" s="76"/>
      <c r="BP43" s="76"/>
      <c r="BQ43" s="105"/>
      <c r="BS43" s="252"/>
      <c r="BT43" s="76"/>
      <c r="BU43" s="255"/>
      <c r="BV43" s="258"/>
      <c r="BX43" s="74"/>
      <c r="BY43" s="75"/>
      <c r="BZ43" s="264"/>
      <c r="CA43" s="105"/>
      <c r="CC43" s="260"/>
      <c r="CD43" s="75"/>
      <c r="CE43" s="262"/>
      <c r="CF43" s="258"/>
    </row>
    <row r="44" spans="1:84" outlineLevel="1">
      <c r="A44" s="13"/>
      <c r="B44" s="14" t="s">
        <v>1116</v>
      </c>
      <c r="C44" s="15" t="s">
        <v>134</v>
      </c>
      <c r="D44" s="479">
        <v>47062018</v>
      </c>
      <c r="E44" s="15">
        <v>20</v>
      </c>
      <c r="F44" s="15">
        <v>1</v>
      </c>
      <c r="G44" s="16"/>
      <c r="H44" s="492"/>
      <c r="I44" s="30" t="str">
        <f t="shared" si="0"/>
        <v>·</v>
      </c>
      <c r="J44" s="31">
        <f t="shared" si="1"/>
        <v>27.861814680364962</v>
      </c>
      <c r="K44" s="31">
        <f t="shared" si="2"/>
        <v>24.375181191762749</v>
      </c>
      <c r="L44" s="31">
        <f t="shared" si="14"/>
        <v>3.4866217593984175</v>
      </c>
      <c r="M44" s="87"/>
      <c r="N44" s="31">
        <f t="shared" si="4"/>
        <v>27.861814680364962</v>
      </c>
      <c r="O44" s="544">
        <v>47062018</v>
      </c>
      <c r="P44" s="503">
        <v>1311233224</v>
      </c>
      <c r="Q44" s="357">
        <v>1147145216</v>
      </c>
      <c r="R44" s="357">
        <v>164087456</v>
      </c>
      <c r="S44" s="550"/>
      <c r="T44" s="503">
        <v>40.736499999999999</v>
      </c>
      <c r="U44" s="357">
        <v>40.793652000000002</v>
      </c>
      <c r="V44" s="357">
        <v>41.357638999999999</v>
      </c>
      <c r="W44" s="550">
        <v>0</v>
      </c>
      <c r="X44" s="507"/>
      <c r="Y44" s="359"/>
      <c r="Z44" s="573">
        <v>0</v>
      </c>
      <c r="AA44" s="573">
        <v>0</v>
      </c>
      <c r="AB44" s="33"/>
      <c r="AD44" s="30" t="str">
        <f t="shared" si="13"/>
        <v>·</v>
      </c>
      <c r="AE44" s="31" t="str">
        <f t="shared" si="8"/>
        <v>·</v>
      </c>
      <c r="AF44" s="31" t="str">
        <f t="shared" si="5"/>
        <v>·</v>
      </c>
      <c r="AG44" s="31" t="str">
        <f t="shared" si="9"/>
        <v>·</v>
      </c>
      <c r="AH44" s="87" t="str">
        <f t="shared" si="10"/>
        <v>·</v>
      </c>
      <c r="AI44" s="31" t="str">
        <f t="shared" si="11"/>
        <v>·</v>
      </c>
      <c r="AJ44" s="544"/>
      <c r="AK44" s="503"/>
      <c r="AL44" s="357"/>
      <c r="AM44" s="357"/>
      <c r="AN44" s="550"/>
      <c r="AO44" s="503"/>
      <c r="AP44" s="357"/>
      <c r="AQ44" s="357"/>
      <c r="AR44" s="550"/>
      <c r="AS44" s="507"/>
      <c r="AT44" s="359"/>
      <c r="AU44" s="573">
        <v>0</v>
      </c>
      <c r="AV44" s="573">
        <v>0</v>
      </c>
      <c r="AW44" s="33"/>
      <c r="AY44" s="56" t="e">
        <f t="shared" si="12"/>
        <v>#DIV/0!</v>
      </c>
      <c r="AZ44" s="57" t="e">
        <f t="shared" si="12"/>
        <v>#DIV/0!</v>
      </c>
      <c r="BA44" s="57" t="e">
        <f t="shared" si="7"/>
        <v>#DIV/0!</v>
      </c>
      <c r="BB44" s="58"/>
      <c r="BD44" s="76"/>
      <c r="BE44" s="76"/>
      <c r="BF44" s="76"/>
      <c r="BG44" s="105"/>
      <c r="BI44" s="252"/>
      <c r="BJ44" s="76"/>
      <c r="BK44" s="255"/>
      <c r="BL44" s="258"/>
      <c r="BM44" s="251"/>
      <c r="BN44" s="76"/>
      <c r="BO44" s="76"/>
      <c r="BP44" s="76"/>
      <c r="BQ44" s="105"/>
      <c r="BS44" s="252"/>
      <c r="BT44" s="76"/>
      <c r="BU44" s="255"/>
      <c r="BV44" s="258"/>
      <c r="BX44" s="74"/>
      <c r="BY44" s="75"/>
      <c r="BZ44" s="264"/>
      <c r="CA44" s="105"/>
      <c r="CC44" s="260"/>
      <c r="CD44" s="75"/>
      <c r="CE44" s="262"/>
      <c r="CF44" s="258"/>
    </row>
    <row r="45" spans="1:84" outlineLevel="1">
      <c r="A45" s="13"/>
      <c r="B45" s="14" t="s">
        <v>1116</v>
      </c>
      <c r="C45" s="15" t="s">
        <v>135</v>
      </c>
      <c r="D45" s="479">
        <v>47062018</v>
      </c>
      <c r="E45" s="15">
        <v>20</v>
      </c>
      <c r="F45" s="15">
        <v>1</v>
      </c>
      <c r="G45" s="16"/>
      <c r="H45" s="492"/>
      <c r="I45" s="30" t="str">
        <f t="shared" si="0"/>
        <v>·</v>
      </c>
      <c r="J45" s="31">
        <f t="shared" si="1"/>
        <v>29.878953171961303</v>
      </c>
      <c r="K45" s="31">
        <f t="shared" si="2"/>
        <v>24.375181191762749</v>
      </c>
      <c r="L45" s="31">
        <f t="shared" si="14"/>
        <v>5.5037602509947616</v>
      </c>
      <c r="M45" s="87"/>
      <c r="N45" s="31">
        <f t="shared" si="4"/>
        <v>29.878953171961303</v>
      </c>
      <c r="O45" s="544">
        <v>47062018</v>
      </c>
      <c r="P45" s="503">
        <v>1406163832</v>
      </c>
      <c r="Q45" s="357">
        <v>1147145216</v>
      </c>
      <c r="R45" s="357">
        <v>259018064</v>
      </c>
      <c r="S45" s="550"/>
      <c r="T45" s="503">
        <v>46.374054000000001</v>
      </c>
      <c r="U45" s="357">
        <v>46.196517999999998</v>
      </c>
      <c r="V45" s="357">
        <v>46.380336999999997</v>
      </c>
      <c r="W45" s="550">
        <v>0</v>
      </c>
      <c r="X45" s="507"/>
      <c r="Y45" s="359"/>
      <c r="Z45" s="573">
        <v>0</v>
      </c>
      <c r="AA45" s="573">
        <v>0</v>
      </c>
      <c r="AB45" s="33"/>
      <c r="AD45" s="30" t="str">
        <f t="shared" si="13"/>
        <v>·</v>
      </c>
      <c r="AE45" s="31" t="str">
        <f t="shared" si="8"/>
        <v>·</v>
      </c>
      <c r="AF45" s="31" t="str">
        <f t="shared" si="5"/>
        <v>·</v>
      </c>
      <c r="AG45" s="31" t="str">
        <f t="shared" si="9"/>
        <v>·</v>
      </c>
      <c r="AH45" s="87" t="str">
        <f t="shared" si="10"/>
        <v>·</v>
      </c>
      <c r="AI45" s="31" t="str">
        <f t="shared" si="11"/>
        <v>·</v>
      </c>
      <c r="AJ45" s="544"/>
      <c r="AK45" s="503"/>
      <c r="AL45" s="357"/>
      <c r="AM45" s="357"/>
      <c r="AN45" s="550"/>
      <c r="AO45" s="503"/>
      <c r="AP45" s="357"/>
      <c r="AQ45" s="357"/>
      <c r="AR45" s="550"/>
      <c r="AS45" s="507"/>
      <c r="AT45" s="359"/>
      <c r="AU45" s="573">
        <v>0</v>
      </c>
      <c r="AV45" s="573">
        <v>0</v>
      </c>
      <c r="AW45" s="33"/>
      <c r="AY45" s="56" t="e">
        <f t="shared" si="12"/>
        <v>#DIV/0!</v>
      </c>
      <c r="AZ45" s="57" t="e">
        <f t="shared" si="12"/>
        <v>#DIV/0!</v>
      </c>
      <c r="BA45" s="57" t="e">
        <f t="shared" si="7"/>
        <v>#DIV/0!</v>
      </c>
      <c r="BB45" s="58"/>
      <c r="BD45" s="76"/>
      <c r="BE45" s="76"/>
      <c r="BF45" s="76"/>
      <c r="BG45" s="105"/>
      <c r="BI45" s="252"/>
      <c r="BJ45" s="76"/>
      <c r="BK45" s="255"/>
      <c r="BL45" s="258"/>
      <c r="BM45" s="251"/>
      <c r="BN45" s="76"/>
      <c r="BO45" s="76"/>
      <c r="BP45" s="76"/>
      <c r="BQ45" s="105"/>
      <c r="BS45" s="252"/>
      <c r="BT45" s="76"/>
      <c r="BU45" s="255"/>
      <c r="BV45" s="258"/>
      <c r="BX45" s="74"/>
      <c r="BY45" s="75"/>
      <c r="BZ45" s="264"/>
      <c r="CA45" s="105"/>
      <c r="CC45" s="260"/>
      <c r="CD45" s="75"/>
      <c r="CE45" s="262"/>
      <c r="CF45" s="258"/>
    </row>
    <row r="46" spans="1:84" ht="14.25" outlineLevel="1" thickBot="1">
      <c r="A46" s="13"/>
      <c r="B46" s="18" t="s">
        <v>1116</v>
      </c>
      <c r="C46" s="19" t="s">
        <v>136</v>
      </c>
      <c r="D46" s="480">
        <v>47062018</v>
      </c>
      <c r="E46" s="19">
        <v>20</v>
      </c>
      <c r="F46" s="19">
        <v>1</v>
      </c>
      <c r="G46" s="20"/>
      <c r="H46" s="492"/>
      <c r="I46" s="34" t="str">
        <f t="shared" si="0"/>
        <v>·</v>
      </c>
      <c r="J46" s="35">
        <f t="shared" si="1"/>
        <v>32.014450719049066</v>
      </c>
      <c r="K46" s="35">
        <f t="shared" si="2"/>
        <v>24.375181191762749</v>
      </c>
      <c r="L46" s="35">
        <f t="shared" si="14"/>
        <v>7.6392577980825216</v>
      </c>
      <c r="M46" s="88"/>
      <c r="N46" s="35">
        <f t="shared" si="4"/>
        <v>32.014450719049066</v>
      </c>
      <c r="O46" s="555">
        <v>47062018</v>
      </c>
      <c r="P46" s="505">
        <v>1506664656</v>
      </c>
      <c r="Q46" s="361">
        <v>1147145216</v>
      </c>
      <c r="R46" s="361">
        <v>359518888</v>
      </c>
      <c r="S46" s="551"/>
      <c r="T46" s="505">
        <v>51.145302000000001</v>
      </c>
      <c r="U46" s="361">
        <v>51.203361999999998</v>
      </c>
      <c r="V46" s="361">
        <v>51.743583999999998</v>
      </c>
      <c r="W46" s="551">
        <v>0</v>
      </c>
      <c r="X46" s="509"/>
      <c r="Y46" s="363"/>
      <c r="Z46" s="575">
        <v>0</v>
      </c>
      <c r="AA46" s="575">
        <v>0</v>
      </c>
      <c r="AB46" s="37"/>
      <c r="AD46" s="34" t="str">
        <f t="shared" si="13"/>
        <v>·</v>
      </c>
      <c r="AE46" s="35" t="str">
        <f t="shared" si="8"/>
        <v>·</v>
      </c>
      <c r="AF46" s="35" t="str">
        <f t="shared" si="5"/>
        <v>·</v>
      </c>
      <c r="AG46" s="35" t="str">
        <f t="shared" si="9"/>
        <v>·</v>
      </c>
      <c r="AH46" s="88" t="str">
        <f t="shared" si="10"/>
        <v>·</v>
      </c>
      <c r="AI46" s="35" t="str">
        <f t="shared" si="11"/>
        <v>·</v>
      </c>
      <c r="AJ46" s="555"/>
      <c r="AK46" s="505"/>
      <c r="AL46" s="361"/>
      <c r="AM46" s="361"/>
      <c r="AN46" s="551"/>
      <c r="AO46" s="505"/>
      <c r="AP46" s="361"/>
      <c r="AQ46" s="361"/>
      <c r="AR46" s="551"/>
      <c r="AS46" s="509"/>
      <c r="AT46" s="363"/>
      <c r="AU46" s="575">
        <v>0</v>
      </c>
      <c r="AV46" s="575">
        <v>0</v>
      </c>
      <c r="AW46" s="37"/>
      <c r="AY46" s="59" t="e">
        <f t="shared" si="12"/>
        <v>#DIV/0!</v>
      </c>
      <c r="AZ46" s="60" t="e">
        <f t="shared" si="12"/>
        <v>#DIV/0!</v>
      </c>
      <c r="BA46" s="60" t="e">
        <f t="shared" si="7"/>
        <v>#DIV/0!</v>
      </c>
      <c r="BB46" s="61"/>
      <c r="BD46" s="79"/>
      <c r="BE46" s="79"/>
      <c r="BF46" s="79"/>
      <c r="BG46" s="108"/>
      <c r="BI46" s="253"/>
      <c r="BJ46" s="79"/>
      <c r="BK46" s="256"/>
      <c r="BL46" s="259"/>
      <c r="BM46" s="251"/>
      <c r="BN46" s="79"/>
      <c r="BO46" s="79"/>
      <c r="BP46" s="79"/>
      <c r="BQ46" s="108"/>
      <c r="BS46" s="253"/>
      <c r="BT46" s="79"/>
      <c r="BU46" s="256"/>
      <c r="BV46" s="259"/>
      <c r="BX46" s="77"/>
      <c r="BY46" s="78"/>
      <c r="BZ46" s="265"/>
      <c r="CA46" s="108"/>
      <c r="CC46" s="261"/>
      <c r="CD46" s="78"/>
      <c r="CE46" s="263"/>
      <c r="CF46" s="259"/>
    </row>
    <row r="47" spans="1:84">
      <c r="A47" s="13"/>
      <c r="B47" s="27" t="s">
        <v>1117</v>
      </c>
      <c r="C47" s="28" t="s">
        <v>131</v>
      </c>
      <c r="D47" s="478">
        <v>43399207</v>
      </c>
      <c r="E47" s="28">
        <v>20</v>
      </c>
      <c r="F47" s="28">
        <v>1</v>
      </c>
      <c r="G47" s="29"/>
      <c r="H47" s="492"/>
      <c r="I47" s="46" t="str">
        <f t="shared" si="0"/>
        <v>·</v>
      </c>
      <c r="J47" s="47">
        <f t="shared" si="1"/>
        <v>26.183704600869781</v>
      </c>
      <c r="K47" s="47">
        <f t="shared" si="2"/>
        <v>25.480300043270375</v>
      </c>
      <c r="L47" s="47">
        <f t="shared" si="14"/>
        <v>0.70339128546749718</v>
      </c>
      <c r="M47" s="87"/>
      <c r="N47" s="47">
        <f t="shared" si="4"/>
        <v>26.183704600869781</v>
      </c>
      <c r="O47" s="554">
        <v>43399207</v>
      </c>
      <c r="P47" s="502">
        <v>1136352016</v>
      </c>
      <c r="Q47" s="353">
        <v>1105824816</v>
      </c>
      <c r="R47" s="353">
        <v>30526624</v>
      </c>
      <c r="S47" s="550"/>
      <c r="T47" s="502">
        <v>22.499765</v>
      </c>
      <c r="U47" s="353">
        <v>26.967941</v>
      </c>
      <c r="V47" s="353">
        <v>29.692661000000001</v>
      </c>
      <c r="W47" s="550">
        <v>0</v>
      </c>
      <c r="X47" s="506"/>
      <c r="Y47" s="355"/>
      <c r="Z47" s="572">
        <v>0</v>
      </c>
      <c r="AA47" s="572">
        <v>0</v>
      </c>
      <c r="AB47" s="49"/>
      <c r="AD47" s="46" t="str">
        <f t="shared" si="13"/>
        <v>·</v>
      </c>
      <c r="AE47" s="47" t="str">
        <f t="shared" si="8"/>
        <v>·</v>
      </c>
      <c r="AF47" s="47" t="str">
        <f t="shared" si="5"/>
        <v>·</v>
      </c>
      <c r="AG47" s="47" t="str">
        <f t="shared" si="9"/>
        <v>·</v>
      </c>
      <c r="AH47" s="87" t="str">
        <f t="shared" si="10"/>
        <v>·</v>
      </c>
      <c r="AI47" s="47" t="str">
        <f t="shared" si="11"/>
        <v>·</v>
      </c>
      <c r="AJ47" s="554"/>
      <c r="AK47" s="502"/>
      <c r="AL47" s="353"/>
      <c r="AM47" s="353"/>
      <c r="AN47" s="550"/>
      <c r="AO47" s="502"/>
      <c r="AP47" s="353"/>
      <c r="AQ47" s="353"/>
      <c r="AR47" s="550"/>
      <c r="AS47" s="506"/>
      <c r="AT47" s="355"/>
      <c r="AU47" s="572">
        <v>0</v>
      </c>
      <c r="AV47" s="572">
        <v>0</v>
      </c>
      <c r="AW47" s="49"/>
      <c r="AY47" s="68" t="e">
        <f t="shared" si="12"/>
        <v>#DIV/0!</v>
      </c>
      <c r="AZ47" s="69" t="e">
        <f t="shared" si="12"/>
        <v>#DIV/0!</v>
      </c>
      <c r="BA47" s="69" t="e">
        <f t="shared" si="7"/>
        <v>#DIV/0!</v>
      </c>
      <c r="BB47" s="70" t="e">
        <f t="array" ref="BB47">AVERAGE(AL47:AL52/AK47:AK52) - AVERAGE(Q47:Q52/P47:P52)</f>
        <v>#DIV/0!</v>
      </c>
      <c r="BD47" s="86" t="str">
        <f>IF( OR(ISBLANK($R47:$R52),ISBLANK($AM47:$AM52), ISBLANK(T47:T52),ISBLANK(AO47:AO52)), "·", bdRateHermite( $R47:$R52,$T47:$T52, $AM47:$AM52,$AO47:$AO52))</f>
        <v>·</v>
      </c>
      <c r="BE47" s="86" t="str">
        <f>IF( OR(ISBLANK($R47:$R52),ISBLANK($AM47:$AM52), ISBLANK(U47:U52),ISBLANK(AP47:AP52)), "·", bdRateHermite( $R47:$R52,$U47:$U52, $AM47:$AM52,$AP47:$AP52))</f>
        <v>·</v>
      </c>
      <c r="BF47" s="86" t="str">
        <f>IF( OR(ISBLANK($R47:$R52),ISBLANK($AM47:$AM52), ISBLANK(V47:V52),ISBLANK(AQ47:AQ52)), "·", bdRateHermite( $R47:$R52,$V47:$V52, $AM47:$AM52,$AQ47:$AQ52))</f>
        <v>·</v>
      </c>
      <c r="BG47" s="103"/>
      <c r="BI47" s="250" t="str">
        <f>IF(OR(ISBLANK($P47:$P52),ISBLANK($AK47:$AK52),ISBLANK(T47:T52),ISBLANK(AO47:AO52)),"·",bdRateHermite($P47:$P52,$T47:$T52,$AK47:$AK52,$AO47:$AO52))</f>
        <v>·</v>
      </c>
      <c r="BJ47" s="85" t="str">
        <f>IF(OR(ISBLANK($P47:$P52),ISBLANK($AK47:$AK52),ISBLANK(U47:U52),ISBLANK(AP47:AP52)),"·",bdRateHermite($P47:$P52,$U47:$U52,$AK47:$AK52,$AP47:$AP52))</f>
        <v>·</v>
      </c>
      <c r="BK47" s="254" t="str">
        <f>IF(OR(ISBLANK($P47:$P52),ISBLANK($AK47:$AK52),ISBLANK(V47:V52),ISBLANK(AQ47:AQ52)),"·",bdRateHermite($P47:$P52,$V47:$V52,$AK47:$AK52,$AQ47:$AQ52))</f>
        <v>·</v>
      </c>
      <c r="BL47" s="257"/>
      <c r="BM47" s="251"/>
      <c r="BN47" s="86" t="str">
        <f>IF( OR(ISBLANK($R47:$R52),ISBLANK($AM47:$AM52), ISBLANK(T47:T52),ISBLANK(AO47:AO52)), "·", bdRateHermite( $R48:$R52,$T48:$T52, $AM48:$AM52,$AO48:$AO52))</f>
        <v>·</v>
      </c>
      <c r="BO47" s="86" t="str">
        <f>IF( OR(ISBLANK($R47:$R52),ISBLANK($AM47:$AM52), ISBLANK(U47:U52),ISBLANK(AP47:AP52)), "·", bdRateHermite( $R48:$R52,$U48:$U52, $AM48:$AM52,$AP48:$AP52))</f>
        <v>·</v>
      </c>
      <c r="BP47" s="86" t="str">
        <f>IF( OR(ISBLANK($R47:$R52),ISBLANK($AM47:$AM52), ISBLANK(V47:V52),ISBLANK(AQ47:AQ52)), "·", bdRateHermite( $R48:$R52,$V48:$V52, $AM48:$AM52,$AQ48:$AQ52))</f>
        <v>·</v>
      </c>
      <c r="BQ47" s="103"/>
      <c r="BS47" s="250" t="str">
        <f>IF(OR(ISBLANK($P47:$P52),ISBLANK($AK47:$AK52),ISBLANK(T47:T52),ISBLANK(AO47:AO52)),"·",bdRateHermite($P48:$P52,$T48:$T52,$AK48:$AK52,$AO48:$AO52))</f>
        <v>·</v>
      </c>
      <c r="BT47" s="85" t="str">
        <f>IF(OR(ISBLANK($P47:$P52),ISBLANK($AK47:$AK52),ISBLANK(U47:U52),ISBLANK(AP47:AP52)),"·",bdRateHermite($P48:$P52,$U48:$U52,$AK48:$AK52,$AP48:$AP52))</f>
        <v>·</v>
      </c>
      <c r="BU47" s="254" t="str">
        <f>IF(OR(ISBLANK($P47:$P52),ISBLANK($AK47:$AK52),ISBLANK(V47:V52),ISBLANK(AQ47:AQ52)),"·",bdRateHermite($P48:$P52,$V48:$V52,$AK48:$AK52,$AQ48:$AQ52))</f>
        <v>·</v>
      </c>
      <c r="BV47" s="257"/>
      <c r="BX47" s="86" t="str">
        <f>IF( OR(ISBLANK($R47:$R52),ISBLANK($AM47:$AM52), ISBLANK(T47:T52),ISBLANK(AO47:AO52)), "·", bdRateHermite( $R47:$R51,$T47:$T51, $AM47:$AM51,$AO47:$AO51))</f>
        <v>·</v>
      </c>
      <c r="BY47" s="86" t="str">
        <f>IF( OR(ISBLANK($R47:$R52),ISBLANK($AM47:$AM52), ISBLANK(U47:U52),ISBLANK(AP47:AP52)), "·", bdRateHermite( $R47:$R51,$U47:$U51, $AM47:$AM51,$AP47:$AP51))</f>
        <v>·</v>
      </c>
      <c r="BZ47" s="86" t="str">
        <f>IF( OR(ISBLANK($R47:$R52),ISBLANK($AM47:$AM52), ISBLANK(V47:V52),ISBLANK(AQ47:AQ52)), "·", bdRateHermite( $R47:$R51,$V47:$V51, $AM47:$AM51,$AQ47:$AQ51))</f>
        <v>·</v>
      </c>
      <c r="CA47" s="103"/>
      <c r="CC47" s="250" t="str">
        <f>IF(OR(ISBLANK($P47:$P52),ISBLANK($AK47:$AK52),ISBLANK(T47:T52),ISBLANK(AO47:AO52)),"·",bdRateHermite($P47:$P51,$T47:$T51,$AK47:$AK51,$AO47:$AO51))</f>
        <v>·</v>
      </c>
      <c r="CD47" s="85" t="str">
        <f>IF(OR(ISBLANK($P47:$P52),ISBLANK($AK47:$AK52),ISBLANK(U47:U52),ISBLANK(AP47:AP52)),"·",bdRateHermite($P47:$P51,$U47:$U51,$AK47:$AK51,$AP47:$AP51))</f>
        <v>·</v>
      </c>
      <c r="CE47" s="254" t="str">
        <f>IF(OR(ISBLANK($P47:$P52),ISBLANK($AK47:$AK52),ISBLANK(V47:V52),ISBLANK(AQ47:AQ52)),"·",bdRateHermite($P47:$P51,$V47:$V51,$AK47:$AK51,$AQ47:$AQ51))</f>
        <v>·</v>
      </c>
      <c r="CF47" s="257"/>
    </row>
    <row r="48" spans="1:84" outlineLevel="1">
      <c r="A48" s="13"/>
      <c r="B48" s="14" t="s">
        <v>1117</v>
      </c>
      <c r="C48" s="15" t="s">
        <v>132</v>
      </c>
      <c r="D48" s="479">
        <v>43399207</v>
      </c>
      <c r="E48" s="15">
        <v>20</v>
      </c>
      <c r="F48" s="15">
        <v>1</v>
      </c>
      <c r="G48" s="16"/>
      <c r="H48" s="492"/>
      <c r="I48" s="30" t="str">
        <f t="shared" si="0"/>
        <v>·</v>
      </c>
      <c r="J48" s="31">
        <f t="shared" si="1"/>
        <v>26.727147157320179</v>
      </c>
      <c r="K48" s="31">
        <f t="shared" si="2"/>
        <v>25.480300043270375</v>
      </c>
      <c r="L48" s="31">
        <f t="shared" si="14"/>
        <v>1.246833841917895</v>
      </c>
      <c r="M48" s="87"/>
      <c r="N48" s="31">
        <f t="shared" si="4"/>
        <v>26.727147157320179</v>
      </c>
      <c r="O48" s="544">
        <v>43399207</v>
      </c>
      <c r="P48" s="503">
        <v>1159936992</v>
      </c>
      <c r="Q48" s="357">
        <v>1105824816</v>
      </c>
      <c r="R48" s="357">
        <v>54111600</v>
      </c>
      <c r="S48" s="550"/>
      <c r="T48" s="503">
        <v>28.864048</v>
      </c>
      <c r="U48" s="357">
        <v>29.787870000000002</v>
      </c>
      <c r="V48" s="357">
        <v>33.983390999999997</v>
      </c>
      <c r="W48" s="550">
        <v>0</v>
      </c>
      <c r="X48" s="507"/>
      <c r="Y48" s="359"/>
      <c r="Z48" s="573">
        <v>0</v>
      </c>
      <c r="AA48" s="573">
        <v>0</v>
      </c>
      <c r="AB48" s="33"/>
      <c r="AD48" s="30" t="str">
        <f t="shared" si="13"/>
        <v>·</v>
      </c>
      <c r="AE48" s="31" t="str">
        <f t="shared" si="8"/>
        <v>·</v>
      </c>
      <c r="AF48" s="31" t="str">
        <f t="shared" si="5"/>
        <v>·</v>
      </c>
      <c r="AG48" s="31" t="str">
        <f t="shared" si="9"/>
        <v>·</v>
      </c>
      <c r="AH48" s="87" t="str">
        <f t="shared" si="10"/>
        <v>·</v>
      </c>
      <c r="AI48" s="31" t="str">
        <f t="shared" si="11"/>
        <v>·</v>
      </c>
      <c r="AJ48" s="544"/>
      <c r="AK48" s="503"/>
      <c r="AL48" s="357"/>
      <c r="AM48" s="357"/>
      <c r="AN48" s="550"/>
      <c r="AO48" s="503"/>
      <c r="AP48" s="357"/>
      <c r="AQ48" s="357"/>
      <c r="AR48" s="550"/>
      <c r="AS48" s="507"/>
      <c r="AT48" s="359"/>
      <c r="AU48" s="573">
        <v>0</v>
      </c>
      <c r="AV48" s="573">
        <v>0</v>
      </c>
      <c r="AW48" s="33"/>
      <c r="AY48" s="56" t="e">
        <f t="shared" si="12"/>
        <v>#DIV/0!</v>
      </c>
      <c r="AZ48" s="57" t="e">
        <f t="shared" si="12"/>
        <v>#DIV/0!</v>
      </c>
      <c r="BA48" s="57" t="e">
        <f t="shared" si="7"/>
        <v>#DIV/0!</v>
      </c>
      <c r="BB48" s="58"/>
      <c r="BD48" s="76"/>
      <c r="BE48" s="76"/>
      <c r="BF48" s="76"/>
      <c r="BG48" s="105"/>
      <c r="BI48" s="252"/>
      <c r="BJ48" s="76"/>
      <c r="BK48" s="255"/>
      <c r="BL48" s="258"/>
      <c r="BM48" s="251"/>
      <c r="BN48" s="252"/>
      <c r="BO48" s="76"/>
      <c r="BP48" s="255"/>
      <c r="BQ48" s="258"/>
      <c r="BS48" s="252"/>
      <c r="BT48" s="76"/>
      <c r="BU48" s="255"/>
      <c r="BV48" s="258"/>
      <c r="BX48" s="74"/>
      <c r="BY48" s="75"/>
      <c r="BZ48" s="264"/>
      <c r="CA48" s="105"/>
      <c r="CC48" s="260"/>
      <c r="CD48" s="75"/>
      <c r="CE48" s="262"/>
      <c r="CF48" s="258"/>
    </row>
    <row r="49" spans="1:84" outlineLevel="1">
      <c r="A49" s="13"/>
      <c r="B49" s="14" t="s">
        <v>1117</v>
      </c>
      <c r="C49" s="15" t="s">
        <v>133</v>
      </c>
      <c r="D49" s="479">
        <v>43399207</v>
      </c>
      <c r="E49" s="15">
        <v>20</v>
      </c>
      <c r="F49" s="15">
        <v>1</v>
      </c>
      <c r="G49" s="16"/>
      <c r="H49" s="492"/>
      <c r="I49" s="30" t="str">
        <f t="shared" si="0"/>
        <v>·</v>
      </c>
      <c r="J49" s="31">
        <f t="shared" si="1"/>
        <v>27.639521616143817</v>
      </c>
      <c r="K49" s="31">
        <f t="shared" si="2"/>
        <v>25.480300043270375</v>
      </c>
      <c r="L49" s="31">
        <f t="shared" si="14"/>
        <v>2.1592083007415321</v>
      </c>
      <c r="M49" s="87"/>
      <c r="N49" s="31">
        <f t="shared" si="4"/>
        <v>27.639521616143817</v>
      </c>
      <c r="O49" s="544">
        <v>43399207</v>
      </c>
      <c r="P49" s="503">
        <v>1199533320</v>
      </c>
      <c r="Q49" s="357">
        <v>1105824816</v>
      </c>
      <c r="R49" s="357">
        <v>93707928</v>
      </c>
      <c r="S49" s="550"/>
      <c r="T49" s="503">
        <v>34.821640000000002</v>
      </c>
      <c r="U49" s="357">
        <v>34.851978000000003</v>
      </c>
      <c r="V49" s="357">
        <v>37.403145000000002</v>
      </c>
      <c r="W49" s="550">
        <v>0</v>
      </c>
      <c r="X49" s="507"/>
      <c r="Y49" s="359"/>
      <c r="Z49" s="573">
        <v>0</v>
      </c>
      <c r="AA49" s="573">
        <v>0</v>
      </c>
      <c r="AB49" s="33"/>
      <c r="AD49" s="30" t="str">
        <f t="shared" si="13"/>
        <v>·</v>
      </c>
      <c r="AE49" s="31" t="str">
        <f t="shared" si="8"/>
        <v>·</v>
      </c>
      <c r="AF49" s="31" t="str">
        <f t="shared" si="5"/>
        <v>·</v>
      </c>
      <c r="AG49" s="31" t="str">
        <f t="shared" si="9"/>
        <v>·</v>
      </c>
      <c r="AH49" s="87" t="str">
        <f t="shared" si="10"/>
        <v>·</v>
      </c>
      <c r="AI49" s="31" t="str">
        <f t="shared" si="11"/>
        <v>·</v>
      </c>
      <c r="AJ49" s="544"/>
      <c r="AK49" s="503"/>
      <c r="AL49" s="357"/>
      <c r="AM49" s="357"/>
      <c r="AN49" s="550"/>
      <c r="AO49" s="503"/>
      <c r="AP49" s="357"/>
      <c r="AQ49" s="357"/>
      <c r="AR49" s="550"/>
      <c r="AS49" s="507"/>
      <c r="AT49" s="359"/>
      <c r="AU49" s="573">
        <v>0</v>
      </c>
      <c r="AV49" s="573">
        <v>0</v>
      </c>
      <c r="AW49" s="33"/>
      <c r="AY49" s="56" t="e">
        <f t="shared" si="12"/>
        <v>#DIV/0!</v>
      </c>
      <c r="AZ49" s="57" t="e">
        <f t="shared" si="12"/>
        <v>#DIV/0!</v>
      </c>
      <c r="BA49" s="57" t="e">
        <f t="shared" si="7"/>
        <v>#DIV/0!</v>
      </c>
      <c r="BB49" s="58"/>
      <c r="BD49" s="76"/>
      <c r="BE49" s="76"/>
      <c r="BF49" s="76"/>
      <c r="BG49" s="105"/>
      <c r="BI49" s="252"/>
      <c r="BJ49" s="76"/>
      <c r="BK49" s="255"/>
      <c r="BL49" s="258"/>
      <c r="BM49" s="251"/>
      <c r="BN49" s="252"/>
      <c r="BO49" s="76"/>
      <c r="BP49" s="255"/>
      <c r="BQ49" s="258"/>
      <c r="BS49" s="252"/>
      <c r="BT49" s="76"/>
      <c r="BU49" s="255"/>
      <c r="BV49" s="258"/>
      <c r="BX49" s="74"/>
      <c r="BY49" s="75"/>
      <c r="BZ49" s="264"/>
      <c r="CA49" s="105"/>
      <c r="CC49" s="260"/>
      <c r="CD49" s="75"/>
      <c r="CE49" s="262"/>
      <c r="CF49" s="258"/>
    </row>
    <row r="50" spans="1:84" outlineLevel="1">
      <c r="A50" s="13"/>
      <c r="B50" s="14" t="s">
        <v>1117</v>
      </c>
      <c r="C50" s="15" t="s">
        <v>134</v>
      </c>
      <c r="D50" s="479">
        <v>43399207</v>
      </c>
      <c r="E50" s="15">
        <v>20</v>
      </c>
      <c r="F50" s="15">
        <v>1</v>
      </c>
      <c r="G50" s="16"/>
      <c r="H50" s="492"/>
      <c r="I50" s="30" t="str">
        <f t="shared" si="0"/>
        <v>·</v>
      </c>
      <c r="J50" s="31">
        <f t="shared" si="1"/>
        <v>29.205259533889642</v>
      </c>
      <c r="K50" s="31">
        <f t="shared" si="2"/>
        <v>25.480300043270375</v>
      </c>
      <c r="L50" s="31">
        <f t="shared" si="14"/>
        <v>3.7249462184873563</v>
      </c>
      <c r="M50" s="87"/>
      <c r="N50" s="31">
        <f t="shared" si="4"/>
        <v>29.205259533889642</v>
      </c>
      <c r="O50" s="544">
        <v>43399207</v>
      </c>
      <c r="P50" s="503">
        <v>1267485104</v>
      </c>
      <c r="Q50" s="357">
        <v>1105824816</v>
      </c>
      <c r="R50" s="357">
        <v>161659712</v>
      </c>
      <c r="S50" s="550"/>
      <c r="T50" s="503">
        <v>40.74118</v>
      </c>
      <c r="U50" s="357">
        <v>40.876682000000002</v>
      </c>
      <c r="V50" s="357">
        <v>41.077759</v>
      </c>
      <c r="W50" s="550">
        <v>0</v>
      </c>
      <c r="X50" s="507"/>
      <c r="Y50" s="359"/>
      <c r="Z50" s="573">
        <v>0</v>
      </c>
      <c r="AA50" s="573">
        <v>0</v>
      </c>
      <c r="AB50" s="33"/>
      <c r="AD50" s="30" t="str">
        <f t="shared" si="13"/>
        <v>·</v>
      </c>
      <c r="AE50" s="31" t="str">
        <f t="shared" si="8"/>
        <v>·</v>
      </c>
      <c r="AF50" s="31" t="str">
        <f t="shared" si="5"/>
        <v>·</v>
      </c>
      <c r="AG50" s="31" t="str">
        <f t="shared" si="9"/>
        <v>·</v>
      </c>
      <c r="AH50" s="87" t="str">
        <f t="shared" si="10"/>
        <v>·</v>
      </c>
      <c r="AI50" s="31" t="str">
        <f t="shared" si="11"/>
        <v>·</v>
      </c>
      <c r="AJ50" s="544"/>
      <c r="AK50" s="503"/>
      <c r="AL50" s="357"/>
      <c r="AM50" s="357"/>
      <c r="AN50" s="550"/>
      <c r="AO50" s="503"/>
      <c r="AP50" s="357"/>
      <c r="AQ50" s="357"/>
      <c r="AR50" s="550"/>
      <c r="AS50" s="507"/>
      <c r="AT50" s="359"/>
      <c r="AU50" s="573">
        <v>0</v>
      </c>
      <c r="AV50" s="573">
        <v>0</v>
      </c>
      <c r="AW50" s="33"/>
      <c r="AY50" s="56" t="e">
        <f t="shared" si="12"/>
        <v>#DIV/0!</v>
      </c>
      <c r="AZ50" s="57" t="e">
        <f t="shared" si="12"/>
        <v>#DIV/0!</v>
      </c>
      <c r="BA50" s="57" t="e">
        <f t="shared" si="7"/>
        <v>#DIV/0!</v>
      </c>
      <c r="BB50" s="58"/>
      <c r="BD50" s="76"/>
      <c r="BE50" s="76"/>
      <c r="BF50" s="76"/>
      <c r="BG50" s="105"/>
      <c r="BI50" s="252"/>
      <c r="BJ50" s="76"/>
      <c r="BK50" s="255"/>
      <c r="BL50" s="258"/>
      <c r="BM50" s="251"/>
      <c r="BN50" s="252"/>
      <c r="BO50" s="76"/>
      <c r="BP50" s="255"/>
      <c r="BQ50" s="258"/>
      <c r="BS50" s="252"/>
      <c r="BT50" s="76"/>
      <c r="BU50" s="255"/>
      <c r="BV50" s="258"/>
      <c r="BX50" s="74"/>
      <c r="BY50" s="75"/>
      <c r="BZ50" s="264"/>
      <c r="CA50" s="105"/>
      <c r="CC50" s="260"/>
      <c r="CD50" s="75"/>
      <c r="CE50" s="262"/>
      <c r="CF50" s="258"/>
    </row>
    <row r="51" spans="1:84" outlineLevel="1">
      <c r="A51" s="13"/>
      <c r="B51" s="14" t="s">
        <v>1117</v>
      </c>
      <c r="C51" s="15" t="s">
        <v>135</v>
      </c>
      <c r="D51" s="479">
        <v>43399207</v>
      </c>
      <c r="E51" s="15">
        <v>20</v>
      </c>
      <c r="F51" s="15">
        <v>1</v>
      </c>
      <c r="G51" s="16"/>
      <c r="H51" s="492"/>
      <c r="I51" s="30" t="str">
        <f t="shared" si="0"/>
        <v>·</v>
      </c>
      <c r="J51" s="31">
        <f t="shared" si="1"/>
        <v>31.233226542595581</v>
      </c>
      <c r="K51" s="31">
        <f t="shared" si="2"/>
        <v>25.480300043270375</v>
      </c>
      <c r="L51" s="31">
        <f t="shared" si="14"/>
        <v>5.7529132271932983</v>
      </c>
      <c r="M51" s="87"/>
      <c r="N51" s="31">
        <f t="shared" si="4"/>
        <v>31.233226542595581</v>
      </c>
      <c r="O51" s="544">
        <v>43399207</v>
      </c>
      <c r="P51" s="503">
        <v>1355497264</v>
      </c>
      <c r="Q51" s="357">
        <v>1105824816</v>
      </c>
      <c r="R51" s="357">
        <v>249671872</v>
      </c>
      <c r="S51" s="550"/>
      <c r="T51" s="503">
        <v>46.383198</v>
      </c>
      <c r="U51" s="357">
        <v>46.142417999999999</v>
      </c>
      <c r="V51" s="357">
        <v>46.529896000000001</v>
      </c>
      <c r="W51" s="550">
        <v>0</v>
      </c>
      <c r="X51" s="507"/>
      <c r="Y51" s="359"/>
      <c r="Z51" s="573">
        <v>0</v>
      </c>
      <c r="AA51" s="573">
        <v>0</v>
      </c>
      <c r="AB51" s="33"/>
      <c r="AD51" s="30" t="str">
        <f t="shared" si="13"/>
        <v>·</v>
      </c>
      <c r="AE51" s="31" t="str">
        <f t="shared" si="8"/>
        <v>·</v>
      </c>
      <c r="AF51" s="31" t="str">
        <f t="shared" si="5"/>
        <v>·</v>
      </c>
      <c r="AG51" s="31" t="str">
        <f t="shared" si="9"/>
        <v>·</v>
      </c>
      <c r="AH51" s="87" t="str">
        <f t="shared" si="10"/>
        <v>·</v>
      </c>
      <c r="AI51" s="31" t="str">
        <f t="shared" si="11"/>
        <v>·</v>
      </c>
      <c r="AJ51" s="544"/>
      <c r="AK51" s="503"/>
      <c r="AL51" s="357"/>
      <c r="AM51" s="357"/>
      <c r="AN51" s="550"/>
      <c r="AO51" s="503"/>
      <c r="AP51" s="357"/>
      <c r="AQ51" s="357"/>
      <c r="AR51" s="550"/>
      <c r="AS51" s="507"/>
      <c r="AT51" s="359"/>
      <c r="AU51" s="573">
        <v>0</v>
      </c>
      <c r="AV51" s="573">
        <v>0</v>
      </c>
      <c r="AW51" s="33"/>
      <c r="AY51" s="56" t="e">
        <f t="shared" si="12"/>
        <v>#DIV/0!</v>
      </c>
      <c r="AZ51" s="57" t="e">
        <f t="shared" si="12"/>
        <v>#DIV/0!</v>
      </c>
      <c r="BA51" s="57" t="e">
        <f t="shared" si="7"/>
        <v>#DIV/0!</v>
      </c>
      <c r="BB51" s="58"/>
      <c r="BD51" s="76"/>
      <c r="BE51" s="76"/>
      <c r="BF51" s="76"/>
      <c r="BG51" s="105"/>
      <c r="BI51" s="252"/>
      <c r="BJ51" s="76"/>
      <c r="BK51" s="255"/>
      <c r="BL51" s="258"/>
      <c r="BM51" s="251"/>
      <c r="BN51" s="252"/>
      <c r="BO51" s="76"/>
      <c r="BP51" s="255"/>
      <c r="BQ51" s="258"/>
      <c r="BS51" s="252"/>
      <c r="BT51" s="76"/>
      <c r="BU51" s="255"/>
      <c r="BV51" s="258"/>
      <c r="BX51" s="74"/>
      <c r="BY51" s="75"/>
      <c r="BZ51" s="264"/>
      <c r="CA51" s="105"/>
      <c r="CC51" s="260"/>
      <c r="CD51" s="75"/>
      <c r="CE51" s="262"/>
      <c r="CF51" s="258"/>
    </row>
    <row r="52" spans="1:84" ht="14.25" outlineLevel="1" thickBot="1">
      <c r="A52" s="13"/>
      <c r="B52" s="18" t="s">
        <v>1117</v>
      </c>
      <c r="C52" s="19" t="s">
        <v>136</v>
      </c>
      <c r="D52" s="480">
        <v>43399207</v>
      </c>
      <c r="E52" s="19">
        <v>20</v>
      </c>
      <c r="F52" s="19">
        <v>1</v>
      </c>
      <c r="G52" s="20"/>
      <c r="H52" s="492"/>
      <c r="I52" s="34" t="str">
        <f t="shared" si="0"/>
        <v>·</v>
      </c>
      <c r="J52" s="35">
        <f t="shared" si="1"/>
        <v>33.457881016120872</v>
      </c>
      <c r="K52" s="35">
        <f t="shared" si="2"/>
        <v>25.480300043270375</v>
      </c>
      <c r="L52" s="35">
        <f t="shared" si="14"/>
        <v>7.9775677007185868</v>
      </c>
      <c r="M52" s="89"/>
      <c r="N52" s="35">
        <f t="shared" si="4"/>
        <v>33.457881016120872</v>
      </c>
      <c r="O52" s="555">
        <v>43399207</v>
      </c>
      <c r="P52" s="505">
        <v>1452045504</v>
      </c>
      <c r="Q52" s="361">
        <v>1105824816</v>
      </c>
      <c r="R52" s="361">
        <v>346220112</v>
      </c>
      <c r="S52" s="552"/>
      <c r="T52" s="505">
        <v>51.150329999999997</v>
      </c>
      <c r="U52" s="361">
        <v>51.257342999999999</v>
      </c>
      <c r="V52" s="361">
        <v>51.603149000000002</v>
      </c>
      <c r="W52" s="552">
        <v>0</v>
      </c>
      <c r="X52" s="509"/>
      <c r="Y52" s="363"/>
      <c r="Z52" s="575">
        <v>0</v>
      </c>
      <c r="AA52" s="575">
        <v>0</v>
      </c>
      <c r="AB52" s="37"/>
      <c r="AD52" s="34" t="str">
        <f t="shared" si="13"/>
        <v>·</v>
      </c>
      <c r="AE52" s="35" t="str">
        <f t="shared" si="8"/>
        <v>·</v>
      </c>
      <c r="AF52" s="35" t="str">
        <f t="shared" si="5"/>
        <v>·</v>
      </c>
      <c r="AG52" s="35" t="str">
        <f t="shared" si="9"/>
        <v>·</v>
      </c>
      <c r="AH52" s="89" t="str">
        <f t="shared" si="10"/>
        <v>·</v>
      </c>
      <c r="AI52" s="35" t="str">
        <f t="shared" si="11"/>
        <v>·</v>
      </c>
      <c r="AJ52" s="555"/>
      <c r="AK52" s="505"/>
      <c r="AL52" s="361"/>
      <c r="AM52" s="361"/>
      <c r="AN52" s="552"/>
      <c r="AO52" s="505"/>
      <c r="AP52" s="361"/>
      <c r="AQ52" s="361"/>
      <c r="AR52" s="552"/>
      <c r="AS52" s="509"/>
      <c r="AT52" s="363"/>
      <c r="AU52" s="575">
        <v>0</v>
      </c>
      <c r="AV52" s="575">
        <v>0</v>
      </c>
      <c r="AW52" s="37"/>
      <c r="AY52" s="59" t="e">
        <f t="shared" si="12"/>
        <v>#DIV/0!</v>
      </c>
      <c r="AZ52" s="60" t="e">
        <f t="shared" si="12"/>
        <v>#DIV/0!</v>
      </c>
      <c r="BA52" s="60" t="e">
        <f t="shared" si="7"/>
        <v>#DIV/0!</v>
      </c>
      <c r="BB52" s="61"/>
      <c r="BD52" s="79"/>
      <c r="BE52" s="79"/>
      <c r="BF52" s="79"/>
      <c r="BG52" s="108"/>
      <c r="BI52" s="253"/>
      <c r="BJ52" s="79"/>
      <c r="BK52" s="256"/>
      <c r="BL52" s="259"/>
      <c r="BM52" s="251"/>
      <c r="BN52" s="253"/>
      <c r="BO52" s="79"/>
      <c r="BP52" s="256"/>
      <c r="BQ52" s="259"/>
      <c r="BS52" s="253"/>
      <c r="BT52" s="79"/>
      <c r="BU52" s="256"/>
      <c r="BV52" s="259"/>
      <c r="BX52" s="77"/>
      <c r="BY52" s="78"/>
      <c r="BZ52" s="265"/>
      <c r="CA52" s="108"/>
      <c r="CC52" s="261"/>
      <c r="CD52" s="78"/>
      <c r="CE52" s="263"/>
      <c r="CF52" s="259"/>
    </row>
    <row r="53" spans="1:84">
      <c r="A53" s="13"/>
      <c r="B53" s="27" t="s">
        <v>1118</v>
      </c>
      <c r="C53" s="28" t="s">
        <v>131</v>
      </c>
      <c r="D53" s="478">
        <v>67599953</v>
      </c>
      <c r="E53" s="28">
        <v>16</v>
      </c>
      <c r="F53" s="28">
        <v>1</v>
      </c>
      <c r="G53" s="29"/>
      <c r="H53" s="492"/>
      <c r="I53" s="46" t="str">
        <f t="shared" si="0"/>
        <v>·</v>
      </c>
      <c r="J53" s="47">
        <f t="shared" si="1"/>
        <v>11.49373296161907</v>
      </c>
      <c r="K53" s="47">
        <f t="shared" si="2"/>
        <v>10.797644785344747</v>
      </c>
      <c r="L53" s="47">
        <f t="shared" si="14"/>
        <v>0.69607669697640173</v>
      </c>
      <c r="M53" s="90"/>
      <c r="N53" s="47">
        <f t="shared" si="4"/>
        <v>11.49373296161907</v>
      </c>
      <c r="O53" s="554">
        <v>67599953</v>
      </c>
      <c r="P53" s="502">
        <v>776975808</v>
      </c>
      <c r="Q53" s="353">
        <v>729920280</v>
      </c>
      <c r="R53" s="353">
        <v>47054752</v>
      </c>
      <c r="S53" s="550"/>
      <c r="T53" s="502">
        <v>23.590623999999998</v>
      </c>
      <c r="U53" s="353">
        <v>25.187712000000001</v>
      </c>
      <c r="V53" s="353">
        <v>24.797187999999998</v>
      </c>
      <c r="W53" s="550">
        <v>0</v>
      </c>
      <c r="X53" s="506"/>
      <c r="Y53" s="355"/>
      <c r="Z53" s="572">
        <v>0</v>
      </c>
      <c r="AA53" s="572">
        <v>0</v>
      </c>
      <c r="AB53" s="49"/>
      <c r="AD53" s="46" t="str">
        <f t="shared" si="13"/>
        <v>·</v>
      </c>
      <c r="AE53" s="47" t="str">
        <f t="shared" si="8"/>
        <v>·</v>
      </c>
      <c r="AF53" s="47" t="str">
        <f t="shared" si="5"/>
        <v>·</v>
      </c>
      <c r="AG53" s="47" t="str">
        <f t="shared" si="9"/>
        <v>·</v>
      </c>
      <c r="AH53" s="90" t="str">
        <f t="shared" si="10"/>
        <v>·</v>
      </c>
      <c r="AI53" s="47" t="str">
        <f t="shared" si="11"/>
        <v>·</v>
      </c>
      <c r="AJ53" s="554"/>
      <c r="AK53" s="502"/>
      <c r="AL53" s="353"/>
      <c r="AM53" s="353"/>
      <c r="AN53" s="550"/>
      <c r="AO53" s="502"/>
      <c r="AP53" s="353"/>
      <c r="AQ53" s="353"/>
      <c r="AR53" s="550"/>
      <c r="AS53" s="506"/>
      <c r="AT53" s="355"/>
      <c r="AU53" s="572">
        <v>0</v>
      </c>
      <c r="AV53" s="572">
        <v>0</v>
      </c>
      <c r="AW53" s="49"/>
      <c r="AY53" s="68" t="e">
        <f t="shared" si="12"/>
        <v>#DIV/0!</v>
      </c>
      <c r="AZ53" s="69" t="e">
        <f t="shared" si="12"/>
        <v>#DIV/0!</v>
      </c>
      <c r="BA53" s="69" t="e">
        <f t="shared" si="7"/>
        <v>#DIV/0!</v>
      </c>
      <c r="BB53" s="70" t="e">
        <f t="array" ref="BB53">AVERAGE(AL53:AL58/AK53:AK58) - AVERAGE(Q53:Q58/P53:P58)</f>
        <v>#DIV/0!</v>
      </c>
      <c r="BD53" s="86" t="str">
        <f>IF( OR(ISBLANK($R53:$R58),ISBLANK($AM53:$AM58), ISBLANK(T53:T58),ISBLANK(AO53:AO58)), "·", bdRateHermite( $R53:$R58,$T53:$T58, $AM53:$AM58,$AO53:$AO58))</f>
        <v>·</v>
      </c>
      <c r="BE53" s="86" t="str">
        <f>IF( OR(ISBLANK($R53:$R58),ISBLANK($AM53:$AM58), ISBLANK(U53:U58),ISBLANK(AP53:AP58)), "·", bdRateHermite( $R53:$R58,$U53:$U58, $AM53:$AM58,$AP53:$AP58))</f>
        <v>·</v>
      </c>
      <c r="BF53" s="86" t="str">
        <f>IF( OR(ISBLANK($R53:$R58),ISBLANK($AM53:$AM58), ISBLANK(V53:V58),ISBLANK(AQ53:AQ58)), "·", bdRateHermite( $R53:$R58,$V53:$V58, $AM53:$AM58,$AQ53:$AQ58))</f>
        <v>·</v>
      </c>
      <c r="BG53" s="103"/>
      <c r="BI53" s="250" t="str">
        <f>IF(OR(ISBLANK($P53:$P58),ISBLANK($AK53:$AK58),ISBLANK(T53:T58),ISBLANK(AO53:AO58)),"·",bdRateHermite($P53:$P58,$T53:$T58,$AK53:$AK58,$AO53:$AO58))</f>
        <v>·</v>
      </c>
      <c r="BJ53" s="85" t="str">
        <f>IF(OR(ISBLANK($P53:$P58),ISBLANK($AK53:$AK58),ISBLANK(U53:U58),ISBLANK(AP53:AP58)),"·",bdRateHermite($P53:$P58,$U53:$U58,$AK53:$AK58,$AP53:$AP58))</f>
        <v>·</v>
      </c>
      <c r="BK53" s="254" t="str">
        <f>IF(OR(ISBLANK($P53:$P58),ISBLANK($AK53:$AK58),ISBLANK(V53:V58),ISBLANK(AQ53:AQ58)),"·",bdRateHermite($P53:$P58,$V53:$V58,$AK53:$AK58,$AQ53:$AQ58))</f>
        <v>·</v>
      </c>
      <c r="BL53" s="257"/>
      <c r="BM53" s="251"/>
      <c r="BN53" s="86" t="str">
        <f>IF( OR(ISBLANK($R53:$R58),ISBLANK($AM53:$AM58), ISBLANK(T53:T58),ISBLANK(AO53:AO58)), "·", bdRateHermite( $R54:$R58,$T54:$T58, $AM54:$AM58,$AO54:$AO58))</f>
        <v>·</v>
      </c>
      <c r="BO53" s="86" t="str">
        <f>IF( OR(ISBLANK($R53:$R58),ISBLANK($AM53:$AM58), ISBLANK(U53:U58),ISBLANK(AP53:AP58)), "·", bdRateHermite( $R54:$R58,$U54:$U58, $AM54:$AM58,$AP54:$AP58))</f>
        <v>·</v>
      </c>
      <c r="BP53" s="86" t="str">
        <f>IF( OR(ISBLANK($R53:$R58),ISBLANK($AM53:$AM58), ISBLANK(V53:V58),ISBLANK(AQ53:AQ58)), "·", bdRateHermite( $R54:$R58,$V54:$V58, $AM54:$AM58,$AQ54:$AQ58))</f>
        <v>·</v>
      </c>
      <c r="BQ53" s="103"/>
      <c r="BS53" s="250" t="str">
        <f>IF(OR(ISBLANK($P53:$P58),ISBLANK($AK53:$AK58),ISBLANK(T53:T58),ISBLANK(AO53:AO58)),"·",bdRateHermite($P54:$P58,$T54:$T58,$AK54:$AK58,$AO54:$AO58))</f>
        <v>·</v>
      </c>
      <c r="BT53" s="85" t="str">
        <f>IF(OR(ISBLANK($P53:$P58),ISBLANK($AK53:$AK58),ISBLANK(U53:U58),ISBLANK(AP53:AP58)),"·",bdRateHermite($P54:$P58,$U54:$U58,$AK54:$AK58,$AP54:$AP58))</f>
        <v>·</v>
      </c>
      <c r="BU53" s="254" t="str">
        <f>IF(OR(ISBLANK($P53:$P58),ISBLANK($AK53:$AK58),ISBLANK(V53:V58),ISBLANK(AQ53:AQ58)),"·",bdRateHermite($P54:$P58,$V54:$V58,$AK54:$AK58,$AQ54:$AQ58))</f>
        <v>·</v>
      </c>
      <c r="BV53" s="257"/>
      <c r="BX53" s="86" t="str">
        <f>IF( OR(ISBLANK($R53:$R58),ISBLANK($AM53:$AM58), ISBLANK(T53:T58),ISBLANK(AO53:AO58)), "·", bdRateHermite( $R53:$R57,$T53:$T57, $AM53:$AM57,$AO53:$AO57))</f>
        <v>·</v>
      </c>
      <c r="BY53" s="86" t="str">
        <f>IF( OR(ISBLANK($R53:$R58),ISBLANK($AM53:$AM58), ISBLANK(U53:U58),ISBLANK(AP53:AP58)), "·", bdRateHermite( $R53:$R57,$U53:$U57, $AM53:$AM57,$AP53:$AP57))</f>
        <v>·</v>
      </c>
      <c r="BZ53" s="86" t="str">
        <f>IF( OR(ISBLANK($R53:$R58),ISBLANK($AM53:$AM58), ISBLANK(V53:V58),ISBLANK(AQ53:AQ58)), "·", bdRateHermite( $R53:$R57,$V53:$V57, $AM53:$AM57,$AQ53:$AQ57))</f>
        <v>·</v>
      </c>
      <c r="CA53" s="103"/>
      <c r="CC53" s="250" t="str">
        <f>IF(OR(ISBLANK($P53:$P58),ISBLANK($AK53:$AK58),ISBLANK(T53:T58),ISBLANK(AO53:AO58)),"·",bdRateHermite($P53:$P57,$T53:$T57,$AK53:$AK57,$AO53:$AO57))</f>
        <v>·</v>
      </c>
      <c r="CD53" s="85" t="str">
        <f>IF(OR(ISBLANK($P53:$P58),ISBLANK($AK53:$AK58),ISBLANK(U53:U58),ISBLANK(AP53:AP58)),"·",bdRateHermite($P53:$P57,$U53:$U57,$AK53:$AK57,$AP53:$AP57))</f>
        <v>·</v>
      </c>
      <c r="CE53" s="254" t="str">
        <f>IF(OR(ISBLANK($P53:$P58),ISBLANK($AK53:$AK58),ISBLANK(V53:V58),ISBLANK(AQ53:AQ58)),"·",bdRateHermite($P53:$P57,$V53:$V57,$AK53:$AK57,$AQ53:$AQ57))</f>
        <v>·</v>
      </c>
      <c r="CF53" s="257"/>
    </row>
    <row r="54" spans="1:84" outlineLevel="1">
      <c r="A54" s="13"/>
      <c r="B54" s="14" t="s">
        <v>1118</v>
      </c>
      <c r="C54" s="15" t="s">
        <v>132</v>
      </c>
      <c r="D54" s="479">
        <v>67599953</v>
      </c>
      <c r="E54" s="15">
        <v>16</v>
      </c>
      <c r="F54" s="15">
        <v>1</v>
      </c>
      <c r="G54" s="16"/>
      <c r="H54" s="492"/>
      <c r="I54" s="30" t="str">
        <f t="shared" si="0"/>
        <v>·</v>
      </c>
      <c r="J54" s="31">
        <f t="shared" si="1"/>
        <v>12.441340957737056</v>
      </c>
      <c r="K54" s="31">
        <f t="shared" si="2"/>
        <v>10.797644785344747</v>
      </c>
      <c r="L54" s="31">
        <f t="shared" si="14"/>
        <v>1.6436846930943871</v>
      </c>
      <c r="M54" s="87"/>
      <c r="N54" s="31">
        <f t="shared" si="4"/>
        <v>12.441340957737056</v>
      </c>
      <c r="O54" s="544">
        <v>67599953</v>
      </c>
      <c r="P54" s="503">
        <v>841034064</v>
      </c>
      <c r="Q54" s="357">
        <v>729920280</v>
      </c>
      <c r="R54" s="357">
        <v>111113008</v>
      </c>
      <c r="S54" s="550"/>
      <c r="T54" s="503">
        <v>29.485652999999999</v>
      </c>
      <c r="U54" s="357">
        <v>29.563552999999999</v>
      </c>
      <c r="V54" s="357">
        <v>29.701536000000001</v>
      </c>
      <c r="W54" s="550">
        <v>0</v>
      </c>
      <c r="X54" s="507"/>
      <c r="Y54" s="359"/>
      <c r="Z54" s="573">
        <v>0</v>
      </c>
      <c r="AA54" s="573">
        <v>0</v>
      </c>
      <c r="AB54" s="33"/>
      <c r="AD54" s="30" t="str">
        <f t="shared" si="13"/>
        <v>·</v>
      </c>
      <c r="AE54" s="31" t="str">
        <f t="shared" si="8"/>
        <v>·</v>
      </c>
      <c r="AF54" s="31" t="str">
        <f t="shared" si="5"/>
        <v>·</v>
      </c>
      <c r="AG54" s="31" t="str">
        <f t="shared" si="9"/>
        <v>·</v>
      </c>
      <c r="AH54" s="87" t="str">
        <f t="shared" si="10"/>
        <v>·</v>
      </c>
      <c r="AI54" s="31" t="str">
        <f t="shared" si="11"/>
        <v>·</v>
      </c>
      <c r="AJ54" s="544"/>
      <c r="AK54" s="503"/>
      <c r="AL54" s="357"/>
      <c r="AM54" s="357"/>
      <c r="AN54" s="550"/>
      <c r="AO54" s="503"/>
      <c r="AP54" s="357"/>
      <c r="AQ54" s="357"/>
      <c r="AR54" s="550"/>
      <c r="AS54" s="507"/>
      <c r="AT54" s="359"/>
      <c r="AU54" s="573">
        <v>0</v>
      </c>
      <c r="AV54" s="573">
        <v>0</v>
      </c>
      <c r="AW54" s="33"/>
      <c r="AY54" s="56" t="e">
        <f t="shared" si="12"/>
        <v>#DIV/0!</v>
      </c>
      <c r="AZ54" s="57" t="e">
        <f t="shared" si="12"/>
        <v>#DIV/0!</v>
      </c>
      <c r="BA54" s="57" t="e">
        <f t="shared" si="7"/>
        <v>#DIV/0!</v>
      </c>
      <c r="BB54" s="58"/>
      <c r="BD54" s="76"/>
      <c r="BE54" s="76"/>
      <c r="BF54" s="76"/>
      <c r="BG54" s="105"/>
      <c r="BI54" s="252"/>
      <c r="BJ54" s="76"/>
      <c r="BK54" s="255"/>
      <c r="BL54" s="258"/>
      <c r="BM54" s="251"/>
      <c r="BN54" s="252"/>
      <c r="BO54" s="76"/>
      <c r="BP54" s="255"/>
      <c r="BQ54" s="258"/>
      <c r="BS54" s="252"/>
      <c r="BT54" s="76"/>
      <c r="BU54" s="255"/>
      <c r="BV54" s="258"/>
      <c r="BX54" s="74"/>
      <c r="BY54" s="75"/>
      <c r="BZ54" s="264"/>
      <c r="CA54" s="105"/>
      <c r="CC54" s="260"/>
      <c r="CD54" s="75"/>
      <c r="CE54" s="262"/>
      <c r="CF54" s="258"/>
    </row>
    <row r="55" spans="1:84" outlineLevel="1">
      <c r="A55" s="13"/>
      <c r="B55" s="14" t="s">
        <v>1118</v>
      </c>
      <c r="C55" s="15" t="s">
        <v>133</v>
      </c>
      <c r="D55" s="479">
        <v>67599953</v>
      </c>
      <c r="E55" s="15">
        <v>16</v>
      </c>
      <c r="F55" s="15">
        <v>1</v>
      </c>
      <c r="G55" s="16"/>
      <c r="H55" s="492"/>
      <c r="I55" s="30" t="str">
        <f t="shared" si="0"/>
        <v>·</v>
      </c>
      <c r="J55" s="31">
        <f t="shared" si="1"/>
        <v>13.722075694342568</v>
      </c>
      <c r="K55" s="31">
        <f t="shared" si="2"/>
        <v>10.797644785344747</v>
      </c>
      <c r="L55" s="31">
        <f t="shared" si="14"/>
        <v>2.9244194296998995</v>
      </c>
      <c r="M55" s="87"/>
      <c r="N55" s="31">
        <f t="shared" si="4"/>
        <v>13.722075694342568</v>
      </c>
      <c r="O55" s="544">
        <v>67599953</v>
      </c>
      <c r="P55" s="503">
        <v>927611672</v>
      </c>
      <c r="Q55" s="357">
        <v>729920280</v>
      </c>
      <c r="R55" s="357">
        <v>197690616</v>
      </c>
      <c r="S55" s="550"/>
      <c r="T55" s="503">
        <v>35.240810000000003</v>
      </c>
      <c r="U55" s="357">
        <v>35.151004999999998</v>
      </c>
      <c r="V55" s="357">
        <v>35.318660999999999</v>
      </c>
      <c r="W55" s="550">
        <v>0</v>
      </c>
      <c r="X55" s="507"/>
      <c r="Y55" s="359"/>
      <c r="Z55" s="573">
        <v>0</v>
      </c>
      <c r="AA55" s="573">
        <v>0</v>
      </c>
      <c r="AB55" s="33"/>
      <c r="AD55" s="30" t="str">
        <f t="shared" si="13"/>
        <v>·</v>
      </c>
      <c r="AE55" s="31" t="str">
        <f t="shared" si="8"/>
        <v>·</v>
      </c>
      <c r="AF55" s="31" t="str">
        <f t="shared" si="5"/>
        <v>·</v>
      </c>
      <c r="AG55" s="31" t="str">
        <f t="shared" si="9"/>
        <v>·</v>
      </c>
      <c r="AH55" s="87" t="str">
        <f t="shared" si="10"/>
        <v>·</v>
      </c>
      <c r="AI55" s="31" t="str">
        <f t="shared" si="11"/>
        <v>·</v>
      </c>
      <c r="AJ55" s="544"/>
      <c r="AK55" s="503"/>
      <c r="AL55" s="357"/>
      <c r="AM55" s="357"/>
      <c r="AN55" s="550"/>
      <c r="AO55" s="503"/>
      <c r="AP55" s="357"/>
      <c r="AQ55" s="357"/>
      <c r="AR55" s="550"/>
      <c r="AS55" s="507"/>
      <c r="AT55" s="359"/>
      <c r="AU55" s="573">
        <v>0</v>
      </c>
      <c r="AV55" s="573">
        <v>0</v>
      </c>
      <c r="AW55" s="33"/>
      <c r="AY55" s="56" t="e">
        <f t="shared" si="12"/>
        <v>#DIV/0!</v>
      </c>
      <c r="AZ55" s="57" t="e">
        <f t="shared" si="12"/>
        <v>#DIV/0!</v>
      </c>
      <c r="BA55" s="57" t="e">
        <f t="shared" si="7"/>
        <v>#DIV/0!</v>
      </c>
      <c r="BB55" s="58"/>
      <c r="BD55" s="76"/>
      <c r="BE55" s="76"/>
      <c r="BF55" s="76"/>
      <c r="BG55" s="105"/>
      <c r="BI55" s="252"/>
      <c r="BJ55" s="76"/>
      <c r="BK55" s="255"/>
      <c r="BL55" s="258"/>
      <c r="BM55" s="251"/>
      <c r="BN55" s="252"/>
      <c r="BO55" s="76"/>
      <c r="BP55" s="255"/>
      <c r="BQ55" s="258"/>
      <c r="BS55" s="252"/>
      <c r="BT55" s="76"/>
      <c r="BU55" s="255"/>
      <c r="BV55" s="258"/>
      <c r="BX55" s="74"/>
      <c r="BY55" s="75"/>
      <c r="BZ55" s="264"/>
      <c r="CA55" s="105"/>
      <c r="CC55" s="260"/>
      <c r="CD55" s="75"/>
      <c r="CE55" s="262"/>
      <c r="CF55" s="258"/>
    </row>
    <row r="56" spans="1:84" outlineLevel="1">
      <c r="A56" s="13"/>
      <c r="B56" s="14" t="s">
        <v>1118</v>
      </c>
      <c r="C56" s="15" t="s">
        <v>134</v>
      </c>
      <c r="D56" s="479">
        <v>67599953</v>
      </c>
      <c r="E56" s="15">
        <v>16</v>
      </c>
      <c r="F56" s="15">
        <v>1</v>
      </c>
      <c r="G56" s="16"/>
      <c r="H56" s="492"/>
      <c r="I56" s="30" t="str">
        <f t="shared" si="0"/>
        <v>·</v>
      </c>
      <c r="J56" s="31">
        <f t="shared" si="1"/>
        <v>15.516683332605275</v>
      </c>
      <c r="K56" s="31">
        <f t="shared" si="2"/>
        <v>10.797644785344747</v>
      </c>
      <c r="L56" s="31">
        <f t="shared" si="14"/>
        <v>4.7190270679626067</v>
      </c>
      <c r="M56" s="87"/>
      <c r="N56" s="31">
        <f t="shared" si="4"/>
        <v>15.516683332605275</v>
      </c>
      <c r="O56" s="544">
        <v>67599953</v>
      </c>
      <c r="P56" s="503">
        <v>1048927064</v>
      </c>
      <c r="Q56" s="357">
        <v>729920280</v>
      </c>
      <c r="R56" s="357">
        <v>319006008</v>
      </c>
      <c r="S56" s="550"/>
      <c r="T56" s="503">
        <v>41.103909000000002</v>
      </c>
      <c r="U56" s="357">
        <v>40.979027000000002</v>
      </c>
      <c r="V56" s="357">
        <v>41.128784000000003</v>
      </c>
      <c r="W56" s="550">
        <v>0</v>
      </c>
      <c r="X56" s="507"/>
      <c r="Y56" s="359"/>
      <c r="Z56" s="573">
        <v>0</v>
      </c>
      <c r="AA56" s="573">
        <v>0</v>
      </c>
      <c r="AB56" s="33"/>
      <c r="AD56" s="30" t="str">
        <f t="shared" si="13"/>
        <v>·</v>
      </c>
      <c r="AE56" s="31" t="str">
        <f t="shared" si="8"/>
        <v>·</v>
      </c>
      <c r="AF56" s="31" t="str">
        <f t="shared" si="5"/>
        <v>·</v>
      </c>
      <c r="AG56" s="31" t="str">
        <f t="shared" si="9"/>
        <v>·</v>
      </c>
      <c r="AH56" s="87" t="str">
        <f t="shared" si="10"/>
        <v>·</v>
      </c>
      <c r="AI56" s="31" t="str">
        <f t="shared" si="11"/>
        <v>·</v>
      </c>
      <c r="AJ56" s="544"/>
      <c r="AK56" s="503"/>
      <c r="AL56" s="357"/>
      <c r="AM56" s="357"/>
      <c r="AN56" s="550"/>
      <c r="AO56" s="503"/>
      <c r="AP56" s="357"/>
      <c r="AQ56" s="357"/>
      <c r="AR56" s="550"/>
      <c r="AS56" s="507"/>
      <c r="AT56" s="359"/>
      <c r="AU56" s="573">
        <v>0</v>
      </c>
      <c r="AV56" s="573">
        <v>0</v>
      </c>
      <c r="AW56" s="33"/>
      <c r="AY56" s="56" t="e">
        <f t="shared" si="12"/>
        <v>#DIV/0!</v>
      </c>
      <c r="AZ56" s="57" t="e">
        <f t="shared" si="12"/>
        <v>#DIV/0!</v>
      </c>
      <c r="BA56" s="57" t="e">
        <f t="shared" si="7"/>
        <v>#DIV/0!</v>
      </c>
      <c r="BB56" s="58"/>
      <c r="BD56" s="76"/>
      <c r="BE56" s="76"/>
      <c r="BF56" s="76"/>
      <c r="BG56" s="105"/>
      <c r="BI56" s="252"/>
      <c r="BJ56" s="76"/>
      <c r="BK56" s="255"/>
      <c r="BL56" s="258"/>
      <c r="BM56" s="251"/>
      <c r="BN56" s="252"/>
      <c r="BO56" s="76"/>
      <c r="BP56" s="255"/>
      <c r="BQ56" s="258"/>
      <c r="BS56" s="252"/>
      <c r="BT56" s="76"/>
      <c r="BU56" s="255"/>
      <c r="BV56" s="258"/>
      <c r="BX56" s="74"/>
      <c r="BY56" s="75"/>
      <c r="BZ56" s="264"/>
      <c r="CA56" s="105"/>
      <c r="CC56" s="260"/>
      <c r="CD56" s="75"/>
      <c r="CE56" s="262"/>
      <c r="CF56" s="258"/>
    </row>
    <row r="57" spans="1:84" outlineLevel="1">
      <c r="A57" s="13"/>
      <c r="B57" s="14" t="s">
        <v>1118</v>
      </c>
      <c r="C57" s="15" t="s">
        <v>135</v>
      </c>
      <c r="D57" s="479">
        <v>67599953</v>
      </c>
      <c r="E57" s="15">
        <v>16</v>
      </c>
      <c r="F57" s="15">
        <v>1</v>
      </c>
      <c r="G57" s="16"/>
      <c r="H57" s="492"/>
      <c r="I57" s="30" t="str">
        <f t="shared" si="0"/>
        <v>·</v>
      </c>
      <c r="J57" s="31">
        <f t="shared" si="1"/>
        <v>17.820980319320636</v>
      </c>
      <c r="K57" s="31">
        <f t="shared" si="2"/>
        <v>10.797644785344747</v>
      </c>
      <c r="L57" s="31">
        <f t="shared" si="14"/>
        <v>7.0233240546779667</v>
      </c>
      <c r="M57" s="87"/>
      <c r="N57" s="31">
        <f t="shared" si="4"/>
        <v>17.820980319320636</v>
      </c>
      <c r="O57" s="544">
        <v>67599953</v>
      </c>
      <c r="P57" s="503">
        <v>1204697432</v>
      </c>
      <c r="Q57" s="357">
        <v>729920280</v>
      </c>
      <c r="R57" s="357">
        <v>474776376</v>
      </c>
      <c r="S57" s="550"/>
      <c r="T57" s="503">
        <v>46.573509000000001</v>
      </c>
      <c r="U57" s="357">
        <v>46.549678999999998</v>
      </c>
      <c r="V57" s="357">
        <v>46.672752000000003</v>
      </c>
      <c r="W57" s="550">
        <v>0</v>
      </c>
      <c r="X57" s="507"/>
      <c r="Y57" s="359"/>
      <c r="Z57" s="573">
        <v>0</v>
      </c>
      <c r="AA57" s="573">
        <v>0</v>
      </c>
      <c r="AB57" s="33"/>
      <c r="AD57" s="30" t="str">
        <f t="shared" si="13"/>
        <v>·</v>
      </c>
      <c r="AE57" s="31" t="str">
        <f t="shared" si="8"/>
        <v>·</v>
      </c>
      <c r="AF57" s="31" t="str">
        <f t="shared" si="5"/>
        <v>·</v>
      </c>
      <c r="AG57" s="31" t="str">
        <f t="shared" si="9"/>
        <v>·</v>
      </c>
      <c r="AH57" s="87" t="str">
        <f t="shared" si="10"/>
        <v>·</v>
      </c>
      <c r="AI57" s="31" t="str">
        <f t="shared" si="11"/>
        <v>·</v>
      </c>
      <c r="AJ57" s="544"/>
      <c r="AK57" s="503"/>
      <c r="AL57" s="357"/>
      <c r="AM57" s="357"/>
      <c r="AN57" s="550"/>
      <c r="AO57" s="503"/>
      <c r="AP57" s="357"/>
      <c r="AQ57" s="357"/>
      <c r="AR57" s="550"/>
      <c r="AS57" s="507"/>
      <c r="AT57" s="359"/>
      <c r="AU57" s="573">
        <v>0</v>
      </c>
      <c r="AV57" s="573">
        <v>0</v>
      </c>
      <c r="AW57" s="33"/>
      <c r="AY57" s="56" t="e">
        <f t="shared" si="12"/>
        <v>#DIV/0!</v>
      </c>
      <c r="AZ57" s="57" t="e">
        <f t="shared" si="12"/>
        <v>#DIV/0!</v>
      </c>
      <c r="BA57" s="57" t="e">
        <f t="shared" si="7"/>
        <v>#DIV/0!</v>
      </c>
      <c r="BB57" s="58"/>
      <c r="BD57" s="76"/>
      <c r="BE57" s="76"/>
      <c r="BF57" s="76"/>
      <c r="BG57" s="105"/>
      <c r="BI57" s="252"/>
      <c r="BJ57" s="76"/>
      <c r="BK57" s="255"/>
      <c r="BL57" s="258"/>
      <c r="BM57" s="251"/>
      <c r="BN57" s="252"/>
      <c r="BO57" s="76"/>
      <c r="BP57" s="255"/>
      <c r="BQ57" s="258"/>
      <c r="BS57" s="252"/>
      <c r="BT57" s="76"/>
      <c r="BU57" s="255"/>
      <c r="BV57" s="258"/>
      <c r="BX57" s="74"/>
      <c r="BY57" s="75"/>
      <c r="BZ57" s="264"/>
      <c r="CA57" s="105"/>
      <c r="CC57" s="260"/>
      <c r="CD57" s="75"/>
      <c r="CE57" s="262"/>
      <c r="CF57" s="258"/>
    </row>
    <row r="58" spans="1:84" ht="14.25" outlineLevel="1" thickBot="1">
      <c r="A58" s="215"/>
      <c r="B58" s="21" t="s">
        <v>1118</v>
      </c>
      <c r="C58" s="22" t="s">
        <v>136</v>
      </c>
      <c r="D58" s="488">
        <v>67599953</v>
      </c>
      <c r="E58" s="22">
        <v>16</v>
      </c>
      <c r="F58" s="22">
        <v>1</v>
      </c>
      <c r="G58" s="23"/>
      <c r="H58" s="492"/>
      <c r="I58" s="34" t="str">
        <f t="shared" si="0"/>
        <v>·</v>
      </c>
      <c r="J58" s="35">
        <f t="shared" si="1"/>
        <v>20.550375708101456</v>
      </c>
      <c r="K58" s="35">
        <f t="shared" si="2"/>
        <v>10.797644785344747</v>
      </c>
      <c r="L58" s="35">
        <f t="shared" si="14"/>
        <v>9.7527194434587852</v>
      </c>
      <c r="M58" s="88"/>
      <c r="N58" s="35">
        <f t="shared" si="4"/>
        <v>20.550375708101456</v>
      </c>
      <c r="O58" s="555">
        <v>67599953</v>
      </c>
      <c r="P58" s="505">
        <v>1389204432</v>
      </c>
      <c r="Q58" s="361">
        <v>729920280</v>
      </c>
      <c r="R58" s="361">
        <v>659283376</v>
      </c>
      <c r="S58" s="552"/>
      <c r="T58" s="505">
        <v>51.075321000000002</v>
      </c>
      <c r="U58" s="361">
        <v>51.203014000000003</v>
      </c>
      <c r="V58" s="361">
        <v>51.300185999999997</v>
      </c>
      <c r="W58" s="552">
        <v>0</v>
      </c>
      <c r="X58" s="509"/>
      <c r="Y58" s="363"/>
      <c r="Z58" s="575">
        <v>0</v>
      </c>
      <c r="AA58" s="575">
        <v>0</v>
      </c>
      <c r="AB58" s="37"/>
      <c r="AD58" s="34" t="str">
        <f t="shared" si="13"/>
        <v>·</v>
      </c>
      <c r="AE58" s="35" t="str">
        <f t="shared" si="8"/>
        <v>·</v>
      </c>
      <c r="AF58" s="35" t="str">
        <f t="shared" si="5"/>
        <v>·</v>
      </c>
      <c r="AG58" s="35" t="str">
        <f t="shared" si="9"/>
        <v>·</v>
      </c>
      <c r="AH58" s="88" t="str">
        <f t="shared" si="10"/>
        <v>·</v>
      </c>
      <c r="AI58" s="35" t="str">
        <f t="shared" si="11"/>
        <v>·</v>
      </c>
      <c r="AJ58" s="555"/>
      <c r="AK58" s="505"/>
      <c r="AL58" s="361"/>
      <c r="AM58" s="361"/>
      <c r="AN58" s="552"/>
      <c r="AO58" s="505"/>
      <c r="AP58" s="361"/>
      <c r="AQ58" s="361"/>
      <c r="AR58" s="552"/>
      <c r="AS58" s="509"/>
      <c r="AT58" s="363"/>
      <c r="AU58" s="575">
        <v>0</v>
      </c>
      <c r="AV58" s="575">
        <v>0</v>
      </c>
      <c r="AW58" s="37"/>
      <c r="AY58" s="59" t="e">
        <f t="shared" si="12"/>
        <v>#DIV/0!</v>
      </c>
      <c r="AZ58" s="60" t="e">
        <f t="shared" si="12"/>
        <v>#DIV/0!</v>
      </c>
      <c r="BA58" s="60" t="e">
        <f t="shared" si="7"/>
        <v>#DIV/0!</v>
      </c>
      <c r="BB58" s="61"/>
      <c r="BD58" s="79"/>
      <c r="BE58" s="79"/>
      <c r="BF58" s="79"/>
      <c r="BG58" s="108"/>
      <c r="BI58" s="253"/>
      <c r="BJ58" s="79"/>
      <c r="BK58" s="256"/>
      <c r="BL58" s="259"/>
      <c r="BM58" s="251"/>
      <c r="BN58" s="253"/>
      <c r="BO58" s="79"/>
      <c r="BP58" s="256"/>
      <c r="BQ58" s="259"/>
      <c r="BS58" s="253"/>
      <c r="BT58" s="79"/>
      <c r="BU58" s="256"/>
      <c r="BV58" s="259"/>
      <c r="BX58" s="77"/>
      <c r="BY58" s="78"/>
      <c r="BZ58" s="265"/>
      <c r="CA58" s="108"/>
      <c r="CC58" s="261"/>
      <c r="CD58" s="78"/>
      <c r="CE58" s="263"/>
      <c r="CF58" s="259"/>
    </row>
    <row r="59" spans="1:84">
      <c r="A59" s="13"/>
      <c r="B59" s="27" t="s">
        <v>1119</v>
      </c>
      <c r="C59" s="28" t="s">
        <v>131</v>
      </c>
      <c r="D59" s="478">
        <v>59136574</v>
      </c>
      <c r="E59" s="28">
        <v>16</v>
      </c>
      <c r="F59" s="28">
        <v>1</v>
      </c>
      <c r="G59" s="29"/>
      <c r="I59" s="46" t="str">
        <f t="shared" si="0"/>
        <v>·</v>
      </c>
      <c r="J59" s="47">
        <f t="shared" si="1"/>
        <v>12.306919775230806</v>
      </c>
      <c r="K59" s="47">
        <f t="shared" si="2"/>
        <v>11.745490159778278</v>
      </c>
      <c r="L59" s="47">
        <f t="shared" si="14"/>
        <v>0.56141716968588673</v>
      </c>
      <c r="M59" s="92"/>
      <c r="N59" s="47">
        <f t="shared" si="4"/>
        <v>12.306919775230806</v>
      </c>
      <c r="O59" s="554">
        <v>59136574</v>
      </c>
      <c r="P59" s="502">
        <v>727789072</v>
      </c>
      <c r="Q59" s="353">
        <v>694588048</v>
      </c>
      <c r="R59" s="353">
        <v>33200288</v>
      </c>
      <c r="S59" s="550"/>
      <c r="T59" s="502">
        <v>23.066164000000001</v>
      </c>
      <c r="U59" s="353">
        <v>24.413550999999998</v>
      </c>
      <c r="V59" s="353">
        <v>27.518867</v>
      </c>
      <c r="W59" s="550">
        <v>0</v>
      </c>
      <c r="X59" s="506"/>
      <c r="Y59" s="355"/>
      <c r="Z59" s="572">
        <v>0</v>
      </c>
      <c r="AA59" s="572">
        <v>0</v>
      </c>
      <c r="AB59" s="49"/>
      <c r="AD59" s="46" t="str">
        <f t="shared" si="13"/>
        <v>·</v>
      </c>
      <c r="AE59" s="47" t="str">
        <f t="shared" si="8"/>
        <v>·</v>
      </c>
      <c r="AF59" s="47" t="str">
        <f t="shared" si="5"/>
        <v>·</v>
      </c>
      <c r="AG59" s="47" t="str">
        <f t="shared" si="9"/>
        <v>·</v>
      </c>
      <c r="AH59" s="92" t="str">
        <f t="shared" si="10"/>
        <v>·</v>
      </c>
      <c r="AI59" s="47" t="str">
        <f t="shared" si="11"/>
        <v>·</v>
      </c>
      <c r="AJ59" s="554"/>
      <c r="AK59" s="502"/>
      <c r="AL59" s="353"/>
      <c r="AM59" s="353"/>
      <c r="AN59" s="550"/>
      <c r="AO59" s="502"/>
      <c r="AP59" s="353"/>
      <c r="AQ59" s="353"/>
      <c r="AR59" s="550"/>
      <c r="AS59" s="506"/>
      <c r="AT59" s="355"/>
      <c r="AU59" s="572">
        <v>0</v>
      </c>
      <c r="AV59" s="572">
        <v>0</v>
      </c>
      <c r="AW59" s="49"/>
      <c r="AY59" s="68" t="e">
        <f t="shared" si="12"/>
        <v>#DIV/0!</v>
      </c>
      <c r="AZ59" s="69" t="e">
        <f t="shared" si="12"/>
        <v>#DIV/0!</v>
      </c>
      <c r="BA59" s="69" t="e">
        <f t="shared" si="7"/>
        <v>#DIV/0!</v>
      </c>
      <c r="BB59" s="70" t="e">
        <f t="array" ref="BB59">AVERAGE(AL59:AL64/AK59:AK64) - AVERAGE(Q59:Q64/P59:P64)</f>
        <v>#DIV/0!</v>
      </c>
      <c r="BD59" s="86" t="str">
        <f>IF( OR(ISBLANK($R59:$R64),ISBLANK($AM59:$AM64), ISBLANK(T59:T64),ISBLANK(AO59:AO64)), "·", bdRateHermite( $R59:$R64,$T59:$T64, $AM59:$AM64,$AO59:$AO64))</f>
        <v>·</v>
      </c>
      <c r="BE59" s="86" t="str">
        <f>IF( OR(ISBLANK($R59:$R64),ISBLANK($AM59:$AM64), ISBLANK(U59:U64),ISBLANK(AP59:AP64)), "·", bdRateHermite( $R59:$R64,$U59:$U64, $AM59:$AM64,$AP59:$AP64))</f>
        <v>·</v>
      </c>
      <c r="BF59" s="86" t="str">
        <f>IF( OR(ISBLANK($R59:$R64),ISBLANK($AM59:$AM64), ISBLANK(V59:V64),ISBLANK(AQ59:AQ64)), "·", bdRateHermite( $R59:$R64,$V59:$V64, $AM59:$AM64,$AQ59:$AQ64))</f>
        <v>·</v>
      </c>
      <c r="BG59" s="103"/>
      <c r="BI59" s="250" t="str">
        <f>IF(OR(ISBLANK($P59:$P64),ISBLANK($AK59:$AK64),ISBLANK(T59:T64),ISBLANK(AO59:AO64)),"·",bdRateHermite($P59:$P64,$T59:$T64,$AK59:$AK64,$AO59:$AO64))</f>
        <v>·</v>
      </c>
      <c r="BJ59" s="85" t="str">
        <f>IF(OR(ISBLANK($P59:$P64),ISBLANK($AK59:$AK64),ISBLANK(U59:U64),ISBLANK(AP59:AP64)),"·",bdRateHermite($P59:$P64,$U59:$U64,$AK59:$AK64,$AP59:$AP64))</f>
        <v>·</v>
      </c>
      <c r="BK59" s="254" t="str">
        <f>IF(OR(ISBLANK($P59:$P64),ISBLANK($AK59:$AK64),ISBLANK(V59:V64),ISBLANK(AQ59:AQ64)),"·",bdRateHermite($P59:$P64,$V59:$V64,$AK59:$AK64,$AQ59:$AQ64))</f>
        <v>·</v>
      </c>
      <c r="BL59" s="257"/>
      <c r="BM59" s="251"/>
      <c r="BN59" s="86" t="str">
        <f>IF( OR(ISBLANK($R59:$R64),ISBLANK($AM59:$AM64), ISBLANK(T59:T64),ISBLANK(AO59:AO64)), "·", bdRateHermite( $R60:$R64,$T60:$T64, $AM60:$AM64,$AO60:$AO64))</f>
        <v>·</v>
      </c>
      <c r="BO59" s="86" t="str">
        <f>IF( OR(ISBLANK($R59:$R64),ISBLANK($AM59:$AM64), ISBLANK(U59:U64),ISBLANK(AP59:AP64)), "·", bdRateHermite( $R60:$R64,$U60:$U64, $AM60:$AM64,$AP60:$AP64))</f>
        <v>·</v>
      </c>
      <c r="BP59" s="86" t="str">
        <f>IF( OR(ISBLANK($R59:$R64),ISBLANK($AM59:$AM64), ISBLANK(V59:V64),ISBLANK(AQ59:AQ64)), "·", bdRateHermite( $R60:$R64,$V60:$V64, $AM60:$AM64,$AQ60:$AQ64))</f>
        <v>·</v>
      </c>
      <c r="BQ59" s="103"/>
      <c r="BS59" s="250" t="str">
        <f>IF(OR(ISBLANK($P59:$P64),ISBLANK($AK59:$AK64),ISBLANK(T59:T64),ISBLANK(AO59:AO64)),"·",bdRateHermite($P60:$P64,$T60:$T64,$AK60:$AK64,$AO60:$AO64))</f>
        <v>·</v>
      </c>
      <c r="BT59" s="85" t="str">
        <f>IF(OR(ISBLANK($P59:$P64),ISBLANK($AK59:$AK64),ISBLANK(U59:U64),ISBLANK(AP59:AP64)),"·",bdRateHermite($P60:$P64,$U60:$U64,$AK60:$AK64,$AP60:$AP64))</f>
        <v>·</v>
      </c>
      <c r="BU59" s="254" t="str">
        <f>IF(OR(ISBLANK($P59:$P64),ISBLANK($AK59:$AK64),ISBLANK(V59:V64),ISBLANK(AQ59:AQ64)),"·",bdRateHermite($P60:$P64,$V60:$V64,$AK60:$AK64,$AQ60:$AQ64))</f>
        <v>·</v>
      </c>
      <c r="BV59" s="257"/>
      <c r="BX59" s="86" t="str">
        <f>IF( OR(ISBLANK($R59:$R64),ISBLANK($AM59:$AM64), ISBLANK(T59:T64),ISBLANK(AO59:AO64)), "·", bdRateHermite( $R59:$R63,$T59:$T63, $AM59:$AM63,$AO59:$AO63))</f>
        <v>·</v>
      </c>
      <c r="BY59" s="86" t="str">
        <f>IF( OR(ISBLANK($R59:$R64),ISBLANK($AM59:$AM64), ISBLANK(U59:U64),ISBLANK(AP59:AP64)), "·", bdRateHermite( $R59:$R63,$U59:$U63, $AM59:$AM63,$AP59:$AP63))</f>
        <v>·</v>
      </c>
      <c r="BZ59" s="86" t="str">
        <f>IF( OR(ISBLANK($R59:$R64),ISBLANK($AM59:$AM64), ISBLANK(V59:V64),ISBLANK(AQ59:AQ64)), "·", bdRateHermite( $R59:$R63,$V59:$V63, $AM59:$AM63,$AQ59:$AQ63))</f>
        <v>·</v>
      </c>
      <c r="CA59" s="103"/>
      <c r="CC59" s="250" t="str">
        <f>IF(OR(ISBLANK($P59:$P64),ISBLANK($AK59:$AK64),ISBLANK(T59:T64),ISBLANK(AO59:AO64)),"·",bdRateHermite($P59:$P63,$T59:$T63,$AK59:$AK63,$AO59:$AO63))</f>
        <v>·</v>
      </c>
      <c r="CD59" s="85" t="str">
        <f>IF(OR(ISBLANK($P59:$P64),ISBLANK($AK59:$AK64),ISBLANK(U59:U64),ISBLANK(AP59:AP64)),"·",bdRateHermite($P59:$P63,$U59:$U63,$AK59:$AK63,$AP59:$AP63))</f>
        <v>·</v>
      </c>
      <c r="CE59" s="254" t="str">
        <f>IF(OR(ISBLANK($P59:$P64),ISBLANK($AK59:$AK64),ISBLANK(V59:V64),ISBLANK(AQ59:AQ64)),"·",bdRateHermite($P59:$P63,$V59:$V63,$AK59:$AK63,$AQ59:$AQ63))</f>
        <v>·</v>
      </c>
      <c r="CF59" s="257"/>
    </row>
    <row r="60" spans="1:84" outlineLevel="1">
      <c r="A60" s="13"/>
      <c r="B60" s="14" t="s">
        <v>1119</v>
      </c>
      <c r="C60" s="15" t="s">
        <v>132</v>
      </c>
      <c r="D60" s="479">
        <v>59136574</v>
      </c>
      <c r="E60" s="15">
        <v>16</v>
      </c>
      <c r="F60" s="15">
        <v>1</v>
      </c>
      <c r="G60" s="16"/>
      <c r="I60" s="30" t="str">
        <f t="shared" si="0"/>
        <v>·</v>
      </c>
      <c r="J60" s="31">
        <f t="shared" si="1"/>
        <v>13.237050222084221</v>
      </c>
      <c r="K60" s="31">
        <f t="shared" si="2"/>
        <v>11.745490159778278</v>
      </c>
      <c r="L60" s="31">
        <f t="shared" si="14"/>
        <v>1.4915476165393011</v>
      </c>
      <c r="M60" s="87"/>
      <c r="N60" s="31">
        <f t="shared" si="4"/>
        <v>13.237050222084221</v>
      </c>
      <c r="O60" s="544">
        <v>59136574</v>
      </c>
      <c r="P60" s="503">
        <v>782793800</v>
      </c>
      <c r="Q60" s="357">
        <v>694588048</v>
      </c>
      <c r="R60" s="357">
        <v>88205016</v>
      </c>
      <c r="S60" s="550"/>
      <c r="T60" s="503">
        <v>28.857389000000001</v>
      </c>
      <c r="U60" s="357">
        <v>28.138580000000001</v>
      </c>
      <c r="V60" s="357">
        <v>29.483581999999998</v>
      </c>
      <c r="W60" s="550">
        <v>0</v>
      </c>
      <c r="X60" s="507"/>
      <c r="Y60" s="359"/>
      <c r="Z60" s="573">
        <v>0</v>
      </c>
      <c r="AA60" s="573">
        <v>0</v>
      </c>
      <c r="AB60" s="33"/>
      <c r="AD60" s="30" t="str">
        <f t="shared" si="13"/>
        <v>·</v>
      </c>
      <c r="AE60" s="31" t="str">
        <f t="shared" si="8"/>
        <v>·</v>
      </c>
      <c r="AF60" s="31" t="str">
        <f t="shared" si="5"/>
        <v>·</v>
      </c>
      <c r="AG60" s="31" t="str">
        <f t="shared" si="9"/>
        <v>·</v>
      </c>
      <c r="AH60" s="87" t="str">
        <f t="shared" si="10"/>
        <v>·</v>
      </c>
      <c r="AI60" s="31" t="str">
        <f t="shared" si="11"/>
        <v>·</v>
      </c>
      <c r="AJ60" s="544"/>
      <c r="AK60" s="503"/>
      <c r="AL60" s="357"/>
      <c r="AM60" s="357"/>
      <c r="AN60" s="550"/>
      <c r="AO60" s="503"/>
      <c r="AP60" s="357"/>
      <c r="AQ60" s="357"/>
      <c r="AR60" s="550"/>
      <c r="AS60" s="507"/>
      <c r="AT60" s="359"/>
      <c r="AU60" s="573">
        <v>0</v>
      </c>
      <c r="AV60" s="573">
        <v>0</v>
      </c>
      <c r="AW60" s="33"/>
      <c r="AY60" s="56" t="e">
        <f t="shared" si="12"/>
        <v>#DIV/0!</v>
      </c>
      <c r="AZ60" s="57" t="e">
        <f t="shared" si="12"/>
        <v>#DIV/0!</v>
      </c>
      <c r="BA60" s="57" t="e">
        <f t="shared" si="7"/>
        <v>#DIV/0!</v>
      </c>
      <c r="BB60" s="58"/>
      <c r="BD60" s="76"/>
      <c r="BE60" s="76"/>
      <c r="BF60" s="76"/>
      <c r="BG60" s="105"/>
      <c r="BI60" s="252"/>
      <c r="BJ60" s="76"/>
      <c r="BK60" s="255"/>
      <c r="BL60" s="258"/>
      <c r="BM60" s="251"/>
      <c r="BN60" s="252"/>
      <c r="BO60" s="76"/>
      <c r="BP60" s="255"/>
      <c r="BQ60" s="258"/>
      <c r="BS60" s="252"/>
      <c r="BT60" s="76"/>
      <c r="BU60" s="255"/>
      <c r="BV60" s="258"/>
      <c r="BX60" s="74"/>
      <c r="BY60" s="75"/>
      <c r="BZ60" s="264"/>
      <c r="CA60" s="105"/>
      <c r="CC60" s="260"/>
      <c r="CD60" s="75"/>
      <c r="CE60" s="262"/>
      <c r="CF60" s="258"/>
    </row>
    <row r="61" spans="1:84" outlineLevel="1">
      <c r="A61" s="13"/>
      <c r="B61" s="14" t="s">
        <v>1119</v>
      </c>
      <c r="C61" s="15" t="s">
        <v>133</v>
      </c>
      <c r="D61" s="479">
        <v>59136574</v>
      </c>
      <c r="E61" s="15">
        <v>16</v>
      </c>
      <c r="F61" s="15">
        <v>1</v>
      </c>
      <c r="G61" s="16"/>
      <c r="I61" s="30" t="str">
        <f t="shared" si="0"/>
        <v>·</v>
      </c>
      <c r="J61" s="31">
        <f t="shared" si="1"/>
        <v>14.348903877996044</v>
      </c>
      <c r="K61" s="31">
        <f t="shared" si="2"/>
        <v>11.745490159778278</v>
      </c>
      <c r="L61" s="31">
        <f t="shared" si="14"/>
        <v>2.6034012724511228</v>
      </c>
      <c r="M61" s="87"/>
      <c r="N61" s="31">
        <f t="shared" si="4"/>
        <v>14.348903877996044</v>
      </c>
      <c r="O61" s="544">
        <v>59136574</v>
      </c>
      <c r="P61" s="503">
        <v>848545016</v>
      </c>
      <c r="Q61" s="357">
        <v>694588048</v>
      </c>
      <c r="R61" s="357">
        <v>153956232</v>
      </c>
      <c r="S61" s="550"/>
      <c r="T61" s="503">
        <v>34.864936999999998</v>
      </c>
      <c r="U61" s="357">
        <v>34.793373000000003</v>
      </c>
      <c r="V61" s="357">
        <v>34.481400000000001</v>
      </c>
      <c r="W61" s="550">
        <v>0</v>
      </c>
      <c r="X61" s="507"/>
      <c r="Y61" s="359"/>
      <c r="Z61" s="573">
        <v>0</v>
      </c>
      <c r="AA61" s="573">
        <v>0</v>
      </c>
      <c r="AB61" s="33"/>
      <c r="AD61" s="30" t="str">
        <f t="shared" si="13"/>
        <v>·</v>
      </c>
      <c r="AE61" s="31" t="str">
        <f t="shared" si="8"/>
        <v>·</v>
      </c>
      <c r="AF61" s="31" t="str">
        <f t="shared" si="5"/>
        <v>·</v>
      </c>
      <c r="AG61" s="31" t="str">
        <f t="shared" si="9"/>
        <v>·</v>
      </c>
      <c r="AH61" s="87" t="str">
        <f t="shared" si="10"/>
        <v>·</v>
      </c>
      <c r="AI61" s="31" t="str">
        <f t="shared" si="11"/>
        <v>·</v>
      </c>
      <c r="AJ61" s="544"/>
      <c r="AK61" s="503"/>
      <c r="AL61" s="357"/>
      <c r="AM61" s="357"/>
      <c r="AN61" s="550"/>
      <c r="AO61" s="503"/>
      <c r="AP61" s="357"/>
      <c r="AQ61" s="357"/>
      <c r="AR61" s="550"/>
      <c r="AS61" s="507"/>
      <c r="AT61" s="359"/>
      <c r="AU61" s="573">
        <v>0</v>
      </c>
      <c r="AV61" s="573">
        <v>0</v>
      </c>
      <c r="AW61" s="33"/>
      <c r="AY61" s="56" t="e">
        <f t="shared" si="12"/>
        <v>#DIV/0!</v>
      </c>
      <c r="AZ61" s="57" t="e">
        <f t="shared" si="12"/>
        <v>#DIV/0!</v>
      </c>
      <c r="BA61" s="57" t="e">
        <f t="shared" si="7"/>
        <v>#DIV/0!</v>
      </c>
      <c r="BB61" s="58"/>
      <c r="BD61" s="76"/>
      <c r="BE61" s="76"/>
      <c r="BF61" s="76"/>
      <c r="BG61" s="105"/>
      <c r="BI61" s="252"/>
      <c r="BJ61" s="76"/>
      <c r="BK61" s="255"/>
      <c r="BL61" s="258"/>
      <c r="BM61" s="251"/>
      <c r="BN61" s="252"/>
      <c r="BO61" s="76"/>
      <c r="BP61" s="255"/>
      <c r="BQ61" s="258"/>
      <c r="BS61" s="252"/>
      <c r="BT61" s="76"/>
      <c r="BU61" s="255"/>
      <c r="BV61" s="258"/>
      <c r="BX61" s="74"/>
      <c r="BY61" s="75"/>
      <c r="BZ61" s="264"/>
      <c r="CA61" s="105"/>
      <c r="CC61" s="260"/>
      <c r="CD61" s="75"/>
      <c r="CE61" s="262"/>
      <c r="CF61" s="258"/>
    </row>
    <row r="62" spans="1:84" outlineLevel="1">
      <c r="A62" s="13"/>
      <c r="B62" s="14" t="s">
        <v>1119</v>
      </c>
      <c r="C62" s="15" t="s">
        <v>134</v>
      </c>
      <c r="D62" s="479">
        <v>59136574</v>
      </c>
      <c r="E62" s="15">
        <v>16</v>
      </c>
      <c r="F62" s="15">
        <v>1</v>
      </c>
      <c r="G62" s="16"/>
      <c r="I62" s="30" t="str">
        <f t="shared" si="0"/>
        <v>·</v>
      </c>
      <c r="J62" s="31">
        <f t="shared" si="1"/>
        <v>15.957758932737631</v>
      </c>
      <c r="K62" s="31">
        <f t="shared" si="2"/>
        <v>11.745490159778278</v>
      </c>
      <c r="L62" s="31">
        <f t="shared" si="14"/>
        <v>4.2122563271927111</v>
      </c>
      <c r="M62" s="87"/>
      <c r="N62" s="31">
        <f t="shared" si="4"/>
        <v>15.957758932737631</v>
      </c>
      <c r="O62" s="544">
        <v>59136574</v>
      </c>
      <c r="P62" s="503">
        <v>943687192</v>
      </c>
      <c r="Q62" s="357">
        <v>694588048</v>
      </c>
      <c r="R62" s="357">
        <v>249098408</v>
      </c>
      <c r="S62" s="550"/>
      <c r="T62" s="503">
        <v>40.790058000000002</v>
      </c>
      <c r="U62" s="357">
        <v>40.608764999999998</v>
      </c>
      <c r="V62" s="357">
        <v>40.873676000000003</v>
      </c>
      <c r="W62" s="550">
        <v>0</v>
      </c>
      <c r="X62" s="507"/>
      <c r="Y62" s="359"/>
      <c r="Z62" s="573">
        <v>0</v>
      </c>
      <c r="AA62" s="573">
        <v>0</v>
      </c>
      <c r="AB62" s="33"/>
      <c r="AD62" s="30" t="str">
        <f t="shared" si="13"/>
        <v>·</v>
      </c>
      <c r="AE62" s="31" t="str">
        <f t="shared" si="8"/>
        <v>·</v>
      </c>
      <c r="AF62" s="31" t="str">
        <f t="shared" si="5"/>
        <v>·</v>
      </c>
      <c r="AG62" s="31" t="str">
        <f t="shared" si="9"/>
        <v>·</v>
      </c>
      <c r="AH62" s="87" t="str">
        <f t="shared" si="10"/>
        <v>·</v>
      </c>
      <c r="AI62" s="31" t="str">
        <f t="shared" si="11"/>
        <v>·</v>
      </c>
      <c r="AJ62" s="544"/>
      <c r="AK62" s="503"/>
      <c r="AL62" s="357"/>
      <c r="AM62" s="357"/>
      <c r="AN62" s="550"/>
      <c r="AO62" s="503"/>
      <c r="AP62" s="357"/>
      <c r="AQ62" s="357"/>
      <c r="AR62" s="550"/>
      <c r="AS62" s="507"/>
      <c r="AT62" s="359"/>
      <c r="AU62" s="573">
        <v>0</v>
      </c>
      <c r="AV62" s="573">
        <v>0</v>
      </c>
      <c r="AW62" s="33"/>
      <c r="AY62" s="56" t="e">
        <f t="shared" si="12"/>
        <v>#DIV/0!</v>
      </c>
      <c r="AZ62" s="57" t="e">
        <f t="shared" si="12"/>
        <v>#DIV/0!</v>
      </c>
      <c r="BA62" s="57" t="e">
        <f t="shared" si="7"/>
        <v>#DIV/0!</v>
      </c>
      <c r="BB62" s="58"/>
      <c r="BD62" s="76"/>
      <c r="BE62" s="76"/>
      <c r="BF62" s="76"/>
      <c r="BG62" s="105"/>
      <c r="BI62" s="252"/>
      <c r="BJ62" s="76"/>
      <c r="BK62" s="255"/>
      <c r="BL62" s="258"/>
      <c r="BM62" s="251"/>
      <c r="BN62" s="252"/>
      <c r="BO62" s="76"/>
      <c r="BP62" s="255"/>
      <c r="BQ62" s="258"/>
      <c r="BS62" s="252"/>
      <c r="BT62" s="76"/>
      <c r="BU62" s="255"/>
      <c r="BV62" s="258"/>
      <c r="BX62" s="74"/>
      <c r="BY62" s="75"/>
      <c r="BZ62" s="264"/>
      <c r="CA62" s="105"/>
      <c r="CC62" s="260"/>
      <c r="CD62" s="75"/>
      <c r="CE62" s="262"/>
      <c r="CF62" s="258"/>
    </row>
    <row r="63" spans="1:84" outlineLevel="1">
      <c r="A63" s="13"/>
      <c r="B63" s="14" t="s">
        <v>1119</v>
      </c>
      <c r="C63" s="15" t="s">
        <v>135</v>
      </c>
      <c r="D63" s="479">
        <v>59136574</v>
      </c>
      <c r="E63" s="15">
        <v>16</v>
      </c>
      <c r="F63" s="15">
        <v>1</v>
      </c>
      <c r="G63" s="16"/>
      <c r="I63" s="30" t="str">
        <f t="shared" si="0"/>
        <v>·</v>
      </c>
      <c r="J63" s="31">
        <f t="shared" si="1"/>
        <v>18.138074214444686</v>
      </c>
      <c r="K63" s="31">
        <f t="shared" si="2"/>
        <v>11.745490159778278</v>
      </c>
      <c r="L63" s="31">
        <f t="shared" si="14"/>
        <v>6.3925716088997646</v>
      </c>
      <c r="M63" s="87"/>
      <c r="N63" s="31">
        <f t="shared" si="4"/>
        <v>18.138074214444686</v>
      </c>
      <c r="O63" s="544">
        <v>59136574</v>
      </c>
      <c r="P63" s="503">
        <v>1072623568</v>
      </c>
      <c r="Q63" s="357">
        <v>694588048</v>
      </c>
      <c r="R63" s="357">
        <v>378034784</v>
      </c>
      <c r="S63" s="550"/>
      <c r="T63" s="503">
        <v>46.401530999999999</v>
      </c>
      <c r="U63" s="357">
        <v>46.384459999999997</v>
      </c>
      <c r="V63" s="357">
        <v>46.420811</v>
      </c>
      <c r="W63" s="550">
        <v>0</v>
      </c>
      <c r="X63" s="507"/>
      <c r="Y63" s="359"/>
      <c r="Z63" s="573">
        <v>0</v>
      </c>
      <c r="AA63" s="573">
        <v>0</v>
      </c>
      <c r="AB63" s="33"/>
      <c r="AD63" s="30" t="str">
        <f t="shared" si="13"/>
        <v>·</v>
      </c>
      <c r="AE63" s="31" t="str">
        <f t="shared" si="8"/>
        <v>·</v>
      </c>
      <c r="AF63" s="31" t="str">
        <f t="shared" si="5"/>
        <v>·</v>
      </c>
      <c r="AG63" s="31" t="str">
        <f t="shared" si="9"/>
        <v>·</v>
      </c>
      <c r="AH63" s="87" t="str">
        <f t="shared" si="10"/>
        <v>·</v>
      </c>
      <c r="AI63" s="31" t="str">
        <f t="shared" si="11"/>
        <v>·</v>
      </c>
      <c r="AJ63" s="544"/>
      <c r="AK63" s="503"/>
      <c r="AL63" s="357"/>
      <c r="AM63" s="357"/>
      <c r="AN63" s="550"/>
      <c r="AO63" s="503"/>
      <c r="AP63" s="357"/>
      <c r="AQ63" s="357"/>
      <c r="AR63" s="550"/>
      <c r="AS63" s="507"/>
      <c r="AT63" s="359"/>
      <c r="AU63" s="573">
        <v>0</v>
      </c>
      <c r="AV63" s="573">
        <v>0</v>
      </c>
      <c r="AW63" s="33"/>
      <c r="AY63" s="56" t="e">
        <f t="shared" si="12"/>
        <v>#DIV/0!</v>
      </c>
      <c r="AZ63" s="57" t="e">
        <f t="shared" si="12"/>
        <v>#DIV/0!</v>
      </c>
      <c r="BA63" s="57" t="e">
        <f t="shared" si="7"/>
        <v>#DIV/0!</v>
      </c>
      <c r="BB63" s="58"/>
      <c r="BD63" s="76"/>
      <c r="BE63" s="76"/>
      <c r="BF63" s="76"/>
      <c r="BG63" s="105"/>
      <c r="BI63" s="252"/>
      <c r="BJ63" s="76"/>
      <c r="BK63" s="255"/>
      <c r="BL63" s="258"/>
      <c r="BM63" s="251"/>
      <c r="BN63" s="252"/>
      <c r="BO63" s="76"/>
      <c r="BP63" s="255"/>
      <c r="BQ63" s="258"/>
      <c r="BS63" s="252"/>
      <c r="BT63" s="76"/>
      <c r="BU63" s="255"/>
      <c r="BV63" s="258"/>
      <c r="BX63" s="74"/>
      <c r="BY63" s="75"/>
      <c r="BZ63" s="264"/>
      <c r="CA63" s="105"/>
      <c r="CC63" s="260"/>
      <c r="CD63" s="75"/>
      <c r="CE63" s="262"/>
      <c r="CF63" s="258"/>
    </row>
    <row r="64" spans="1:84" ht="14.25" outlineLevel="1" thickBot="1">
      <c r="A64" s="215"/>
      <c r="B64" s="18" t="s">
        <v>1119</v>
      </c>
      <c r="C64" s="19" t="s">
        <v>136</v>
      </c>
      <c r="D64" s="480">
        <v>59136574</v>
      </c>
      <c r="E64" s="19">
        <v>16</v>
      </c>
      <c r="F64" s="19">
        <v>1</v>
      </c>
      <c r="G64" s="20"/>
      <c r="I64" s="34" t="str">
        <f t="shared" si="0"/>
        <v>·</v>
      </c>
      <c r="J64" s="35">
        <f t="shared" si="1"/>
        <v>20.737336998927262</v>
      </c>
      <c r="K64" s="35">
        <f t="shared" si="2"/>
        <v>11.745490159778278</v>
      </c>
      <c r="L64" s="35">
        <f t="shared" si="14"/>
        <v>8.9918343933823426</v>
      </c>
      <c r="M64" s="88"/>
      <c r="N64" s="35">
        <f t="shared" si="4"/>
        <v>20.737336998927262</v>
      </c>
      <c r="O64" s="555">
        <v>59136574</v>
      </c>
      <c r="P64" s="505">
        <v>1226335064</v>
      </c>
      <c r="Q64" s="361">
        <v>694588048</v>
      </c>
      <c r="R64" s="361">
        <v>531746280</v>
      </c>
      <c r="S64" s="552"/>
      <c r="T64" s="505">
        <v>51.140137000000003</v>
      </c>
      <c r="U64" s="361">
        <v>51.170425000000002</v>
      </c>
      <c r="V64" s="361">
        <v>51.190865000000002</v>
      </c>
      <c r="W64" s="552">
        <v>0</v>
      </c>
      <c r="X64" s="509"/>
      <c r="Y64" s="363"/>
      <c r="Z64" s="575">
        <v>0</v>
      </c>
      <c r="AA64" s="575">
        <v>0</v>
      </c>
      <c r="AB64" s="37"/>
      <c r="AD64" s="34" t="str">
        <f t="shared" si="13"/>
        <v>·</v>
      </c>
      <c r="AE64" s="35" t="str">
        <f t="shared" si="8"/>
        <v>·</v>
      </c>
      <c r="AF64" s="35" t="str">
        <f t="shared" si="5"/>
        <v>·</v>
      </c>
      <c r="AG64" s="35" t="str">
        <f t="shared" si="9"/>
        <v>·</v>
      </c>
      <c r="AH64" s="88" t="str">
        <f t="shared" si="10"/>
        <v>·</v>
      </c>
      <c r="AI64" s="35" t="str">
        <f t="shared" si="11"/>
        <v>·</v>
      </c>
      <c r="AJ64" s="555"/>
      <c r="AK64" s="505"/>
      <c r="AL64" s="361"/>
      <c r="AM64" s="361"/>
      <c r="AN64" s="552"/>
      <c r="AO64" s="505"/>
      <c r="AP64" s="361"/>
      <c r="AQ64" s="361"/>
      <c r="AR64" s="552"/>
      <c r="AS64" s="509"/>
      <c r="AT64" s="363"/>
      <c r="AU64" s="575">
        <v>0</v>
      </c>
      <c r="AV64" s="575">
        <v>0</v>
      </c>
      <c r="AW64" s="37"/>
      <c r="AY64" s="59" t="e">
        <f t="shared" si="12"/>
        <v>#DIV/0!</v>
      </c>
      <c r="AZ64" s="60" t="e">
        <f t="shared" si="12"/>
        <v>#DIV/0!</v>
      </c>
      <c r="BA64" s="60" t="e">
        <f t="shared" si="7"/>
        <v>#DIV/0!</v>
      </c>
      <c r="BB64" s="61"/>
      <c r="BD64" s="79"/>
      <c r="BE64" s="79"/>
      <c r="BF64" s="79"/>
      <c r="BG64" s="108"/>
      <c r="BI64" s="253"/>
      <c r="BJ64" s="79"/>
      <c r="BK64" s="256"/>
      <c r="BL64" s="259"/>
      <c r="BM64" s="251"/>
      <c r="BN64" s="253"/>
      <c r="BO64" s="79"/>
      <c r="BP64" s="256"/>
      <c r="BQ64" s="259"/>
      <c r="BS64" s="253"/>
      <c r="BT64" s="79"/>
      <c r="BU64" s="256"/>
      <c r="BV64" s="259"/>
      <c r="BX64" s="77"/>
      <c r="BY64" s="78"/>
      <c r="BZ64" s="265"/>
      <c r="CA64" s="108"/>
      <c r="CC64" s="261"/>
      <c r="CD64" s="78"/>
      <c r="CE64" s="263"/>
      <c r="CF64" s="259"/>
    </row>
    <row r="65" spans="1:84">
      <c r="A65" s="13"/>
      <c r="B65" s="27" t="s">
        <v>1120</v>
      </c>
      <c r="C65" s="28" t="s">
        <v>131</v>
      </c>
      <c r="D65" s="478">
        <v>4649702</v>
      </c>
      <c r="E65" s="28">
        <v>11</v>
      </c>
      <c r="F65" s="28">
        <v>1</v>
      </c>
      <c r="G65" s="29"/>
      <c r="H65" s="492"/>
      <c r="I65" s="46" t="str">
        <f t="shared" si="0"/>
        <v>·</v>
      </c>
      <c r="J65" s="47">
        <f t="shared" si="1"/>
        <v>3.4218829507783508</v>
      </c>
      <c r="K65" s="47">
        <f t="shared" si="2"/>
        <v>3.0196911544008627</v>
      </c>
      <c r="L65" s="47">
        <f t="shared" si="14"/>
        <v>0.40207307909195039</v>
      </c>
      <c r="M65" s="87"/>
      <c r="N65" s="47">
        <f t="shared" si="4"/>
        <v>3.4218829507783508</v>
      </c>
      <c r="O65" s="554">
        <v>4649702</v>
      </c>
      <c r="P65" s="502">
        <v>15910736</v>
      </c>
      <c r="Q65" s="353">
        <v>14040664</v>
      </c>
      <c r="R65" s="353">
        <v>1869520</v>
      </c>
      <c r="S65" s="550"/>
      <c r="T65" s="502">
        <v>24.552838999999999</v>
      </c>
      <c r="U65" s="353">
        <v>28.133711000000002</v>
      </c>
      <c r="V65" s="353">
        <v>30.558236999999998</v>
      </c>
      <c r="W65" s="550">
        <v>0</v>
      </c>
      <c r="X65" s="506"/>
      <c r="Y65" s="355"/>
      <c r="Z65" s="572">
        <v>0</v>
      </c>
      <c r="AA65" s="572">
        <v>0</v>
      </c>
      <c r="AB65" s="49"/>
      <c r="AD65" s="46" t="str">
        <f t="shared" si="13"/>
        <v>·</v>
      </c>
      <c r="AE65" s="47" t="str">
        <f t="shared" si="8"/>
        <v>·</v>
      </c>
      <c r="AF65" s="47" t="str">
        <f t="shared" si="5"/>
        <v>·</v>
      </c>
      <c r="AG65" s="47" t="str">
        <f t="shared" si="9"/>
        <v>·</v>
      </c>
      <c r="AH65" s="87" t="str">
        <f t="shared" si="10"/>
        <v>·</v>
      </c>
      <c r="AI65" s="47" t="str">
        <f t="shared" si="11"/>
        <v>·</v>
      </c>
      <c r="AJ65" s="554"/>
      <c r="AK65" s="502"/>
      <c r="AL65" s="353"/>
      <c r="AM65" s="353"/>
      <c r="AN65" s="550"/>
      <c r="AO65" s="502"/>
      <c r="AP65" s="353"/>
      <c r="AQ65" s="353"/>
      <c r="AR65" s="550"/>
      <c r="AS65" s="506"/>
      <c r="AT65" s="355"/>
      <c r="AU65" s="572">
        <v>0</v>
      </c>
      <c r="AV65" s="572">
        <v>0</v>
      </c>
      <c r="AW65" s="49"/>
      <c r="AY65" s="68" t="e">
        <f t="shared" si="12"/>
        <v>#DIV/0!</v>
      </c>
      <c r="AZ65" s="69" t="e">
        <f t="shared" si="12"/>
        <v>#DIV/0!</v>
      </c>
      <c r="BA65" s="69" t="e">
        <f t="shared" si="7"/>
        <v>#DIV/0!</v>
      </c>
      <c r="BB65" s="70" t="e">
        <f t="array" ref="BB65">AVERAGE(AL65:AL70/AK65:AK70) - AVERAGE(Q65:Q70/P65:P70)</f>
        <v>#DIV/0!</v>
      </c>
      <c r="BD65" s="86" t="str">
        <f>IF( OR(ISBLANK($R65:$R70),ISBLANK($AM65:$AM70), ISBLANK(T65:T70),ISBLANK(AO65:AO70)), "·", bdRateHermite( $R65:$R70,$T65:$T70, $AM65:$AM70,$AO65:$AO70))</f>
        <v>·</v>
      </c>
      <c r="BE65" s="86" t="str">
        <f>IF( OR(ISBLANK($R65:$R70),ISBLANK($AM65:$AM70), ISBLANK(U65:U70),ISBLANK(AP65:AP70)), "·", bdRateHermite( $R65:$R70,$U65:$U70, $AM65:$AM70,$AP65:$AP70))</f>
        <v>·</v>
      </c>
      <c r="BF65" s="86" t="str">
        <f>IF( OR(ISBLANK($R65:$R70),ISBLANK($AM65:$AM70), ISBLANK(V65:V70),ISBLANK(AQ65:AQ70)), "·", bdRateHermite( $R65:$R70,$V65:$V70, $AM65:$AM70,$AQ65:$AQ70))</f>
        <v>·</v>
      </c>
      <c r="BG65" s="103"/>
      <c r="BI65" s="250" t="str">
        <f>IF(OR(ISBLANK($P65:$P70),ISBLANK($AK65:$AK70),ISBLANK(T65:T70),ISBLANK(AO65:AO70)),"·",bdRateHermite($P65:$P70,$T65:$T70,$AK65:$AK70,$AO65:$AO70))</f>
        <v>·</v>
      </c>
      <c r="BJ65" s="85" t="str">
        <f>IF(OR(ISBLANK($P65:$P70),ISBLANK($AK65:$AK70),ISBLANK(U65:U70),ISBLANK(AP65:AP70)),"·",bdRateHermite($P65:$P70,$U65:$U70,$AK65:$AK70,$AP65:$AP70))</f>
        <v>·</v>
      </c>
      <c r="BK65" s="254" t="str">
        <f>IF(OR(ISBLANK($P65:$P70),ISBLANK($AK65:$AK70),ISBLANK(V65:V70),ISBLANK(AQ65:AQ70)),"·",bdRateHermite($P65:$P70,$V65:$V70,$AK65:$AK70,$AQ65:$AQ70))</f>
        <v>·</v>
      </c>
      <c r="BL65" s="257"/>
      <c r="BM65" s="251"/>
      <c r="BN65" s="86" t="str">
        <f>IF( OR(ISBLANK($R65:$R70),ISBLANK($AM65:$AM70), ISBLANK(T65:T70),ISBLANK(AO65:AO70)), "·", bdRateHermite( $R66:$R70,$T66:$T70, $AM66:$AM70,$AO66:$AO70))</f>
        <v>·</v>
      </c>
      <c r="BO65" s="86" t="str">
        <f>IF( OR(ISBLANK($R65:$R70),ISBLANK($AM65:$AM70), ISBLANK(U65:U70),ISBLANK(AP65:AP70)), "·", bdRateHermite( $R66:$R70,$U66:$U70, $AM66:$AM70,$AP66:$AP70))</f>
        <v>·</v>
      </c>
      <c r="BP65" s="86" t="str">
        <f>IF( OR(ISBLANK($R65:$R70),ISBLANK($AM65:$AM70), ISBLANK(V65:V70),ISBLANK(AQ65:AQ70)), "·", bdRateHermite( $R66:$R70,$V66:$V70, $AM66:$AM70,$AQ66:$AQ70))</f>
        <v>·</v>
      </c>
      <c r="BQ65" s="103"/>
      <c r="BS65" s="250" t="str">
        <f>IF(OR(ISBLANK($P65:$P70),ISBLANK($AK65:$AK70),ISBLANK(T65:T70),ISBLANK(AO65:AO70)),"·",bdRateHermite($P66:$P70,$T66:$T70,$AK66:$AK70,$AO66:$AO70))</f>
        <v>·</v>
      </c>
      <c r="BT65" s="85" t="str">
        <f>IF(OR(ISBLANK($P65:$P70),ISBLANK($AK65:$AK70),ISBLANK(U65:U70),ISBLANK(AP65:AP70)),"·",bdRateHermite($P66:$P70,$U66:$U70,$AK66:$AK70,$AP66:$AP70))</f>
        <v>·</v>
      </c>
      <c r="BU65" s="254" t="str">
        <f>IF(OR(ISBLANK($P65:$P70),ISBLANK($AK65:$AK70),ISBLANK(V65:V70),ISBLANK(AQ65:AQ70)),"·",bdRateHermite($P66:$P70,$V66:$V70,$AK66:$AK70,$AQ66:$AQ70))</f>
        <v>·</v>
      </c>
      <c r="BV65" s="257"/>
      <c r="BX65" s="86" t="str">
        <f>IF( OR(ISBLANK($R65:$R70),ISBLANK($AM65:$AM70), ISBLANK(T65:T70),ISBLANK(AO65:AO70)), "·", bdRateHermite( $R65:$R69,$T65:$T69, $AM65:$AM69,$AO65:$AO69))</f>
        <v>·</v>
      </c>
      <c r="BY65" s="86" t="str">
        <f>IF( OR(ISBLANK($R65:$R70),ISBLANK($AM65:$AM70), ISBLANK(U65:U70),ISBLANK(AP65:AP70)), "·", bdRateHermite( $R65:$R69,$U65:$U69, $AM65:$AM69,$AP65:$AP69))</f>
        <v>·</v>
      </c>
      <c r="BZ65" s="86" t="str">
        <f>IF( OR(ISBLANK($R65:$R70),ISBLANK($AM65:$AM70), ISBLANK(V65:V70),ISBLANK(AQ65:AQ70)), "·", bdRateHermite( $R65:$R69,$V65:$V69, $AM65:$AM69,$AQ65:$AQ69))</f>
        <v>·</v>
      </c>
      <c r="CA65" s="103"/>
      <c r="CC65" s="250" t="str">
        <f>IF(OR(ISBLANK($P65:$P70),ISBLANK($AK65:$AK70),ISBLANK(T65:T70),ISBLANK(AO65:AO70)),"·",bdRateHermite($P65:$P69,$T65:$T69,$AK65:$AK69,$AO65:$AO69))</f>
        <v>·</v>
      </c>
      <c r="CD65" s="85" t="str">
        <f>IF(OR(ISBLANK($P65:$P70),ISBLANK($AK65:$AK70),ISBLANK(U65:U70),ISBLANK(AP65:AP70)),"·",bdRateHermite($P65:$P69,$U65:$U69,$AK65:$AK69,$AP65:$AP69))</f>
        <v>·</v>
      </c>
      <c r="CE65" s="254" t="str">
        <f>IF(OR(ISBLANK($P65:$P70),ISBLANK($AK65:$AK70),ISBLANK(V65:V70),ISBLANK(AQ65:AQ70)),"·",bdRateHermite($P65:$P69,$V65:$V69,$AK65:$AK69,$AQ65:$AQ69))</f>
        <v>·</v>
      </c>
      <c r="CF65" s="257"/>
    </row>
    <row r="66" spans="1:84" outlineLevel="1">
      <c r="A66" s="13"/>
      <c r="B66" s="14" t="s">
        <v>1120</v>
      </c>
      <c r="C66" s="15" t="s">
        <v>132</v>
      </c>
      <c r="D66" s="479">
        <v>4649702</v>
      </c>
      <c r="E66" s="15">
        <v>11</v>
      </c>
      <c r="F66" s="15">
        <v>1</v>
      </c>
      <c r="G66" s="16"/>
      <c r="H66" s="492"/>
      <c r="I66" s="30" t="str">
        <f t="shared" si="0"/>
        <v>·</v>
      </c>
      <c r="J66" s="31">
        <f t="shared" si="1"/>
        <v>4.0071798149644859</v>
      </c>
      <c r="K66" s="31">
        <f t="shared" si="2"/>
        <v>3.0196911544008627</v>
      </c>
      <c r="L66" s="31">
        <f t="shared" si="14"/>
        <v>0.98736994327808536</v>
      </c>
      <c r="M66" s="87"/>
      <c r="N66" s="31">
        <f t="shared" si="4"/>
        <v>4.0071798149644859</v>
      </c>
      <c r="O66" s="544">
        <v>4649702</v>
      </c>
      <c r="P66" s="503">
        <v>18632192</v>
      </c>
      <c r="Q66" s="357">
        <v>14040664</v>
      </c>
      <c r="R66" s="357">
        <v>4590976</v>
      </c>
      <c r="S66" s="550"/>
      <c r="T66" s="503">
        <v>29.865082000000001</v>
      </c>
      <c r="U66" s="357">
        <v>32.206595999999998</v>
      </c>
      <c r="V66" s="357">
        <v>34.041812999999998</v>
      </c>
      <c r="W66" s="550">
        <v>0</v>
      </c>
      <c r="X66" s="507"/>
      <c r="Y66" s="359"/>
      <c r="Z66" s="573">
        <v>0</v>
      </c>
      <c r="AA66" s="573">
        <v>0</v>
      </c>
      <c r="AB66" s="33"/>
      <c r="AD66" s="30" t="str">
        <f t="shared" si="13"/>
        <v>·</v>
      </c>
      <c r="AE66" s="31" t="str">
        <f t="shared" si="8"/>
        <v>·</v>
      </c>
      <c r="AF66" s="31" t="str">
        <f t="shared" si="5"/>
        <v>·</v>
      </c>
      <c r="AG66" s="31" t="str">
        <f t="shared" si="9"/>
        <v>·</v>
      </c>
      <c r="AH66" s="87" t="str">
        <f t="shared" si="10"/>
        <v>·</v>
      </c>
      <c r="AI66" s="31" t="str">
        <f t="shared" si="11"/>
        <v>·</v>
      </c>
      <c r="AJ66" s="544"/>
      <c r="AK66" s="503"/>
      <c r="AL66" s="357"/>
      <c r="AM66" s="357"/>
      <c r="AN66" s="550"/>
      <c r="AO66" s="503"/>
      <c r="AP66" s="357"/>
      <c r="AQ66" s="357"/>
      <c r="AR66" s="550"/>
      <c r="AS66" s="507"/>
      <c r="AT66" s="359"/>
      <c r="AU66" s="573">
        <v>0</v>
      </c>
      <c r="AV66" s="573">
        <v>0</v>
      </c>
      <c r="AW66" s="33"/>
      <c r="AY66" s="56" t="e">
        <f t="shared" si="12"/>
        <v>#DIV/0!</v>
      </c>
      <c r="AZ66" s="57" t="e">
        <f t="shared" si="12"/>
        <v>#DIV/0!</v>
      </c>
      <c r="BA66" s="57" t="e">
        <f t="shared" si="7"/>
        <v>#DIV/0!</v>
      </c>
      <c r="BB66" s="58"/>
      <c r="BD66" s="76"/>
      <c r="BE66" s="76"/>
      <c r="BF66" s="76"/>
      <c r="BG66" s="105"/>
      <c r="BI66" s="252"/>
      <c r="BJ66" s="76"/>
      <c r="BK66" s="255"/>
      <c r="BL66" s="258"/>
      <c r="BM66" s="251"/>
      <c r="BN66" s="252"/>
      <c r="BO66" s="76"/>
      <c r="BP66" s="255"/>
      <c r="BQ66" s="258"/>
      <c r="BS66" s="252"/>
      <c r="BT66" s="76"/>
      <c r="BU66" s="255"/>
      <c r="BV66" s="258"/>
      <c r="BX66" s="74"/>
      <c r="BY66" s="75"/>
      <c r="BZ66" s="264"/>
      <c r="CA66" s="105"/>
      <c r="CC66" s="260"/>
      <c r="CD66" s="75"/>
      <c r="CE66" s="262"/>
      <c r="CF66" s="258"/>
    </row>
    <row r="67" spans="1:84" outlineLevel="1">
      <c r="A67" s="13"/>
      <c r="B67" s="14" t="s">
        <v>1120</v>
      </c>
      <c r="C67" s="15" t="s">
        <v>133</v>
      </c>
      <c r="D67" s="479">
        <v>4649702</v>
      </c>
      <c r="E67" s="15">
        <v>11</v>
      </c>
      <c r="F67" s="15">
        <v>1</v>
      </c>
      <c r="G67" s="16"/>
      <c r="H67" s="492"/>
      <c r="I67" s="30" t="str">
        <f t="shared" si="0"/>
        <v>·</v>
      </c>
      <c r="J67" s="31">
        <f t="shared" si="1"/>
        <v>5.3781975705109701</v>
      </c>
      <c r="K67" s="31">
        <f t="shared" si="2"/>
        <v>3.0196911544008627</v>
      </c>
      <c r="L67" s="31">
        <f t="shared" si="14"/>
        <v>2.3583876988245698</v>
      </c>
      <c r="M67" s="87"/>
      <c r="N67" s="31">
        <f t="shared" si="4"/>
        <v>5.3781975705109701</v>
      </c>
      <c r="O67" s="544">
        <v>4649702</v>
      </c>
      <c r="P67" s="503">
        <v>25007016</v>
      </c>
      <c r="Q67" s="357">
        <v>14040664</v>
      </c>
      <c r="R67" s="357">
        <v>10965800</v>
      </c>
      <c r="S67" s="550"/>
      <c r="T67" s="503">
        <v>35.295670000000001</v>
      </c>
      <c r="U67" s="357">
        <v>36.805855000000001</v>
      </c>
      <c r="V67" s="357">
        <v>37.443443000000002</v>
      </c>
      <c r="W67" s="550">
        <v>0</v>
      </c>
      <c r="X67" s="507"/>
      <c r="Y67" s="359"/>
      <c r="Z67" s="573">
        <v>0</v>
      </c>
      <c r="AA67" s="573">
        <v>0</v>
      </c>
      <c r="AB67" s="33"/>
      <c r="AD67" s="30" t="str">
        <f t="shared" si="13"/>
        <v>·</v>
      </c>
      <c r="AE67" s="31" t="str">
        <f t="shared" si="8"/>
        <v>·</v>
      </c>
      <c r="AF67" s="31" t="str">
        <f t="shared" si="5"/>
        <v>·</v>
      </c>
      <c r="AG67" s="31" t="str">
        <f t="shared" si="9"/>
        <v>·</v>
      </c>
      <c r="AH67" s="87" t="str">
        <f t="shared" si="10"/>
        <v>·</v>
      </c>
      <c r="AI67" s="31" t="str">
        <f t="shared" si="11"/>
        <v>·</v>
      </c>
      <c r="AJ67" s="544"/>
      <c r="AK67" s="503"/>
      <c r="AL67" s="357"/>
      <c r="AM67" s="357"/>
      <c r="AN67" s="550"/>
      <c r="AO67" s="503"/>
      <c r="AP67" s="357"/>
      <c r="AQ67" s="357"/>
      <c r="AR67" s="550"/>
      <c r="AS67" s="507"/>
      <c r="AT67" s="359"/>
      <c r="AU67" s="573">
        <v>0</v>
      </c>
      <c r="AV67" s="573">
        <v>0</v>
      </c>
      <c r="AW67" s="33"/>
      <c r="AY67" s="56" t="e">
        <f t="shared" si="12"/>
        <v>#DIV/0!</v>
      </c>
      <c r="AZ67" s="57" t="e">
        <f t="shared" si="12"/>
        <v>#DIV/0!</v>
      </c>
      <c r="BA67" s="57" t="e">
        <f t="shared" si="7"/>
        <v>#DIV/0!</v>
      </c>
      <c r="BB67" s="58"/>
      <c r="BD67" s="76"/>
      <c r="BE67" s="76"/>
      <c r="BF67" s="76"/>
      <c r="BG67" s="105"/>
      <c r="BI67" s="252"/>
      <c r="BJ67" s="76"/>
      <c r="BK67" s="255"/>
      <c r="BL67" s="258"/>
      <c r="BM67" s="251"/>
      <c r="BN67" s="252"/>
      <c r="BO67" s="76"/>
      <c r="BP67" s="255"/>
      <c r="BQ67" s="258"/>
      <c r="BS67" s="252"/>
      <c r="BT67" s="76"/>
      <c r="BU67" s="255"/>
      <c r="BV67" s="258"/>
      <c r="BX67" s="74"/>
      <c r="BY67" s="75"/>
      <c r="BZ67" s="264"/>
      <c r="CA67" s="105"/>
      <c r="CC67" s="260"/>
      <c r="CD67" s="75"/>
      <c r="CE67" s="262"/>
      <c r="CF67" s="258"/>
    </row>
    <row r="68" spans="1:84" outlineLevel="1">
      <c r="A68" s="13"/>
      <c r="B68" s="14" t="s">
        <v>1120</v>
      </c>
      <c r="C68" s="15" t="s">
        <v>134</v>
      </c>
      <c r="D68" s="479">
        <v>4649702</v>
      </c>
      <c r="E68" s="15">
        <v>11</v>
      </c>
      <c r="F68" s="15">
        <v>1</v>
      </c>
      <c r="G68" s="16"/>
      <c r="H68" s="492"/>
      <c r="I68" s="30" t="str">
        <f t="shared" si="0"/>
        <v>·</v>
      </c>
      <c r="J68" s="31">
        <f t="shared" si="1"/>
        <v>7.6207619327002032</v>
      </c>
      <c r="K68" s="31">
        <f t="shared" si="2"/>
        <v>3.0196911544008627</v>
      </c>
      <c r="L68" s="31">
        <f t="shared" si="14"/>
        <v>4.6009520610138024</v>
      </c>
      <c r="M68" s="87"/>
      <c r="N68" s="31">
        <f>IF(ISBLANK(P68),"·",P68/O68)</f>
        <v>7.6207619327002032</v>
      </c>
      <c r="O68" s="544">
        <v>4649702</v>
      </c>
      <c r="P68" s="503">
        <v>35434272</v>
      </c>
      <c r="Q68" s="357">
        <v>14040664</v>
      </c>
      <c r="R68" s="357">
        <v>21393056</v>
      </c>
      <c r="S68" s="550"/>
      <c r="T68" s="503">
        <v>41.024017000000001</v>
      </c>
      <c r="U68" s="357">
        <v>41.402850999999998</v>
      </c>
      <c r="V68" s="357">
        <v>41.673949999999998</v>
      </c>
      <c r="W68" s="550">
        <v>0</v>
      </c>
      <c r="X68" s="507"/>
      <c r="Y68" s="359"/>
      <c r="Z68" s="573">
        <v>0</v>
      </c>
      <c r="AA68" s="573">
        <v>0</v>
      </c>
      <c r="AB68" s="33"/>
      <c r="AD68" s="30" t="str">
        <f t="shared" si="13"/>
        <v>·</v>
      </c>
      <c r="AE68" s="31" t="str">
        <f t="shared" si="8"/>
        <v>·</v>
      </c>
      <c r="AF68" s="31" t="str">
        <f t="shared" si="5"/>
        <v>·</v>
      </c>
      <c r="AG68" s="31" t="str">
        <f t="shared" si="9"/>
        <v>·</v>
      </c>
      <c r="AH68" s="87" t="str">
        <f t="shared" si="10"/>
        <v>·</v>
      </c>
      <c r="AI68" s="31" t="str">
        <f t="shared" si="11"/>
        <v>·</v>
      </c>
      <c r="AJ68" s="544"/>
      <c r="AK68" s="503"/>
      <c r="AL68" s="357"/>
      <c r="AM68" s="357"/>
      <c r="AN68" s="550"/>
      <c r="AO68" s="503"/>
      <c r="AP68" s="357"/>
      <c r="AQ68" s="357"/>
      <c r="AR68" s="550"/>
      <c r="AS68" s="507"/>
      <c r="AT68" s="359"/>
      <c r="AU68" s="573">
        <v>0</v>
      </c>
      <c r="AV68" s="573">
        <v>0</v>
      </c>
      <c r="AW68" s="33"/>
      <c r="AY68" s="56" t="e">
        <f t="shared" si="12"/>
        <v>#DIV/0!</v>
      </c>
      <c r="AZ68" s="57" t="e">
        <f t="shared" si="12"/>
        <v>#DIV/0!</v>
      </c>
      <c r="BA68" s="57" t="e">
        <f t="shared" si="7"/>
        <v>#DIV/0!</v>
      </c>
      <c r="BB68" s="58"/>
      <c r="BD68" s="76"/>
      <c r="BE68" s="76"/>
      <c r="BF68" s="76"/>
      <c r="BG68" s="105"/>
      <c r="BI68" s="252"/>
      <c r="BJ68" s="76"/>
      <c r="BK68" s="255"/>
      <c r="BL68" s="258"/>
      <c r="BM68" s="251"/>
      <c r="BN68" s="252"/>
      <c r="BO68" s="76"/>
      <c r="BP68" s="255"/>
      <c r="BQ68" s="258"/>
      <c r="BS68" s="252"/>
      <c r="BT68" s="76"/>
      <c r="BU68" s="255"/>
      <c r="BV68" s="258"/>
      <c r="BX68" s="74"/>
      <c r="BY68" s="75"/>
      <c r="BZ68" s="264"/>
      <c r="CA68" s="105"/>
      <c r="CC68" s="260"/>
      <c r="CD68" s="75"/>
      <c r="CE68" s="262"/>
      <c r="CF68" s="258"/>
    </row>
    <row r="69" spans="1:84" outlineLevel="1">
      <c r="A69" s="13"/>
      <c r="B69" s="14" t="s">
        <v>1120</v>
      </c>
      <c r="C69" s="15" t="s">
        <v>135</v>
      </c>
      <c r="D69" s="479">
        <v>4649702</v>
      </c>
      <c r="E69" s="15">
        <v>11</v>
      </c>
      <c r="F69" s="15">
        <v>1</v>
      </c>
      <c r="G69" s="16"/>
      <c r="H69" s="492"/>
      <c r="I69" s="30" t="str">
        <f t="shared" ref="I69:I132" si="15">IF(OR(ISBLANK(P69),ISBLANK(G69)),"·",P69*G69/F69/1000000)</f>
        <v>·</v>
      </c>
      <c r="J69" s="31">
        <f t="shared" ref="J69:J132" si="16">IF(ISBLANK(P69),"·",P69/D69)</f>
        <v>10.222368659324834</v>
      </c>
      <c r="K69" s="31">
        <f t="shared" ref="K69:K132" si="17">IF(Q69="","·",Q69/D69)</f>
        <v>3.0196911544008627</v>
      </c>
      <c r="L69" s="31">
        <f t="shared" si="14"/>
        <v>7.2025587876384334</v>
      </c>
      <c r="M69" s="87"/>
      <c r="N69" s="31">
        <f t="shared" ref="N69:N132" si="18">IF(ISBLANK(P69),"·",P69/O69)</f>
        <v>10.222368659324834</v>
      </c>
      <c r="O69" s="544">
        <v>4649702</v>
      </c>
      <c r="P69" s="503">
        <v>47530968</v>
      </c>
      <c r="Q69" s="357">
        <v>14040664</v>
      </c>
      <c r="R69" s="357">
        <v>33489752</v>
      </c>
      <c r="S69" s="550"/>
      <c r="T69" s="503">
        <v>46.577305000000003</v>
      </c>
      <c r="U69" s="357">
        <v>46.569386000000002</v>
      </c>
      <c r="V69" s="357">
        <v>46.779530000000001</v>
      </c>
      <c r="W69" s="550">
        <v>0</v>
      </c>
      <c r="X69" s="507"/>
      <c r="Y69" s="359"/>
      <c r="Z69" s="573">
        <v>0</v>
      </c>
      <c r="AA69" s="573">
        <v>0</v>
      </c>
      <c r="AB69" s="33"/>
      <c r="AD69" s="30" t="str">
        <f t="shared" si="13"/>
        <v>·</v>
      </c>
      <c r="AE69" s="31" t="str">
        <f t="shared" si="8"/>
        <v>·</v>
      </c>
      <c r="AF69" s="31" t="str">
        <f t="shared" ref="AF69:AF132" si="19">IF(AL69="","·",AL69/D69)</f>
        <v>·</v>
      </c>
      <c r="AG69" s="31" t="str">
        <f t="shared" si="9"/>
        <v>·</v>
      </c>
      <c r="AH69" s="87" t="str">
        <f t="shared" si="10"/>
        <v>·</v>
      </c>
      <c r="AI69" s="31" t="str">
        <f t="shared" si="11"/>
        <v>·</v>
      </c>
      <c r="AJ69" s="544"/>
      <c r="AK69" s="503"/>
      <c r="AL69" s="357"/>
      <c r="AM69" s="357"/>
      <c r="AN69" s="550"/>
      <c r="AO69" s="503"/>
      <c r="AP69" s="357"/>
      <c r="AQ69" s="357"/>
      <c r="AR69" s="550"/>
      <c r="AS69" s="507"/>
      <c r="AT69" s="359"/>
      <c r="AU69" s="573">
        <v>0</v>
      </c>
      <c r="AV69" s="573">
        <v>0</v>
      </c>
      <c r="AW69" s="33"/>
      <c r="AY69" s="56" t="e">
        <f t="shared" si="12"/>
        <v>#DIV/0!</v>
      </c>
      <c r="AZ69" s="57" t="e">
        <f t="shared" si="12"/>
        <v>#DIV/0!</v>
      </c>
      <c r="BA69" s="57" t="e">
        <f t="shared" ref="BA69:BA132" si="20">(AL69/AK69) - (Q69/P69)</f>
        <v>#DIV/0!</v>
      </c>
      <c r="BB69" s="58"/>
      <c r="BD69" s="76"/>
      <c r="BE69" s="76"/>
      <c r="BF69" s="76"/>
      <c r="BG69" s="105"/>
      <c r="BI69" s="252"/>
      <c r="BJ69" s="76"/>
      <c r="BK69" s="255"/>
      <c r="BL69" s="258"/>
      <c r="BM69" s="251"/>
      <c r="BN69" s="252"/>
      <c r="BO69" s="76"/>
      <c r="BP69" s="255"/>
      <c r="BQ69" s="258"/>
      <c r="BS69" s="252"/>
      <c r="BT69" s="76"/>
      <c r="BU69" s="255"/>
      <c r="BV69" s="258"/>
      <c r="BX69" s="74"/>
      <c r="BY69" s="75"/>
      <c r="BZ69" s="264"/>
      <c r="CA69" s="105"/>
      <c r="CC69" s="260"/>
      <c r="CD69" s="75"/>
      <c r="CE69" s="262"/>
      <c r="CF69" s="258"/>
    </row>
    <row r="70" spans="1:84" ht="14.25" outlineLevel="1" thickBot="1">
      <c r="A70" s="13"/>
      <c r="B70" s="18" t="s">
        <v>1120</v>
      </c>
      <c r="C70" s="19" t="s">
        <v>136</v>
      </c>
      <c r="D70" s="480">
        <v>4649702</v>
      </c>
      <c r="E70" s="19">
        <v>11</v>
      </c>
      <c r="F70" s="19">
        <v>1</v>
      </c>
      <c r="G70" s="20"/>
      <c r="H70" s="492"/>
      <c r="I70" s="34" t="str">
        <f t="shared" si="15"/>
        <v>·</v>
      </c>
      <c r="J70" s="35">
        <f t="shared" si="16"/>
        <v>13.186670457590616</v>
      </c>
      <c r="K70" s="35">
        <f t="shared" si="17"/>
        <v>3.0196911544008627</v>
      </c>
      <c r="L70" s="35">
        <f t="shared" si="14"/>
        <v>10.166862306444585</v>
      </c>
      <c r="M70" s="89"/>
      <c r="N70" s="35">
        <f t="shared" si="18"/>
        <v>13.186670457590616</v>
      </c>
      <c r="O70" s="555">
        <v>4649702</v>
      </c>
      <c r="P70" s="505">
        <v>61314088</v>
      </c>
      <c r="Q70" s="361">
        <v>14040664</v>
      </c>
      <c r="R70" s="361">
        <v>47272880</v>
      </c>
      <c r="S70" s="552"/>
      <c r="T70" s="505">
        <v>51.254486</v>
      </c>
      <c r="U70" s="361">
        <v>51.191234999999999</v>
      </c>
      <c r="V70" s="361">
        <v>51.318398000000002</v>
      </c>
      <c r="W70" s="552">
        <v>0</v>
      </c>
      <c r="X70" s="509"/>
      <c r="Y70" s="363"/>
      <c r="Z70" s="575">
        <v>0</v>
      </c>
      <c r="AA70" s="575">
        <v>0</v>
      </c>
      <c r="AB70" s="37"/>
      <c r="AD70" s="34" t="str">
        <f t="shared" si="13"/>
        <v>·</v>
      </c>
      <c r="AE70" s="35" t="str">
        <f t="shared" ref="AE70:AE133" si="21">IF(ISBLANK(AK70),"·",AK70/D70)</f>
        <v>·</v>
      </c>
      <c r="AF70" s="35" t="str">
        <f t="shared" si="19"/>
        <v>·</v>
      </c>
      <c r="AG70" s="35" t="str">
        <f t="shared" ref="AG70:AG133" si="22">IF(ISBLANK(AM70),"·",AM70/D70)</f>
        <v>·</v>
      </c>
      <c r="AH70" s="89" t="str">
        <f t="shared" ref="AH70:AH112" si="23">IF(ISBLANK(AN70),"·",AN70/D70)</f>
        <v>·</v>
      </c>
      <c r="AI70" s="35" t="str">
        <f t="shared" ref="AI70:AI133" si="24">IF(ISBLANK(AK70),"·",AK70/AJ70)</f>
        <v>·</v>
      </c>
      <c r="AJ70" s="555"/>
      <c r="AK70" s="505"/>
      <c r="AL70" s="361"/>
      <c r="AM70" s="361"/>
      <c r="AN70" s="552"/>
      <c r="AO70" s="505"/>
      <c r="AP70" s="361"/>
      <c r="AQ70" s="361"/>
      <c r="AR70" s="552"/>
      <c r="AS70" s="509"/>
      <c r="AT70" s="363"/>
      <c r="AU70" s="575">
        <v>0</v>
      </c>
      <c r="AV70" s="575">
        <v>0</v>
      </c>
      <c r="AW70" s="37"/>
      <c r="AY70" s="59" t="e">
        <f t="shared" si="12"/>
        <v>#DIV/0!</v>
      </c>
      <c r="AZ70" s="60" t="e">
        <f t="shared" si="12"/>
        <v>#DIV/0!</v>
      </c>
      <c r="BA70" s="60" t="e">
        <f t="shared" si="20"/>
        <v>#DIV/0!</v>
      </c>
      <c r="BB70" s="61"/>
      <c r="BD70" s="79"/>
      <c r="BE70" s="79"/>
      <c r="BF70" s="79"/>
      <c r="BG70" s="108"/>
      <c r="BI70" s="253"/>
      <c r="BJ70" s="79"/>
      <c r="BK70" s="256"/>
      <c r="BL70" s="259"/>
      <c r="BM70" s="251"/>
      <c r="BN70" s="253"/>
      <c r="BO70" s="79"/>
      <c r="BP70" s="256"/>
      <c r="BQ70" s="259"/>
      <c r="BS70" s="253"/>
      <c r="BT70" s="79"/>
      <c r="BU70" s="256"/>
      <c r="BV70" s="259"/>
      <c r="BX70" s="77"/>
      <c r="BY70" s="78"/>
      <c r="BZ70" s="265"/>
      <c r="CA70" s="108"/>
      <c r="CC70" s="261"/>
      <c r="CD70" s="78"/>
      <c r="CE70" s="263"/>
      <c r="CF70" s="259"/>
    </row>
    <row r="71" spans="1:84">
      <c r="A71" s="13"/>
      <c r="B71" s="27" t="s">
        <v>1121</v>
      </c>
      <c r="C71" s="28" t="s">
        <v>131</v>
      </c>
      <c r="D71" s="478">
        <v>2096385</v>
      </c>
      <c r="E71" s="28">
        <v>15</v>
      </c>
      <c r="F71" s="28">
        <v>1</v>
      </c>
      <c r="G71" s="29"/>
      <c r="H71" s="492"/>
      <c r="I71" s="46" t="str">
        <f t="shared" si="15"/>
        <v>·</v>
      </c>
      <c r="J71" s="47">
        <f t="shared" si="16"/>
        <v>16.819513591253514</v>
      </c>
      <c r="K71" s="47">
        <f t="shared" si="17"/>
        <v>16.30251695180036</v>
      </c>
      <c r="L71" s="47">
        <f t="shared" si="14"/>
        <v>0.51663029453082332</v>
      </c>
      <c r="M71" s="90"/>
      <c r="N71" s="47">
        <f t="shared" si="18"/>
        <v>16.819513591253514</v>
      </c>
      <c r="O71" s="554">
        <v>2096385</v>
      </c>
      <c r="P71" s="502">
        <v>35260176</v>
      </c>
      <c r="Q71" s="353">
        <v>34176352</v>
      </c>
      <c r="R71" s="353">
        <v>1083056</v>
      </c>
      <c r="S71" s="550"/>
      <c r="T71" s="502">
        <v>21.266586</v>
      </c>
      <c r="U71" s="353">
        <v>27.164099</v>
      </c>
      <c r="V71" s="353">
        <v>29.578890000000001</v>
      </c>
      <c r="W71" s="550">
        <v>0</v>
      </c>
      <c r="X71" s="506"/>
      <c r="Y71" s="355"/>
      <c r="Z71" s="572">
        <v>0</v>
      </c>
      <c r="AA71" s="572">
        <v>0</v>
      </c>
      <c r="AB71" s="49"/>
      <c r="AD71" s="46" t="str">
        <f t="shared" si="13"/>
        <v>·</v>
      </c>
      <c r="AE71" s="47" t="str">
        <f t="shared" si="21"/>
        <v>·</v>
      </c>
      <c r="AF71" s="47" t="str">
        <f t="shared" si="19"/>
        <v>·</v>
      </c>
      <c r="AG71" s="47" t="str">
        <f t="shared" si="22"/>
        <v>·</v>
      </c>
      <c r="AH71" s="90" t="str">
        <f t="shared" si="23"/>
        <v>·</v>
      </c>
      <c r="AI71" s="47" t="str">
        <f t="shared" si="24"/>
        <v>·</v>
      </c>
      <c r="AJ71" s="554"/>
      <c r="AK71" s="502"/>
      <c r="AL71" s="353"/>
      <c r="AM71" s="353"/>
      <c r="AN71" s="550"/>
      <c r="AO71" s="502"/>
      <c r="AP71" s="353"/>
      <c r="AQ71" s="353"/>
      <c r="AR71" s="550"/>
      <c r="AS71" s="506"/>
      <c r="AT71" s="355"/>
      <c r="AU71" s="572">
        <v>0</v>
      </c>
      <c r="AV71" s="572">
        <v>0</v>
      </c>
      <c r="AW71" s="49"/>
      <c r="AY71" s="68" t="e">
        <f t="shared" si="12"/>
        <v>#DIV/0!</v>
      </c>
      <c r="AZ71" s="69" t="e">
        <f t="shared" si="12"/>
        <v>#DIV/0!</v>
      </c>
      <c r="BA71" s="69" t="e">
        <f t="shared" si="20"/>
        <v>#DIV/0!</v>
      </c>
      <c r="BB71" s="70" t="e">
        <f t="array" ref="BB71">AVERAGE(AL71:AL76/AK71:AK76) - AVERAGE(Q71:Q76/P71:P76)</f>
        <v>#DIV/0!</v>
      </c>
      <c r="BD71" s="86" t="str">
        <f>IF( OR(ISBLANK($R71:$R76),ISBLANK($AM71:$AM76), ISBLANK(T71:T76),ISBLANK(AO71:AO76)), "·", bdRateHermite( $R71:$R76,$T71:$T76, $AM71:$AM76,$AO71:$AO76))</f>
        <v>·</v>
      </c>
      <c r="BE71" s="86" t="str">
        <f>IF( OR(ISBLANK($R71:$R76),ISBLANK($AM71:$AM76), ISBLANK(U71:U76),ISBLANK(AP71:AP76)), "·", bdRateHermite( $R71:$R76,$U71:$U76, $AM71:$AM76,$AP71:$AP76))</f>
        <v>·</v>
      </c>
      <c r="BF71" s="86" t="str">
        <f>IF( OR(ISBLANK($R71:$R76),ISBLANK($AM71:$AM76), ISBLANK(V71:V76),ISBLANK(AQ71:AQ76)), "·", bdRateHermite( $R71:$R76,$V71:$V76, $AM71:$AM76,$AQ71:$AQ76))</f>
        <v>·</v>
      </c>
      <c r="BG71" s="103"/>
      <c r="BI71" s="250" t="str">
        <f>IF(OR(ISBLANK($P71:$P76),ISBLANK($AK71:$AK76),ISBLANK(T71:T76),ISBLANK(AO71:AO76)),"·",bdRateHermite($P71:$P76,$T71:$T76,$AK71:$AK76,$AO71:$AO76))</f>
        <v>·</v>
      </c>
      <c r="BJ71" s="85" t="str">
        <f>IF(OR(ISBLANK($P71:$P76),ISBLANK($AK71:$AK76),ISBLANK(U71:U76),ISBLANK(AP71:AP76)),"·",bdRateHermite($P71:$P76,$U71:$U76,$AK71:$AK76,$AP71:$AP76))</f>
        <v>·</v>
      </c>
      <c r="BK71" s="254" t="str">
        <f>IF(OR(ISBLANK($P71:$P76),ISBLANK($AK71:$AK76),ISBLANK(V71:V76),ISBLANK(AQ71:AQ76)),"·",bdRateHermite($P71:$P76,$V71:$V76,$AK71:$AK76,$AQ71:$AQ76))</f>
        <v>·</v>
      </c>
      <c r="BL71" s="257"/>
      <c r="BM71" s="251"/>
      <c r="BN71" s="86" t="str">
        <f>IF( OR(ISBLANK($R71:$R76),ISBLANK($AM71:$AM76), ISBLANK(T71:T76),ISBLANK(AO71:AO76)), "·", bdRateHermite( $R72:$R76,$T72:$T76, $AM72:$AM76,$AO72:$AO76))</f>
        <v>·</v>
      </c>
      <c r="BO71" s="86" t="str">
        <f>IF( OR(ISBLANK($R71:$R76),ISBLANK($AM71:$AM76), ISBLANK(U71:U76),ISBLANK(AP71:AP76)), "·", bdRateHermite( $R72:$R76,$U72:$U76, $AM72:$AM76,$AP72:$AP76))</f>
        <v>·</v>
      </c>
      <c r="BP71" s="86" t="str">
        <f>IF( OR(ISBLANK($R71:$R76),ISBLANK($AM71:$AM76), ISBLANK(V71:V76),ISBLANK(AQ71:AQ76)), "·", bdRateHermite( $R72:$R76,$V72:$V76, $AM72:$AM76,$AQ72:$AQ76))</f>
        <v>·</v>
      </c>
      <c r="BQ71" s="103"/>
      <c r="BS71" s="250" t="str">
        <f>IF(OR(ISBLANK($P71:$P76),ISBLANK($AK71:$AK76),ISBLANK(T71:T76),ISBLANK(AO71:AO76)),"·",bdRateHermite($P72:$P76,$T72:$T76,$AK72:$AK76,$AO72:$AO76))</f>
        <v>·</v>
      </c>
      <c r="BT71" s="85" t="str">
        <f>IF(OR(ISBLANK($P71:$P76),ISBLANK($AK71:$AK76),ISBLANK(U71:U76),ISBLANK(AP71:AP76)),"·",bdRateHermite($P72:$P76,$U72:$U76,$AK72:$AK76,$AP72:$AP76))</f>
        <v>·</v>
      </c>
      <c r="BU71" s="254" t="str">
        <f>IF(OR(ISBLANK($P71:$P76),ISBLANK($AK71:$AK76),ISBLANK(V71:V76),ISBLANK(AQ71:AQ76)),"·",bdRateHermite($P72:$P76,$V72:$V76,$AK72:$AK76,$AQ72:$AQ76))</f>
        <v>·</v>
      </c>
      <c r="BV71" s="257"/>
      <c r="BX71" s="86" t="str">
        <f>IF( OR(ISBLANK($R71:$R76),ISBLANK($AM71:$AM76), ISBLANK(T71:T76),ISBLANK(AO71:AO76)), "·", bdRateHermite( $R71:$R75,$T71:$T75, $AM71:$AM75,$AO71:$AO75))</f>
        <v>·</v>
      </c>
      <c r="BY71" s="86" t="str">
        <f>IF( OR(ISBLANK($R71:$R76),ISBLANK($AM71:$AM76), ISBLANK(U71:U76),ISBLANK(AP71:AP76)), "·", bdRateHermite( $R71:$R75,$U71:$U75, $AM71:$AM75,$AP71:$AP75))</f>
        <v>·</v>
      </c>
      <c r="BZ71" s="86" t="str">
        <f>IF( OR(ISBLANK($R71:$R76),ISBLANK($AM71:$AM76), ISBLANK(V71:V76),ISBLANK(AQ71:AQ76)), "·", bdRateHermite( $R71:$R75,$V71:$V75, $AM71:$AM75,$AQ71:$AQ75))</f>
        <v>·</v>
      </c>
      <c r="CA71" s="103"/>
      <c r="CC71" s="250" t="str">
        <f>IF(OR(ISBLANK($P71:$P76),ISBLANK($AK71:$AK76),ISBLANK(T71:T76),ISBLANK(AO71:AO76)),"·",bdRateHermite($P71:$P75,$T71:$T75,$AK71:$AK75,$AO71:$AO75))</f>
        <v>·</v>
      </c>
      <c r="CD71" s="85" t="str">
        <f>IF(OR(ISBLANK($P71:$P76),ISBLANK($AK71:$AK76),ISBLANK(U71:U76),ISBLANK(AP71:AP76)),"·",bdRateHermite($P71:$P75,$U71:$U75,$AK71:$AK75,$AP71:$AP75))</f>
        <v>·</v>
      </c>
      <c r="CE71" s="254" t="str">
        <f>IF(OR(ISBLANK($P71:$P76),ISBLANK($AK71:$AK76),ISBLANK(V71:V76),ISBLANK(AQ71:AQ76)),"·",bdRateHermite($P71:$P75,$V71:$V75,$AK71:$AK75,$AQ71:$AQ75))</f>
        <v>·</v>
      </c>
      <c r="CF71" s="257"/>
    </row>
    <row r="72" spans="1:84" outlineLevel="1">
      <c r="A72" s="13"/>
      <c r="B72" s="14" t="s">
        <v>1121</v>
      </c>
      <c r="C72" s="15" t="s">
        <v>132</v>
      </c>
      <c r="D72" s="479">
        <v>2096385</v>
      </c>
      <c r="E72" s="15">
        <v>15</v>
      </c>
      <c r="F72" s="15">
        <v>1</v>
      </c>
      <c r="G72" s="16"/>
      <c r="H72" s="492"/>
      <c r="I72" s="30" t="str">
        <f t="shared" si="15"/>
        <v>·</v>
      </c>
      <c r="J72" s="31">
        <f t="shared" si="16"/>
        <v>17.006235018853886</v>
      </c>
      <c r="K72" s="31">
        <f t="shared" si="17"/>
        <v>16.30251695180036</v>
      </c>
      <c r="L72" s="31">
        <f t="shared" si="14"/>
        <v>0.70335172213119246</v>
      </c>
      <c r="M72" s="87"/>
      <c r="N72" s="31">
        <f t="shared" si="18"/>
        <v>17.006235018853886</v>
      </c>
      <c r="O72" s="544">
        <v>2096385</v>
      </c>
      <c r="P72" s="503">
        <v>35651616</v>
      </c>
      <c r="Q72" s="357">
        <v>34176352</v>
      </c>
      <c r="R72" s="357">
        <v>1474496</v>
      </c>
      <c r="S72" s="550"/>
      <c r="T72" s="503">
        <v>29.025006999999999</v>
      </c>
      <c r="U72" s="357">
        <v>28.534158999999999</v>
      </c>
      <c r="V72" s="357">
        <v>29.903130000000001</v>
      </c>
      <c r="W72" s="550">
        <v>0</v>
      </c>
      <c r="X72" s="507"/>
      <c r="Y72" s="359"/>
      <c r="Z72" s="573">
        <v>0</v>
      </c>
      <c r="AA72" s="573">
        <v>0</v>
      </c>
      <c r="AB72" s="33"/>
      <c r="AD72" s="30" t="str">
        <f t="shared" si="13"/>
        <v>·</v>
      </c>
      <c r="AE72" s="31" t="str">
        <f t="shared" si="21"/>
        <v>·</v>
      </c>
      <c r="AF72" s="31" t="str">
        <f t="shared" si="19"/>
        <v>·</v>
      </c>
      <c r="AG72" s="31" t="str">
        <f t="shared" si="22"/>
        <v>·</v>
      </c>
      <c r="AH72" s="87" t="str">
        <f t="shared" si="23"/>
        <v>·</v>
      </c>
      <c r="AI72" s="31" t="str">
        <f t="shared" si="24"/>
        <v>·</v>
      </c>
      <c r="AJ72" s="544"/>
      <c r="AK72" s="503"/>
      <c r="AL72" s="357"/>
      <c r="AM72" s="357"/>
      <c r="AN72" s="550"/>
      <c r="AO72" s="503"/>
      <c r="AP72" s="357"/>
      <c r="AQ72" s="357"/>
      <c r="AR72" s="550"/>
      <c r="AS72" s="507"/>
      <c r="AT72" s="359"/>
      <c r="AU72" s="573">
        <v>0</v>
      </c>
      <c r="AV72" s="573">
        <v>0</v>
      </c>
      <c r="AW72" s="33"/>
      <c r="AY72" s="56" t="e">
        <f t="shared" si="12"/>
        <v>#DIV/0!</v>
      </c>
      <c r="AZ72" s="57" t="e">
        <f t="shared" si="12"/>
        <v>#DIV/0!</v>
      </c>
      <c r="BA72" s="57" t="e">
        <f t="shared" si="20"/>
        <v>#DIV/0!</v>
      </c>
      <c r="BB72" s="58"/>
      <c r="BD72" s="76"/>
      <c r="BE72" s="76"/>
      <c r="BF72" s="76"/>
      <c r="BG72" s="105"/>
      <c r="BI72" s="252"/>
      <c r="BJ72" s="76"/>
      <c r="BK72" s="255"/>
      <c r="BL72" s="258"/>
      <c r="BM72" s="251"/>
      <c r="BN72" s="252"/>
      <c r="BO72" s="76"/>
      <c r="BP72" s="255"/>
      <c r="BQ72" s="258"/>
      <c r="BS72" s="252"/>
      <c r="BT72" s="76"/>
      <c r="BU72" s="255"/>
      <c r="BV72" s="258"/>
      <c r="BX72" s="74"/>
      <c r="BY72" s="75"/>
      <c r="BZ72" s="264"/>
      <c r="CA72" s="105"/>
      <c r="CC72" s="260"/>
      <c r="CD72" s="75"/>
      <c r="CE72" s="262"/>
      <c r="CF72" s="258"/>
    </row>
    <row r="73" spans="1:84" outlineLevel="1">
      <c r="A73" s="13"/>
      <c r="B73" s="14" t="s">
        <v>1121</v>
      </c>
      <c r="C73" s="15" t="s">
        <v>133</v>
      </c>
      <c r="D73" s="479">
        <v>2096385</v>
      </c>
      <c r="E73" s="15">
        <v>15</v>
      </c>
      <c r="F73" s="15">
        <v>1</v>
      </c>
      <c r="G73" s="16"/>
      <c r="H73" s="492"/>
      <c r="I73" s="30" t="str">
        <f t="shared" si="15"/>
        <v>·</v>
      </c>
      <c r="J73" s="31">
        <f t="shared" si="16"/>
        <v>17.560270656391836</v>
      </c>
      <c r="K73" s="31">
        <f t="shared" si="17"/>
        <v>16.30251695180036</v>
      </c>
      <c r="L73" s="31">
        <f t="shared" si="14"/>
        <v>1.2573873596691447</v>
      </c>
      <c r="M73" s="87"/>
      <c r="N73" s="31">
        <f t="shared" si="18"/>
        <v>17.560270656391836</v>
      </c>
      <c r="O73" s="544">
        <v>2096385</v>
      </c>
      <c r="P73" s="503">
        <v>36813088</v>
      </c>
      <c r="Q73" s="357">
        <v>34176352</v>
      </c>
      <c r="R73" s="357">
        <v>2635968</v>
      </c>
      <c r="S73" s="550"/>
      <c r="T73" s="503">
        <v>34.498066000000001</v>
      </c>
      <c r="U73" s="357">
        <v>36.052897999999999</v>
      </c>
      <c r="V73" s="357">
        <v>34.811866999999999</v>
      </c>
      <c r="W73" s="550">
        <v>0</v>
      </c>
      <c r="X73" s="507"/>
      <c r="Y73" s="359"/>
      <c r="Z73" s="573">
        <v>0</v>
      </c>
      <c r="AA73" s="573">
        <v>0</v>
      </c>
      <c r="AB73" s="33"/>
      <c r="AD73" s="30" t="str">
        <f t="shared" si="13"/>
        <v>·</v>
      </c>
      <c r="AE73" s="31" t="str">
        <f t="shared" si="21"/>
        <v>·</v>
      </c>
      <c r="AF73" s="31" t="str">
        <f t="shared" si="19"/>
        <v>·</v>
      </c>
      <c r="AG73" s="31" t="str">
        <f t="shared" si="22"/>
        <v>·</v>
      </c>
      <c r="AH73" s="87" t="str">
        <f t="shared" si="23"/>
        <v>·</v>
      </c>
      <c r="AI73" s="31" t="str">
        <f t="shared" si="24"/>
        <v>·</v>
      </c>
      <c r="AJ73" s="544"/>
      <c r="AK73" s="503"/>
      <c r="AL73" s="357"/>
      <c r="AM73" s="357"/>
      <c r="AN73" s="550"/>
      <c r="AO73" s="503"/>
      <c r="AP73" s="357"/>
      <c r="AQ73" s="357"/>
      <c r="AR73" s="550"/>
      <c r="AS73" s="507"/>
      <c r="AT73" s="359"/>
      <c r="AU73" s="573">
        <v>0</v>
      </c>
      <c r="AV73" s="573">
        <v>0</v>
      </c>
      <c r="AW73" s="33"/>
      <c r="AY73" s="56" t="e">
        <f t="shared" si="12"/>
        <v>#DIV/0!</v>
      </c>
      <c r="AZ73" s="57" t="e">
        <f t="shared" si="12"/>
        <v>#DIV/0!</v>
      </c>
      <c r="BA73" s="57" t="e">
        <f t="shared" si="20"/>
        <v>#DIV/0!</v>
      </c>
      <c r="BB73" s="58"/>
      <c r="BD73" s="76"/>
      <c r="BE73" s="76"/>
      <c r="BF73" s="76"/>
      <c r="BG73" s="105"/>
      <c r="BI73" s="252"/>
      <c r="BJ73" s="76"/>
      <c r="BK73" s="255"/>
      <c r="BL73" s="258"/>
      <c r="BM73" s="251"/>
      <c r="BN73" s="252"/>
      <c r="BO73" s="76"/>
      <c r="BP73" s="255"/>
      <c r="BQ73" s="258"/>
      <c r="BS73" s="252"/>
      <c r="BT73" s="76"/>
      <c r="BU73" s="255"/>
      <c r="BV73" s="258"/>
      <c r="BX73" s="74"/>
      <c r="BY73" s="75"/>
      <c r="BZ73" s="264"/>
      <c r="CA73" s="105"/>
      <c r="CC73" s="260"/>
      <c r="CD73" s="75"/>
      <c r="CE73" s="262"/>
      <c r="CF73" s="258"/>
    </row>
    <row r="74" spans="1:84" outlineLevel="1">
      <c r="A74" s="13"/>
      <c r="B74" s="14" t="s">
        <v>1121</v>
      </c>
      <c r="C74" s="15" t="s">
        <v>134</v>
      </c>
      <c r="D74" s="479">
        <v>2096385</v>
      </c>
      <c r="E74" s="15">
        <v>15</v>
      </c>
      <c r="F74" s="15">
        <v>1</v>
      </c>
      <c r="G74" s="16"/>
      <c r="H74" s="492"/>
      <c r="I74" s="30" t="str">
        <f t="shared" si="15"/>
        <v>·</v>
      </c>
      <c r="J74" s="31">
        <f t="shared" si="16"/>
        <v>19.583353248568368</v>
      </c>
      <c r="K74" s="31">
        <f t="shared" si="17"/>
        <v>16.30251695180036</v>
      </c>
      <c r="L74" s="31">
        <f t="shared" si="14"/>
        <v>3.2804737679386182</v>
      </c>
      <c r="M74" s="87"/>
      <c r="N74" s="31">
        <f t="shared" si="18"/>
        <v>19.583353248568368</v>
      </c>
      <c r="O74" s="544">
        <v>2096385</v>
      </c>
      <c r="P74" s="503">
        <v>41054248</v>
      </c>
      <c r="Q74" s="357">
        <v>34176352</v>
      </c>
      <c r="R74" s="357">
        <v>6877136</v>
      </c>
      <c r="S74" s="550"/>
      <c r="T74" s="503">
        <v>40.761069999999997</v>
      </c>
      <c r="U74" s="357">
        <v>39.058200999999997</v>
      </c>
      <c r="V74" s="357">
        <v>38.835621000000003</v>
      </c>
      <c r="W74" s="550">
        <v>0</v>
      </c>
      <c r="X74" s="507"/>
      <c r="Y74" s="359"/>
      <c r="Z74" s="573">
        <v>0</v>
      </c>
      <c r="AA74" s="573">
        <v>0</v>
      </c>
      <c r="AB74" s="33"/>
      <c r="AD74" s="30" t="str">
        <f t="shared" si="13"/>
        <v>·</v>
      </c>
      <c r="AE74" s="31" t="str">
        <f t="shared" si="21"/>
        <v>·</v>
      </c>
      <c r="AF74" s="31" t="str">
        <f t="shared" si="19"/>
        <v>·</v>
      </c>
      <c r="AG74" s="31" t="str">
        <f t="shared" si="22"/>
        <v>·</v>
      </c>
      <c r="AH74" s="87" t="str">
        <f t="shared" si="23"/>
        <v>·</v>
      </c>
      <c r="AI74" s="31" t="str">
        <f t="shared" si="24"/>
        <v>·</v>
      </c>
      <c r="AJ74" s="544"/>
      <c r="AK74" s="503"/>
      <c r="AL74" s="357"/>
      <c r="AM74" s="357"/>
      <c r="AN74" s="550"/>
      <c r="AO74" s="503"/>
      <c r="AP74" s="357"/>
      <c r="AQ74" s="357"/>
      <c r="AR74" s="550"/>
      <c r="AS74" s="507"/>
      <c r="AT74" s="359"/>
      <c r="AU74" s="573">
        <v>0</v>
      </c>
      <c r="AV74" s="573">
        <v>0</v>
      </c>
      <c r="AW74" s="33"/>
      <c r="AY74" s="56" t="e">
        <f t="shared" si="12"/>
        <v>#DIV/0!</v>
      </c>
      <c r="AZ74" s="57" t="e">
        <f t="shared" si="12"/>
        <v>#DIV/0!</v>
      </c>
      <c r="BA74" s="57" t="e">
        <f t="shared" si="20"/>
        <v>#DIV/0!</v>
      </c>
      <c r="BB74" s="58"/>
      <c r="BD74" s="76"/>
      <c r="BE74" s="76"/>
      <c r="BF74" s="76"/>
      <c r="BG74" s="105"/>
      <c r="BI74" s="252"/>
      <c r="BJ74" s="76"/>
      <c r="BK74" s="255"/>
      <c r="BL74" s="258"/>
      <c r="BM74" s="251"/>
      <c r="BN74" s="252"/>
      <c r="BO74" s="76"/>
      <c r="BP74" s="255"/>
      <c r="BQ74" s="258"/>
      <c r="BS74" s="252"/>
      <c r="BT74" s="76"/>
      <c r="BU74" s="255"/>
      <c r="BV74" s="258"/>
      <c r="BX74" s="74"/>
      <c r="BY74" s="75"/>
      <c r="BZ74" s="264"/>
      <c r="CA74" s="105"/>
      <c r="CC74" s="260"/>
      <c r="CD74" s="75"/>
      <c r="CE74" s="262"/>
      <c r="CF74" s="258"/>
    </row>
    <row r="75" spans="1:84" outlineLevel="1">
      <c r="A75" s="13"/>
      <c r="B75" s="14" t="s">
        <v>1121</v>
      </c>
      <c r="C75" s="15" t="s">
        <v>135</v>
      </c>
      <c r="D75" s="479">
        <v>2096385</v>
      </c>
      <c r="E75" s="15">
        <v>15</v>
      </c>
      <c r="F75" s="15">
        <v>1</v>
      </c>
      <c r="G75" s="16"/>
      <c r="H75" s="492"/>
      <c r="I75" s="30" t="str">
        <f t="shared" si="15"/>
        <v>·</v>
      </c>
      <c r="J75" s="31">
        <f t="shared" si="16"/>
        <v>20.213485595441679</v>
      </c>
      <c r="K75" s="31">
        <f t="shared" si="17"/>
        <v>16.30251695180036</v>
      </c>
      <c r="L75" s="31">
        <f t="shared" si="14"/>
        <v>3.9106061148119262</v>
      </c>
      <c r="M75" s="87"/>
      <c r="N75" s="31">
        <f t="shared" si="18"/>
        <v>20.213485595441679</v>
      </c>
      <c r="O75" s="544">
        <v>2096385</v>
      </c>
      <c r="P75" s="503">
        <v>42375248</v>
      </c>
      <c r="Q75" s="357">
        <v>34176352</v>
      </c>
      <c r="R75" s="357">
        <v>8198136</v>
      </c>
      <c r="S75" s="550"/>
      <c r="T75" s="503">
        <v>46.458866</v>
      </c>
      <c r="U75" s="357">
        <v>46.938144999999999</v>
      </c>
      <c r="V75" s="357">
        <v>47.168678</v>
      </c>
      <c r="W75" s="550">
        <v>0</v>
      </c>
      <c r="X75" s="507"/>
      <c r="Y75" s="359"/>
      <c r="Z75" s="573">
        <v>0</v>
      </c>
      <c r="AA75" s="573">
        <v>0</v>
      </c>
      <c r="AB75" s="33"/>
      <c r="AD75" s="30" t="str">
        <f t="shared" si="13"/>
        <v>·</v>
      </c>
      <c r="AE75" s="31" t="str">
        <f t="shared" si="21"/>
        <v>·</v>
      </c>
      <c r="AF75" s="31" t="str">
        <f t="shared" si="19"/>
        <v>·</v>
      </c>
      <c r="AG75" s="31" t="str">
        <f t="shared" si="22"/>
        <v>·</v>
      </c>
      <c r="AH75" s="87" t="str">
        <f t="shared" si="23"/>
        <v>·</v>
      </c>
      <c r="AI75" s="31" t="str">
        <f t="shared" si="24"/>
        <v>·</v>
      </c>
      <c r="AJ75" s="544"/>
      <c r="AK75" s="503"/>
      <c r="AL75" s="357"/>
      <c r="AM75" s="357"/>
      <c r="AN75" s="550"/>
      <c r="AO75" s="503"/>
      <c r="AP75" s="357"/>
      <c r="AQ75" s="357"/>
      <c r="AR75" s="550"/>
      <c r="AS75" s="507"/>
      <c r="AT75" s="359"/>
      <c r="AU75" s="573">
        <v>0</v>
      </c>
      <c r="AV75" s="573">
        <v>0</v>
      </c>
      <c r="AW75" s="33"/>
      <c r="AY75" s="56" t="e">
        <f t="shared" si="12"/>
        <v>#DIV/0!</v>
      </c>
      <c r="AZ75" s="57" t="e">
        <f t="shared" si="12"/>
        <v>#DIV/0!</v>
      </c>
      <c r="BA75" s="57" t="e">
        <f t="shared" si="20"/>
        <v>#DIV/0!</v>
      </c>
      <c r="BB75" s="58"/>
      <c r="BD75" s="76"/>
      <c r="BE75" s="76"/>
      <c r="BF75" s="76"/>
      <c r="BG75" s="105"/>
      <c r="BI75" s="252"/>
      <c r="BJ75" s="76"/>
      <c r="BK75" s="255"/>
      <c r="BL75" s="258"/>
      <c r="BM75" s="251"/>
      <c r="BN75" s="252"/>
      <c r="BO75" s="76"/>
      <c r="BP75" s="255"/>
      <c r="BQ75" s="258"/>
      <c r="BS75" s="252"/>
      <c r="BT75" s="76"/>
      <c r="BU75" s="255"/>
      <c r="BV75" s="258"/>
      <c r="BX75" s="74"/>
      <c r="BY75" s="75"/>
      <c r="BZ75" s="264"/>
      <c r="CA75" s="105"/>
      <c r="CC75" s="260"/>
      <c r="CD75" s="75"/>
      <c r="CE75" s="262"/>
      <c r="CF75" s="258"/>
    </row>
    <row r="76" spans="1:84" ht="14.25" outlineLevel="1" thickBot="1">
      <c r="A76" s="215"/>
      <c r="B76" s="18" t="s">
        <v>1121</v>
      </c>
      <c r="C76" s="19" t="s">
        <v>136</v>
      </c>
      <c r="D76" s="480">
        <v>2096385</v>
      </c>
      <c r="E76" s="19">
        <v>15</v>
      </c>
      <c r="F76" s="19">
        <v>1</v>
      </c>
      <c r="G76" s="20"/>
      <c r="H76" s="492"/>
      <c r="I76" s="34" t="str">
        <f t="shared" si="15"/>
        <v>·</v>
      </c>
      <c r="J76" s="35">
        <f t="shared" si="16"/>
        <v>22.626756058643807</v>
      </c>
      <c r="K76" s="35">
        <f t="shared" si="17"/>
        <v>16.30251695180036</v>
      </c>
      <c r="L76" s="35">
        <f t="shared" si="14"/>
        <v>6.3238765780140573</v>
      </c>
      <c r="M76" s="88"/>
      <c r="N76" s="35">
        <f t="shared" si="18"/>
        <v>22.626756058643807</v>
      </c>
      <c r="O76" s="555">
        <v>2096385</v>
      </c>
      <c r="P76" s="505">
        <v>47434392</v>
      </c>
      <c r="Q76" s="361">
        <v>34176352</v>
      </c>
      <c r="R76" s="361">
        <v>13257280</v>
      </c>
      <c r="S76" s="552"/>
      <c r="T76" s="505">
        <v>50.836174</v>
      </c>
      <c r="U76" s="361">
        <v>51.344379000000004</v>
      </c>
      <c r="V76" s="361">
        <v>51.132396999999997</v>
      </c>
      <c r="W76" s="552">
        <v>0</v>
      </c>
      <c r="X76" s="509"/>
      <c r="Y76" s="363"/>
      <c r="Z76" s="575">
        <v>0</v>
      </c>
      <c r="AA76" s="575">
        <v>0</v>
      </c>
      <c r="AB76" s="37"/>
      <c r="AD76" s="34" t="str">
        <f t="shared" si="13"/>
        <v>·</v>
      </c>
      <c r="AE76" s="35" t="str">
        <f t="shared" si="21"/>
        <v>·</v>
      </c>
      <c r="AF76" s="35" t="str">
        <f t="shared" si="19"/>
        <v>·</v>
      </c>
      <c r="AG76" s="35" t="str">
        <f t="shared" si="22"/>
        <v>·</v>
      </c>
      <c r="AH76" s="88" t="str">
        <f t="shared" si="23"/>
        <v>·</v>
      </c>
      <c r="AI76" s="35" t="str">
        <f t="shared" si="24"/>
        <v>·</v>
      </c>
      <c r="AJ76" s="555"/>
      <c r="AK76" s="505"/>
      <c r="AL76" s="361"/>
      <c r="AM76" s="361"/>
      <c r="AN76" s="552"/>
      <c r="AO76" s="505"/>
      <c r="AP76" s="361"/>
      <c r="AQ76" s="361"/>
      <c r="AR76" s="552"/>
      <c r="AS76" s="509"/>
      <c r="AT76" s="363"/>
      <c r="AU76" s="575">
        <v>0</v>
      </c>
      <c r="AV76" s="575">
        <v>0</v>
      </c>
      <c r="AW76" s="37"/>
      <c r="AY76" s="59" t="e">
        <f t="shared" si="12"/>
        <v>#DIV/0!</v>
      </c>
      <c r="AZ76" s="60" t="e">
        <f t="shared" si="12"/>
        <v>#DIV/0!</v>
      </c>
      <c r="BA76" s="60" t="e">
        <f t="shared" si="20"/>
        <v>#DIV/0!</v>
      </c>
      <c r="BB76" s="61"/>
      <c r="BD76" s="79"/>
      <c r="BE76" s="79"/>
      <c r="BF76" s="79"/>
      <c r="BG76" s="108"/>
      <c r="BI76" s="253"/>
      <c r="BJ76" s="79"/>
      <c r="BK76" s="256"/>
      <c r="BL76" s="259"/>
      <c r="BM76" s="251"/>
      <c r="BN76" s="253"/>
      <c r="BO76" s="79"/>
      <c r="BP76" s="256"/>
      <c r="BQ76" s="259"/>
      <c r="BS76" s="253"/>
      <c r="BT76" s="79"/>
      <c r="BU76" s="256"/>
      <c r="BV76" s="259"/>
      <c r="BX76" s="77"/>
      <c r="BY76" s="78"/>
      <c r="BZ76" s="265"/>
      <c r="CA76" s="108"/>
      <c r="CC76" s="261"/>
      <c r="CD76" s="78"/>
      <c r="CE76" s="263"/>
      <c r="CF76" s="259"/>
    </row>
    <row r="77" spans="1:84">
      <c r="A77" s="13"/>
      <c r="B77" s="27" t="s">
        <v>1122</v>
      </c>
      <c r="C77" s="28" t="s">
        <v>131</v>
      </c>
      <c r="D77" s="489">
        <v>8046105</v>
      </c>
      <c r="E77" s="28">
        <v>15</v>
      </c>
      <c r="F77" s="28">
        <v>1</v>
      </c>
      <c r="G77" s="29"/>
      <c r="I77" s="46" t="str">
        <f t="shared" si="15"/>
        <v>·</v>
      </c>
      <c r="J77" s="47">
        <f t="shared" si="16"/>
        <v>8.4261699294254804</v>
      </c>
      <c r="K77" s="47">
        <f t="shared" si="17"/>
        <v>7.3923609000876818</v>
      </c>
      <c r="L77" s="47">
        <f t="shared" si="14"/>
        <v>1.0337145736974598</v>
      </c>
      <c r="M77" s="92"/>
      <c r="N77" s="47">
        <f t="shared" si="18"/>
        <v>8.4261699294254804</v>
      </c>
      <c r="O77" s="554">
        <v>8046105</v>
      </c>
      <c r="P77" s="502">
        <v>67797848</v>
      </c>
      <c r="Q77" s="353">
        <v>59479712</v>
      </c>
      <c r="R77" s="353">
        <v>8317376</v>
      </c>
      <c r="S77" s="549"/>
      <c r="T77" s="502">
        <v>23.336957999999999</v>
      </c>
      <c r="U77" s="353">
        <v>25.382286000000001</v>
      </c>
      <c r="V77" s="353">
        <v>25.224031</v>
      </c>
      <c r="W77" s="549">
        <v>0</v>
      </c>
      <c r="X77" s="506"/>
      <c r="Y77" s="355"/>
      <c r="Z77" s="572">
        <v>0</v>
      </c>
      <c r="AA77" s="572">
        <v>0</v>
      </c>
      <c r="AB77" s="49"/>
      <c r="AD77" s="46" t="str">
        <f t="shared" si="13"/>
        <v>·</v>
      </c>
      <c r="AE77" s="47" t="str">
        <f t="shared" si="21"/>
        <v>·</v>
      </c>
      <c r="AF77" s="47" t="str">
        <f t="shared" si="19"/>
        <v>·</v>
      </c>
      <c r="AG77" s="47" t="str">
        <f t="shared" si="22"/>
        <v>·</v>
      </c>
      <c r="AH77" s="92" t="str">
        <f t="shared" si="23"/>
        <v>·</v>
      </c>
      <c r="AI77" s="47" t="str">
        <f t="shared" si="24"/>
        <v>·</v>
      </c>
      <c r="AJ77" s="554"/>
      <c r="AK77" s="502"/>
      <c r="AL77" s="353"/>
      <c r="AM77" s="353"/>
      <c r="AN77" s="549"/>
      <c r="AO77" s="502"/>
      <c r="AP77" s="353"/>
      <c r="AQ77" s="353"/>
      <c r="AR77" s="549"/>
      <c r="AS77" s="506"/>
      <c r="AT77" s="355"/>
      <c r="AU77" s="572">
        <v>0</v>
      </c>
      <c r="AV77" s="572">
        <v>0</v>
      </c>
      <c r="AW77" s="49"/>
      <c r="AY77" s="68" t="e">
        <f t="shared" si="12"/>
        <v>#DIV/0!</v>
      </c>
      <c r="AZ77" s="69" t="e">
        <f t="shared" si="12"/>
        <v>#DIV/0!</v>
      </c>
      <c r="BA77" s="69" t="e">
        <f t="shared" si="20"/>
        <v>#DIV/0!</v>
      </c>
      <c r="BB77" s="70" t="e">
        <f t="array" ref="BB77">AVERAGE(AL77:AL82/AK77:AK82) - AVERAGE(Q77:Q82/P77:P82)</f>
        <v>#DIV/0!</v>
      </c>
      <c r="BD77" s="86" t="str">
        <f>IF( OR(ISBLANK($R77:$R82),ISBLANK($AM77:$AM82), ISBLANK(T77:T82),ISBLANK(AO77:AO82)), "·", bdRateHermite( $R77:$R82,$T77:$T82, $AM77:$AM82,$AO77:$AO82))</f>
        <v>·</v>
      </c>
      <c r="BE77" s="86" t="str">
        <f>IF( OR(ISBLANK($R77:$R82),ISBLANK($AM77:$AM82), ISBLANK(U77:U82),ISBLANK(AP77:AP82)), "·", bdRateHermite( $R77:$R82,$U77:$U82, $AM77:$AM82,$AP77:$AP82))</f>
        <v>·</v>
      </c>
      <c r="BF77" s="86" t="str">
        <f>IF( OR(ISBLANK($R77:$R82),ISBLANK($AM77:$AM82), ISBLANK(V77:V82),ISBLANK(AQ77:AQ82)), "·", bdRateHermite( $R77:$R82,$V77:$V82, $AM77:$AM82,$AQ77:$AQ82))</f>
        <v>·</v>
      </c>
      <c r="BG77" s="103"/>
      <c r="BI77" s="250" t="str">
        <f>IF(OR(ISBLANK($P77:$P82),ISBLANK($AK77:$AK82),ISBLANK(T77:T82),ISBLANK(AO77:AO82)),"·",bdRateHermite($P77:$P82,$T77:$T82,$AK77:$AK82,$AO77:$AO82))</f>
        <v>·</v>
      </c>
      <c r="BJ77" s="85" t="str">
        <f>IF(OR(ISBLANK($P77:$P82),ISBLANK($AK77:$AK82),ISBLANK(U77:U82),ISBLANK(AP77:AP82)),"·",bdRateHermite($P77:$P82,$U77:$U82,$AK77:$AK82,$AP77:$AP82))</f>
        <v>·</v>
      </c>
      <c r="BK77" s="254" t="str">
        <f>IF(OR(ISBLANK($P77:$P82),ISBLANK($AK77:$AK82),ISBLANK(V77:V82),ISBLANK(AQ77:AQ82)),"·",bdRateHermite($P77:$P82,$V77:$V82,$AK77:$AK82,$AQ77:$AQ82))</f>
        <v>·</v>
      </c>
      <c r="BL77" s="257"/>
      <c r="BM77" s="251"/>
      <c r="BN77" s="86" t="str">
        <f>IF( OR(ISBLANK($R77:$R82),ISBLANK($AM77:$AM82), ISBLANK(T77:T82),ISBLANK(AO77:AO82)), "·", bdRateHermite( $R78:$R82,$T78:$T82, $AM78:$AM82,$AO78:$AO82))</f>
        <v>·</v>
      </c>
      <c r="BO77" s="86" t="str">
        <f>IF( OR(ISBLANK($R77:$R82),ISBLANK($AM77:$AM82), ISBLANK(U77:U82),ISBLANK(AP77:AP82)), "·", bdRateHermite( $R78:$R82,$U78:$U82, $AM78:$AM82,$AP78:$AP82))</f>
        <v>·</v>
      </c>
      <c r="BP77" s="86" t="str">
        <f>IF( OR(ISBLANK($R77:$R82),ISBLANK($AM77:$AM82), ISBLANK(V77:V82),ISBLANK(AQ77:AQ82)), "·", bdRateHermite( $R78:$R82,$V78:$V82, $AM78:$AM82,$AQ78:$AQ82))</f>
        <v>·</v>
      </c>
      <c r="BQ77" s="103"/>
      <c r="BS77" s="250" t="str">
        <f>IF(OR(ISBLANK($P77:$P82),ISBLANK($AK77:$AK82),ISBLANK(T77:T82),ISBLANK(AO77:AO82)),"·",bdRateHermite($P78:$P82,$T78:$T82,$AK78:$AK82,$AO78:$AO82))</f>
        <v>·</v>
      </c>
      <c r="BT77" s="85" t="str">
        <f>IF(OR(ISBLANK($P77:$P82),ISBLANK($AK77:$AK82),ISBLANK(U77:U82),ISBLANK(AP77:AP82)),"·",bdRateHermite($P78:$P82,$U78:$U82,$AK78:$AK82,$AP78:$AP82))</f>
        <v>·</v>
      </c>
      <c r="BU77" s="254" t="str">
        <f>IF(OR(ISBLANK($P77:$P82),ISBLANK($AK77:$AK82),ISBLANK(V77:V82),ISBLANK(AQ77:AQ82)),"·",bdRateHermite($P78:$P82,$V78:$V82,$AK78:$AK82,$AQ78:$AQ82))</f>
        <v>·</v>
      </c>
      <c r="BV77" s="257"/>
      <c r="BX77" s="86" t="str">
        <f>IF( OR(ISBLANK($R77:$R82),ISBLANK($AM77:$AM82), ISBLANK(T77:T82),ISBLANK(AO77:AO82)), "·", bdRateHermite( $R77:$R81,$T77:$T81, $AM77:$AM81,$AO77:$AO81))</f>
        <v>·</v>
      </c>
      <c r="BY77" s="86" t="str">
        <f>IF( OR(ISBLANK($R77:$R82),ISBLANK($AM77:$AM82), ISBLANK(U77:U82),ISBLANK(AP77:AP82)), "·", bdRateHermite( $R77:$R81,$U77:$U81, $AM77:$AM81,$AP77:$AP81))</f>
        <v>·</v>
      </c>
      <c r="BZ77" s="86" t="str">
        <f>IF( OR(ISBLANK($R77:$R82),ISBLANK($AM77:$AM82), ISBLANK(V77:V82),ISBLANK(AQ77:AQ82)), "·", bdRateHermite( $R77:$R81,$V77:$V81, $AM77:$AM81,$AQ77:$AQ81))</f>
        <v>·</v>
      </c>
      <c r="CA77" s="103"/>
      <c r="CC77" s="250" t="str">
        <f>IF(OR(ISBLANK($P77:$P82),ISBLANK($AK77:$AK82),ISBLANK(T77:T82),ISBLANK(AO77:AO82)),"·",bdRateHermite($P77:$P81,$T77:$T81,$AK77:$AK81,$AO77:$AO81))</f>
        <v>·</v>
      </c>
      <c r="CD77" s="85" t="str">
        <f>IF(OR(ISBLANK($P77:$P82),ISBLANK($AK77:$AK82),ISBLANK(U77:U82),ISBLANK(AP77:AP82)),"·",bdRateHermite($P77:$P81,$U77:$U81,$AK77:$AK81,$AP77:$AP81))</f>
        <v>·</v>
      </c>
      <c r="CE77" s="254" t="str">
        <f>IF(OR(ISBLANK($P77:$P82),ISBLANK($AK77:$AK82),ISBLANK(V77:V82),ISBLANK(AQ77:AQ82)),"·",bdRateHermite($P77:$P81,$V77:$V81,$AK77:$AK81,$AQ77:$AQ81))</f>
        <v>·</v>
      </c>
      <c r="CF77" s="257"/>
    </row>
    <row r="78" spans="1:84" outlineLevel="1">
      <c r="A78" s="13"/>
      <c r="B78" s="14" t="s">
        <v>1122</v>
      </c>
      <c r="C78" s="15" t="s">
        <v>132</v>
      </c>
      <c r="D78" s="490">
        <v>8046105</v>
      </c>
      <c r="E78" s="15">
        <v>15</v>
      </c>
      <c r="F78" s="15">
        <v>1</v>
      </c>
      <c r="G78" s="16"/>
      <c r="I78" s="30" t="str">
        <f t="shared" si="15"/>
        <v>·</v>
      </c>
      <c r="J78" s="31">
        <f t="shared" si="16"/>
        <v>9.457844261291644</v>
      </c>
      <c r="K78" s="31">
        <f t="shared" si="17"/>
        <v>7.3923609000876818</v>
      </c>
      <c r="L78" s="31">
        <f t="shared" si="14"/>
        <v>2.0653889055636236</v>
      </c>
      <c r="M78" s="87"/>
      <c r="N78" s="31">
        <f t="shared" si="18"/>
        <v>9.457844261291644</v>
      </c>
      <c r="O78" s="544">
        <v>8046105</v>
      </c>
      <c r="P78" s="503">
        <v>76098808</v>
      </c>
      <c r="Q78" s="357">
        <v>59479712</v>
      </c>
      <c r="R78" s="357">
        <v>16618336</v>
      </c>
      <c r="S78" s="550"/>
      <c r="T78" s="503">
        <v>28.954246999999999</v>
      </c>
      <c r="U78" s="357">
        <v>30.249725000000002</v>
      </c>
      <c r="V78" s="357">
        <v>30.788226999999999</v>
      </c>
      <c r="W78" s="550">
        <v>0</v>
      </c>
      <c r="X78" s="507"/>
      <c r="Y78" s="359"/>
      <c r="Z78" s="573">
        <v>0</v>
      </c>
      <c r="AA78" s="573">
        <v>0</v>
      </c>
      <c r="AB78" s="33"/>
      <c r="AD78" s="30" t="str">
        <f t="shared" si="13"/>
        <v>·</v>
      </c>
      <c r="AE78" s="31" t="str">
        <f t="shared" si="21"/>
        <v>·</v>
      </c>
      <c r="AF78" s="31" t="str">
        <f t="shared" si="19"/>
        <v>·</v>
      </c>
      <c r="AG78" s="31" t="str">
        <f t="shared" si="22"/>
        <v>·</v>
      </c>
      <c r="AH78" s="87" t="str">
        <f t="shared" si="23"/>
        <v>·</v>
      </c>
      <c r="AI78" s="31" t="str">
        <f t="shared" si="24"/>
        <v>·</v>
      </c>
      <c r="AJ78" s="544"/>
      <c r="AK78" s="503"/>
      <c r="AL78" s="357"/>
      <c r="AM78" s="357"/>
      <c r="AN78" s="550"/>
      <c r="AO78" s="503"/>
      <c r="AP78" s="357"/>
      <c r="AQ78" s="357"/>
      <c r="AR78" s="550"/>
      <c r="AS78" s="507"/>
      <c r="AT78" s="359"/>
      <c r="AU78" s="573">
        <v>0</v>
      </c>
      <c r="AV78" s="573">
        <v>0</v>
      </c>
      <c r="AW78" s="33"/>
      <c r="AY78" s="56" t="e">
        <f t="shared" si="12"/>
        <v>#DIV/0!</v>
      </c>
      <c r="AZ78" s="57" t="e">
        <f t="shared" si="12"/>
        <v>#DIV/0!</v>
      </c>
      <c r="BA78" s="57" t="e">
        <f t="shared" si="20"/>
        <v>#DIV/0!</v>
      </c>
      <c r="BB78" s="58"/>
      <c r="BD78" s="76"/>
      <c r="BE78" s="76"/>
      <c r="BF78" s="76"/>
      <c r="BG78" s="105"/>
      <c r="BI78" s="252"/>
      <c r="BJ78" s="76"/>
      <c r="BK78" s="255"/>
      <c r="BL78" s="258"/>
      <c r="BM78" s="251"/>
      <c r="BN78" s="252"/>
      <c r="BO78" s="76"/>
      <c r="BP78" s="255"/>
      <c r="BQ78" s="258"/>
      <c r="BS78" s="252"/>
      <c r="BT78" s="76"/>
      <c r="BU78" s="255"/>
      <c r="BV78" s="258"/>
      <c r="BX78" s="74"/>
      <c r="BY78" s="75"/>
      <c r="BZ78" s="264"/>
      <c r="CA78" s="105"/>
      <c r="CC78" s="260"/>
      <c r="CD78" s="75"/>
      <c r="CE78" s="262"/>
      <c r="CF78" s="258"/>
    </row>
    <row r="79" spans="1:84" outlineLevel="1">
      <c r="A79" s="13"/>
      <c r="B79" s="14" t="s">
        <v>1122</v>
      </c>
      <c r="C79" s="15" t="s">
        <v>133</v>
      </c>
      <c r="D79" s="490">
        <v>8046105</v>
      </c>
      <c r="E79" s="15">
        <v>15</v>
      </c>
      <c r="F79" s="15">
        <v>1</v>
      </c>
      <c r="G79" s="16"/>
      <c r="I79" s="30" t="str">
        <f t="shared" si="15"/>
        <v>·</v>
      </c>
      <c r="J79" s="31">
        <f t="shared" si="16"/>
        <v>11.148044426464731</v>
      </c>
      <c r="K79" s="31">
        <f t="shared" si="17"/>
        <v>7.3923609000876818</v>
      </c>
      <c r="L79" s="31">
        <f t="shared" si="14"/>
        <v>3.7555890707367103</v>
      </c>
      <c r="M79" s="87"/>
      <c r="N79" s="31">
        <f t="shared" si="18"/>
        <v>11.148044426464731</v>
      </c>
      <c r="O79" s="544">
        <v>8046105</v>
      </c>
      <c r="P79" s="503">
        <v>89698336</v>
      </c>
      <c r="Q79" s="357">
        <v>59479712</v>
      </c>
      <c r="R79" s="357">
        <v>30217864</v>
      </c>
      <c r="S79" s="550"/>
      <c r="T79" s="503">
        <v>34.862468999999997</v>
      </c>
      <c r="U79" s="357">
        <v>35.519534999999998</v>
      </c>
      <c r="V79" s="357">
        <v>35.749400999999999</v>
      </c>
      <c r="W79" s="550">
        <v>0</v>
      </c>
      <c r="X79" s="507"/>
      <c r="Y79" s="359"/>
      <c r="Z79" s="573">
        <v>0</v>
      </c>
      <c r="AA79" s="573">
        <v>0</v>
      </c>
      <c r="AB79" s="33"/>
      <c r="AD79" s="30" t="str">
        <f t="shared" si="13"/>
        <v>·</v>
      </c>
      <c r="AE79" s="31" t="str">
        <f t="shared" si="21"/>
        <v>·</v>
      </c>
      <c r="AF79" s="31" t="str">
        <f t="shared" si="19"/>
        <v>·</v>
      </c>
      <c r="AG79" s="31" t="str">
        <f t="shared" si="22"/>
        <v>·</v>
      </c>
      <c r="AH79" s="87" t="str">
        <f t="shared" si="23"/>
        <v>·</v>
      </c>
      <c r="AI79" s="31" t="str">
        <f t="shared" si="24"/>
        <v>·</v>
      </c>
      <c r="AJ79" s="544"/>
      <c r="AK79" s="503"/>
      <c r="AL79" s="357"/>
      <c r="AM79" s="357"/>
      <c r="AN79" s="550"/>
      <c r="AO79" s="503"/>
      <c r="AP79" s="357"/>
      <c r="AQ79" s="357"/>
      <c r="AR79" s="550"/>
      <c r="AS79" s="507"/>
      <c r="AT79" s="359"/>
      <c r="AU79" s="573">
        <v>0</v>
      </c>
      <c r="AV79" s="573">
        <v>0</v>
      </c>
      <c r="AW79" s="33"/>
      <c r="AY79" s="56" t="e">
        <f t="shared" si="12"/>
        <v>#DIV/0!</v>
      </c>
      <c r="AZ79" s="57" t="e">
        <f t="shared" si="12"/>
        <v>#DIV/0!</v>
      </c>
      <c r="BA79" s="57" t="e">
        <f t="shared" si="20"/>
        <v>#DIV/0!</v>
      </c>
      <c r="BB79" s="58"/>
      <c r="BD79" s="76"/>
      <c r="BE79" s="76"/>
      <c r="BF79" s="76"/>
      <c r="BG79" s="105"/>
      <c r="BI79" s="252"/>
      <c r="BJ79" s="76"/>
      <c r="BK79" s="255"/>
      <c r="BL79" s="258"/>
      <c r="BM79" s="251"/>
      <c r="BN79" s="252"/>
      <c r="BO79" s="76"/>
      <c r="BP79" s="255"/>
      <c r="BQ79" s="258"/>
      <c r="BS79" s="252"/>
      <c r="BT79" s="76"/>
      <c r="BU79" s="255"/>
      <c r="BV79" s="258"/>
      <c r="BX79" s="74"/>
      <c r="BY79" s="75"/>
      <c r="BZ79" s="264"/>
      <c r="CA79" s="105"/>
      <c r="CC79" s="260"/>
      <c r="CD79" s="75"/>
      <c r="CE79" s="262"/>
      <c r="CF79" s="258"/>
    </row>
    <row r="80" spans="1:84" outlineLevel="1">
      <c r="A80" s="13"/>
      <c r="B80" s="14" t="s">
        <v>1122</v>
      </c>
      <c r="C80" s="15" t="s">
        <v>134</v>
      </c>
      <c r="D80" s="490">
        <v>8046105</v>
      </c>
      <c r="E80" s="15">
        <v>15</v>
      </c>
      <c r="F80" s="15">
        <v>1</v>
      </c>
      <c r="G80" s="16"/>
      <c r="I80" s="30" t="str">
        <f t="shared" si="15"/>
        <v>·</v>
      </c>
      <c r="J80" s="31">
        <f t="shared" si="16"/>
        <v>13.524125772656459</v>
      </c>
      <c r="K80" s="31">
        <f t="shared" si="17"/>
        <v>7.3923609000876818</v>
      </c>
      <c r="L80" s="31">
        <f t="shared" si="14"/>
        <v>6.1316704169284391</v>
      </c>
      <c r="M80" s="87"/>
      <c r="N80" s="31">
        <f t="shared" si="18"/>
        <v>13.524125772656459</v>
      </c>
      <c r="O80" s="544">
        <v>8046105</v>
      </c>
      <c r="P80" s="503">
        <v>108816536</v>
      </c>
      <c r="Q80" s="357">
        <v>59479712</v>
      </c>
      <c r="R80" s="357">
        <v>49336064</v>
      </c>
      <c r="S80" s="550"/>
      <c r="T80" s="503">
        <v>40.748184000000002</v>
      </c>
      <c r="U80" s="357">
        <v>40.903053</v>
      </c>
      <c r="V80" s="357">
        <v>40.903694000000002</v>
      </c>
      <c r="W80" s="550">
        <v>0</v>
      </c>
      <c r="X80" s="507"/>
      <c r="Y80" s="359"/>
      <c r="Z80" s="573">
        <v>0</v>
      </c>
      <c r="AA80" s="573">
        <v>0</v>
      </c>
      <c r="AB80" s="33"/>
      <c r="AD80" s="30" t="str">
        <f t="shared" si="13"/>
        <v>·</v>
      </c>
      <c r="AE80" s="31" t="str">
        <f t="shared" si="21"/>
        <v>·</v>
      </c>
      <c r="AF80" s="31" t="str">
        <f t="shared" si="19"/>
        <v>·</v>
      </c>
      <c r="AG80" s="31" t="str">
        <f t="shared" si="22"/>
        <v>·</v>
      </c>
      <c r="AH80" s="87" t="str">
        <f t="shared" si="23"/>
        <v>·</v>
      </c>
      <c r="AI80" s="31" t="str">
        <f t="shared" si="24"/>
        <v>·</v>
      </c>
      <c r="AJ80" s="544"/>
      <c r="AK80" s="503"/>
      <c r="AL80" s="357"/>
      <c r="AM80" s="357"/>
      <c r="AN80" s="550"/>
      <c r="AO80" s="503"/>
      <c r="AP80" s="357"/>
      <c r="AQ80" s="357"/>
      <c r="AR80" s="550"/>
      <c r="AS80" s="507"/>
      <c r="AT80" s="359"/>
      <c r="AU80" s="573">
        <v>0</v>
      </c>
      <c r="AV80" s="573">
        <v>0</v>
      </c>
      <c r="AW80" s="33"/>
      <c r="AY80" s="56" t="e">
        <f t="shared" si="12"/>
        <v>#DIV/0!</v>
      </c>
      <c r="AZ80" s="57" t="e">
        <f t="shared" si="12"/>
        <v>#DIV/0!</v>
      </c>
      <c r="BA80" s="57" t="e">
        <f t="shared" si="20"/>
        <v>#DIV/0!</v>
      </c>
      <c r="BB80" s="58"/>
      <c r="BD80" s="76"/>
      <c r="BE80" s="76"/>
      <c r="BF80" s="76"/>
      <c r="BG80" s="105"/>
      <c r="BI80" s="252"/>
      <c r="BJ80" s="76"/>
      <c r="BK80" s="255"/>
      <c r="BL80" s="258"/>
      <c r="BM80" s="251"/>
      <c r="BN80" s="252"/>
      <c r="BO80" s="76"/>
      <c r="BP80" s="255"/>
      <c r="BQ80" s="258"/>
      <c r="BS80" s="252"/>
      <c r="BT80" s="76"/>
      <c r="BU80" s="255"/>
      <c r="BV80" s="258"/>
      <c r="BX80" s="74"/>
      <c r="BY80" s="75"/>
      <c r="BZ80" s="264"/>
      <c r="CA80" s="105"/>
      <c r="CC80" s="260"/>
      <c r="CD80" s="75"/>
      <c r="CE80" s="262"/>
      <c r="CF80" s="258"/>
    </row>
    <row r="81" spans="1:84" outlineLevel="1">
      <c r="A81" s="13"/>
      <c r="B81" s="14" t="s">
        <v>1122</v>
      </c>
      <c r="C81" s="15" t="s">
        <v>135</v>
      </c>
      <c r="D81" s="490">
        <v>8046105</v>
      </c>
      <c r="E81" s="15">
        <v>15</v>
      </c>
      <c r="F81" s="15">
        <v>1</v>
      </c>
      <c r="G81" s="16"/>
      <c r="I81" s="30" t="str">
        <f t="shared" si="15"/>
        <v>·</v>
      </c>
      <c r="J81" s="31">
        <f t="shared" si="16"/>
        <v>16.29063702250965</v>
      </c>
      <c r="K81" s="31">
        <f t="shared" si="17"/>
        <v>7.3923609000876818</v>
      </c>
      <c r="L81" s="31">
        <f t="shared" si="14"/>
        <v>8.8981816667816283</v>
      </c>
      <c r="M81" s="87"/>
      <c r="N81" s="31">
        <f t="shared" si="18"/>
        <v>16.29063702250965</v>
      </c>
      <c r="O81" s="544">
        <v>8046105</v>
      </c>
      <c r="P81" s="503">
        <v>131076176</v>
      </c>
      <c r="Q81" s="357">
        <v>59479712</v>
      </c>
      <c r="R81" s="357">
        <v>71595704</v>
      </c>
      <c r="S81" s="550"/>
      <c r="T81" s="503">
        <v>46.387348000000003</v>
      </c>
      <c r="U81" s="357">
        <v>46.389740000000003</v>
      </c>
      <c r="V81" s="357">
        <v>46.410888999999997</v>
      </c>
      <c r="W81" s="550">
        <v>0</v>
      </c>
      <c r="X81" s="507"/>
      <c r="Y81" s="359"/>
      <c r="Z81" s="573">
        <v>0</v>
      </c>
      <c r="AA81" s="573">
        <v>0</v>
      </c>
      <c r="AB81" s="33"/>
      <c r="AD81" s="30" t="str">
        <f t="shared" si="13"/>
        <v>·</v>
      </c>
      <c r="AE81" s="31" t="str">
        <f t="shared" si="21"/>
        <v>·</v>
      </c>
      <c r="AF81" s="31" t="str">
        <f t="shared" si="19"/>
        <v>·</v>
      </c>
      <c r="AG81" s="31" t="str">
        <f t="shared" si="22"/>
        <v>·</v>
      </c>
      <c r="AH81" s="87" t="str">
        <f t="shared" si="23"/>
        <v>·</v>
      </c>
      <c r="AI81" s="31" t="str">
        <f t="shared" si="24"/>
        <v>·</v>
      </c>
      <c r="AJ81" s="544"/>
      <c r="AK81" s="503"/>
      <c r="AL81" s="357"/>
      <c r="AM81" s="357"/>
      <c r="AN81" s="550"/>
      <c r="AO81" s="503"/>
      <c r="AP81" s="357"/>
      <c r="AQ81" s="357"/>
      <c r="AR81" s="550"/>
      <c r="AS81" s="507"/>
      <c r="AT81" s="359"/>
      <c r="AU81" s="573">
        <v>0</v>
      </c>
      <c r="AV81" s="573">
        <v>0</v>
      </c>
      <c r="AW81" s="33"/>
      <c r="AY81" s="56" t="e">
        <f t="shared" ref="AY81:AZ96" si="25">AU81/Z81</f>
        <v>#DIV/0!</v>
      </c>
      <c r="AZ81" s="57" t="e">
        <f t="shared" si="25"/>
        <v>#DIV/0!</v>
      </c>
      <c r="BA81" s="57" t="e">
        <f t="shared" si="20"/>
        <v>#DIV/0!</v>
      </c>
      <c r="BB81" s="58"/>
      <c r="BD81" s="76"/>
      <c r="BE81" s="76"/>
      <c r="BF81" s="76"/>
      <c r="BG81" s="105"/>
      <c r="BI81" s="252"/>
      <c r="BJ81" s="76"/>
      <c r="BK81" s="255"/>
      <c r="BL81" s="258"/>
      <c r="BM81" s="251"/>
      <c r="BN81" s="252"/>
      <c r="BO81" s="76"/>
      <c r="BP81" s="255"/>
      <c r="BQ81" s="258"/>
      <c r="BS81" s="252"/>
      <c r="BT81" s="76"/>
      <c r="BU81" s="255"/>
      <c r="BV81" s="258"/>
      <c r="BX81" s="74"/>
      <c r="BY81" s="75"/>
      <c r="BZ81" s="264"/>
      <c r="CA81" s="105"/>
      <c r="CC81" s="260"/>
      <c r="CD81" s="75"/>
      <c r="CE81" s="262"/>
      <c r="CF81" s="258"/>
    </row>
    <row r="82" spans="1:84" ht="14.25" outlineLevel="1" thickBot="1">
      <c r="A82" s="17"/>
      <c r="B82" s="18" t="s">
        <v>1122</v>
      </c>
      <c r="C82" s="19" t="s">
        <v>136</v>
      </c>
      <c r="D82" s="491">
        <v>8046105</v>
      </c>
      <c r="E82" s="19">
        <v>15</v>
      </c>
      <c r="F82" s="19">
        <v>1</v>
      </c>
      <c r="G82" s="20"/>
      <c r="I82" s="34" t="str">
        <f t="shared" si="15"/>
        <v>·</v>
      </c>
      <c r="J82" s="35">
        <f t="shared" si="16"/>
        <v>19.407112385433699</v>
      </c>
      <c r="K82" s="35">
        <f t="shared" si="17"/>
        <v>7.3923609000876818</v>
      </c>
      <c r="L82" s="35">
        <f t="shared" si="14"/>
        <v>12.014658023975576</v>
      </c>
      <c r="M82" s="88"/>
      <c r="N82" s="35">
        <f t="shared" si="18"/>
        <v>19.407112385433699</v>
      </c>
      <c r="O82" s="555">
        <v>8046105</v>
      </c>
      <c r="P82" s="505">
        <v>156151664</v>
      </c>
      <c r="Q82" s="361">
        <v>59479712</v>
      </c>
      <c r="R82" s="361">
        <v>96671200</v>
      </c>
      <c r="S82" s="551"/>
      <c r="T82" s="505">
        <v>51.157119999999999</v>
      </c>
      <c r="U82" s="361">
        <v>51.127426</v>
      </c>
      <c r="V82" s="361">
        <v>51.157265000000002</v>
      </c>
      <c r="W82" s="551">
        <v>0</v>
      </c>
      <c r="X82" s="509"/>
      <c r="Y82" s="363"/>
      <c r="Z82" s="575">
        <v>0</v>
      </c>
      <c r="AA82" s="575">
        <v>0</v>
      </c>
      <c r="AB82" s="37"/>
      <c r="AD82" s="34" t="str">
        <f t="shared" si="13"/>
        <v>·</v>
      </c>
      <c r="AE82" s="35" t="str">
        <f t="shared" si="21"/>
        <v>·</v>
      </c>
      <c r="AF82" s="35" t="str">
        <f t="shared" si="19"/>
        <v>·</v>
      </c>
      <c r="AG82" s="35" t="str">
        <f t="shared" si="22"/>
        <v>·</v>
      </c>
      <c r="AH82" s="88" t="str">
        <f t="shared" si="23"/>
        <v>·</v>
      </c>
      <c r="AI82" s="35" t="str">
        <f t="shared" si="24"/>
        <v>·</v>
      </c>
      <c r="AJ82" s="555"/>
      <c r="AK82" s="505"/>
      <c r="AL82" s="361"/>
      <c r="AM82" s="361"/>
      <c r="AN82" s="551"/>
      <c r="AO82" s="505"/>
      <c r="AP82" s="361"/>
      <c r="AQ82" s="361"/>
      <c r="AR82" s="551"/>
      <c r="AS82" s="509"/>
      <c r="AT82" s="363"/>
      <c r="AU82" s="575">
        <v>0</v>
      </c>
      <c r="AV82" s="575">
        <v>0</v>
      </c>
      <c r="AW82" s="37"/>
      <c r="AY82" s="59" t="e">
        <f t="shared" si="25"/>
        <v>#DIV/0!</v>
      </c>
      <c r="AZ82" s="60" t="e">
        <f t="shared" si="25"/>
        <v>#DIV/0!</v>
      </c>
      <c r="BA82" s="60" t="e">
        <f t="shared" si="20"/>
        <v>#DIV/0!</v>
      </c>
      <c r="BB82" s="61"/>
      <c r="BD82" s="79"/>
      <c r="BE82" s="79"/>
      <c r="BF82" s="79"/>
      <c r="BG82" s="108"/>
      <c r="BI82" s="253"/>
      <c r="BJ82" s="79"/>
      <c r="BK82" s="256"/>
      <c r="BL82" s="259"/>
      <c r="BM82" s="251"/>
      <c r="BN82" s="253"/>
      <c r="BO82" s="79"/>
      <c r="BP82" s="256"/>
      <c r="BQ82" s="259"/>
      <c r="BS82" s="253"/>
      <c r="BT82" s="79"/>
      <c r="BU82" s="256"/>
      <c r="BV82" s="259"/>
      <c r="BX82" s="77"/>
      <c r="BY82" s="78"/>
      <c r="BZ82" s="265"/>
      <c r="CA82" s="108"/>
      <c r="CC82" s="261"/>
      <c r="CD82" s="78"/>
      <c r="CE82" s="263"/>
      <c r="CF82" s="259"/>
    </row>
    <row r="83" spans="1:84">
      <c r="A83" s="96" t="s">
        <v>178</v>
      </c>
      <c r="B83" s="24" t="s">
        <v>466</v>
      </c>
      <c r="C83" s="25" t="s">
        <v>131</v>
      </c>
      <c r="D83" s="24">
        <f>'AVSC1 limit-lossyG,lossyA,intra'!$D$83</f>
        <v>59931072</v>
      </c>
      <c r="E83" s="25">
        <v>18</v>
      </c>
      <c r="F83" s="25">
        <f>'AVSC1 limit-lossyG,lossyA,intra'!$F$83</f>
        <v>600</v>
      </c>
      <c r="G83" s="26">
        <v>10</v>
      </c>
      <c r="I83" s="46">
        <f t="shared" si="15"/>
        <v>19.031781600000002</v>
      </c>
      <c r="J83" s="47">
        <f t="shared" si="16"/>
        <v>19.053670456620566</v>
      </c>
      <c r="K83" s="47">
        <f t="shared" si="17"/>
        <v>18.604441182029916</v>
      </c>
      <c r="L83" s="92"/>
      <c r="M83" s="47">
        <f t="shared" ref="M83:M112" si="26">IF(ISBLANK(Q83),"·",S83/D83)</f>
        <v>0.44178418834223421</v>
      </c>
      <c r="N83" s="47">
        <f t="shared" si="18"/>
        <v>19.053670456620566</v>
      </c>
      <c r="O83" s="520">
        <v>59931072</v>
      </c>
      <c r="P83" s="502">
        <v>1141906896</v>
      </c>
      <c r="Q83" s="353">
        <v>1114984104</v>
      </c>
      <c r="R83" s="92"/>
      <c r="S83" s="546">
        <v>26476600</v>
      </c>
      <c r="T83" s="266"/>
      <c r="U83" s="104"/>
      <c r="V83" s="104"/>
      <c r="W83" s="514">
        <v>72.472335999999999</v>
      </c>
      <c r="X83" s="506"/>
      <c r="Y83" s="355"/>
      <c r="Z83" s="572">
        <v>0</v>
      </c>
      <c r="AA83" s="572">
        <v>0</v>
      </c>
      <c r="AB83" s="49"/>
      <c r="AD83" s="46" t="str">
        <f t="shared" si="13"/>
        <v>·</v>
      </c>
      <c r="AE83" s="47" t="str">
        <f t="shared" si="21"/>
        <v>·</v>
      </c>
      <c r="AF83" s="47" t="str">
        <f t="shared" si="19"/>
        <v>·</v>
      </c>
      <c r="AG83" s="92" t="str">
        <f t="shared" si="22"/>
        <v>·</v>
      </c>
      <c r="AH83" s="47" t="str">
        <f t="shared" si="23"/>
        <v>·</v>
      </c>
      <c r="AI83" s="47" t="str">
        <f t="shared" si="24"/>
        <v>·</v>
      </c>
      <c r="AJ83" s="520"/>
      <c r="AK83" s="502"/>
      <c r="AL83" s="353"/>
      <c r="AM83" s="92"/>
      <c r="AN83" s="546"/>
      <c r="AO83" s="266"/>
      <c r="AP83" s="104"/>
      <c r="AQ83" s="104"/>
      <c r="AR83" s="514"/>
      <c r="AS83" s="506"/>
      <c r="AT83" s="355"/>
      <c r="AU83" s="572">
        <v>0</v>
      </c>
      <c r="AV83" s="572">
        <v>0</v>
      </c>
      <c r="AW83" s="49"/>
      <c r="AY83" s="68" t="e">
        <f t="shared" si="25"/>
        <v>#DIV/0!</v>
      </c>
      <c r="AZ83" s="69" t="e">
        <f t="shared" si="25"/>
        <v>#DIV/0!</v>
      </c>
      <c r="BA83" s="69" t="e">
        <f t="shared" si="20"/>
        <v>#DIV/0!</v>
      </c>
      <c r="BB83" s="70" t="e">
        <f t="array" ref="BB83">AVERAGE(AL83:AL88/AK83:AK88) - AVERAGE(Q83:Q88/P83:P88)</f>
        <v>#DIV/0!</v>
      </c>
      <c r="BD83" s="103"/>
      <c r="BE83" s="104"/>
      <c r="BF83" s="104"/>
      <c r="BG83" s="86" t="str">
        <f>IF( OR(ISBLANK($S83:$S88),ISBLANK($AN83:$AN88), ISBLANK($W83:$W88),ISBLANK($AR83:$AR88)), "·", bdRateHermite( $S83:$S88,$W83:$W88, $AN83:$AN88,$AR83:$AR88))</f>
        <v>·</v>
      </c>
      <c r="BI83" s="103"/>
      <c r="BJ83" s="104"/>
      <c r="BK83" s="104"/>
      <c r="BL83" s="85" t="str">
        <f>IF(OR(ISBLANK($P83:$P88),ISBLANK($AK83:$AK88),ISBLANK($W83:$W88),ISBLANK($AR83:$AR88)),"·",bdRateHermite($P83:$P88,$W83:$W88,$AK83:$AK88,$AR83:$AR88))</f>
        <v>·</v>
      </c>
      <c r="BN83" s="103"/>
      <c r="BO83" s="104"/>
      <c r="BP83" s="104"/>
      <c r="BQ83" s="86" t="str">
        <f>IF( OR(ISBLANK($S83:$S88),ISBLANK($AN83:$AN88), ISBLANK($W83:$W88),ISBLANK($AR83:$AR88)), "·", bdRateHermite( $S84:$S88,$W84:$W88, $AN84:$AN88,$AR84:$AR88))</f>
        <v>·</v>
      </c>
      <c r="BS83" s="103"/>
      <c r="BT83" s="104"/>
      <c r="BU83" s="104"/>
      <c r="BV83" s="85" t="str">
        <f>IF(OR(ISBLANK($P83:$P88),ISBLANK($AK83:$AK88),ISBLANK($W83:$W88),ISBLANK($AR83:$AR88)),"·",bdRateHermite($P84:$P88,$W84:$W88,$AK84:$AK88,$AR84:$AR88))</f>
        <v>·</v>
      </c>
      <c r="BX83" s="103"/>
      <c r="BY83" s="104"/>
      <c r="BZ83" s="104"/>
      <c r="CA83" s="86" t="str">
        <f>IF( OR(ISBLANK($S83:$S87),ISBLANK($AN83:$AN87), ISBLANK($W83:$W87),ISBLANK($AR83:$AR87)), "·", bdRateHermite( $S83:$S87,$W83:$W87, $AN83:$AN87,$AR83:$AR87))</f>
        <v>·</v>
      </c>
      <c r="CC83" s="103"/>
      <c r="CD83" s="104"/>
      <c r="CE83" s="104"/>
      <c r="CF83" s="85" t="str">
        <f>IF(OR(ISBLANK($P83:$P87),ISBLANK($AK83:$AK87),ISBLANK($W83:$W87),ISBLANK($AR83:$AR87)),"·",bdRateHermite($P83:$P87,$W83:$W87,$AK83:$AK87,$AR83:$AR87))</f>
        <v>·</v>
      </c>
    </row>
    <row r="84" spans="1:84" outlineLevel="1">
      <c r="A84" s="13"/>
      <c r="B84" s="14" t="s">
        <v>466</v>
      </c>
      <c r="C84" s="15" t="s">
        <v>132</v>
      </c>
      <c r="D84" s="14">
        <f>'AVSC1 limit-lossyG,lossyA,intra'!$D$83</f>
        <v>59931072</v>
      </c>
      <c r="E84" s="15">
        <v>18</v>
      </c>
      <c r="F84" s="15">
        <f>'AVSC1 limit-lossyG,lossyA,intra'!$F$83</f>
        <v>600</v>
      </c>
      <c r="G84" s="16">
        <v>10</v>
      </c>
      <c r="I84" s="30">
        <f t="shared" si="15"/>
        <v>19.441900799999999</v>
      </c>
      <c r="J84" s="31">
        <f t="shared" si="16"/>
        <v>19.464261343431335</v>
      </c>
      <c r="K84" s="31">
        <f t="shared" si="17"/>
        <v>18.604441182029916</v>
      </c>
      <c r="L84" s="87"/>
      <c r="M84" s="31">
        <f t="shared" si="26"/>
        <v>0.85237507515300248</v>
      </c>
      <c r="N84" s="31">
        <f t="shared" si="18"/>
        <v>19.464261343431335</v>
      </c>
      <c r="O84" s="521">
        <v>59931072</v>
      </c>
      <c r="P84" s="503">
        <v>1166514048</v>
      </c>
      <c r="Q84" s="357">
        <v>1114984104</v>
      </c>
      <c r="R84" s="87"/>
      <c r="S84" s="547">
        <v>51083752</v>
      </c>
      <c r="T84" s="267"/>
      <c r="U84" s="106"/>
      <c r="V84" s="106"/>
      <c r="W84" s="515">
        <v>78.009567000000004</v>
      </c>
      <c r="X84" s="507"/>
      <c r="Y84" s="359"/>
      <c r="Z84" s="573">
        <v>0</v>
      </c>
      <c r="AA84" s="573">
        <v>0</v>
      </c>
      <c r="AB84" s="33"/>
      <c r="AD84" s="30" t="str">
        <f t="shared" si="13"/>
        <v>·</v>
      </c>
      <c r="AE84" s="31" t="str">
        <f t="shared" si="21"/>
        <v>·</v>
      </c>
      <c r="AF84" s="31" t="str">
        <f t="shared" si="19"/>
        <v>·</v>
      </c>
      <c r="AG84" s="87" t="str">
        <f t="shared" si="22"/>
        <v>·</v>
      </c>
      <c r="AH84" s="31" t="str">
        <f t="shared" si="23"/>
        <v>·</v>
      </c>
      <c r="AI84" s="31" t="str">
        <f t="shared" si="24"/>
        <v>·</v>
      </c>
      <c r="AJ84" s="521"/>
      <c r="AK84" s="503"/>
      <c r="AL84" s="357"/>
      <c r="AM84" s="87"/>
      <c r="AN84" s="547"/>
      <c r="AO84" s="267"/>
      <c r="AP84" s="106"/>
      <c r="AQ84" s="106"/>
      <c r="AR84" s="515"/>
      <c r="AS84" s="507"/>
      <c r="AT84" s="359"/>
      <c r="AU84" s="573">
        <v>0</v>
      </c>
      <c r="AV84" s="573">
        <v>0</v>
      </c>
      <c r="AW84" s="33"/>
      <c r="AY84" s="56" t="e">
        <f t="shared" si="25"/>
        <v>#DIV/0!</v>
      </c>
      <c r="AZ84" s="57" t="e">
        <f t="shared" si="25"/>
        <v>#DIV/0!</v>
      </c>
      <c r="BA84" s="57" t="e">
        <f t="shared" si="20"/>
        <v>#DIV/0!</v>
      </c>
      <c r="BB84" s="58"/>
      <c r="BD84" s="105"/>
      <c r="BE84" s="106"/>
      <c r="BF84" s="106"/>
      <c r="BG84" s="76"/>
      <c r="BI84" s="105"/>
      <c r="BJ84" s="106"/>
      <c r="BK84" s="106"/>
      <c r="BL84" s="76"/>
      <c r="BN84" s="105"/>
      <c r="BO84" s="106"/>
      <c r="BP84" s="106"/>
      <c r="BQ84" s="76"/>
      <c r="BS84" s="105"/>
      <c r="BT84" s="106"/>
      <c r="BU84" s="106"/>
      <c r="BV84" s="76"/>
      <c r="BX84" s="105"/>
      <c r="BY84" s="106"/>
      <c r="BZ84" s="106"/>
      <c r="CA84" s="76"/>
      <c r="CC84" s="105"/>
      <c r="CD84" s="106"/>
      <c r="CE84" s="106"/>
      <c r="CF84" s="76"/>
    </row>
    <row r="85" spans="1:84" outlineLevel="1">
      <c r="A85" s="13"/>
      <c r="B85" s="14" t="s">
        <v>466</v>
      </c>
      <c r="C85" s="15" t="s">
        <v>133</v>
      </c>
      <c r="D85" s="14">
        <f>'AVSC1 limit-lossyG,lossyA,intra'!$D$83</f>
        <v>59931072</v>
      </c>
      <c r="E85" s="15">
        <v>18</v>
      </c>
      <c r="F85" s="15">
        <f>'AVSC1 limit-lossyG,lossyA,intra'!$F$83</f>
        <v>600</v>
      </c>
      <c r="G85" s="16">
        <v>10</v>
      </c>
      <c r="I85" s="30">
        <f t="shared" si="15"/>
        <v>19.9895152</v>
      </c>
      <c r="J85" s="31">
        <f t="shared" si="16"/>
        <v>20.012505566394672</v>
      </c>
      <c r="K85" s="31">
        <f t="shared" si="17"/>
        <v>18.604441182029916</v>
      </c>
      <c r="L85" s="87"/>
      <c r="M85" s="31">
        <f t="shared" si="26"/>
        <v>1.4006192981163428</v>
      </c>
      <c r="N85" s="31">
        <f t="shared" si="18"/>
        <v>20.012505566394672</v>
      </c>
      <c r="O85" s="521">
        <v>59931072</v>
      </c>
      <c r="P85" s="503">
        <v>1199370912</v>
      </c>
      <c r="Q85" s="357">
        <v>1114984104</v>
      </c>
      <c r="R85" s="87"/>
      <c r="S85" s="547">
        <v>83940616</v>
      </c>
      <c r="T85" s="267"/>
      <c r="U85" s="106"/>
      <c r="V85" s="106"/>
      <c r="W85" s="515">
        <v>83.685317999999995</v>
      </c>
      <c r="X85" s="507"/>
      <c r="Y85" s="359"/>
      <c r="Z85" s="573">
        <v>0</v>
      </c>
      <c r="AA85" s="573">
        <v>0</v>
      </c>
      <c r="AB85" s="33"/>
      <c r="AD85" s="30" t="str">
        <f t="shared" si="13"/>
        <v>·</v>
      </c>
      <c r="AE85" s="31" t="str">
        <f t="shared" si="21"/>
        <v>·</v>
      </c>
      <c r="AF85" s="31" t="str">
        <f t="shared" si="19"/>
        <v>·</v>
      </c>
      <c r="AG85" s="87" t="str">
        <f t="shared" si="22"/>
        <v>·</v>
      </c>
      <c r="AH85" s="31" t="str">
        <f t="shared" si="23"/>
        <v>·</v>
      </c>
      <c r="AI85" s="31" t="str">
        <f t="shared" si="24"/>
        <v>·</v>
      </c>
      <c r="AJ85" s="521"/>
      <c r="AK85" s="503"/>
      <c r="AL85" s="357"/>
      <c r="AM85" s="87"/>
      <c r="AN85" s="547"/>
      <c r="AO85" s="267"/>
      <c r="AP85" s="106"/>
      <c r="AQ85" s="106"/>
      <c r="AR85" s="515"/>
      <c r="AS85" s="507"/>
      <c r="AT85" s="359"/>
      <c r="AU85" s="573">
        <v>0</v>
      </c>
      <c r="AV85" s="573">
        <v>0</v>
      </c>
      <c r="AW85" s="33"/>
      <c r="AY85" s="56" t="e">
        <f t="shared" si="25"/>
        <v>#DIV/0!</v>
      </c>
      <c r="AZ85" s="57" t="e">
        <f t="shared" si="25"/>
        <v>#DIV/0!</v>
      </c>
      <c r="BA85" s="57" t="e">
        <f t="shared" si="20"/>
        <v>#DIV/0!</v>
      </c>
      <c r="BB85" s="58"/>
      <c r="BD85" s="105"/>
      <c r="BE85" s="106"/>
      <c r="BF85" s="106"/>
      <c r="BG85" s="76"/>
      <c r="BI85" s="105"/>
      <c r="BJ85" s="106"/>
      <c r="BK85" s="106"/>
      <c r="BL85" s="76"/>
      <c r="BN85" s="105"/>
      <c r="BO85" s="106"/>
      <c r="BP85" s="106"/>
      <c r="BQ85" s="76"/>
      <c r="BS85" s="105"/>
      <c r="BT85" s="106"/>
      <c r="BU85" s="106"/>
      <c r="BV85" s="76"/>
      <c r="BX85" s="105"/>
      <c r="BY85" s="106"/>
      <c r="BZ85" s="106"/>
      <c r="CA85" s="76"/>
      <c r="CC85" s="105"/>
      <c r="CD85" s="106"/>
      <c r="CE85" s="106"/>
      <c r="CF85" s="76"/>
    </row>
    <row r="86" spans="1:84" outlineLevel="1">
      <c r="A86" s="13"/>
      <c r="B86" s="14" t="s">
        <v>466</v>
      </c>
      <c r="C86" s="15" t="s">
        <v>134</v>
      </c>
      <c r="D86" s="14">
        <f>'AVSC1 limit-lossyG,lossyA,intra'!$D$83</f>
        <v>59931072</v>
      </c>
      <c r="E86" s="15">
        <v>18</v>
      </c>
      <c r="F86" s="15">
        <f>'AVSC1 limit-lossyG,lossyA,intra'!$F$83</f>
        <v>600</v>
      </c>
      <c r="G86" s="16">
        <v>10</v>
      </c>
      <c r="I86" s="30">
        <f t="shared" si="15"/>
        <v>20.684103333333333</v>
      </c>
      <c r="J86" s="31">
        <f t="shared" si="16"/>
        <v>20.707892560306615</v>
      </c>
      <c r="K86" s="31">
        <f t="shared" si="17"/>
        <v>18.604441182029916</v>
      </c>
      <c r="L86" s="87"/>
      <c r="M86" s="31">
        <f t="shared" si="26"/>
        <v>2.096015369122715</v>
      </c>
      <c r="N86" s="31">
        <f t="shared" si="18"/>
        <v>20.707892560306615</v>
      </c>
      <c r="O86" s="521">
        <v>59931072</v>
      </c>
      <c r="P86" s="503">
        <v>1241046200</v>
      </c>
      <c r="Q86" s="357">
        <v>1114984104</v>
      </c>
      <c r="R86" s="87"/>
      <c r="S86" s="547">
        <v>125616448</v>
      </c>
      <c r="T86" s="267"/>
      <c r="U86" s="106"/>
      <c r="V86" s="106"/>
      <c r="W86" s="515">
        <v>89.391022000000007</v>
      </c>
      <c r="X86" s="507"/>
      <c r="Y86" s="359"/>
      <c r="Z86" s="573">
        <v>0</v>
      </c>
      <c r="AA86" s="573">
        <v>0</v>
      </c>
      <c r="AB86" s="33"/>
      <c r="AD86" s="30" t="str">
        <f t="shared" si="13"/>
        <v>·</v>
      </c>
      <c r="AE86" s="31" t="str">
        <f t="shared" si="21"/>
        <v>·</v>
      </c>
      <c r="AF86" s="31" t="str">
        <f t="shared" si="19"/>
        <v>·</v>
      </c>
      <c r="AG86" s="87" t="str">
        <f t="shared" si="22"/>
        <v>·</v>
      </c>
      <c r="AH86" s="31" t="str">
        <f t="shared" si="23"/>
        <v>·</v>
      </c>
      <c r="AI86" s="31" t="str">
        <f t="shared" si="24"/>
        <v>·</v>
      </c>
      <c r="AJ86" s="521"/>
      <c r="AK86" s="503"/>
      <c r="AL86" s="357"/>
      <c r="AM86" s="87"/>
      <c r="AN86" s="547"/>
      <c r="AO86" s="267"/>
      <c r="AP86" s="106"/>
      <c r="AQ86" s="106"/>
      <c r="AR86" s="515"/>
      <c r="AS86" s="507"/>
      <c r="AT86" s="359"/>
      <c r="AU86" s="573">
        <v>0</v>
      </c>
      <c r="AV86" s="573">
        <v>0</v>
      </c>
      <c r="AW86" s="33"/>
      <c r="AY86" s="56" t="e">
        <f t="shared" si="25"/>
        <v>#DIV/0!</v>
      </c>
      <c r="AZ86" s="57" t="e">
        <f t="shared" si="25"/>
        <v>#DIV/0!</v>
      </c>
      <c r="BA86" s="57" t="e">
        <f t="shared" si="20"/>
        <v>#DIV/0!</v>
      </c>
      <c r="BB86" s="58"/>
      <c r="BD86" s="105"/>
      <c r="BE86" s="106"/>
      <c r="BF86" s="106"/>
      <c r="BG86" s="76"/>
      <c r="BI86" s="105"/>
      <c r="BJ86" s="106"/>
      <c r="BK86" s="106"/>
      <c r="BL86" s="76"/>
      <c r="BN86" s="105"/>
      <c r="BO86" s="106"/>
      <c r="BP86" s="106"/>
      <c r="BQ86" s="76"/>
      <c r="BS86" s="105"/>
      <c r="BT86" s="106"/>
      <c r="BU86" s="106"/>
      <c r="BV86" s="76"/>
      <c r="BX86" s="105"/>
      <c r="BY86" s="106"/>
      <c r="BZ86" s="106"/>
      <c r="CA86" s="76"/>
      <c r="CC86" s="105"/>
      <c r="CD86" s="106"/>
      <c r="CE86" s="106"/>
      <c r="CF86" s="76"/>
    </row>
    <row r="87" spans="1:84" outlineLevel="1">
      <c r="A87" s="13"/>
      <c r="B87" s="14" t="s">
        <v>466</v>
      </c>
      <c r="C87" s="15" t="s">
        <v>135</v>
      </c>
      <c r="D87" s="14">
        <f>'AVSC1 limit-lossyG,lossyA,intra'!$D$83</f>
        <v>59931072</v>
      </c>
      <c r="E87" s="15">
        <v>18</v>
      </c>
      <c r="F87" s="15">
        <f>'AVSC1 limit-lossyG,lossyA,intra'!$F$83</f>
        <v>600</v>
      </c>
      <c r="G87" s="16">
        <v>10</v>
      </c>
      <c r="I87" s="30">
        <f t="shared" si="15"/>
        <v>21.504817333333332</v>
      </c>
      <c r="J87" s="31">
        <f t="shared" si="16"/>
        <v>21.52955048092582</v>
      </c>
      <c r="K87" s="31">
        <f t="shared" si="17"/>
        <v>18.604441182029916</v>
      </c>
      <c r="L87" s="87"/>
      <c r="M87" s="31">
        <f t="shared" si="26"/>
        <v>2.9176732897419222</v>
      </c>
      <c r="N87" s="31">
        <f t="shared" si="18"/>
        <v>21.52955048092582</v>
      </c>
      <c r="O87" s="521">
        <v>59931072</v>
      </c>
      <c r="P87" s="503">
        <v>1290289040</v>
      </c>
      <c r="Q87" s="357">
        <v>1114984104</v>
      </c>
      <c r="R87" s="87"/>
      <c r="S87" s="547">
        <v>174859288</v>
      </c>
      <c r="T87" s="267"/>
      <c r="U87" s="106"/>
      <c r="V87" s="106"/>
      <c r="W87" s="515">
        <v>94.846335999999994</v>
      </c>
      <c r="X87" s="507"/>
      <c r="Y87" s="359"/>
      <c r="Z87" s="573">
        <v>0</v>
      </c>
      <c r="AA87" s="573">
        <v>0</v>
      </c>
      <c r="AB87" s="33"/>
      <c r="AD87" s="30" t="str">
        <f t="shared" si="13"/>
        <v>·</v>
      </c>
      <c r="AE87" s="31" t="str">
        <f t="shared" si="21"/>
        <v>·</v>
      </c>
      <c r="AF87" s="31" t="str">
        <f t="shared" si="19"/>
        <v>·</v>
      </c>
      <c r="AG87" s="87" t="str">
        <f t="shared" si="22"/>
        <v>·</v>
      </c>
      <c r="AH87" s="31" t="str">
        <f t="shared" si="23"/>
        <v>·</v>
      </c>
      <c r="AI87" s="31" t="str">
        <f t="shared" si="24"/>
        <v>·</v>
      </c>
      <c r="AJ87" s="521"/>
      <c r="AK87" s="503"/>
      <c r="AL87" s="357"/>
      <c r="AM87" s="87"/>
      <c r="AN87" s="547"/>
      <c r="AO87" s="267"/>
      <c r="AP87" s="106"/>
      <c r="AQ87" s="106"/>
      <c r="AR87" s="515"/>
      <c r="AS87" s="507"/>
      <c r="AT87" s="359"/>
      <c r="AU87" s="573">
        <v>0</v>
      </c>
      <c r="AV87" s="573">
        <v>0</v>
      </c>
      <c r="AW87" s="33"/>
      <c r="AY87" s="56" t="e">
        <f t="shared" si="25"/>
        <v>#DIV/0!</v>
      </c>
      <c r="AZ87" s="57" t="e">
        <f t="shared" si="25"/>
        <v>#DIV/0!</v>
      </c>
      <c r="BA87" s="57" t="e">
        <f t="shared" si="20"/>
        <v>#DIV/0!</v>
      </c>
      <c r="BB87" s="58"/>
      <c r="BD87" s="105"/>
      <c r="BE87" s="106"/>
      <c r="BF87" s="106"/>
      <c r="BG87" s="76"/>
      <c r="BI87" s="105"/>
      <c r="BJ87" s="106"/>
      <c r="BK87" s="106"/>
      <c r="BL87" s="76"/>
      <c r="BN87" s="105"/>
      <c r="BO87" s="106"/>
      <c r="BP87" s="106"/>
      <c r="BQ87" s="76"/>
      <c r="BS87" s="105"/>
      <c r="BT87" s="106"/>
      <c r="BU87" s="106"/>
      <c r="BV87" s="76"/>
      <c r="BX87" s="105"/>
      <c r="BY87" s="106"/>
      <c r="BZ87" s="106"/>
      <c r="CA87" s="76"/>
      <c r="CC87" s="105"/>
      <c r="CD87" s="106"/>
      <c r="CE87" s="106"/>
      <c r="CF87" s="76"/>
    </row>
    <row r="88" spans="1:84" ht="14.25" outlineLevel="1" thickBot="1">
      <c r="A88" s="13"/>
      <c r="B88" s="21" t="s">
        <v>466</v>
      </c>
      <c r="C88" s="22" t="s">
        <v>136</v>
      </c>
      <c r="D88" s="21">
        <f>'AVSC1 limit-lossyG,lossyA,intra'!$D$83</f>
        <v>59931072</v>
      </c>
      <c r="E88" s="22">
        <v>18</v>
      </c>
      <c r="F88" s="22">
        <f>'AVSC1 limit-lossyG,lossyA,intra'!$F$83</f>
        <v>600</v>
      </c>
      <c r="G88" s="23">
        <v>10</v>
      </c>
      <c r="I88" s="34">
        <f t="shared" si="15"/>
        <v>22.509129066666667</v>
      </c>
      <c r="J88" s="35">
        <f t="shared" si="16"/>
        <v>22.535017294534629</v>
      </c>
      <c r="K88" s="35">
        <f t="shared" si="17"/>
        <v>18.604441182029916</v>
      </c>
      <c r="L88" s="88"/>
      <c r="M88" s="35">
        <f t="shared" si="26"/>
        <v>3.92315331853233</v>
      </c>
      <c r="N88" s="35">
        <f t="shared" si="18"/>
        <v>22.535017294534629</v>
      </c>
      <c r="O88" s="522">
        <v>59931072</v>
      </c>
      <c r="P88" s="505">
        <v>1350547744</v>
      </c>
      <c r="Q88" s="361">
        <v>1114984104</v>
      </c>
      <c r="R88" s="88"/>
      <c r="S88" s="548">
        <v>235118784</v>
      </c>
      <c r="T88" s="545"/>
      <c r="U88" s="109"/>
      <c r="V88" s="109"/>
      <c r="W88" s="517">
        <v>99.581717999999995</v>
      </c>
      <c r="X88" s="509"/>
      <c r="Y88" s="363"/>
      <c r="Z88" s="575">
        <v>0</v>
      </c>
      <c r="AA88" s="575">
        <v>0</v>
      </c>
      <c r="AB88" s="37"/>
      <c r="AD88" s="34" t="str">
        <f t="shared" si="13"/>
        <v>·</v>
      </c>
      <c r="AE88" s="35" t="str">
        <f t="shared" si="21"/>
        <v>·</v>
      </c>
      <c r="AF88" s="35" t="str">
        <f t="shared" si="19"/>
        <v>·</v>
      </c>
      <c r="AG88" s="88" t="str">
        <f t="shared" si="22"/>
        <v>·</v>
      </c>
      <c r="AH88" s="35" t="str">
        <f t="shared" si="23"/>
        <v>·</v>
      </c>
      <c r="AI88" s="35" t="str">
        <f t="shared" si="24"/>
        <v>·</v>
      </c>
      <c r="AJ88" s="522"/>
      <c r="AK88" s="505"/>
      <c r="AL88" s="361"/>
      <c r="AM88" s="88"/>
      <c r="AN88" s="548"/>
      <c r="AO88" s="545"/>
      <c r="AP88" s="109"/>
      <c r="AQ88" s="109"/>
      <c r="AR88" s="517"/>
      <c r="AS88" s="509"/>
      <c r="AT88" s="363"/>
      <c r="AU88" s="575">
        <v>0</v>
      </c>
      <c r="AV88" s="575">
        <v>0</v>
      </c>
      <c r="AW88" s="37"/>
      <c r="AY88" s="59" t="e">
        <f t="shared" si="25"/>
        <v>#DIV/0!</v>
      </c>
      <c r="AZ88" s="60" t="e">
        <f t="shared" si="25"/>
        <v>#DIV/0!</v>
      </c>
      <c r="BA88" s="60" t="e">
        <f t="shared" si="20"/>
        <v>#DIV/0!</v>
      </c>
      <c r="BB88" s="61"/>
      <c r="BD88" s="108"/>
      <c r="BE88" s="109"/>
      <c r="BF88" s="109"/>
      <c r="BG88" s="79"/>
      <c r="BI88" s="108"/>
      <c r="BJ88" s="109"/>
      <c r="BK88" s="109"/>
      <c r="BL88" s="82"/>
      <c r="BN88" s="134"/>
      <c r="BO88" s="135"/>
      <c r="BP88" s="135"/>
      <c r="BQ88" s="82"/>
      <c r="BS88" s="134"/>
      <c r="BT88" s="135"/>
      <c r="BU88" s="135"/>
      <c r="BV88" s="82"/>
      <c r="BX88" s="134"/>
      <c r="BY88" s="135"/>
      <c r="BZ88" s="135"/>
      <c r="CA88" s="82"/>
      <c r="CC88" s="134"/>
      <c r="CD88" s="135"/>
      <c r="CE88" s="135"/>
      <c r="CF88" s="82"/>
    </row>
    <row r="89" spans="1:84">
      <c r="A89" s="13"/>
      <c r="B89" s="27" t="s">
        <v>469</v>
      </c>
      <c r="C89" s="28" t="s">
        <v>131</v>
      </c>
      <c r="D89" s="27">
        <f>'AVSC1 limit-lossyG,lossyA,intra'!$D$89</f>
        <v>59935680</v>
      </c>
      <c r="E89" s="28">
        <v>18</v>
      </c>
      <c r="F89" s="28">
        <f>'AVSC1 limit-lossyG,lossyA,intra'!$F$83</f>
        <v>600</v>
      </c>
      <c r="G89" s="29">
        <v>10</v>
      </c>
      <c r="I89" s="46">
        <f t="shared" si="15"/>
        <v>19.4057116</v>
      </c>
      <c r="J89" s="47">
        <f t="shared" si="16"/>
        <v>19.426536847500522</v>
      </c>
      <c r="K89" s="47">
        <f t="shared" si="17"/>
        <v>18.942545208463471</v>
      </c>
      <c r="L89" s="87"/>
      <c r="M89" s="47">
        <f t="shared" si="26"/>
        <v>0.47655246424166708</v>
      </c>
      <c r="N89" s="47">
        <f t="shared" si="18"/>
        <v>19.426536847500522</v>
      </c>
      <c r="O89" s="520">
        <v>59935680</v>
      </c>
      <c r="P89" s="502">
        <v>1164342696</v>
      </c>
      <c r="Q89" s="353">
        <v>1135334328</v>
      </c>
      <c r="R89" s="87"/>
      <c r="S89" s="546">
        <v>28562496</v>
      </c>
      <c r="T89" s="266"/>
      <c r="U89" s="104"/>
      <c r="V89" s="104"/>
      <c r="W89" s="514">
        <v>72.452422999999996</v>
      </c>
      <c r="X89" s="506"/>
      <c r="Y89" s="355"/>
      <c r="Z89" s="572">
        <v>0</v>
      </c>
      <c r="AA89" s="572">
        <v>0</v>
      </c>
      <c r="AB89" s="49"/>
      <c r="AD89" s="46" t="str">
        <f t="shared" si="13"/>
        <v>·</v>
      </c>
      <c r="AE89" s="47" t="str">
        <f t="shared" si="21"/>
        <v>·</v>
      </c>
      <c r="AF89" s="47" t="str">
        <f t="shared" si="19"/>
        <v>·</v>
      </c>
      <c r="AG89" s="87" t="str">
        <f t="shared" si="22"/>
        <v>·</v>
      </c>
      <c r="AH89" s="47" t="str">
        <f t="shared" si="23"/>
        <v>·</v>
      </c>
      <c r="AI89" s="47" t="str">
        <f t="shared" si="24"/>
        <v>·</v>
      </c>
      <c r="AJ89" s="520"/>
      <c r="AK89" s="502"/>
      <c r="AL89" s="353"/>
      <c r="AM89" s="87"/>
      <c r="AN89" s="546"/>
      <c r="AO89" s="266"/>
      <c r="AP89" s="104"/>
      <c r="AQ89" s="104"/>
      <c r="AR89" s="514"/>
      <c r="AS89" s="506"/>
      <c r="AT89" s="355"/>
      <c r="AU89" s="572">
        <v>0</v>
      </c>
      <c r="AV89" s="572">
        <v>0</v>
      </c>
      <c r="AW89" s="49"/>
      <c r="AY89" s="68" t="e">
        <f t="shared" si="25"/>
        <v>#DIV/0!</v>
      </c>
      <c r="AZ89" s="69" t="e">
        <f t="shared" si="25"/>
        <v>#DIV/0!</v>
      </c>
      <c r="BA89" s="69" t="e">
        <f t="shared" si="20"/>
        <v>#DIV/0!</v>
      </c>
      <c r="BB89" s="70" t="e">
        <f t="array" ref="BB89">AVERAGE(AL89:AL94/AK89:AK94) - AVERAGE(Q89:Q94/P89:P94)</f>
        <v>#DIV/0!</v>
      </c>
      <c r="BD89" s="103"/>
      <c r="BE89" s="104"/>
      <c r="BF89" s="104"/>
      <c r="BG89" s="86" t="str">
        <f>IF( OR(ISBLANK($S89:$S94),ISBLANK($AN89:$AN94), ISBLANK($W89:$W94),ISBLANK($AR89:$AR94)), "·", bdRateHermite( $S89:$S94,$W89:$W94, $AN89:$AN94,$AR89:$AR94))</f>
        <v>·</v>
      </c>
      <c r="BI89" s="103"/>
      <c r="BJ89" s="104"/>
      <c r="BK89" s="104"/>
      <c r="BL89" s="85" t="str">
        <f>IF(OR(ISBLANK($P89:$P94),ISBLANK($AK89:$AK94),ISBLANK($W89:$W94),ISBLANK($AR89:$AR94)),"·",bdRateHermite($P89:$P94,$W89:$W94,$AK89:$AK94,$AR89:$AR94))</f>
        <v>·</v>
      </c>
      <c r="BN89" s="103"/>
      <c r="BO89" s="104"/>
      <c r="BP89" s="104"/>
      <c r="BQ89" s="86" t="str">
        <f>IF( OR(ISBLANK($S89:$S94),ISBLANK($AN89:$AN94), ISBLANK($W89:$W94),ISBLANK($AR89:$AR94)), "·", bdRateHermite( $S90:$S94,$W90:$W94, $AN90:$AN94,$AR90:$AR94))</f>
        <v>·</v>
      </c>
      <c r="BS89" s="103"/>
      <c r="BT89" s="104"/>
      <c r="BU89" s="104"/>
      <c r="BV89" s="85" t="str">
        <f>IF(OR(ISBLANK($P89:$P94),ISBLANK($AK89:$AK94),ISBLANK($W89:$W94),ISBLANK($AR89:$AR94)),"·",bdRateHermite($P90:$P94,$W90:$W94,$AK90:$AK94,$AR90:$AR94))</f>
        <v>·</v>
      </c>
      <c r="BX89" s="103"/>
      <c r="BY89" s="104"/>
      <c r="BZ89" s="104"/>
      <c r="CA89" s="86" t="str">
        <f>IF( OR(ISBLANK($S89:$S93),ISBLANK($AN89:$AN93), ISBLANK($W89:$W93),ISBLANK($AR89:$AR93)), "·", bdRateHermite( $S89:$S93,$W89:$W93, $AN89:$AN93,$AR89:$AR93))</f>
        <v>·</v>
      </c>
      <c r="CC89" s="103"/>
      <c r="CD89" s="104"/>
      <c r="CE89" s="104"/>
      <c r="CF89" s="85" t="str">
        <f>IF(OR(ISBLANK($P89:$P93),ISBLANK($AK89:$AK93),ISBLANK($W89:$W93),ISBLANK($AR89:$AR93)),"·",bdRateHermite($P89:$P93,$W89:$W93,$AK89:$AK93,$AR89:$AR93))</f>
        <v>·</v>
      </c>
    </row>
    <row r="90" spans="1:84" outlineLevel="1">
      <c r="A90" s="13"/>
      <c r="B90" s="14" t="s">
        <v>469</v>
      </c>
      <c r="C90" s="15" t="s">
        <v>132</v>
      </c>
      <c r="D90" s="14">
        <f>'AVSC1 limit-lossyG,lossyA,intra'!$D$89</f>
        <v>59935680</v>
      </c>
      <c r="E90" s="15">
        <v>18</v>
      </c>
      <c r="F90" s="15">
        <f>'AVSC1 limit-lossyG,lossyA,intra'!$F$83</f>
        <v>600</v>
      </c>
      <c r="G90" s="16">
        <v>10</v>
      </c>
      <c r="I90" s="30">
        <f t="shared" si="15"/>
        <v>19.863031866666667</v>
      </c>
      <c r="J90" s="31">
        <f t="shared" si="16"/>
        <v>19.884347887602175</v>
      </c>
      <c r="K90" s="31">
        <f t="shared" si="17"/>
        <v>18.942545208463471</v>
      </c>
      <c r="L90" s="87"/>
      <c r="M90" s="31">
        <f t="shared" si="26"/>
        <v>0.93436350434332271</v>
      </c>
      <c r="N90" s="31">
        <f t="shared" si="18"/>
        <v>19.884347887602175</v>
      </c>
      <c r="O90" s="521">
        <v>59935680</v>
      </c>
      <c r="P90" s="503">
        <v>1191781912</v>
      </c>
      <c r="Q90" s="357">
        <v>1135334328</v>
      </c>
      <c r="R90" s="87"/>
      <c r="S90" s="547">
        <v>56001712</v>
      </c>
      <c r="T90" s="267"/>
      <c r="U90" s="106"/>
      <c r="V90" s="106"/>
      <c r="W90" s="515">
        <v>77.950432000000006</v>
      </c>
      <c r="X90" s="507"/>
      <c r="Y90" s="359"/>
      <c r="Z90" s="573">
        <v>0</v>
      </c>
      <c r="AA90" s="573">
        <v>0</v>
      </c>
      <c r="AB90" s="33"/>
      <c r="AD90" s="30" t="str">
        <f t="shared" si="13"/>
        <v>·</v>
      </c>
      <c r="AE90" s="31" t="str">
        <f t="shared" si="21"/>
        <v>·</v>
      </c>
      <c r="AF90" s="31" t="str">
        <f t="shared" si="19"/>
        <v>·</v>
      </c>
      <c r="AG90" s="87" t="str">
        <f t="shared" si="22"/>
        <v>·</v>
      </c>
      <c r="AH90" s="31" t="str">
        <f t="shared" si="23"/>
        <v>·</v>
      </c>
      <c r="AI90" s="31" t="str">
        <f t="shared" si="24"/>
        <v>·</v>
      </c>
      <c r="AJ90" s="521"/>
      <c r="AK90" s="503"/>
      <c r="AL90" s="357"/>
      <c r="AM90" s="87"/>
      <c r="AN90" s="547"/>
      <c r="AO90" s="267"/>
      <c r="AP90" s="106"/>
      <c r="AQ90" s="106"/>
      <c r="AR90" s="515"/>
      <c r="AS90" s="507"/>
      <c r="AT90" s="359"/>
      <c r="AU90" s="573">
        <v>0</v>
      </c>
      <c r="AV90" s="573">
        <v>0</v>
      </c>
      <c r="AW90" s="33"/>
      <c r="AY90" s="56" t="e">
        <f t="shared" si="25"/>
        <v>#DIV/0!</v>
      </c>
      <c r="AZ90" s="57" t="e">
        <f t="shared" si="25"/>
        <v>#DIV/0!</v>
      </c>
      <c r="BA90" s="57" t="e">
        <f t="shared" si="20"/>
        <v>#DIV/0!</v>
      </c>
      <c r="BB90" s="58"/>
      <c r="BD90" s="105"/>
      <c r="BE90" s="106"/>
      <c r="BF90" s="106"/>
      <c r="BG90" s="76"/>
      <c r="BI90" s="105"/>
      <c r="BJ90" s="106"/>
      <c r="BK90" s="106"/>
      <c r="BL90" s="76"/>
      <c r="BN90" s="105"/>
      <c r="BO90" s="106"/>
      <c r="BP90" s="106"/>
      <c r="BQ90" s="76"/>
      <c r="BS90" s="105"/>
      <c r="BT90" s="106"/>
      <c r="BU90" s="106"/>
      <c r="BV90" s="76"/>
      <c r="BX90" s="105"/>
      <c r="BY90" s="106"/>
      <c r="BZ90" s="106"/>
      <c r="CA90" s="76"/>
      <c r="CC90" s="105"/>
      <c r="CD90" s="106"/>
      <c r="CE90" s="106"/>
      <c r="CF90" s="76"/>
    </row>
    <row r="91" spans="1:84" outlineLevel="1">
      <c r="A91" s="13"/>
      <c r="B91" s="14" t="s">
        <v>467</v>
      </c>
      <c r="C91" s="15" t="s">
        <v>133</v>
      </c>
      <c r="D91" s="14">
        <f>'AVSC1 limit-lossyG,lossyA,intra'!$D$89</f>
        <v>59935680</v>
      </c>
      <c r="E91" s="15">
        <v>18</v>
      </c>
      <c r="F91" s="15">
        <f>'AVSC1 limit-lossyG,lossyA,intra'!$F$83</f>
        <v>600</v>
      </c>
      <c r="G91" s="16">
        <v>10</v>
      </c>
      <c r="I91" s="30">
        <f t="shared" si="15"/>
        <v>20.468570933333332</v>
      </c>
      <c r="J91" s="31">
        <f t="shared" si="16"/>
        <v>20.490536788770896</v>
      </c>
      <c r="K91" s="31">
        <f t="shared" si="17"/>
        <v>18.942545208463471</v>
      </c>
      <c r="L91" s="87"/>
      <c r="M91" s="31">
        <f t="shared" si="26"/>
        <v>1.5405524055120423</v>
      </c>
      <c r="N91" s="31">
        <f t="shared" si="18"/>
        <v>20.490536788770896</v>
      </c>
      <c r="O91" s="521">
        <v>59935680</v>
      </c>
      <c r="P91" s="503">
        <v>1228114256</v>
      </c>
      <c r="Q91" s="357">
        <v>1135334328</v>
      </c>
      <c r="R91" s="87"/>
      <c r="S91" s="547">
        <v>92334056</v>
      </c>
      <c r="T91" s="267"/>
      <c r="U91" s="106"/>
      <c r="V91" s="106"/>
      <c r="W91" s="515">
        <v>83.551772999999997</v>
      </c>
      <c r="X91" s="507"/>
      <c r="Y91" s="359"/>
      <c r="Z91" s="573">
        <v>0</v>
      </c>
      <c r="AA91" s="573">
        <v>0</v>
      </c>
      <c r="AB91" s="33"/>
      <c r="AD91" s="30" t="str">
        <f t="shared" si="13"/>
        <v>·</v>
      </c>
      <c r="AE91" s="31" t="str">
        <f t="shared" si="21"/>
        <v>·</v>
      </c>
      <c r="AF91" s="31" t="str">
        <f t="shared" si="19"/>
        <v>·</v>
      </c>
      <c r="AG91" s="87" t="str">
        <f t="shared" si="22"/>
        <v>·</v>
      </c>
      <c r="AH91" s="31" t="str">
        <f t="shared" si="23"/>
        <v>·</v>
      </c>
      <c r="AI91" s="31" t="str">
        <f t="shared" si="24"/>
        <v>·</v>
      </c>
      <c r="AJ91" s="521"/>
      <c r="AK91" s="503"/>
      <c r="AL91" s="357"/>
      <c r="AM91" s="87"/>
      <c r="AN91" s="547"/>
      <c r="AO91" s="267"/>
      <c r="AP91" s="106"/>
      <c r="AQ91" s="106"/>
      <c r="AR91" s="515"/>
      <c r="AS91" s="507"/>
      <c r="AT91" s="359"/>
      <c r="AU91" s="573">
        <v>0</v>
      </c>
      <c r="AV91" s="573">
        <v>0</v>
      </c>
      <c r="AW91" s="33"/>
      <c r="AY91" s="56" t="e">
        <f t="shared" si="25"/>
        <v>#DIV/0!</v>
      </c>
      <c r="AZ91" s="57" t="e">
        <f t="shared" si="25"/>
        <v>#DIV/0!</v>
      </c>
      <c r="BA91" s="57" t="e">
        <f t="shared" si="20"/>
        <v>#DIV/0!</v>
      </c>
      <c r="BB91" s="58"/>
      <c r="BD91" s="105"/>
      <c r="BE91" s="106"/>
      <c r="BF91" s="106"/>
      <c r="BG91" s="76"/>
      <c r="BI91" s="105"/>
      <c r="BJ91" s="106"/>
      <c r="BK91" s="106"/>
      <c r="BL91" s="76"/>
      <c r="BN91" s="105"/>
      <c r="BO91" s="106"/>
      <c r="BP91" s="106"/>
      <c r="BQ91" s="76"/>
      <c r="BS91" s="105"/>
      <c r="BT91" s="106"/>
      <c r="BU91" s="106"/>
      <c r="BV91" s="76"/>
      <c r="BX91" s="105"/>
      <c r="BY91" s="106"/>
      <c r="BZ91" s="106"/>
      <c r="CA91" s="76"/>
      <c r="CC91" s="105"/>
      <c r="CD91" s="106"/>
      <c r="CE91" s="106"/>
      <c r="CF91" s="76"/>
    </row>
    <row r="92" spans="1:84" outlineLevel="1">
      <c r="A92" s="13"/>
      <c r="B92" s="14" t="s">
        <v>467</v>
      </c>
      <c r="C92" s="15" t="s">
        <v>134</v>
      </c>
      <c r="D92" s="14">
        <f>'AVSC1 limit-lossyG,lossyA,intra'!$D$89</f>
        <v>59935680</v>
      </c>
      <c r="E92" s="15">
        <v>18</v>
      </c>
      <c r="F92" s="15">
        <f>'AVSC1 limit-lossyG,lossyA,intra'!$F$83</f>
        <v>600</v>
      </c>
      <c r="G92" s="16">
        <v>10</v>
      </c>
      <c r="I92" s="30">
        <f t="shared" si="15"/>
        <v>21.217258133333331</v>
      </c>
      <c r="J92" s="31">
        <f t="shared" si="16"/>
        <v>21.240027442751963</v>
      </c>
      <c r="K92" s="31">
        <f t="shared" si="17"/>
        <v>18.942545208463471</v>
      </c>
      <c r="L92" s="87"/>
      <c r="M92" s="31">
        <f t="shared" si="26"/>
        <v>2.2900578753757359</v>
      </c>
      <c r="N92" s="31">
        <f t="shared" si="18"/>
        <v>21.240027442751963</v>
      </c>
      <c r="O92" s="521">
        <v>59935680</v>
      </c>
      <c r="P92" s="503">
        <v>1273035488</v>
      </c>
      <c r="Q92" s="357">
        <v>1135334328</v>
      </c>
      <c r="R92" s="87"/>
      <c r="S92" s="547">
        <v>137256176</v>
      </c>
      <c r="T92" s="267"/>
      <c r="U92" s="106"/>
      <c r="V92" s="106"/>
      <c r="W92" s="515">
        <v>89.283546000000001</v>
      </c>
      <c r="X92" s="507"/>
      <c r="Y92" s="359"/>
      <c r="Z92" s="573">
        <v>0</v>
      </c>
      <c r="AA92" s="573">
        <v>0</v>
      </c>
      <c r="AB92" s="33"/>
      <c r="AD92" s="30" t="str">
        <f t="shared" si="13"/>
        <v>·</v>
      </c>
      <c r="AE92" s="31" t="str">
        <f t="shared" si="21"/>
        <v>·</v>
      </c>
      <c r="AF92" s="31" t="str">
        <f t="shared" si="19"/>
        <v>·</v>
      </c>
      <c r="AG92" s="87" t="str">
        <f t="shared" si="22"/>
        <v>·</v>
      </c>
      <c r="AH92" s="31" t="str">
        <f t="shared" si="23"/>
        <v>·</v>
      </c>
      <c r="AI92" s="31" t="str">
        <f t="shared" si="24"/>
        <v>·</v>
      </c>
      <c r="AJ92" s="521"/>
      <c r="AK92" s="503"/>
      <c r="AL92" s="357"/>
      <c r="AM92" s="87"/>
      <c r="AN92" s="547"/>
      <c r="AO92" s="267"/>
      <c r="AP92" s="106"/>
      <c r="AQ92" s="106"/>
      <c r="AR92" s="515"/>
      <c r="AS92" s="507"/>
      <c r="AT92" s="359"/>
      <c r="AU92" s="573">
        <v>0</v>
      </c>
      <c r="AV92" s="573">
        <v>0</v>
      </c>
      <c r="AW92" s="33"/>
      <c r="AY92" s="56" t="e">
        <f t="shared" si="25"/>
        <v>#DIV/0!</v>
      </c>
      <c r="AZ92" s="57" t="e">
        <f t="shared" si="25"/>
        <v>#DIV/0!</v>
      </c>
      <c r="BA92" s="57" t="e">
        <f t="shared" si="20"/>
        <v>#DIV/0!</v>
      </c>
      <c r="BB92" s="58"/>
      <c r="BD92" s="105"/>
      <c r="BE92" s="106"/>
      <c r="BF92" s="106"/>
      <c r="BG92" s="76"/>
      <c r="BI92" s="105"/>
      <c r="BJ92" s="106"/>
      <c r="BK92" s="106"/>
      <c r="BL92" s="76"/>
      <c r="BN92" s="105"/>
      <c r="BO92" s="106"/>
      <c r="BP92" s="106"/>
      <c r="BQ92" s="76"/>
      <c r="BS92" s="105"/>
      <c r="BT92" s="106"/>
      <c r="BU92" s="106"/>
      <c r="BV92" s="76"/>
      <c r="BX92" s="105"/>
      <c r="BY92" s="106"/>
      <c r="BZ92" s="106"/>
      <c r="CA92" s="76"/>
      <c r="CC92" s="105"/>
      <c r="CD92" s="106"/>
      <c r="CE92" s="106"/>
      <c r="CF92" s="76"/>
    </row>
    <row r="93" spans="1:84" outlineLevel="1">
      <c r="A93" s="13"/>
      <c r="B93" s="14" t="s">
        <v>467</v>
      </c>
      <c r="C93" s="15" t="s">
        <v>135</v>
      </c>
      <c r="D93" s="14">
        <f>'AVSC1 limit-lossyG,lossyA,intra'!$D$89</f>
        <v>59935680</v>
      </c>
      <c r="E93" s="15">
        <v>18</v>
      </c>
      <c r="F93" s="15">
        <f>'AVSC1 limit-lossyG,lossyA,intra'!$F$83</f>
        <v>600</v>
      </c>
      <c r="G93" s="16">
        <v>10</v>
      </c>
      <c r="I93" s="30">
        <f t="shared" si="15"/>
        <v>22.08659066666667</v>
      </c>
      <c r="J93" s="31">
        <f t="shared" si="16"/>
        <v>22.110292900656169</v>
      </c>
      <c r="K93" s="31">
        <f t="shared" si="17"/>
        <v>18.942545208463471</v>
      </c>
      <c r="L93" s="87"/>
      <c r="M93" s="31">
        <f t="shared" si="26"/>
        <v>3.1603233332799427</v>
      </c>
      <c r="N93" s="31">
        <f t="shared" si="18"/>
        <v>22.110292900656169</v>
      </c>
      <c r="O93" s="521">
        <v>59935680</v>
      </c>
      <c r="P93" s="503">
        <v>1325195440</v>
      </c>
      <c r="Q93" s="357">
        <v>1135334328</v>
      </c>
      <c r="R93" s="87"/>
      <c r="S93" s="547">
        <v>189416128</v>
      </c>
      <c r="T93" s="267"/>
      <c r="U93" s="106"/>
      <c r="V93" s="106"/>
      <c r="W93" s="515">
        <v>94.785117999999997</v>
      </c>
      <c r="X93" s="507"/>
      <c r="Y93" s="359"/>
      <c r="Z93" s="573">
        <v>0</v>
      </c>
      <c r="AA93" s="573">
        <v>0</v>
      </c>
      <c r="AB93" s="33"/>
      <c r="AD93" s="30" t="str">
        <f t="shared" si="13"/>
        <v>·</v>
      </c>
      <c r="AE93" s="31" t="str">
        <f t="shared" si="21"/>
        <v>·</v>
      </c>
      <c r="AF93" s="31" t="str">
        <f t="shared" si="19"/>
        <v>·</v>
      </c>
      <c r="AG93" s="87" t="str">
        <f t="shared" si="22"/>
        <v>·</v>
      </c>
      <c r="AH93" s="31" t="str">
        <f t="shared" si="23"/>
        <v>·</v>
      </c>
      <c r="AI93" s="31" t="str">
        <f t="shared" si="24"/>
        <v>·</v>
      </c>
      <c r="AJ93" s="521"/>
      <c r="AK93" s="503"/>
      <c r="AL93" s="357"/>
      <c r="AM93" s="87"/>
      <c r="AN93" s="547"/>
      <c r="AO93" s="267"/>
      <c r="AP93" s="106"/>
      <c r="AQ93" s="106"/>
      <c r="AR93" s="515"/>
      <c r="AS93" s="507"/>
      <c r="AT93" s="359"/>
      <c r="AU93" s="573">
        <v>0</v>
      </c>
      <c r="AV93" s="573">
        <v>0</v>
      </c>
      <c r="AW93" s="33"/>
      <c r="AY93" s="56" t="e">
        <f t="shared" si="25"/>
        <v>#DIV/0!</v>
      </c>
      <c r="AZ93" s="57" t="e">
        <f t="shared" si="25"/>
        <v>#DIV/0!</v>
      </c>
      <c r="BA93" s="57" t="e">
        <f t="shared" si="20"/>
        <v>#DIV/0!</v>
      </c>
      <c r="BB93" s="58"/>
      <c r="BD93" s="105"/>
      <c r="BE93" s="106"/>
      <c r="BF93" s="106"/>
      <c r="BG93" s="76"/>
      <c r="BI93" s="105"/>
      <c r="BJ93" s="106"/>
      <c r="BK93" s="106"/>
      <c r="BL93" s="76"/>
      <c r="BN93" s="105"/>
      <c r="BO93" s="106"/>
      <c r="BP93" s="106"/>
      <c r="BQ93" s="76"/>
      <c r="BS93" s="105"/>
      <c r="BT93" s="106"/>
      <c r="BU93" s="106"/>
      <c r="BV93" s="76"/>
      <c r="BX93" s="105"/>
      <c r="BY93" s="106"/>
      <c r="BZ93" s="106"/>
      <c r="CA93" s="76"/>
      <c r="CC93" s="105"/>
      <c r="CD93" s="106"/>
      <c r="CE93" s="106"/>
      <c r="CF93" s="76"/>
    </row>
    <row r="94" spans="1:84" ht="14.25" outlineLevel="1" thickBot="1">
      <c r="A94" s="13"/>
      <c r="B94" s="18" t="s">
        <v>467</v>
      </c>
      <c r="C94" s="19" t="s">
        <v>136</v>
      </c>
      <c r="D94" s="18">
        <f>'AVSC1 limit-lossyG,lossyA,intra'!$D$89</f>
        <v>59935680</v>
      </c>
      <c r="E94" s="19">
        <v>18</v>
      </c>
      <c r="F94" s="19">
        <f>'AVSC1 limit-lossyG,lossyA,intra'!$F$83</f>
        <v>600</v>
      </c>
      <c r="G94" s="20">
        <v>10</v>
      </c>
      <c r="I94" s="34">
        <f t="shared" si="15"/>
        <v>23.137575733333335</v>
      </c>
      <c r="J94" s="35">
        <f t="shared" si="16"/>
        <v>23.162405832385652</v>
      </c>
      <c r="K94" s="35">
        <f t="shared" si="17"/>
        <v>18.942545208463471</v>
      </c>
      <c r="L94" s="89"/>
      <c r="M94" s="35">
        <f t="shared" si="26"/>
        <v>4.2124532165147706</v>
      </c>
      <c r="N94" s="35">
        <f t="shared" si="18"/>
        <v>23.162405832385652</v>
      </c>
      <c r="O94" s="525">
        <v>59935680</v>
      </c>
      <c r="P94" s="505">
        <v>1388254544</v>
      </c>
      <c r="Q94" s="361">
        <v>1135334328</v>
      </c>
      <c r="R94" s="89"/>
      <c r="S94" s="548">
        <v>252476248</v>
      </c>
      <c r="T94" s="545"/>
      <c r="U94" s="109"/>
      <c r="V94" s="109"/>
      <c r="W94" s="517">
        <v>99.523101999999994</v>
      </c>
      <c r="X94" s="509"/>
      <c r="Y94" s="363"/>
      <c r="Z94" s="575">
        <v>0</v>
      </c>
      <c r="AA94" s="575">
        <v>0</v>
      </c>
      <c r="AB94" s="37"/>
      <c r="AD94" s="34" t="str">
        <f t="shared" si="13"/>
        <v>·</v>
      </c>
      <c r="AE94" s="35" t="str">
        <f t="shared" si="21"/>
        <v>·</v>
      </c>
      <c r="AF94" s="35" t="str">
        <f t="shared" si="19"/>
        <v>·</v>
      </c>
      <c r="AG94" s="89" t="str">
        <f t="shared" si="22"/>
        <v>·</v>
      </c>
      <c r="AH94" s="35" t="str">
        <f t="shared" si="23"/>
        <v>·</v>
      </c>
      <c r="AI94" s="35" t="str">
        <f t="shared" si="24"/>
        <v>·</v>
      </c>
      <c r="AJ94" s="525"/>
      <c r="AK94" s="505"/>
      <c r="AL94" s="361"/>
      <c r="AM94" s="89"/>
      <c r="AN94" s="548"/>
      <c r="AO94" s="545"/>
      <c r="AP94" s="109"/>
      <c r="AQ94" s="109"/>
      <c r="AR94" s="517"/>
      <c r="AS94" s="509"/>
      <c r="AT94" s="363"/>
      <c r="AU94" s="575">
        <v>0</v>
      </c>
      <c r="AV94" s="575">
        <v>0</v>
      </c>
      <c r="AW94" s="37"/>
      <c r="AY94" s="59" t="e">
        <f t="shared" si="25"/>
        <v>#DIV/0!</v>
      </c>
      <c r="AZ94" s="60" t="e">
        <f t="shared" si="25"/>
        <v>#DIV/0!</v>
      </c>
      <c r="BA94" s="60" t="e">
        <f t="shared" si="20"/>
        <v>#DIV/0!</v>
      </c>
      <c r="BB94" s="61"/>
      <c r="BD94" s="108"/>
      <c r="BE94" s="109"/>
      <c r="BF94" s="109"/>
      <c r="BG94" s="79"/>
      <c r="BI94" s="108"/>
      <c r="BJ94" s="109"/>
      <c r="BK94" s="109"/>
      <c r="BL94" s="79"/>
      <c r="BN94" s="108"/>
      <c r="BO94" s="109"/>
      <c r="BP94" s="109"/>
      <c r="BQ94" s="79"/>
      <c r="BS94" s="108"/>
      <c r="BT94" s="109"/>
      <c r="BU94" s="109"/>
      <c r="BV94" s="79"/>
      <c r="BX94" s="108"/>
      <c r="BY94" s="109"/>
      <c r="BZ94" s="109"/>
      <c r="CA94" s="79"/>
      <c r="CC94" s="108"/>
      <c r="CD94" s="109"/>
      <c r="CE94" s="109"/>
      <c r="CF94" s="79"/>
    </row>
    <row r="95" spans="1:84">
      <c r="A95" s="13"/>
      <c r="B95" s="24" t="s">
        <v>470</v>
      </c>
      <c r="C95" s="25" t="s">
        <v>131</v>
      </c>
      <c r="D95" s="27">
        <f>'AVSC1 limit-lossyG,lossyA,intra'!$D$95</f>
        <v>59948032</v>
      </c>
      <c r="E95" s="25">
        <v>18</v>
      </c>
      <c r="F95" s="25">
        <f>'AVSC1 limit-lossyG,lossyA,intra'!$F$83</f>
        <v>600</v>
      </c>
      <c r="G95" s="26">
        <v>10</v>
      </c>
      <c r="I95" s="46">
        <f t="shared" si="15"/>
        <v>20.389928133333331</v>
      </c>
      <c r="J95" s="47">
        <f t="shared" si="16"/>
        <v>20.407603839271989</v>
      </c>
      <c r="K95" s="47">
        <f t="shared" si="17"/>
        <v>20.032813087175239</v>
      </c>
      <c r="L95" s="90"/>
      <c r="M95" s="47">
        <f t="shared" si="26"/>
        <v>0.36735097492441454</v>
      </c>
      <c r="N95" s="47">
        <f t="shared" si="18"/>
        <v>20.407603839271989</v>
      </c>
      <c r="O95" s="520">
        <v>59948032</v>
      </c>
      <c r="P95" s="502">
        <v>1223395688</v>
      </c>
      <c r="Q95" s="353">
        <v>1200927720</v>
      </c>
      <c r="R95" s="90"/>
      <c r="S95" s="546">
        <v>22021968</v>
      </c>
      <c r="T95" s="266"/>
      <c r="U95" s="104"/>
      <c r="V95" s="104"/>
      <c r="W95" s="514">
        <v>72.581421000000006</v>
      </c>
      <c r="X95" s="506"/>
      <c r="Y95" s="355"/>
      <c r="Z95" s="572">
        <v>0</v>
      </c>
      <c r="AA95" s="572">
        <v>0</v>
      </c>
      <c r="AB95" s="49"/>
      <c r="AD95" s="46" t="str">
        <f t="shared" si="13"/>
        <v>·</v>
      </c>
      <c r="AE95" s="47" t="str">
        <f t="shared" si="21"/>
        <v>·</v>
      </c>
      <c r="AF95" s="47" t="str">
        <f t="shared" si="19"/>
        <v>·</v>
      </c>
      <c r="AG95" s="90" t="str">
        <f t="shared" si="22"/>
        <v>·</v>
      </c>
      <c r="AH95" s="47" t="str">
        <f t="shared" si="23"/>
        <v>·</v>
      </c>
      <c r="AI95" s="47" t="str">
        <f t="shared" si="24"/>
        <v>·</v>
      </c>
      <c r="AJ95" s="520"/>
      <c r="AK95" s="502"/>
      <c r="AL95" s="353"/>
      <c r="AM95" s="90"/>
      <c r="AN95" s="546"/>
      <c r="AO95" s="266"/>
      <c r="AP95" s="104"/>
      <c r="AQ95" s="104"/>
      <c r="AR95" s="514"/>
      <c r="AS95" s="506"/>
      <c r="AT95" s="355"/>
      <c r="AU95" s="572">
        <v>0</v>
      </c>
      <c r="AV95" s="572">
        <v>0</v>
      </c>
      <c r="AW95" s="49"/>
      <c r="AY95" s="68" t="e">
        <f t="shared" si="25"/>
        <v>#DIV/0!</v>
      </c>
      <c r="AZ95" s="69" t="e">
        <f t="shared" si="25"/>
        <v>#DIV/0!</v>
      </c>
      <c r="BA95" s="69" t="e">
        <f t="shared" si="20"/>
        <v>#DIV/0!</v>
      </c>
      <c r="BB95" s="70" t="e">
        <f t="array" ref="BB95">AVERAGE(AL95:AL100/AK95:AK100) - AVERAGE(Q95:Q100/P95:P100)</f>
        <v>#DIV/0!</v>
      </c>
      <c r="BD95" s="103"/>
      <c r="BE95" s="104"/>
      <c r="BF95" s="104"/>
      <c r="BG95" s="86" t="str">
        <f>IF( OR(ISBLANK($S95:$S100),ISBLANK($AN95:$AN100), ISBLANK($W95:$W100),ISBLANK($AR95:$AR100)), "·", bdRateHermite( $S95:$S100,$W95:$W100, $AN95:$AN100,$AR95:$AR100))</f>
        <v>·</v>
      </c>
      <c r="BI95" s="103"/>
      <c r="BJ95" s="104"/>
      <c r="BK95" s="104"/>
      <c r="BL95" s="85" t="str">
        <f>IF(OR(ISBLANK($P95:$P100),ISBLANK($AK95:$AK100),ISBLANK($W95:$W100),ISBLANK($AR95:$AR100)),"·",bdRateHermite($P95:$P100,$W95:$W100,$AK95:$AK100,$AR95:$AR100))</f>
        <v>·</v>
      </c>
      <c r="BN95" s="103"/>
      <c r="BO95" s="104"/>
      <c r="BP95" s="104"/>
      <c r="BQ95" s="86" t="str">
        <f>IF( OR(ISBLANK($S95:$S100),ISBLANK($AN95:$AN100), ISBLANK($W95:$W100),ISBLANK($AR95:$AR100)), "·", bdRateHermite( $S96:$S100,$W96:$W100, $AN96:$AN100,$AR96:$AR100))</f>
        <v>·</v>
      </c>
      <c r="BS95" s="103"/>
      <c r="BT95" s="104"/>
      <c r="BU95" s="104"/>
      <c r="BV95" s="85" t="str">
        <f>IF(OR(ISBLANK($P95:$P100),ISBLANK($AK95:$AK100),ISBLANK($W95:$W100),ISBLANK($AR95:$AR100)),"·",bdRateHermite($P96:$P100,$W96:$W100,$AK96:$AK100,$AR96:$AR100))</f>
        <v>·</v>
      </c>
      <c r="BX95" s="103"/>
      <c r="BY95" s="104"/>
      <c r="BZ95" s="104"/>
      <c r="CA95" s="86" t="str">
        <f>IF( OR(ISBLANK($S95:$S99),ISBLANK($AN95:$AN99), ISBLANK($W95:$W99),ISBLANK($AR95:$AR99)), "·", bdRateHermite( $S95:$S99,$W95:$W99, $AN95:$AN99,$AR95:$AR99))</f>
        <v>·</v>
      </c>
      <c r="CC95" s="103"/>
      <c r="CD95" s="104"/>
      <c r="CE95" s="104"/>
      <c r="CF95" s="85" t="str">
        <f>IF(OR(ISBLANK($P95:$P99),ISBLANK($AK95:$AK99),ISBLANK($W95:$W99),ISBLANK($AR95:$AR99)),"·",bdRateHermite($P95:$P99,$W95:$W99,$AK95:$AK99,$AR95:$AR99))</f>
        <v>·</v>
      </c>
    </row>
    <row r="96" spans="1:84" outlineLevel="1">
      <c r="A96" s="13"/>
      <c r="B96" s="14" t="s">
        <v>470</v>
      </c>
      <c r="C96" s="15" t="s">
        <v>132</v>
      </c>
      <c r="D96" s="24">
        <f>'AVSC1 limit-lossyG,lossyA,intra'!$D$95</f>
        <v>59948032</v>
      </c>
      <c r="E96" s="15">
        <v>18</v>
      </c>
      <c r="F96" s="15">
        <f>'AVSC1 limit-lossyG,lossyA,intra'!$F$83</f>
        <v>600</v>
      </c>
      <c r="G96" s="16">
        <v>10</v>
      </c>
      <c r="I96" s="30">
        <f t="shared" si="15"/>
        <v>20.904415733333334</v>
      </c>
      <c r="J96" s="31">
        <f t="shared" si="16"/>
        <v>20.922537440428403</v>
      </c>
      <c r="K96" s="31">
        <f t="shared" si="17"/>
        <v>20.032813087175239</v>
      </c>
      <c r="L96" s="87"/>
      <c r="M96" s="31">
        <f t="shared" si="26"/>
        <v>0.88228457608082944</v>
      </c>
      <c r="N96" s="31">
        <f t="shared" si="18"/>
        <v>20.922537440428403</v>
      </c>
      <c r="O96" s="523">
        <v>59948032</v>
      </c>
      <c r="P96" s="503">
        <v>1254264944</v>
      </c>
      <c r="Q96" s="357">
        <v>1200927720</v>
      </c>
      <c r="R96" s="87"/>
      <c r="S96" s="547">
        <v>52891224</v>
      </c>
      <c r="T96" s="267"/>
      <c r="U96" s="106"/>
      <c r="V96" s="106"/>
      <c r="W96" s="515">
        <v>77.807616999999993</v>
      </c>
      <c r="X96" s="507"/>
      <c r="Y96" s="359"/>
      <c r="Z96" s="573">
        <v>0</v>
      </c>
      <c r="AA96" s="573">
        <v>0</v>
      </c>
      <c r="AB96" s="33"/>
      <c r="AD96" s="30" t="str">
        <f t="shared" si="13"/>
        <v>·</v>
      </c>
      <c r="AE96" s="31" t="str">
        <f t="shared" si="21"/>
        <v>·</v>
      </c>
      <c r="AF96" s="31" t="str">
        <f t="shared" si="19"/>
        <v>·</v>
      </c>
      <c r="AG96" s="87" t="str">
        <f t="shared" si="22"/>
        <v>·</v>
      </c>
      <c r="AH96" s="31" t="str">
        <f t="shared" si="23"/>
        <v>·</v>
      </c>
      <c r="AI96" s="31" t="str">
        <f t="shared" si="24"/>
        <v>·</v>
      </c>
      <c r="AJ96" s="523"/>
      <c r="AK96" s="503"/>
      <c r="AL96" s="357"/>
      <c r="AM96" s="87"/>
      <c r="AN96" s="547"/>
      <c r="AO96" s="267"/>
      <c r="AP96" s="106"/>
      <c r="AQ96" s="106"/>
      <c r="AR96" s="515"/>
      <c r="AS96" s="507"/>
      <c r="AT96" s="359"/>
      <c r="AU96" s="573">
        <v>0</v>
      </c>
      <c r="AV96" s="573">
        <v>0</v>
      </c>
      <c r="AW96" s="33"/>
      <c r="AY96" s="56" t="e">
        <f t="shared" si="25"/>
        <v>#DIV/0!</v>
      </c>
      <c r="AZ96" s="57" t="e">
        <f t="shared" si="25"/>
        <v>#DIV/0!</v>
      </c>
      <c r="BA96" s="57" t="e">
        <f t="shared" si="20"/>
        <v>#DIV/0!</v>
      </c>
      <c r="BB96" s="58"/>
      <c r="BD96" s="105"/>
      <c r="BE96" s="106"/>
      <c r="BF96" s="106"/>
      <c r="BG96" s="107"/>
      <c r="BI96" s="105"/>
      <c r="BJ96" s="106"/>
      <c r="BK96" s="106"/>
      <c r="BL96" s="76"/>
      <c r="BN96" s="105"/>
      <c r="BO96" s="106"/>
      <c r="BP96" s="106"/>
      <c r="BQ96" s="107"/>
      <c r="BS96" s="105"/>
      <c r="BT96" s="106"/>
      <c r="BU96" s="106"/>
      <c r="BV96" s="76"/>
      <c r="BX96" s="105"/>
      <c r="BY96" s="106"/>
      <c r="BZ96" s="106"/>
      <c r="CA96" s="107"/>
      <c r="CC96" s="105"/>
      <c r="CD96" s="106"/>
      <c r="CE96" s="106"/>
      <c r="CF96" s="76"/>
    </row>
    <row r="97" spans="1:84" outlineLevel="1">
      <c r="A97" s="13"/>
      <c r="B97" s="14" t="s">
        <v>468</v>
      </c>
      <c r="C97" s="15" t="s">
        <v>133</v>
      </c>
      <c r="D97" s="24">
        <f>'AVSC1 limit-lossyG,lossyA,intra'!$D$95</f>
        <v>59948032</v>
      </c>
      <c r="E97" s="15">
        <v>18</v>
      </c>
      <c r="F97" s="15">
        <f>'AVSC1 limit-lossyG,lossyA,intra'!$F$83</f>
        <v>600</v>
      </c>
      <c r="G97" s="16">
        <v>10</v>
      </c>
      <c r="I97" s="30">
        <f t="shared" si="15"/>
        <v>21.574364533333334</v>
      </c>
      <c r="J97" s="31">
        <f t="shared" si="16"/>
        <v>21.593067008438243</v>
      </c>
      <c r="K97" s="31">
        <f t="shared" si="17"/>
        <v>20.032813087175239</v>
      </c>
      <c r="L97" s="87"/>
      <c r="M97" s="31">
        <f t="shared" si="26"/>
        <v>1.5528141440906684</v>
      </c>
      <c r="N97" s="31">
        <f t="shared" si="18"/>
        <v>21.593067008438243</v>
      </c>
      <c r="O97" s="523">
        <v>59948032</v>
      </c>
      <c r="P97" s="503">
        <v>1294461872</v>
      </c>
      <c r="Q97" s="357">
        <v>1200927720</v>
      </c>
      <c r="R97" s="87"/>
      <c r="S97" s="547">
        <v>93088152</v>
      </c>
      <c r="T97" s="267"/>
      <c r="U97" s="106"/>
      <c r="V97" s="106"/>
      <c r="W97" s="515">
        <v>83.353226000000006</v>
      </c>
      <c r="X97" s="507"/>
      <c r="Y97" s="359"/>
      <c r="Z97" s="573">
        <v>0</v>
      </c>
      <c r="AA97" s="573">
        <v>0</v>
      </c>
      <c r="AB97" s="33"/>
      <c r="AD97" s="30" t="str">
        <f t="shared" si="13"/>
        <v>·</v>
      </c>
      <c r="AE97" s="31" t="str">
        <f t="shared" si="21"/>
        <v>·</v>
      </c>
      <c r="AF97" s="31" t="str">
        <f t="shared" si="19"/>
        <v>·</v>
      </c>
      <c r="AG97" s="87" t="str">
        <f t="shared" si="22"/>
        <v>·</v>
      </c>
      <c r="AH97" s="31" t="str">
        <f t="shared" si="23"/>
        <v>·</v>
      </c>
      <c r="AI97" s="31" t="str">
        <f t="shared" si="24"/>
        <v>·</v>
      </c>
      <c r="AJ97" s="523"/>
      <c r="AK97" s="503"/>
      <c r="AL97" s="357"/>
      <c r="AM97" s="87"/>
      <c r="AN97" s="547"/>
      <c r="AO97" s="267"/>
      <c r="AP97" s="106"/>
      <c r="AQ97" s="106"/>
      <c r="AR97" s="515"/>
      <c r="AS97" s="507"/>
      <c r="AT97" s="359"/>
      <c r="AU97" s="573">
        <v>0</v>
      </c>
      <c r="AV97" s="573">
        <v>0</v>
      </c>
      <c r="AW97" s="33"/>
      <c r="AY97" s="56" t="e">
        <f t="shared" ref="AY97:AZ114" si="27">AU97/Z97</f>
        <v>#DIV/0!</v>
      </c>
      <c r="AZ97" s="57" t="e">
        <f t="shared" si="27"/>
        <v>#DIV/0!</v>
      </c>
      <c r="BA97" s="57" t="e">
        <f t="shared" si="20"/>
        <v>#DIV/0!</v>
      </c>
      <c r="BB97" s="58"/>
      <c r="BD97" s="105"/>
      <c r="BE97" s="106"/>
      <c r="BF97" s="106"/>
      <c r="BG97" s="107"/>
      <c r="BI97" s="105"/>
      <c r="BJ97" s="106"/>
      <c r="BK97" s="106"/>
      <c r="BL97" s="76"/>
      <c r="BN97" s="105"/>
      <c r="BO97" s="106"/>
      <c r="BP97" s="106"/>
      <c r="BQ97" s="107"/>
      <c r="BS97" s="105"/>
      <c r="BT97" s="106"/>
      <c r="BU97" s="106"/>
      <c r="BV97" s="76"/>
      <c r="BX97" s="105"/>
      <c r="BY97" s="106"/>
      <c r="BZ97" s="106"/>
      <c r="CA97" s="107"/>
      <c r="CC97" s="105"/>
      <c r="CD97" s="106"/>
      <c r="CE97" s="106"/>
      <c r="CF97" s="76"/>
    </row>
    <row r="98" spans="1:84" outlineLevel="1">
      <c r="A98" s="13"/>
      <c r="B98" s="14" t="s">
        <v>468</v>
      </c>
      <c r="C98" s="15" t="s">
        <v>134</v>
      </c>
      <c r="D98" s="24">
        <f>'AVSC1 limit-lossyG,lossyA,intra'!$D$95</f>
        <v>59948032</v>
      </c>
      <c r="E98" s="15">
        <v>18</v>
      </c>
      <c r="F98" s="15">
        <f>'AVSC1 limit-lossyG,lossyA,intra'!$F$83</f>
        <v>600</v>
      </c>
      <c r="G98" s="16">
        <v>10</v>
      </c>
      <c r="I98" s="30">
        <f t="shared" si="15"/>
        <v>22.373289733333333</v>
      </c>
      <c r="J98" s="31">
        <f t="shared" si="16"/>
        <v>22.392684784047624</v>
      </c>
      <c r="K98" s="31">
        <f t="shared" si="17"/>
        <v>20.032813087175239</v>
      </c>
      <c r="L98" s="87"/>
      <c r="M98" s="31">
        <f t="shared" si="26"/>
        <v>2.3524440635515775</v>
      </c>
      <c r="N98" s="31">
        <f t="shared" si="18"/>
        <v>22.392684784047624</v>
      </c>
      <c r="O98" s="523">
        <v>59948032</v>
      </c>
      <c r="P98" s="503">
        <v>1342397384</v>
      </c>
      <c r="Q98" s="357">
        <v>1200927720</v>
      </c>
      <c r="R98" s="87"/>
      <c r="S98" s="547">
        <v>141024392</v>
      </c>
      <c r="T98" s="267"/>
      <c r="U98" s="106"/>
      <c r="V98" s="106"/>
      <c r="W98" s="515">
        <v>89.100082</v>
      </c>
      <c r="X98" s="507"/>
      <c r="Y98" s="359"/>
      <c r="Z98" s="573">
        <v>0</v>
      </c>
      <c r="AA98" s="573">
        <v>0</v>
      </c>
      <c r="AB98" s="33"/>
      <c r="AD98" s="30" t="str">
        <f t="shared" si="13"/>
        <v>·</v>
      </c>
      <c r="AE98" s="31" t="str">
        <f t="shared" si="21"/>
        <v>·</v>
      </c>
      <c r="AF98" s="31" t="str">
        <f t="shared" si="19"/>
        <v>·</v>
      </c>
      <c r="AG98" s="87" t="str">
        <f t="shared" si="22"/>
        <v>·</v>
      </c>
      <c r="AH98" s="31" t="str">
        <f t="shared" si="23"/>
        <v>·</v>
      </c>
      <c r="AI98" s="31" t="str">
        <f t="shared" si="24"/>
        <v>·</v>
      </c>
      <c r="AJ98" s="523"/>
      <c r="AK98" s="503"/>
      <c r="AL98" s="357"/>
      <c r="AM98" s="87"/>
      <c r="AN98" s="547"/>
      <c r="AO98" s="267"/>
      <c r="AP98" s="106"/>
      <c r="AQ98" s="106"/>
      <c r="AR98" s="515"/>
      <c r="AS98" s="507"/>
      <c r="AT98" s="359"/>
      <c r="AU98" s="573">
        <v>0</v>
      </c>
      <c r="AV98" s="573">
        <v>0</v>
      </c>
      <c r="AW98" s="33"/>
      <c r="AY98" s="56" t="e">
        <f t="shared" si="27"/>
        <v>#DIV/0!</v>
      </c>
      <c r="AZ98" s="57" t="e">
        <f t="shared" si="27"/>
        <v>#DIV/0!</v>
      </c>
      <c r="BA98" s="57" t="e">
        <f t="shared" si="20"/>
        <v>#DIV/0!</v>
      </c>
      <c r="BB98" s="58"/>
      <c r="BD98" s="105"/>
      <c r="BE98" s="106"/>
      <c r="BF98" s="106"/>
      <c r="BG98" s="107"/>
      <c r="BI98" s="105"/>
      <c r="BJ98" s="106"/>
      <c r="BK98" s="106"/>
      <c r="BL98" s="76"/>
      <c r="BN98" s="105"/>
      <c r="BO98" s="106"/>
      <c r="BP98" s="106"/>
      <c r="BQ98" s="107"/>
      <c r="BS98" s="105"/>
      <c r="BT98" s="106"/>
      <c r="BU98" s="106"/>
      <c r="BV98" s="76"/>
      <c r="BX98" s="105"/>
      <c r="BY98" s="106"/>
      <c r="BZ98" s="106"/>
      <c r="CA98" s="107"/>
      <c r="CC98" s="105"/>
      <c r="CD98" s="106"/>
      <c r="CE98" s="106"/>
      <c r="CF98" s="76"/>
    </row>
    <row r="99" spans="1:84" outlineLevel="1">
      <c r="A99" s="13"/>
      <c r="B99" s="14" t="s">
        <v>468</v>
      </c>
      <c r="C99" s="15" t="s">
        <v>135</v>
      </c>
      <c r="D99" s="24">
        <f>'AVSC1 limit-lossyG,lossyA,intra'!$D$95</f>
        <v>59948032</v>
      </c>
      <c r="E99" s="15">
        <v>18</v>
      </c>
      <c r="F99" s="15">
        <f>'AVSC1 limit-lossyG,lossyA,intra'!$F$83</f>
        <v>600</v>
      </c>
      <c r="G99" s="16">
        <v>10</v>
      </c>
      <c r="I99" s="30">
        <f t="shared" si="15"/>
        <v>23.272213600000001</v>
      </c>
      <c r="J99" s="31">
        <f t="shared" si="16"/>
        <v>23.292387913584886</v>
      </c>
      <c r="K99" s="31">
        <f t="shared" si="17"/>
        <v>20.032813087175239</v>
      </c>
      <c r="L99" s="87"/>
      <c r="M99" s="31">
        <f t="shared" si="26"/>
        <v>3.2521471930888408</v>
      </c>
      <c r="N99" s="31">
        <f t="shared" si="18"/>
        <v>23.292387913584886</v>
      </c>
      <c r="O99" s="523">
        <v>59948032</v>
      </c>
      <c r="P99" s="503">
        <v>1396332816</v>
      </c>
      <c r="Q99" s="357">
        <v>1200927720</v>
      </c>
      <c r="R99" s="87"/>
      <c r="S99" s="547">
        <v>194959824</v>
      </c>
      <c r="T99" s="267"/>
      <c r="U99" s="106"/>
      <c r="V99" s="106"/>
      <c r="W99" s="515">
        <v>94.678047000000007</v>
      </c>
      <c r="X99" s="507"/>
      <c r="Y99" s="359"/>
      <c r="Z99" s="573">
        <v>0</v>
      </c>
      <c r="AA99" s="573">
        <v>0</v>
      </c>
      <c r="AB99" s="33"/>
      <c r="AD99" s="30" t="str">
        <f t="shared" si="13"/>
        <v>·</v>
      </c>
      <c r="AE99" s="31" t="str">
        <f t="shared" si="21"/>
        <v>·</v>
      </c>
      <c r="AF99" s="31" t="str">
        <f t="shared" si="19"/>
        <v>·</v>
      </c>
      <c r="AG99" s="87" t="str">
        <f t="shared" si="22"/>
        <v>·</v>
      </c>
      <c r="AH99" s="31" t="str">
        <f t="shared" si="23"/>
        <v>·</v>
      </c>
      <c r="AI99" s="31" t="str">
        <f t="shared" si="24"/>
        <v>·</v>
      </c>
      <c r="AJ99" s="523"/>
      <c r="AK99" s="503"/>
      <c r="AL99" s="357"/>
      <c r="AM99" s="87"/>
      <c r="AN99" s="547"/>
      <c r="AO99" s="267"/>
      <c r="AP99" s="106"/>
      <c r="AQ99" s="106"/>
      <c r="AR99" s="515"/>
      <c r="AS99" s="507"/>
      <c r="AT99" s="359"/>
      <c r="AU99" s="573">
        <v>0</v>
      </c>
      <c r="AV99" s="573">
        <v>0</v>
      </c>
      <c r="AW99" s="33"/>
      <c r="AY99" s="56" t="e">
        <f t="shared" si="27"/>
        <v>#DIV/0!</v>
      </c>
      <c r="AZ99" s="57" t="e">
        <f t="shared" si="27"/>
        <v>#DIV/0!</v>
      </c>
      <c r="BA99" s="57" t="e">
        <f t="shared" si="20"/>
        <v>#DIV/0!</v>
      </c>
      <c r="BB99" s="58"/>
      <c r="BD99" s="105"/>
      <c r="BE99" s="106"/>
      <c r="BF99" s="106"/>
      <c r="BG99" s="107"/>
      <c r="BI99" s="105"/>
      <c r="BJ99" s="106"/>
      <c r="BK99" s="106"/>
      <c r="BL99" s="76"/>
      <c r="BN99" s="105"/>
      <c r="BO99" s="106"/>
      <c r="BP99" s="106"/>
      <c r="BQ99" s="107"/>
      <c r="BS99" s="105"/>
      <c r="BT99" s="106"/>
      <c r="BU99" s="106"/>
      <c r="BV99" s="76"/>
      <c r="BX99" s="105"/>
      <c r="BY99" s="106"/>
      <c r="BZ99" s="106"/>
      <c r="CA99" s="107"/>
      <c r="CC99" s="105"/>
      <c r="CD99" s="106"/>
      <c r="CE99" s="106"/>
      <c r="CF99" s="76"/>
    </row>
    <row r="100" spans="1:84" ht="14.25" outlineLevel="1" thickBot="1">
      <c r="A100" s="215"/>
      <c r="B100" s="18" t="s">
        <v>468</v>
      </c>
      <c r="C100" s="19" t="s">
        <v>136</v>
      </c>
      <c r="D100" s="185">
        <f>'AVSC1 limit-lossyG,lossyA,intra'!$D$95</f>
        <v>59948032</v>
      </c>
      <c r="E100" s="19">
        <v>18</v>
      </c>
      <c r="F100" s="19">
        <f>'AVSC1 limit-lossyG,lossyA,intra'!$F$83</f>
        <v>600</v>
      </c>
      <c r="G100" s="20">
        <v>10</v>
      </c>
      <c r="I100" s="34">
        <f t="shared" si="15"/>
        <v>24.360481866666667</v>
      </c>
      <c r="J100" s="35">
        <f t="shared" si="16"/>
        <v>24.381599582785302</v>
      </c>
      <c r="K100" s="35">
        <f t="shared" si="17"/>
        <v>20.032813087175239</v>
      </c>
      <c r="L100" s="88"/>
      <c r="M100" s="35">
        <f t="shared" si="26"/>
        <v>4.3413768778931727</v>
      </c>
      <c r="N100" s="35">
        <f t="shared" si="18"/>
        <v>24.381599582785302</v>
      </c>
      <c r="O100" s="524">
        <v>59948032</v>
      </c>
      <c r="P100" s="505">
        <v>1461628912</v>
      </c>
      <c r="Q100" s="361">
        <v>1200927720</v>
      </c>
      <c r="R100" s="88"/>
      <c r="S100" s="548">
        <v>260257000</v>
      </c>
      <c r="T100" s="545"/>
      <c r="U100" s="109"/>
      <c r="V100" s="109"/>
      <c r="W100" s="517">
        <v>99.443916000000002</v>
      </c>
      <c r="X100" s="509"/>
      <c r="Y100" s="363"/>
      <c r="Z100" s="575">
        <v>0</v>
      </c>
      <c r="AA100" s="575">
        <v>0</v>
      </c>
      <c r="AB100" s="37"/>
      <c r="AD100" s="34" t="str">
        <f t="shared" si="13"/>
        <v>·</v>
      </c>
      <c r="AE100" s="35" t="str">
        <f t="shared" si="21"/>
        <v>·</v>
      </c>
      <c r="AF100" s="35" t="str">
        <f t="shared" si="19"/>
        <v>·</v>
      </c>
      <c r="AG100" s="88" t="str">
        <f t="shared" si="22"/>
        <v>·</v>
      </c>
      <c r="AH100" s="35" t="str">
        <f t="shared" si="23"/>
        <v>·</v>
      </c>
      <c r="AI100" s="35" t="str">
        <f t="shared" si="24"/>
        <v>·</v>
      </c>
      <c r="AJ100" s="524"/>
      <c r="AK100" s="505"/>
      <c r="AL100" s="361"/>
      <c r="AM100" s="88"/>
      <c r="AN100" s="548"/>
      <c r="AO100" s="545"/>
      <c r="AP100" s="109"/>
      <c r="AQ100" s="109"/>
      <c r="AR100" s="517"/>
      <c r="AS100" s="509"/>
      <c r="AT100" s="363"/>
      <c r="AU100" s="575">
        <v>0</v>
      </c>
      <c r="AV100" s="575">
        <v>0</v>
      </c>
      <c r="AW100" s="37"/>
      <c r="AY100" s="59" t="e">
        <f t="shared" si="27"/>
        <v>#DIV/0!</v>
      </c>
      <c r="AZ100" s="60" t="e">
        <f t="shared" si="27"/>
        <v>#DIV/0!</v>
      </c>
      <c r="BA100" s="60" t="e">
        <f t="shared" si="20"/>
        <v>#DIV/0!</v>
      </c>
      <c r="BB100" s="61"/>
      <c r="BD100" s="108"/>
      <c r="BE100" s="109"/>
      <c r="BF100" s="109"/>
      <c r="BG100" s="110"/>
      <c r="BI100" s="108"/>
      <c r="BJ100" s="109"/>
      <c r="BK100" s="109"/>
      <c r="BL100" s="79"/>
      <c r="BN100" s="108"/>
      <c r="BO100" s="109"/>
      <c r="BP100" s="109"/>
      <c r="BQ100" s="110"/>
      <c r="BS100" s="108"/>
      <c r="BT100" s="109"/>
      <c r="BU100" s="109"/>
      <c r="BV100" s="79"/>
      <c r="BX100" s="108"/>
      <c r="BY100" s="109"/>
      <c r="BZ100" s="109"/>
      <c r="CA100" s="110"/>
      <c r="CC100" s="108"/>
      <c r="CD100" s="109"/>
      <c r="CE100" s="109"/>
      <c r="CF100" s="79"/>
    </row>
    <row r="101" spans="1:84">
      <c r="A101" s="13"/>
      <c r="B101" s="24" t="s">
        <v>814</v>
      </c>
      <c r="C101" s="25" t="s">
        <v>131</v>
      </c>
      <c r="D101" s="27">
        <v>40386600</v>
      </c>
      <c r="E101" s="25">
        <v>20</v>
      </c>
      <c r="F101" s="25">
        <v>387</v>
      </c>
      <c r="G101" s="26">
        <v>20</v>
      </c>
      <c r="I101" s="46">
        <f t="shared" si="15"/>
        <v>31.34693581395349</v>
      </c>
      <c r="J101" s="47">
        <f t="shared" si="16"/>
        <v>15.018922315817623</v>
      </c>
      <c r="K101" s="47">
        <f t="shared" si="17"/>
        <v>14.81315248126854</v>
      </c>
      <c r="L101" s="92"/>
      <c r="M101" s="47">
        <f t="shared" si="26"/>
        <v>0.19859438526640025</v>
      </c>
      <c r="N101" s="47">
        <f t="shared" si="18"/>
        <v>15.018922315817623</v>
      </c>
      <c r="O101" s="520">
        <v>40386600</v>
      </c>
      <c r="P101" s="502">
        <v>606563208</v>
      </c>
      <c r="Q101" s="353">
        <v>598252864</v>
      </c>
      <c r="R101" s="92"/>
      <c r="S101" s="546">
        <v>8020552</v>
      </c>
      <c r="T101" s="266"/>
      <c r="U101" s="104"/>
      <c r="V101" s="104"/>
      <c r="W101" s="514">
        <v>72.805847</v>
      </c>
      <c r="X101" s="506"/>
      <c r="Y101" s="355"/>
      <c r="Z101" s="572">
        <v>0</v>
      </c>
      <c r="AA101" s="572">
        <v>0</v>
      </c>
      <c r="AB101" s="49"/>
      <c r="AD101" s="46" t="str">
        <f t="shared" si="13"/>
        <v>·</v>
      </c>
      <c r="AE101" s="47" t="str">
        <f t="shared" si="21"/>
        <v>·</v>
      </c>
      <c r="AF101" s="47" t="str">
        <f t="shared" si="19"/>
        <v>·</v>
      </c>
      <c r="AG101" s="92" t="str">
        <f t="shared" si="22"/>
        <v>·</v>
      </c>
      <c r="AH101" s="47" t="str">
        <f t="shared" si="23"/>
        <v>·</v>
      </c>
      <c r="AI101" s="47" t="str">
        <f t="shared" si="24"/>
        <v>·</v>
      </c>
      <c r="AJ101" s="520"/>
      <c r="AK101" s="502"/>
      <c r="AL101" s="353"/>
      <c r="AM101" s="92"/>
      <c r="AN101" s="546"/>
      <c r="AO101" s="266"/>
      <c r="AP101" s="104"/>
      <c r="AQ101" s="104"/>
      <c r="AR101" s="514"/>
      <c r="AS101" s="506"/>
      <c r="AT101" s="355"/>
      <c r="AU101" s="572">
        <v>0</v>
      </c>
      <c r="AV101" s="572">
        <v>0</v>
      </c>
      <c r="AW101" s="49"/>
      <c r="AY101" s="68" t="e">
        <f t="shared" si="27"/>
        <v>#DIV/0!</v>
      </c>
      <c r="AZ101" s="69" t="e">
        <f t="shared" si="27"/>
        <v>#DIV/0!</v>
      </c>
      <c r="BA101" s="69" t="e">
        <f t="shared" si="20"/>
        <v>#DIV/0!</v>
      </c>
      <c r="BB101" s="70" t="e">
        <f t="array" ref="BB101">AVERAGE(AL101:AL106/AK101:AK106) - AVERAGE(Q101:Q106/P101:P106)</f>
        <v>#DIV/0!</v>
      </c>
      <c r="BD101" s="103"/>
      <c r="BE101" s="104"/>
      <c r="BF101" s="104"/>
      <c r="BG101" s="86" t="str">
        <f>IF( OR(ISBLANK($S101:$S106),ISBLANK($AN101:$AN106), ISBLANK($W101:$W106),ISBLANK($AR101:$AR106)), "·", bdRateHermite( $S101:$S106,$W101:$W106, $AN101:$AN106,$AR101:$AR106))</f>
        <v>·</v>
      </c>
      <c r="BI101" s="103"/>
      <c r="BJ101" s="104"/>
      <c r="BK101" s="104"/>
      <c r="BL101" s="85" t="str">
        <f>IF(OR(ISBLANK($P101:$P106),ISBLANK($AK101:$AK106),ISBLANK($W101:$W106),ISBLANK($AR101:$AR106)),"·",bdRateHermite($P101:$P106,$W101:$W106,$AK101:$AK106,$AR101:$AR106))</f>
        <v>·</v>
      </c>
      <c r="BN101" s="103"/>
      <c r="BO101" s="104"/>
      <c r="BP101" s="104"/>
      <c r="BQ101" s="86" t="str">
        <f>IF( OR(ISBLANK($S101:$S106),ISBLANK($AN101:$AN106), ISBLANK($W101:$W106),ISBLANK($AR101:$AR106)), "·", bdRateHermite( $S102:$S106,$W102:$W106, $AN102:$AN106,$AR102:$AR106))</f>
        <v>·</v>
      </c>
      <c r="BS101" s="103"/>
      <c r="BT101" s="104"/>
      <c r="BU101" s="104"/>
      <c r="BV101" s="85" t="str">
        <f>IF(OR(ISBLANK($P101:$P106),ISBLANK($AK101:$AK106),ISBLANK($W101:$W106),ISBLANK($AR101:$AR106)),"·",bdRateHermite($P102:$P106,$W102:$W106,$AK102:$AK106,$AR102:$AR106))</f>
        <v>·</v>
      </c>
      <c r="BX101" s="103"/>
      <c r="BY101" s="104"/>
      <c r="BZ101" s="104"/>
      <c r="CA101" s="86" t="str">
        <f>IF( OR(ISBLANK($S101:$S105),ISBLANK($AN101:$AN105), ISBLANK($W101:$W105),ISBLANK($AR101:$AR105)), "·", bdRateHermite( $S101:$S105,$W101:$W105, $AN101:$AN105,$AR101:$AR105))</f>
        <v>·</v>
      </c>
      <c r="CC101" s="103"/>
      <c r="CD101" s="104"/>
      <c r="CE101" s="104"/>
      <c r="CF101" s="85" t="str">
        <f>IF(OR(ISBLANK($P101:$P105),ISBLANK($AK101:$AK105),ISBLANK($W101:$W105),ISBLANK($AR101:$AR105)),"·",bdRateHermite($P101:$P105,$W101:$W105,$AK101:$AK105,$AR101:$AR105))</f>
        <v>·</v>
      </c>
    </row>
    <row r="102" spans="1:84" outlineLevel="1">
      <c r="A102" s="13"/>
      <c r="B102" s="24" t="s">
        <v>813</v>
      </c>
      <c r="C102" s="15" t="s">
        <v>132</v>
      </c>
      <c r="D102" s="24">
        <v>40386600</v>
      </c>
      <c r="E102" s="15">
        <v>20</v>
      </c>
      <c r="F102" s="25">
        <v>387</v>
      </c>
      <c r="G102" s="26">
        <v>20</v>
      </c>
      <c r="I102" s="30">
        <f t="shared" si="15"/>
        <v>31.873248992248062</v>
      </c>
      <c r="J102" s="31">
        <f t="shared" si="16"/>
        <v>15.271089123620211</v>
      </c>
      <c r="K102" s="31">
        <f t="shared" si="17"/>
        <v>14.81315248126854</v>
      </c>
      <c r="L102" s="87"/>
      <c r="M102" s="31">
        <f t="shared" si="26"/>
        <v>0.45076119306898821</v>
      </c>
      <c r="N102" s="31">
        <f t="shared" si="18"/>
        <v>15.271089123620211</v>
      </c>
      <c r="O102" s="521">
        <v>40386600</v>
      </c>
      <c r="P102" s="503">
        <v>616747368</v>
      </c>
      <c r="Q102" s="357">
        <v>598252864</v>
      </c>
      <c r="R102" s="87"/>
      <c r="S102" s="547">
        <v>18204712</v>
      </c>
      <c r="T102" s="267"/>
      <c r="U102" s="106"/>
      <c r="V102" s="106"/>
      <c r="W102" s="515">
        <v>78.562873999999994</v>
      </c>
      <c r="X102" s="507"/>
      <c r="Y102" s="359"/>
      <c r="Z102" s="573">
        <v>0</v>
      </c>
      <c r="AA102" s="573">
        <v>0</v>
      </c>
      <c r="AB102" s="33"/>
      <c r="AD102" s="30" t="str">
        <f t="shared" si="13"/>
        <v>·</v>
      </c>
      <c r="AE102" s="31" t="str">
        <f t="shared" si="21"/>
        <v>·</v>
      </c>
      <c r="AF102" s="31" t="str">
        <f t="shared" si="19"/>
        <v>·</v>
      </c>
      <c r="AG102" s="87" t="str">
        <f t="shared" si="22"/>
        <v>·</v>
      </c>
      <c r="AH102" s="31" t="str">
        <f t="shared" si="23"/>
        <v>·</v>
      </c>
      <c r="AI102" s="31" t="str">
        <f t="shared" si="24"/>
        <v>·</v>
      </c>
      <c r="AJ102" s="521"/>
      <c r="AK102" s="503"/>
      <c r="AL102" s="357"/>
      <c r="AM102" s="87"/>
      <c r="AN102" s="547"/>
      <c r="AO102" s="267"/>
      <c r="AP102" s="106"/>
      <c r="AQ102" s="106"/>
      <c r="AR102" s="515"/>
      <c r="AS102" s="507"/>
      <c r="AT102" s="359"/>
      <c r="AU102" s="573">
        <v>0</v>
      </c>
      <c r="AV102" s="573">
        <v>0</v>
      </c>
      <c r="AW102" s="33"/>
      <c r="AY102" s="56" t="e">
        <f t="shared" si="27"/>
        <v>#DIV/0!</v>
      </c>
      <c r="AZ102" s="57" t="e">
        <f t="shared" si="27"/>
        <v>#DIV/0!</v>
      </c>
      <c r="BA102" s="57" t="e">
        <f t="shared" si="20"/>
        <v>#DIV/0!</v>
      </c>
      <c r="BB102" s="58"/>
      <c r="BD102" s="105"/>
      <c r="BE102" s="106"/>
      <c r="BF102" s="106"/>
      <c r="BG102" s="76"/>
      <c r="BI102" s="105"/>
      <c r="BJ102" s="106"/>
      <c r="BK102" s="106"/>
      <c r="BL102" s="76"/>
      <c r="BN102" s="105"/>
      <c r="BO102" s="106"/>
      <c r="BP102" s="106"/>
      <c r="BQ102" s="76"/>
      <c r="BS102" s="105"/>
      <c r="BT102" s="106"/>
      <c r="BU102" s="106"/>
      <c r="BV102" s="76"/>
      <c r="BX102" s="105"/>
      <c r="BY102" s="106"/>
      <c r="BZ102" s="106"/>
      <c r="CA102" s="76"/>
      <c r="CC102" s="105"/>
      <c r="CD102" s="106"/>
      <c r="CE102" s="106"/>
      <c r="CF102" s="76"/>
    </row>
    <row r="103" spans="1:84" outlineLevel="1">
      <c r="A103" s="13"/>
      <c r="B103" s="24" t="s">
        <v>813</v>
      </c>
      <c r="C103" s="15" t="s">
        <v>133</v>
      </c>
      <c r="D103" s="24">
        <v>40386600</v>
      </c>
      <c r="E103" s="15">
        <v>20</v>
      </c>
      <c r="F103" s="25">
        <v>387</v>
      </c>
      <c r="G103" s="26">
        <v>20</v>
      </c>
      <c r="I103" s="30">
        <f t="shared" si="15"/>
        <v>32.673105529715762</v>
      </c>
      <c r="J103" s="31">
        <f t="shared" si="16"/>
        <v>15.654315837431227</v>
      </c>
      <c r="K103" s="31">
        <f t="shared" si="17"/>
        <v>14.81315248126854</v>
      </c>
      <c r="L103" s="87"/>
      <c r="M103" s="31">
        <f t="shared" si="26"/>
        <v>0.83398790688000479</v>
      </c>
      <c r="N103" s="31">
        <f t="shared" si="18"/>
        <v>15.654315837431227</v>
      </c>
      <c r="O103" s="521">
        <v>40386600</v>
      </c>
      <c r="P103" s="503">
        <v>632224592</v>
      </c>
      <c r="Q103" s="357">
        <v>598252864</v>
      </c>
      <c r="R103" s="87"/>
      <c r="S103" s="547">
        <v>33681936</v>
      </c>
      <c r="T103" s="267"/>
      <c r="U103" s="106"/>
      <c r="V103" s="106"/>
      <c r="W103" s="515">
        <v>84.215187</v>
      </c>
      <c r="X103" s="507"/>
      <c r="Y103" s="359"/>
      <c r="Z103" s="573">
        <v>0</v>
      </c>
      <c r="AA103" s="573">
        <v>0</v>
      </c>
      <c r="AB103" s="33"/>
      <c r="AD103" s="30" t="str">
        <f t="shared" si="13"/>
        <v>·</v>
      </c>
      <c r="AE103" s="31" t="str">
        <f t="shared" si="21"/>
        <v>·</v>
      </c>
      <c r="AF103" s="31" t="str">
        <f t="shared" si="19"/>
        <v>·</v>
      </c>
      <c r="AG103" s="87" t="str">
        <f t="shared" si="22"/>
        <v>·</v>
      </c>
      <c r="AH103" s="31" t="str">
        <f t="shared" si="23"/>
        <v>·</v>
      </c>
      <c r="AI103" s="31" t="str">
        <f t="shared" si="24"/>
        <v>·</v>
      </c>
      <c r="AJ103" s="521"/>
      <c r="AK103" s="503"/>
      <c r="AL103" s="357"/>
      <c r="AM103" s="87"/>
      <c r="AN103" s="547"/>
      <c r="AO103" s="267"/>
      <c r="AP103" s="106"/>
      <c r="AQ103" s="106"/>
      <c r="AR103" s="515"/>
      <c r="AS103" s="507"/>
      <c r="AT103" s="359"/>
      <c r="AU103" s="573">
        <v>0</v>
      </c>
      <c r="AV103" s="573">
        <v>0</v>
      </c>
      <c r="AW103" s="33"/>
      <c r="AY103" s="56" t="e">
        <f t="shared" si="27"/>
        <v>#DIV/0!</v>
      </c>
      <c r="AZ103" s="57" t="e">
        <f t="shared" si="27"/>
        <v>#DIV/0!</v>
      </c>
      <c r="BA103" s="57" t="e">
        <f t="shared" si="20"/>
        <v>#DIV/0!</v>
      </c>
      <c r="BB103" s="58"/>
      <c r="BD103" s="105"/>
      <c r="BE103" s="106"/>
      <c r="BF103" s="106"/>
      <c r="BG103" s="76"/>
      <c r="BI103" s="105"/>
      <c r="BJ103" s="106"/>
      <c r="BK103" s="106"/>
      <c r="BL103" s="76"/>
      <c r="BN103" s="105"/>
      <c r="BO103" s="106"/>
      <c r="BP103" s="106"/>
      <c r="BQ103" s="76"/>
      <c r="BS103" s="105"/>
      <c r="BT103" s="106"/>
      <c r="BU103" s="106"/>
      <c r="BV103" s="76"/>
      <c r="BX103" s="105"/>
      <c r="BY103" s="106"/>
      <c r="BZ103" s="106"/>
      <c r="CA103" s="76"/>
      <c r="CC103" s="105"/>
      <c r="CD103" s="106"/>
      <c r="CE103" s="106"/>
      <c r="CF103" s="76"/>
    </row>
    <row r="104" spans="1:84" outlineLevel="1">
      <c r="A104" s="13"/>
      <c r="B104" s="24" t="s">
        <v>813</v>
      </c>
      <c r="C104" s="15" t="s">
        <v>134</v>
      </c>
      <c r="D104" s="24">
        <v>40386600</v>
      </c>
      <c r="E104" s="15">
        <v>20</v>
      </c>
      <c r="F104" s="25">
        <v>387</v>
      </c>
      <c r="G104" s="26">
        <v>20</v>
      </c>
      <c r="I104" s="30">
        <f t="shared" si="15"/>
        <v>33.633725684754523</v>
      </c>
      <c r="J104" s="31">
        <f t="shared" si="16"/>
        <v>16.114567505063562</v>
      </c>
      <c r="K104" s="31">
        <f t="shared" si="17"/>
        <v>14.81315248126854</v>
      </c>
      <c r="L104" s="87"/>
      <c r="M104" s="31">
        <f t="shared" si="26"/>
        <v>1.2942583926351809</v>
      </c>
      <c r="N104" s="31">
        <f t="shared" si="18"/>
        <v>16.114567505063562</v>
      </c>
      <c r="O104" s="521">
        <v>40386600</v>
      </c>
      <c r="P104" s="503">
        <v>650812592</v>
      </c>
      <c r="Q104" s="357">
        <v>598252864</v>
      </c>
      <c r="R104" s="87"/>
      <c r="S104" s="547">
        <v>52270696</v>
      </c>
      <c r="T104" s="267"/>
      <c r="U104" s="106"/>
      <c r="V104" s="106"/>
      <c r="W104" s="515">
        <v>89.768508999999995</v>
      </c>
      <c r="X104" s="507"/>
      <c r="Y104" s="359"/>
      <c r="Z104" s="573">
        <v>0</v>
      </c>
      <c r="AA104" s="573">
        <v>0</v>
      </c>
      <c r="AB104" s="33"/>
      <c r="AD104" s="30" t="str">
        <f t="shared" si="13"/>
        <v>·</v>
      </c>
      <c r="AE104" s="31" t="str">
        <f t="shared" si="21"/>
        <v>·</v>
      </c>
      <c r="AF104" s="31" t="str">
        <f t="shared" si="19"/>
        <v>·</v>
      </c>
      <c r="AG104" s="87" t="str">
        <f t="shared" si="22"/>
        <v>·</v>
      </c>
      <c r="AH104" s="31" t="str">
        <f t="shared" si="23"/>
        <v>·</v>
      </c>
      <c r="AI104" s="31" t="str">
        <f t="shared" si="24"/>
        <v>·</v>
      </c>
      <c r="AJ104" s="521"/>
      <c r="AK104" s="503"/>
      <c r="AL104" s="357"/>
      <c r="AM104" s="87"/>
      <c r="AN104" s="547"/>
      <c r="AO104" s="267"/>
      <c r="AP104" s="106"/>
      <c r="AQ104" s="106"/>
      <c r="AR104" s="515"/>
      <c r="AS104" s="507"/>
      <c r="AT104" s="359"/>
      <c r="AU104" s="573">
        <v>0</v>
      </c>
      <c r="AV104" s="573">
        <v>0</v>
      </c>
      <c r="AW104" s="33"/>
      <c r="AY104" s="56" t="e">
        <f t="shared" si="27"/>
        <v>#DIV/0!</v>
      </c>
      <c r="AZ104" s="57" t="e">
        <f t="shared" si="27"/>
        <v>#DIV/0!</v>
      </c>
      <c r="BA104" s="57" t="e">
        <f t="shared" si="20"/>
        <v>#DIV/0!</v>
      </c>
      <c r="BB104" s="58"/>
      <c r="BD104" s="105"/>
      <c r="BE104" s="106"/>
      <c r="BF104" s="106"/>
      <c r="BG104" s="76"/>
      <c r="BI104" s="105"/>
      <c r="BJ104" s="106"/>
      <c r="BK104" s="106"/>
      <c r="BL104" s="76"/>
      <c r="BN104" s="105"/>
      <c r="BO104" s="106"/>
      <c r="BP104" s="106"/>
      <c r="BQ104" s="76"/>
      <c r="BS104" s="105"/>
      <c r="BT104" s="106"/>
      <c r="BU104" s="106"/>
      <c r="BV104" s="76"/>
      <c r="BX104" s="105"/>
      <c r="BY104" s="106"/>
      <c r="BZ104" s="106"/>
      <c r="CA104" s="76"/>
      <c r="CC104" s="105"/>
      <c r="CD104" s="106"/>
      <c r="CE104" s="106"/>
      <c r="CF104" s="76"/>
    </row>
    <row r="105" spans="1:84" outlineLevel="1">
      <c r="A105" s="13"/>
      <c r="B105" s="24" t="s">
        <v>813</v>
      </c>
      <c r="C105" s="15" t="s">
        <v>135</v>
      </c>
      <c r="D105" s="24">
        <v>40386600</v>
      </c>
      <c r="E105" s="15">
        <v>20</v>
      </c>
      <c r="F105" s="25">
        <v>387</v>
      </c>
      <c r="G105" s="26">
        <v>20</v>
      </c>
      <c r="I105" s="30">
        <f t="shared" si="15"/>
        <v>34.861712868217055</v>
      </c>
      <c r="J105" s="31">
        <f t="shared" si="16"/>
        <v>16.702919879365929</v>
      </c>
      <c r="K105" s="31">
        <f t="shared" si="17"/>
        <v>14.81315248126854</v>
      </c>
      <c r="L105" s="87"/>
      <c r="M105" s="31">
        <f t="shared" si="26"/>
        <v>1.8826107669375487</v>
      </c>
      <c r="N105" s="31">
        <f t="shared" si="18"/>
        <v>16.702919879365929</v>
      </c>
      <c r="O105" s="521">
        <v>40386600</v>
      </c>
      <c r="P105" s="503">
        <v>674574144</v>
      </c>
      <c r="Q105" s="357">
        <v>598252864</v>
      </c>
      <c r="R105" s="87"/>
      <c r="S105" s="547">
        <v>76032248</v>
      </c>
      <c r="T105" s="267"/>
      <c r="U105" s="106"/>
      <c r="V105" s="106"/>
      <c r="W105" s="515">
        <v>95.008339000000007</v>
      </c>
      <c r="X105" s="507"/>
      <c r="Y105" s="359"/>
      <c r="Z105" s="573">
        <v>0</v>
      </c>
      <c r="AA105" s="573">
        <v>0</v>
      </c>
      <c r="AB105" s="33"/>
      <c r="AD105" s="30" t="str">
        <f t="shared" ref="AD105:AD136" si="28">IF(OR(ISBLANK(AK105),ISBLANK(G105)),"·",AK105*G105/F105/1000000)</f>
        <v>·</v>
      </c>
      <c r="AE105" s="31" t="str">
        <f t="shared" si="21"/>
        <v>·</v>
      </c>
      <c r="AF105" s="31" t="str">
        <f t="shared" si="19"/>
        <v>·</v>
      </c>
      <c r="AG105" s="87" t="str">
        <f t="shared" si="22"/>
        <v>·</v>
      </c>
      <c r="AH105" s="31" t="str">
        <f t="shared" si="23"/>
        <v>·</v>
      </c>
      <c r="AI105" s="31" t="str">
        <f t="shared" si="24"/>
        <v>·</v>
      </c>
      <c r="AJ105" s="521"/>
      <c r="AK105" s="503"/>
      <c r="AL105" s="357"/>
      <c r="AM105" s="87"/>
      <c r="AN105" s="547"/>
      <c r="AO105" s="267"/>
      <c r="AP105" s="106"/>
      <c r="AQ105" s="106"/>
      <c r="AR105" s="515"/>
      <c r="AS105" s="507"/>
      <c r="AT105" s="359"/>
      <c r="AU105" s="573">
        <v>0</v>
      </c>
      <c r="AV105" s="573">
        <v>0</v>
      </c>
      <c r="AW105" s="33"/>
      <c r="AY105" s="56" t="e">
        <f t="shared" si="27"/>
        <v>#DIV/0!</v>
      </c>
      <c r="AZ105" s="57" t="e">
        <f t="shared" si="27"/>
        <v>#DIV/0!</v>
      </c>
      <c r="BA105" s="57" t="e">
        <f t="shared" si="20"/>
        <v>#DIV/0!</v>
      </c>
      <c r="BB105" s="58"/>
      <c r="BD105" s="105"/>
      <c r="BE105" s="106"/>
      <c r="BF105" s="106"/>
      <c r="BG105" s="76"/>
      <c r="BI105" s="105"/>
      <c r="BJ105" s="106"/>
      <c r="BK105" s="106"/>
      <c r="BL105" s="76"/>
      <c r="BN105" s="105"/>
      <c r="BO105" s="106"/>
      <c r="BP105" s="106"/>
      <c r="BQ105" s="76"/>
      <c r="BS105" s="105"/>
      <c r="BT105" s="106"/>
      <c r="BU105" s="106"/>
      <c r="BV105" s="76"/>
      <c r="BX105" s="105"/>
      <c r="BY105" s="106"/>
      <c r="BZ105" s="106"/>
      <c r="CA105" s="76"/>
      <c r="CC105" s="105"/>
      <c r="CD105" s="106"/>
      <c r="CE105" s="106"/>
      <c r="CF105" s="76"/>
    </row>
    <row r="106" spans="1:84" ht="14.25" outlineLevel="1" thickBot="1">
      <c r="A106" s="13"/>
      <c r="B106" s="217" t="s">
        <v>813</v>
      </c>
      <c r="C106" s="22" t="s">
        <v>136</v>
      </c>
      <c r="D106" s="217">
        <v>40386600</v>
      </c>
      <c r="E106" s="22">
        <v>20</v>
      </c>
      <c r="F106" s="188">
        <v>387</v>
      </c>
      <c r="G106" s="216">
        <v>20</v>
      </c>
      <c r="I106" s="34">
        <f t="shared" si="15"/>
        <v>36.289783979328163</v>
      </c>
      <c r="J106" s="35">
        <f t="shared" si="16"/>
        <v>17.387136327395719</v>
      </c>
      <c r="K106" s="35">
        <f t="shared" si="17"/>
        <v>14.81315248126854</v>
      </c>
      <c r="L106" s="88"/>
      <c r="M106" s="35">
        <f t="shared" si="26"/>
        <v>2.566850192885759</v>
      </c>
      <c r="N106" s="35">
        <f t="shared" si="18"/>
        <v>17.387136327395719</v>
      </c>
      <c r="O106" s="525">
        <v>40386600</v>
      </c>
      <c r="P106" s="505">
        <v>702207320</v>
      </c>
      <c r="Q106" s="361">
        <v>598252864</v>
      </c>
      <c r="R106" s="88"/>
      <c r="S106" s="548">
        <v>103666352</v>
      </c>
      <c r="T106" s="545"/>
      <c r="U106" s="109"/>
      <c r="V106" s="109"/>
      <c r="W106" s="517">
        <v>99.477622999999994</v>
      </c>
      <c r="X106" s="509"/>
      <c r="Y106" s="363"/>
      <c r="Z106" s="575">
        <v>0</v>
      </c>
      <c r="AA106" s="575">
        <v>0</v>
      </c>
      <c r="AB106" s="37"/>
      <c r="AD106" s="34" t="str">
        <f t="shared" si="28"/>
        <v>·</v>
      </c>
      <c r="AE106" s="35" t="str">
        <f t="shared" si="21"/>
        <v>·</v>
      </c>
      <c r="AF106" s="35" t="str">
        <f t="shared" si="19"/>
        <v>·</v>
      </c>
      <c r="AG106" s="88" t="str">
        <f t="shared" si="22"/>
        <v>·</v>
      </c>
      <c r="AH106" s="35" t="str">
        <f t="shared" si="23"/>
        <v>·</v>
      </c>
      <c r="AI106" s="35" t="str">
        <f t="shared" si="24"/>
        <v>·</v>
      </c>
      <c r="AJ106" s="525"/>
      <c r="AK106" s="505"/>
      <c r="AL106" s="361"/>
      <c r="AM106" s="88"/>
      <c r="AN106" s="548"/>
      <c r="AO106" s="545"/>
      <c r="AP106" s="109"/>
      <c r="AQ106" s="109"/>
      <c r="AR106" s="517"/>
      <c r="AS106" s="509"/>
      <c r="AT106" s="363"/>
      <c r="AU106" s="575">
        <v>0</v>
      </c>
      <c r="AV106" s="575">
        <v>0</v>
      </c>
      <c r="AW106" s="37"/>
      <c r="AY106" s="59" t="e">
        <f t="shared" si="27"/>
        <v>#DIV/0!</v>
      </c>
      <c r="AZ106" s="60" t="e">
        <f t="shared" si="27"/>
        <v>#DIV/0!</v>
      </c>
      <c r="BA106" s="60" t="e">
        <f t="shared" si="20"/>
        <v>#DIV/0!</v>
      </c>
      <c r="BB106" s="61"/>
      <c r="BD106" s="108"/>
      <c r="BE106" s="109"/>
      <c r="BF106" s="109"/>
      <c r="BG106" s="79"/>
      <c r="BI106" s="108"/>
      <c r="BJ106" s="109"/>
      <c r="BK106" s="109"/>
      <c r="BL106" s="82"/>
      <c r="BN106" s="134"/>
      <c r="BO106" s="135"/>
      <c r="BP106" s="135"/>
      <c r="BQ106" s="82"/>
      <c r="BS106" s="134"/>
      <c r="BT106" s="135"/>
      <c r="BU106" s="135"/>
      <c r="BV106" s="82"/>
      <c r="BX106" s="134"/>
      <c r="BY106" s="135"/>
      <c r="BZ106" s="135"/>
      <c r="CA106" s="82"/>
      <c r="CC106" s="134"/>
      <c r="CD106" s="135"/>
      <c r="CE106" s="135"/>
      <c r="CF106" s="82"/>
    </row>
    <row r="107" spans="1:84">
      <c r="A107" s="13"/>
      <c r="B107" s="27" t="s">
        <v>815</v>
      </c>
      <c r="C107" s="28" t="s">
        <v>131</v>
      </c>
      <c r="D107" s="27">
        <v>40439600</v>
      </c>
      <c r="E107" s="28">
        <v>20</v>
      </c>
      <c r="F107" s="28">
        <v>387</v>
      </c>
      <c r="G107" s="29">
        <v>20</v>
      </c>
      <c r="I107" s="46">
        <f t="shared" si="15"/>
        <v>37.40976620155039</v>
      </c>
      <c r="J107" s="47">
        <f t="shared" si="16"/>
        <v>17.900250645406977</v>
      </c>
      <c r="K107" s="47">
        <f t="shared" si="17"/>
        <v>17.680129773786092</v>
      </c>
      <c r="L107" s="90"/>
      <c r="M107" s="47">
        <f t="shared" si="26"/>
        <v>0.21296056340814448</v>
      </c>
      <c r="N107" s="47">
        <f t="shared" si="18"/>
        <v>17.900250645406977</v>
      </c>
      <c r="O107" s="520">
        <v>40439600</v>
      </c>
      <c r="P107" s="502">
        <v>723878976</v>
      </c>
      <c r="Q107" s="353">
        <v>714977376</v>
      </c>
      <c r="R107" s="90"/>
      <c r="S107" s="546">
        <v>8612040</v>
      </c>
      <c r="T107" s="266"/>
      <c r="U107" s="104"/>
      <c r="V107" s="104"/>
      <c r="W107" s="514">
        <v>72.644820999999993</v>
      </c>
      <c r="X107" s="506"/>
      <c r="Y107" s="355"/>
      <c r="Z107" s="572">
        <v>0</v>
      </c>
      <c r="AA107" s="572">
        <v>0</v>
      </c>
      <c r="AB107" s="49"/>
      <c r="AD107" s="46" t="str">
        <f t="shared" si="28"/>
        <v>·</v>
      </c>
      <c r="AE107" s="47" t="str">
        <f t="shared" si="21"/>
        <v>·</v>
      </c>
      <c r="AF107" s="47" t="str">
        <f t="shared" si="19"/>
        <v>·</v>
      </c>
      <c r="AG107" s="90" t="str">
        <f t="shared" si="22"/>
        <v>·</v>
      </c>
      <c r="AH107" s="47" t="str">
        <f t="shared" si="23"/>
        <v>·</v>
      </c>
      <c r="AI107" s="47" t="str">
        <f t="shared" si="24"/>
        <v>·</v>
      </c>
      <c r="AJ107" s="520"/>
      <c r="AK107" s="502"/>
      <c r="AL107" s="353"/>
      <c r="AM107" s="90"/>
      <c r="AN107" s="546"/>
      <c r="AO107" s="266"/>
      <c r="AP107" s="104"/>
      <c r="AQ107" s="104"/>
      <c r="AR107" s="514"/>
      <c r="AS107" s="506"/>
      <c r="AT107" s="355"/>
      <c r="AU107" s="572">
        <v>0</v>
      </c>
      <c r="AV107" s="572">
        <v>0</v>
      </c>
      <c r="AW107" s="49"/>
      <c r="AY107" s="68" t="e">
        <f t="shared" si="27"/>
        <v>#DIV/0!</v>
      </c>
      <c r="AZ107" s="69" t="e">
        <f t="shared" si="27"/>
        <v>#DIV/0!</v>
      </c>
      <c r="BA107" s="69" t="e">
        <f t="shared" si="20"/>
        <v>#DIV/0!</v>
      </c>
      <c r="BB107" s="70" t="e">
        <f t="array" ref="BB107">AVERAGE(AL107:AL112/AK107:AK112) - AVERAGE(Q107:Q112/P107:P112)</f>
        <v>#DIV/0!</v>
      </c>
      <c r="BD107" s="103"/>
      <c r="BE107" s="104"/>
      <c r="BF107" s="104"/>
      <c r="BG107" s="86" t="str">
        <f>IF( OR(ISBLANK($S107:$S112),ISBLANK($AN107:$AN112), ISBLANK($W107:$W112),ISBLANK($AR107:$AR112)), "·", bdRateHermite( $S107:$S112,$W107:$W112, $AN107:$AN112,$AR107:$AR112))</f>
        <v>·</v>
      </c>
      <c r="BI107" s="103"/>
      <c r="BJ107" s="104"/>
      <c r="BK107" s="104"/>
      <c r="BL107" s="85" t="str">
        <f>IF(OR(ISBLANK($P107:$P112),ISBLANK($AK107:$AK112),ISBLANK($W107:$W112),ISBLANK($AR107:$AR112)),"·",bdRateHermite($P107:$P112,$W107:$W112,$AK107:$AK112,$AR107:$AR112))</f>
        <v>·</v>
      </c>
      <c r="BN107" s="103"/>
      <c r="BO107" s="104"/>
      <c r="BP107" s="104"/>
      <c r="BQ107" s="86" t="str">
        <f>IF( OR(ISBLANK($S107:$S112),ISBLANK($AN107:$AN112), ISBLANK($W107:$W112),ISBLANK($AR107:$AR112)), "·", bdRateHermite( $S108:$S112,$W108:$W112, $AN108:$AN112,$AR108:$AR112))</f>
        <v>·</v>
      </c>
      <c r="BS107" s="103"/>
      <c r="BT107" s="104"/>
      <c r="BU107" s="104"/>
      <c r="BV107" s="85" t="str">
        <f>IF(OR(ISBLANK($P107:$P112),ISBLANK($AK107:$AK112),ISBLANK($W107:$W112),ISBLANK($AR107:$AR112)),"·",bdRateHermite($P108:$P112,$W108:$W112,$AK108:$AK112,$AR108:$AR112))</f>
        <v>·</v>
      </c>
      <c r="BX107" s="103"/>
      <c r="BY107" s="104"/>
      <c r="BZ107" s="104"/>
      <c r="CA107" s="86" t="str">
        <f>IF( OR(ISBLANK($S107:$S111),ISBLANK($AN107:$AN111), ISBLANK($W107:$W111),ISBLANK($AR107:$AR111)), "·", bdRateHermite( $S107:$S111,$W107:$W111, $AN107:$AN111,$AR107:$AR111))</f>
        <v>·</v>
      </c>
      <c r="CC107" s="103"/>
      <c r="CD107" s="104"/>
      <c r="CE107" s="104"/>
      <c r="CF107" s="85" t="str">
        <f>IF(OR(ISBLANK($P107:$P111),ISBLANK($AK107:$AK111),ISBLANK($W107:$W111),ISBLANK($AR107:$AR111)),"·",bdRateHermite($P107:$P111,$W107:$W111,$AK107:$AK111,$AR107:$AR111))</f>
        <v>·</v>
      </c>
    </row>
    <row r="108" spans="1:84" outlineLevel="1">
      <c r="A108" s="13"/>
      <c r="B108" s="24" t="s">
        <v>815</v>
      </c>
      <c r="C108" s="15" t="s">
        <v>132</v>
      </c>
      <c r="D108" s="24">
        <v>40439600</v>
      </c>
      <c r="E108" s="25">
        <v>20</v>
      </c>
      <c r="F108" s="25">
        <v>387</v>
      </c>
      <c r="G108" s="26">
        <v>20</v>
      </c>
      <c r="I108" s="30">
        <f t="shared" si="15"/>
        <v>38.116842997416022</v>
      </c>
      <c r="J108" s="31">
        <f t="shared" si="16"/>
        <v>18.238580797040523</v>
      </c>
      <c r="K108" s="31">
        <f t="shared" si="17"/>
        <v>17.680129773786092</v>
      </c>
      <c r="L108" s="87"/>
      <c r="M108" s="31">
        <f t="shared" si="26"/>
        <v>0.5512907150416918</v>
      </c>
      <c r="N108" s="31">
        <f t="shared" si="18"/>
        <v>18.238580797040523</v>
      </c>
      <c r="O108" s="521">
        <v>40439600</v>
      </c>
      <c r="P108" s="503">
        <v>737560912</v>
      </c>
      <c r="Q108" s="357">
        <v>714977376</v>
      </c>
      <c r="R108" s="87"/>
      <c r="S108" s="547">
        <v>22293976</v>
      </c>
      <c r="T108" s="267"/>
      <c r="U108" s="106"/>
      <c r="V108" s="106"/>
      <c r="W108" s="515">
        <v>78.294334000000006</v>
      </c>
      <c r="X108" s="507"/>
      <c r="Y108" s="359"/>
      <c r="Z108" s="573">
        <v>0</v>
      </c>
      <c r="AA108" s="573">
        <v>0</v>
      </c>
      <c r="AB108" s="33"/>
      <c r="AD108" s="30" t="str">
        <f t="shared" si="28"/>
        <v>·</v>
      </c>
      <c r="AE108" s="31" t="str">
        <f t="shared" si="21"/>
        <v>·</v>
      </c>
      <c r="AF108" s="31" t="str">
        <f t="shared" si="19"/>
        <v>·</v>
      </c>
      <c r="AG108" s="87" t="str">
        <f t="shared" si="22"/>
        <v>·</v>
      </c>
      <c r="AH108" s="31" t="str">
        <f t="shared" si="23"/>
        <v>·</v>
      </c>
      <c r="AI108" s="31" t="str">
        <f t="shared" si="24"/>
        <v>·</v>
      </c>
      <c r="AJ108" s="521"/>
      <c r="AK108" s="503"/>
      <c r="AL108" s="357"/>
      <c r="AM108" s="87"/>
      <c r="AN108" s="547"/>
      <c r="AO108" s="267"/>
      <c r="AP108" s="106"/>
      <c r="AQ108" s="106"/>
      <c r="AR108" s="515"/>
      <c r="AS108" s="507"/>
      <c r="AT108" s="359"/>
      <c r="AU108" s="573">
        <v>0</v>
      </c>
      <c r="AV108" s="573">
        <v>0</v>
      </c>
      <c r="AW108" s="33"/>
      <c r="AY108" s="56" t="e">
        <f t="shared" si="27"/>
        <v>#DIV/0!</v>
      </c>
      <c r="AZ108" s="57" t="e">
        <f t="shared" si="27"/>
        <v>#DIV/0!</v>
      </c>
      <c r="BA108" s="57" t="e">
        <f t="shared" si="20"/>
        <v>#DIV/0!</v>
      </c>
      <c r="BB108" s="58"/>
      <c r="BD108" s="105"/>
      <c r="BE108" s="106"/>
      <c r="BF108" s="106"/>
      <c r="BG108" s="107"/>
      <c r="BI108" s="105"/>
      <c r="BJ108" s="106"/>
      <c r="BK108" s="106"/>
      <c r="BL108" s="76"/>
      <c r="BN108" s="105"/>
      <c r="BO108" s="106"/>
      <c r="BP108" s="106"/>
      <c r="BQ108" s="107"/>
      <c r="BS108" s="105"/>
      <c r="BT108" s="106"/>
      <c r="BU108" s="106"/>
      <c r="BV108" s="76"/>
      <c r="BX108" s="105"/>
      <c r="BY108" s="106"/>
      <c r="BZ108" s="106"/>
      <c r="CA108" s="107"/>
      <c r="CC108" s="105"/>
      <c r="CD108" s="106"/>
      <c r="CE108" s="106"/>
      <c r="CF108" s="76"/>
    </row>
    <row r="109" spans="1:84" outlineLevel="1">
      <c r="A109" s="13"/>
      <c r="B109" s="24" t="s">
        <v>815</v>
      </c>
      <c r="C109" s="15" t="s">
        <v>133</v>
      </c>
      <c r="D109" s="24">
        <v>40439600</v>
      </c>
      <c r="E109" s="15">
        <v>20</v>
      </c>
      <c r="F109" s="25">
        <v>387</v>
      </c>
      <c r="G109" s="26">
        <v>20</v>
      </c>
      <c r="I109" s="30">
        <f t="shared" si="15"/>
        <v>39.111937157622741</v>
      </c>
      <c r="J109" s="31">
        <f t="shared" si="16"/>
        <v>18.714724774725763</v>
      </c>
      <c r="K109" s="31">
        <f t="shared" si="17"/>
        <v>17.680129773786092</v>
      </c>
      <c r="L109" s="87"/>
      <c r="M109" s="31">
        <f t="shared" si="26"/>
        <v>1.0274346927269311</v>
      </c>
      <c r="N109" s="31">
        <f t="shared" si="18"/>
        <v>18.714724774725763</v>
      </c>
      <c r="O109" s="521">
        <v>40439600</v>
      </c>
      <c r="P109" s="503">
        <v>756815984</v>
      </c>
      <c r="Q109" s="357">
        <v>714977376</v>
      </c>
      <c r="R109" s="87"/>
      <c r="S109" s="547">
        <v>41549048</v>
      </c>
      <c r="T109" s="267"/>
      <c r="U109" s="106"/>
      <c r="V109" s="106"/>
      <c r="W109" s="515">
        <v>83.914023999999998</v>
      </c>
      <c r="X109" s="507"/>
      <c r="Y109" s="359"/>
      <c r="Z109" s="573">
        <v>0</v>
      </c>
      <c r="AA109" s="573">
        <v>0</v>
      </c>
      <c r="AB109" s="33"/>
      <c r="AD109" s="30" t="str">
        <f t="shared" si="28"/>
        <v>·</v>
      </c>
      <c r="AE109" s="31" t="str">
        <f t="shared" si="21"/>
        <v>·</v>
      </c>
      <c r="AF109" s="31" t="str">
        <f t="shared" si="19"/>
        <v>·</v>
      </c>
      <c r="AG109" s="87" t="str">
        <f t="shared" si="22"/>
        <v>·</v>
      </c>
      <c r="AH109" s="31" t="str">
        <f t="shared" si="23"/>
        <v>·</v>
      </c>
      <c r="AI109" s="31" t="str">
        <f t="shared" si="24"/>
        <v>·</v>
      </c>
      <c r="AJ109" s="521"/>
      <c r="AK109" s="503"/>
      <c r="AL109" s="357"/>
      <c r="AM109" s="87"/>
      <c r="AN109" s="547"/>
      <c r="AO109" s="267"/>
      <c r="AP109" s="106"/>
      <c r="AQ109" s="106"/>
      <c r="AR109" s="515"/>
      <c r="AS109" s="507"/>
      <c r="AT109" s="359"/>
      <c r="AU109" s="573">
        <v>0</v>
      </c>
      <c r="AV109" s="573">
        <v>0</v>
      </c>
      <c r="AW109" s="33"/>
      <c r="AY109" s="56" t="e">
        <f t="shared" si="27"/>
        <v>#DIV/0!</v>
      </c>
      <c r="AZ109" s="57" t="e">
        <f t="shared" si="27"/>
        <v>#DIV/0!</v>
      </c>
      <c r="BA109" s="57" t="e">
        <f t="shared" si="20"/>
        <v>#DIV/0!</v>
      </c>
      <c r="BB109" s="58"/>
      <c r="BD109" s="105"/>
      <c r="BE109" s="106"/>
      <c r="BF109" s="106"/>
      <c r="BG109" s="107"/>
      <c r="BI109" s="105"/>
      <c r="BJ109" s="106"/>
      <c r="BK109" s="106"/>
      <c r="BL109" s="76"/>
      <c r="BN109" s="105"/>
      <c r="BO109" s="106"/>
      <c r="BP109" s="106"/>
      <c r="BQ109" s="107"/>
      <c r="BS109" s="105"/>
      <c r="BT109" s="106"/>
      <c r="BU109" s="106"/>
      <c r="BV109" s="76"/>
      <c r="BX109" s="105"/>
      <c r="BY109" s="106"/>
      <c r="BZ109" s="106"/>
      <c r="CA109" s="107"/>
      <c r="CC109" s="105"/>
      <c r="CD109" s="106"/>
      <c r="CE109" s="106"/>
      <c r="CF109" s="76"/>
    </row>
    <row r="110" spans="1:84" outlineLevel="1">
      <c r="A110" s="13"/>
      <c r="B110" s="24" t="s">
        <v>815</v>
      </c>
      <c r="C110" s="15" t="s">
        <v>134</v>
      </c>
      <c r="D110" s="24">
        <v>40439600</v>
      </c>
      <c r="E110" s="15">
        <v>20</v>
      </c>
      <c r="F110" s="25">
        <v>387</v>
      </c>
      <c r="G110" s="26">
        <v>20</v>
      </c>
      <c r="I110" s="30">
        <f t="shared" si="15"/>
        <v>40.297630594315244</v>
      </c>
      <c r="J110" s="31">
        <f t="shared" si="16"/>
        <v>19.282068863193505</v>
      </c>
      <c r="K110" s="31">
        <f t="shared" si="17"/>
        <v>17.680129773786092</v>
      </c>
      <c r="L110" s="87"/>
      <c r="M110" s="31">
        <f t="shared" si="26"/>
        <v>1.5947914420518501</v>
      </c>
      <c r="N110" s="31">
        <f t="shared" si="18"/>
        <v>19.282068863193505</v>
      </c>
      <c r="O110" s="521">
        <v>40439600</v>
      </c>
      <c r="P110" s="503">
        <v>779759152</v>
      </c>
      <c r="Q110" s="357">
        <v>714977376</v>
      </c>
      <c r="R110" s="87"/>
      <c r="S110" s="547">
        <v>64492728</v>
      </c>
      <c r="T110" s="267"/>
      <c r="U110" s="106"/>
      <c r="V110" s="106"/>
      <c r="W110" s="515">
        <v>89.532195999999999</v>
      </c>
      <c r="X110" s="507"/>
      <c r="Y110" s="359"/>
      <c r="Z110" s="573">
        <v>0</v>
      </c>
      <c r="AA110" s="573">
        <v>0</v>
      </c>
      <c r="AB110" s="33"/>
      <c r="AD110" s="30" t="str">
        <f t="shared" si="28"/>
        <v>·</v>
      </c>
      <c r="AE110" s="31" t="str">
        <f t="shared" si="21"/>
        <v>·</v>
      </c>
      <c r="AF110" s="31" t="str">
        <f t="shared" si="19"/>
        <v>·</v>
      </c>
      <c r="AG110" s="87" t="str">
        <f t="shared" si="22"/>
        <v>·</v>
      </c>
      <c r="AH110" s="31" t="str">
        <f t="shared" si="23"/>
        <v>·</v>
      </c>
      <c r="AI110" s="31" t="str">
        <f t="shared" si="24"/>
        <v>·</v>
      </c>
      <c r="AJ110" s="521"/>
      <c r="AK110" s="503"/>
      <c r="AL110" s="357"/>
      <c r="AM110" s="87"/>
      <c r="AN110" s="547"/>
      <c r="AO110" s="267"/>
      <c r="AP110" s="106"/>
      <c r="AQ110" s="106"/>
      <c r="AR110" s="515"/>
      <c r="AS110" s="507"/>
      <c r="AT110" s="359"/>
      <c r="AU110" s="573">
        <v>0</v>
      </c>
      <c r="AV110" s="573">
        <v>0</v>
      </c>
      <c r="AW110" s="33"/>
      <c r="AY110" s="56" t="e">
        <f t="shared" si="27"/>
        <v>#DIV/0!</v>
      </c>
      <c r="AZ110" s="57" t="e">
        <f t="shared" si="27"/>
        <v>#DIV/0!</v>
      </c>
      <c r="BA110" s="57" t="e">
        <f t="shared" si="20"/>
        <v>#DIV/0!</v>
      </c>
      <c r="BB110" s="58"/>
      <c r="BD110" s="105"/>
      <c r="BE110" s="106"/>
      <c r="BF110" s="106"/>
      <c r="BG110" s="107"/>
      <c r="BI110" s="105"/>
      <c r="BJ110" s="106"/>
      <c r="BK110" s="106"/>
      <c r="BL110" s="76"/>
      <c r="BN110" s="105"/>
      <c r="BO110" s="106"/>
      <c r="BP110" s="106"/>
      <c r="BQ110" s="107"/>
      <c r="BS110" s="105"/>
      <c r="BT110" s="106"/>
      <c r="BU110" s="106"/>
      <c r="BV110" s="76"/>
      <c r="BX110" s="105"/>
      <c r="BY110" s="106"/>
      <c r="BZ110" s="106"/>
      <c r="CA110" s="107"/>
      <c r="CC110" s="105"/>
      <c r="CD110" s="106"/>
      <c r="CE110" s="106"/>
      <c r="CF110" s="76"/>
    </row>
    <row r="111" spans="1:84" outlineLevel="1">
      <c r="A111" s="13"/>
      <c r="B111" s="24" t="s">
        <v>815</v>
      </c>
      <c r="C111" s="15" t="s">
        <v>135</v>
      </c>
      <c r="D111" s="24">
        <v>40439600</v>
      </c>
      <c r="E111" s="15">
        <v>20</v>
      </c>
      <c r="F111" s="25">
        <v>387</v>
      </c>
      <c r="G111" s="26">
        <v>20</v>
      </c>
      <c r="I111" s="30">
        <f t="shared" si="15"/>
        <v>41.746833695090444</v>
      </c>
      <c r="J111" s="31">
        <f t="shared" si="16"/>
        <v>19.975500054402122</v>
      </c>
      <c r="K111" s="31">
        <f t="shared" si="17"/>
        <v>17.680129773786092</v>
      </c>
      <c r="L111" s="87"/>
      <c r="M111" s="31">
        <f t="shared" si="26"/>
        <v>2.2882226332604674</v>
      </c>
      <c r="N111" s="31">
        <f t="shared" si="18"/>
        <v>19.975500054402122</v>
      </c>
      <c r="O111" s="521">
        <v>40439600</v>
      </c>
      <c r="P111" s="503">
        <v>807801232</v>
      </c>
      <c r="Q111" s="357">
        <v>714977376</v>
      </c>
      <c r="R111" s="87"/>
      <c r="S111" s="547">
        <v>92534808</v>
      </c>
      <c r="T111" s="267"/>
      <c r="U111" s="106"/>
      <c r="V111" s="106"/>
      <c r="W111" s="515">
        <v>94.883133000000001</v>
      </c>
      <c r="X111" s="507"/>
      <c r="Y111" s="359"/>
      <c r="Z111" s="573">
        <v>0</v>
      </c>
      <c r="AA111" s="573">
        <v>0</v>
      </c>
      <c r="AB111" s="33"/>
      <c r="AD111" s="30" t="str">
        <f t="shared" si="28"/>
        <v>·</v>
      </c>
      <c r="AE111" s="31" t="str">
        <f t="shared" si="21"/>
        <v>·</v>
      </c>
      <c r="AF111" s="31" t="str">
        <f t="shared" si="19"/>
        <v>·</v>
      </c>
      <c r="AG111" s="87" t="str">
        <f t="shared" si="22"/>
        <v>·</v>
      </c>
      <c r="AH111" s="31" t="str">
        <f t="shared" si="23"/>
        <v>·</v>
      </c>
      <c r="AI111" s="31" t="str">
        <f t="shared" si="24"/>
        <v>·</v>
      </c>
      <c r="AJ111" s="521"/>
      <c r="AK111" s="503"/>
      <c r="AL111" s="357"/>
      <c r="AM111" s="87"/>
      <c r="AN111" s="547"/>
      <c r="AO111" s="267"/>
      <c r="AP111" s="106"/>
      <c r="AQ111" s="106"/>
      <c r="AR111" s="515"/>
      <c r="AS111" s="507"/>
      <c r="AT111" s="359"/>
      <c r="AU111" s="573">
        <v>0</v>
      </c>
      <c r="AV111" s="573">
        <v>0</v>
      </c>
      <c r="AW111" s="33"/>
      <c r="AY111" s="56" t="e">
        <f t="shared" si="27"/>
        <v>#DIV/0!</v>
      </c>
      <c r="AZ111" s="57" t="e">
        <f t="shared" si="27"/>
        <v>#DIV/0!</v>
      </c>
      <c r="BA111" s="57" t="e">
        <f t="shared" si="20"/>
        <v>#DIV/0!</v>
      </c>
      <c r="BB111" s="58"/>
      <c r="BD111" s="105"/>
      <c r="BE111" s="106"/>
      <c r="BF111" s="106"/>
      <c r="BG111" s="107"/>
      <c r="BI111" s="105"/>
      <c r="BJ111" s="106"/>
      <c r="BK111" s="106"/>
      <c r="BL111" s="76"/>
      <c r="BN111" s="105"/>
      <c r="BO111" s="106"/>
      <c r="BP111" s="106"/>
      <c r="BQ111" s="107"/>
      <c r="BS111" s="105"/>
      <c r="BT111" s="106"/>
      <c r="BU111" s="106"/>
      <c r="BV111" s="76"/>
      <c r="BX111" s="105"/>
      <c r="BY111" s="106"/>
      <c r="BZ111" s="106"/>
      <c r="CA111" s="107"/>
      <c r="CC111" s="105"/>
      <c r="CD111" s="106"/>
      <c r="CE111" s="106"/>
      <c r="CF111" s="76"/>
    </row>
    <row r="112" spans="1:84" ht="14.25" outlineLevel="1" thickBot="1">
      <c r="A112" s="13"/>
      <c r="B112" s="185" t="s">
        <v>815</v>
      </c>
      <c r="C112" s="19" t="s">
        <v>136</v>
      </c>
      <c r="D112" s="185">
        <v>40439600</v>
      </c>
      <c r="E112" s="19">
        <v>20</v>
      </c>
      <c r="F112" s="189">
        <v>387</v>
      </c>
      <c r="G112" s="218">
        <v>20</v>
      </c>
      <c r="I112" s="34">
        <f t="shared" si="15"/>
        <v>43.421644651162786</v>
      </c>
      <c r="J112" s="35">
        <f t="shared" si="16"/>
        <v>20.77688265957131</v>
      </c>
      <c r="K112" s="35">
        <f t="shared" si="17"/>
        <v>17.680129773786092</v>
      </c>
      <c r="L112" s="88"/>
      <c r="M112" s="35">
        <f t="shared" si="26"/>
        <v>3.0896157232020101</v>
      </c>
      <c r="N112" s="35">
        <f t="shared" si="18"/>
        <v>20.77688265957131</v>
      </c>
      <c r="O112" s="525">
        <v>40439600</v>
      </c>
      <c r="P112" s="505">
        <v>840208824</v>
      </c>
      <c r="Q112" s="361">
        <v>714977376</v>
      </c>
      <c r="R112" s="88"/>
      <c r="S112" s="548">
        <v>124942824</v>
      </c>
      <c r="T112" s="545"/>
      <c r="U112" s="109"/>
      <c r="V112" s="109"/>
      <c r="W112" s="517">
        <v>99.434905999999998</v>
      </c>
      <c r="X112" s="509"/>
      <c r="Y112" s="363"/>
      <c r="Z112" s="575">
        <v>0</v>
      </c>
      <c r="AA112" s="575">
        <v>0</v>
      </c>
      <c r="AB112" s="37"/>
      <c r="AD112" s="34" t="str">
        <f t="shared" si="28"/>
        <v>·</v>
      </c>
      <c r="AE112" s="35" t="str">
        <f t="shared" si="21"/>
        <v>·</v>
      </c>
      <c r="AF112" s="35" t="str">
        <f t="shared" si="19"/>
        <v>·</v>
      </c>
      <c r="AG112" s="88" t="str">
        <f t="shared" si="22"/>
        <v>·</v>
      </c>
      <c r="AH112" s="35" t="str">
        <f t="shared" si="23"/>
        <v>·</v>
      </c>
      <c r="AI112" s="35" t="str">
        <f t="shared" si="24"/>
        <v>·</v>
      </c>
      <c r="AJ112" s="525"/>
      <c r="AK112" s="505"/>
      <c r="AL112" s="361"/>
      <c r="AM112" s="88"/>
      <c r="AN112" s="548"/>
      <c r="AO112" s="545"/>
      <c r="AP112" s="109"/>
      <c r="AQ112" s="109"/>
      <c r="AR112" s="517"/>
      <c r="AS112" s="509"/>
      <c r="AT112" s="363"/>
      <c r="AU112" s="575">
        <v>0</v>
      </c>
      <c r="AV112" s="575">
        <v>0</v>
      </c>
      <c r="AW112" s="37"/>
      <c r="AY112" s="59" t="e">
        <f t="shared" si="27"/>
        <v>#DIV/0!</v>
      </c>
      <c r="AZ112" s="60" t="e">
        <f t="shared" si="27"/>
        <v>#DIV/0!</v>
      </c>
      <c r="BA112" s="60" t="e">
        <f t="shared" si="20"/>
        <v>#DIV/0!</v>
      </c>
      <c r="BB112" s="61"/>
      <c r="BD112" s="108"/>
      <c r="BE112" s="109"/>
      <c r="BF112" s="109"/>
      <c r="BG112" s="110"/>
      <c r="BI112" s="108"/>
      <c r="BJ112" s="109"/>
      <c r="BK112" s="109"/>
      <c r="BL112" s="79"/>
      <c r="BN112" s="108"/>
      <c r="BO112" s="109"/>
      <c r="BP112" s="109"/>
      <c r="BQ112" s="110"/>
      <c r="BS112" s="108"/>
      <c r="BT112" s="109"/>
      <c r="BU112" s="109"/>
      <c r="BV112" s="79"/>
      <c r="BX112" s="108"/>
      <c r="BY112" s="109"/>
      <c r="BZ112" s="109"/>
      <c r="CA112" s="110"/>
      <c r="CC112" s="108"/>
      <c r="CD112" s="109"/>
      <c r="CE112" s="109"/>
      <c r="CF112" s="79"/>
    </row>
    <row r="113" spans="1:84">
      <c r="A113" s="96" t="s">
        <v>877</v>
      </c>
      <c r="B113" s="27" t="s">
        <v>872</v>
      </c>
      <c r="C113" s="25" t="s">
        <v>131</v>
      </c>
      <c r="D113" s="24">
        <v>186907991</v>
      </c>
      <c r="E113" s="25">
        <v>11</v>
      </c>
      <c r="F113" s="25">
        <v>64</v>
      </c>
      <c r="G113" s="26">
        <v>30</v>
      </c>
      <c r="I113" s="46">
        <f t="shared" si="15"/>
        <v>98.474561249999994</v>
      </c>
      <c r="J113" s="47">
        <f t="shared" si="16"/>
        <v>1.1239704780733533</v>
      </c>
      <c r="K113" s="47">
        <f t="shared" si="17"/>
        <v>1.0091804796082795</v>
      </c>
      <c r="L113" s="47">
        <f>IF(ISBLANK(R113),"·",R113/D113)</f>
        <v>0.1145923397143571</v>
      </c>
      <c r="M113" s="92"/>
      <c r="N113" s="47">
        <f t="shared" si="18"/>
        <v>1.1239704780733533</v>
      </c>
      <c r="O113" s="523">
        <v>186907991</v>
      </c>
      <c r="P113" s="502">
        <v>210079064</v>
      </c>
      <c r="Q113" s="353">
        <v>188623896</v>
      </c>
      <c r="R113" s="353">
        <v>21418224</v>
      </c>
      <c r="S113" s="549"/>
      <c r="T113" s="502">
        <v>25.566825999999999</v>
      </c>
      <c r="U113" s="353">
        <v>30.840418</v>
      </c>
      <c r="V113" s="353">
        <v>33.44379</v>
      </c>
      <c r="W113" s="549">
        <v>0</v>
      </c>
      <c r="X113" s="506"/>
      <c r="Y113" s="355"/>
      <c r="Z113" s="572">
        <v>0</v>
      </c>
      <c r="AA113" s="572">
        <v>0</v>
      </c>
      <c r="AB113" s="49"/>
      <c r="AD113" s="46" t="str">
        <f t="shared" si="28"/>
        <v>·</v>
      </c>
      <c r="AE113" s="47" t="str">
        <f t="shared" si="21"/>
        <v>·</v>
      </c>
      <c r="AF113" s="47" t="str">
        <f t="shared" si="19"/>
        <v>·</v>
      </c>
      <c r="AG113" s="47" t="str">
        <f t="shared" si="22"/>
        <v>·</v>
      </c>
      <c r="AH113" s="92" t="str">
        <f>IF(ISBLANK(AN113),"·",AN113/D113)</f>
        <v>·</v>
      </c>
      <c r="AI113" s="47" t="str">
        <f t="shared" si="24"/>
        <v>·</v>
      </c>
      <c r="AJ113" s="523"/>
      <c r="AK113" s="502"/>
      <c r="AL113" s="353"/>
      <c r="AM113" s="353"/>
      <c r="AN113" s="549"/>
      <c r="AO113" s="502"/>
      <c r="AP113" s="353"/>
      <c r="AQ113" s="353"/>
      <c r="AR113" s="549"/>
      <c r="AS113" s="506"/>
      <c r="AT113" s="355"/>
      <c r="AU113" s="572">
        <v>0</v>
      </c>
      <c r="AV113" s="572">
        <v>0</v>
      </c>
      <c r="AW113" s="49"/>
      <c r="AY113" s="68" t="e">
        <f t="shared" si="27"/>
        <v>#DIV/0!</v>
      </c>
      <c r="AZ113" s="69" t="e">
        <f t="shared" si="27"/>
        <v>#DIV/0!</v>
      </c>
      <c r="BA113" s="69" t="e">
        <f t="shared" si="20"/>
        <v>#DIV/0!</v>
      </c>
      <c r="BB113" s="70" t="e">
        <f t="array" ref="BB113">AVERAGE(AL113:AL118/AK113:AK118) - AVERAGE(Q113:Q118/P113:P118)</f>
        <v>#DIV/0!</v>
      </c>
      <c r="BD113" s="86" t="str">
        <f>IF( OR(ISBLANK($R113:$R118),ISBLANK($AM113:$AM118), ISBLANK(T113:T118),ISBLANK(AO113:AO118)), "·", bdRateHermite( $R113:$R118,$T113:$T118, $AM113:$AM118,$AO113:$AO118))</f>
        <v>·</v>
      </c>
      <c r="BE113" s="86" t="str">
        <f>IF( OR(ISBLANK($R113:$R118),ISBLANK($AM113:$AM118), ISBLANK(U113:U118),ISBLANK(AP113:AP118)), "·", bdRateHermite( $R113:$R118,$U113:$U118, $AM113:$AM118,$AP113:$AP118))</f>
        <v>·</v>
      </c>
      <c r="BF113" s="86" t="str">
        <f>IF( OR(ISBLANK($R113:$R118),ISBLANK($AM113:$AM118), ISBLANK(V113:V118),ISBLANK(AQ113:AQ118)), "·", bdRateHermite( $R113:$R118,$V113:$V118, $AM113:$AM118,$AQ113:$AQ118))</f>
        <v>·</v>
      </c>
      <c r="BG113" s="103"/>
      <c r="BI113" s="250" t="str">
        <f>IF(OR(ISBLANK($P113:$P118),ISBLANK($AK113:$AK118),ISBLANK(T113:T118),ISBLANK(AO113:AO118)),"·",bdRateHermite($P113:$P118,$T113:$T118,$AK113:$AK118,$AO113:$AO118))</f>
        <v>·</v>
      </c>
      <c r="BJ113" s="85" t="str">
        <f>IF(OR(ISBLANK($P113:$P118),ISBLANK($AK113:$AK118),ISBLANK(U113:U118),ISBLANK(AP113:AP118)),"·",bdRateHermite($P113:$P118,$U113:$U118,$AK113:$AK118,$AP113:$AP118))</f>
        <v>·</v>
      </c>
      <c r="BK113" s="254" t="str">
        <f>IF(OR(ISBLANK($P113:$P118),ISBLANK($AK113:$AK118),ISBLANK(V113:V118),ISBLANK(AQ113:AQ118)),"·",bdRateHermite($P113:$P118,$V113:$V118,$AK113:$AK118,$AQ113:$AQ118))</f>
        <v>·</v>
      </c>
      <c r="BL113" s="257"/>
      <c r="BM113" s="251"/>
      <c r="BN113" s="86" t="str">
        <f>IF( OR(ISBLANK($R113:$R118),ISBLANK($AM113:$AM118), ISBLANK(T113:T118),ISBLANK(AO113:AO118)), "·", bdRateHermite( $R114:$R118,$T114:$T118, $AM114:$AM118,$AO114:$AO118))</f>
        <v>·</v>
      </c>
      <c r="BO113" s="86" t="str">
        <f>IF( OR(ISBLANK($R113:$R118),ISBLANK($AM113:$AM118), ISBLANK(U113:U118),ISBLANK(AP113:AP118)), "·", bdRateHermite( $R114:$R118,$U114:$U118, $AM114:$AM118,$AP114:$AP118))</f>
        <v>·</v>
      </c>
      <c r="BP113" s="86" t="str">
        <f>IF( OR(ISBLANK($R113:$R118),ISBLANK($AM113:$AM118), ISBLANK(V113:V118),ISBLANK(AQ113:AQ118)), "·", bdRateHermite( $R114:$R118,$V114:$V118, $AM114:$AM118,$AQ114:$AQ118))</f>
        <v>·</v>
      </c>
      <c r="BQ113" s="103"/>
      <c r="BS113" s="250" t="str">
        <f>IF(OR(ISBLANK($P113:$P118),ISBLANK($AK113:$AK118),ISBLANK(T113:T118),ISBLANK(AO113:AO118)),"·",bdRateHermite($P114:$P118,$T114:$T118,$AK114:$AK118,$AO114:$AO118))</f>
        <v>·</v>
      </c>
      <c r="BT113" s="85" t="str">
        <f>IF(OR(ISBLANK($P113:$P118),ISBLANK($AK113:$AK118),ISBLANK(U113:U118),ISBLANK(AP113:AP118)),"·",bdRateHermite($P114:$P118,$U114:$U118,$AK114:$AK118,$AP114:$AP118))</f>
        <v>·</v>
      </c>
      <c r="BU113" s="254" t="str">
        <f>IF(OR(ISBLANK($P113:$P118),ISBLANK($AK113:$AK118),ISBLANK(V113:V118),ISBLANK(AQ113:AQ118)),"·",bdRateHermite($P114:$P118,$V114:$V118,$AK114:$AK118,$AQ114:$AQ118))</f>
        <v>·</v>
      </c>
      <c r="BV113" s="257"/>
      <c r="BX113" s="86" t="str">
        <f>IF( OR(ISBLANK($R113:$R118),ISBLANK($AM113:$AM118), ISBLANK(T113:T118),ISBLANK(AO113:AO118)), "·", bdRateHermite( $R113:$R117,$T113:$T117, $AM113:$AM117,$AO113:$AO117))</f>
        <v>·</v>
      </c>
      <c r="BY113" s="86" t="str">
        <f>IF( OR(ISBLANK($R113:$R118),ISBLANK($AM113:$AM118), ISBLANK(U113:U118),ISBLANK(AP113:AP118)), "·", bdRateHermite( $R113:$R117,$U113:$U117, $AM113:$AM117,$AP113:$AP117))</f>
        <v>·</v>
      </c>
      <c r="BZ113" s="86" t="str">
        <f>IF( OR(ISBLANK($R113:$R118),ISBLANK($AM113:$AM118), ISBLANK(V113:V118),ISBLANK(AQ113:AQ118)), "·", bdRateHermite( $R113:$R117,$V113:$V117, $AM113:$AM117,$AQ113:$AQ117))</f>
        <v>·</v>
      </c>
      <c r="CA113" s="103"/>
      <c r="CC113" s="250" t="str">
        <f>IF(OR(ISBLANK($P113:$P118),ISBLANK($AK113:$AK118),ISBLANK(T113:T118),ISBLANK(AO113:AO118)),"·",bdRateHermite($P113:$P117,$T113:$T117,$AK113:$AK117,$AO113:$AO117))</f>
        <v>·</v>
      </c>
      <c r="CD113" s="85" t="str">
        <f>IF(OR(ISBLANK($P113:$P118),ISBLANK($AK113:$AK118),ISBLANK(U113:U118),ISBLANK(AP113:AP118)),"·",bdRateHermite($P113:$P117,$U113:$U117,$AK113:$AK117,$AP113:$AP117))</f>
        <v>·</v>
      </c>
      <c r="CE113" s="254" t="str">
        <f>IF(OR(ISBLANK($P113:$P118),ISBLANK($AK113:$AK118),ISBLANK(V113:V118),ISBLANK(AQ113:AQ118)),"·",bdRateHermite($P113:$P117,$V113:$V117,$AK113:$AK117,$AQ113:$AQ117))</f>
        <v>·</v>
      </c>
      <c r="CF113" s="257"/>
    </row>
    <row r="114" spans="1:84" outlineLevel="1">
      <c r="A114" s="13"/>
      <c r="B114" s="14" t="s">
        <v>873</v>
      </c>
      <c r="C114" s="15" t="s">
        <v>132</v>
      </c>
      <c r="D114" s="14">
        <v>186907991</v>
      </c>
      <c r="E114" s="15">
        <v>11</v>
      </c>
      <c r="F114" s="25">
        <v>64</v>
      </c>
      <c r="G114" s="16">
        <v>30</v>
      </c>
      <c r="I114" s="30">
        <f t="shared" si="15"/>
        <v>108.15430125</v>
      </c>
      <c r="J114" s="31">
        <f t="shared" si="16"/>
        <v>1.2344532449658614</v>
      </c>
      <c r="K114" s="31">
        <f t="shared" si="17"/>
        <v>1.0091804796082795</v>
      </c>
      <c r="L114" s="31">
        <f t="shared" ref="L114:L117" si="29">IF(ISBLANK(R114),"·",R114/D114)</f>
        <v>0.22507510660686519</v>
      </c>
      <c r="M114" s="87"/>
      <c r="N114" s="31">
        <f t="shared" si="18"/>
        <v>1.2344532449658614</v>
      </c>
      <c r="O114" s="521">
        <v>186907991</v>
      </c>
      <c r="P114" s="503">
        <v>230729176</v>
      </c>
      <c r="Q114" s="357">
        <v>188623896</v>
      </c>
      <c r="R114" s="357">
        <v>42068336</v>
      </c>
      <c r="S114" s="550"/>
      <c r="T114" s="503">
        <v>31.374098</v>
      </c>
      <c r="U114" s="357">
        <v>32.156897999999998</v>
      </c>
      <c r="V114" s="357">
        <v>33.061141999999997</v>
      </c>
      <c r="W114" s="550">
        <v>0</v>
      </c>
      <c r="X114" s="507"/>
      <c r="Y114" s="359"/>
      <c r="Z114" s="573">
        <v>0</v>
      </c>
      <c r="AA114" s="573">
        <v>0</v>
      </c>
      <c r="AB114" s="33"/>
      <c r="AD114" s="30" t="str">
        <f t="shared" si="28"/>
        <v>·</v>
      </c>
      <c r="AE114" s="31" t="str">
        <f t="shared" si="21"/>
        <v>·</v>
      </c>
      <c r="AF114" s="31" t="str">
        <f t="shared" si="19"/>
        <v>·</v>
      </c>
      <c r="AG114" s="31" t="str">
        <f t="shared" si="22"/>
        <v>·</v>
      </c>
      <c r="AH114" s="87" t="str">
        <f t="shared" ref="AH114:AH136" si="30">IF(ISBLANK(AN114),"·",AN114/D114)</f>
        <v>·</v>
      </c>
      <c r="AI114" s="31" t="str">
        <f t="shared" si="24"/>
        <v>·</v>
      </c>
      <c r="AJ114" s="521"/>
      <c r="AK114" s="503"/>
      <c r="AL114" s="357"/>
      <c r="AM114" s="357"/>
      <c r="AN114" s="550"/>
      <c r="AO114" s="503"/>
      <c r="AP114" s="357"/>
      <c r="AQ114" s="357"/>
      <c r="AR114" s="550"/>
      <c r="AS114" s="507"/>
      <c r="AT114" s="359"/>
      <c r="AU114" s="573">
        <v>0</v>
      </c>
      <c r="AV114" s="573">
        <v>0</v>
      </c>
      <c r="AW114" s="33"/>
      <c r="AY114" s="56" t="e">
        <f t="shared" si="27"/>
        <v>#DIV/0!</v>
      </c>
      <c r="AZ114" s="57" t="e">
        <f t="shared" si="27"/>
        <v>#DIV/0!</v>
      </c>
      <c r="BA114" s="57" t="e">
        <f t="shared" si="20"/>
        <v>#DIV/0!</v>
      </c>
      <c r="BB114" s="58"/>
      <c r="BD114" s="76"/>
      <c r="BE114" s="76"/>
      <c r="BF114" s="76"/>
      <c r="BG114" s="105"/>
      <c r="BI114" s="252"/>
      <c r="BJ114" s="76"/>
      <c r="BK114" s="255"/>
      <c r="BL114" s="258"/>
      <c r="BM114" s="251"/>
      <c r="BN114" s="76"/>
      <c r="BO114" s="76"/>
      <c r="BP114" s="76"/>
      <c r="BQ114" s="105"/>
      <c r="BS114" s="252"/>
      <c r="BT114" s="76"/>
      <c r="BU114" s="255"/>
      <c r="BV114" s="258"/>
      <c r="BX114" s="74"/>
      <c r="BY114" s="75"/>
      <c r="BZ114" s="264"/>
      <c r="CA114" s="105"/>
      <c r="CC114" s="260"/>
      <c r="CD114" s="75"/>
      <c r="CE114" s="262"/>
      <c r="CF114" s="258"/>
    </row>
    <row r="115" spans="1:84" outlineLevel="1">
      <c r="A115" s="13"/>
      <c r="B115" s="14" t="s">
        <v>873</v>
      </c>
      <c r="C115" s="15" t="s">
        <v>133</v>
      </c>
      <c r="D115" s="14">
        <v>186907991</v>
      </c>
      <c r="E115" s="15">
        <v>11</v>
      </c>
      <c r="F115" s="25">
        <v>64</v>
      </c>
      <c r="G115" s="16">
        <v>30</v>
      </c>
      <c r="I115" s="30">
        <f t="shared" si="15"/>
        <v>133.15033124999999</v>
      </c>
      <c r="J115" s="31">
        <f t="shared" si="16"/>
        <v>1.5197533207662588</v>
      </c>
      <c r="K115" s="31">
        <f t="shared" si="17"/>
        <v>1.0091804796082795</v>
      </c>
      <c r="L115" s="31">
        <f t="shared" si="29"/>
        <v>0.51037518240726265</v>
      </c>
      <c r="M115" s="87"/>
      <c r="N115" s="31">
        <f t="shared" si="18"/>
        <v>1.5197533207662588</v>
      </c>
      <c r="O115" s="521">
        <v>186907991</v>
      </c>
      <c r="P115" s="503">
        <v>284054040</v>
      </c>
      <c r="Q115" s="357">
        <v>188623896</v>
      </c>
      <c r="R115" s="357">
        <v>95393200</v>
      </c>
      <c r="S115" s="550"/>
      <c r="T115" s="503">
        <v>36.732990000000001</v>
      </c>
      <c r="U115" s="357">
        <v>38.148288999999998</v>
      </c>
      <c r="V115" s="357">
        <v>39.463459</v>
      </c>
      <c r="W115" s="550">
        <v>0</v>
      </c>
      <c r="X115" s="507"/>
      <c r="Y115" s="359"/>
      <c r="Z115" s="573">
        <v>0</v>
      </c>
      <c r="AA115" s="573">
        <v>0</v>
      </c>
      <c r="AB115" s="33"/>
      <c r="AD115" s="30" t="str">
        <f t="shared" si="28"/>
        <v>·</v>
      </c>
      <c r="AE115" s="31" t="str">
        <f t="shared" si="21"/>
        <v>·</v>
      </c>
      <c r="AF115" s="31" t="str">
        <f t="shared" si="19"/>
        <v>·</v>
      </c>
      <c r="AG115" s="31" t="str">
        <f t="shared" si="22"/>
        <v>·</v>
      </c>
      <c r="AH115" s="87" t="str">
        <f t="shared" si="30"/>
        <v>·</v>
      </c>
      <c r="AI115" s="31" t="str">
        <f t="shared" si="24"/>
        <v>·</v>
      </c>
      <c r="AJ115" s="521"/>
      <c r="AK115" s="503"/>
      <c r="AL115" s="357"/>
      <c r="AM115" s="357"/>
      <c r="AN115" s="550"/>
      <c r="AO115" s="503"/>
      <c r="AP115" s="357"/>
      <c r="AQ115" s="357"/>
      <c r="AR115" s="550"/>
      <c r="AS115" s="507"/>
      <c r="AT115" s="359"/>
      <c r="AU115" s="573">
        <v>0</v>
      </c>
      <c r="AV115" s="573">
        <v>0</v>
      </c>
      <c r="AW115" s="33"/>
      <c r="AY115" s="56" t="e">
        <f t="shared" ref="AY115:AZ136" si="31">AU115/Z115</f>
        <v>#DIV/0!</v>
      </c>
      <c r="AZ115" s="57" t="e">
        <f t="shared" si="31"/>
        <v>#DIV/0!</v>
      </c>
      <c r="BA115" s="57" t="e">
        <f t="shared" si="20"/>
        <v>#DIV/0!</v>
      </c>
      <c r="BB115" s="58"/>
      <c r="BD115" s="76"/>
      <c r="BE115" s="76"/>
      <c r="BF115" s="76"/>
      <c r="BG115" s="105"/>
      <c r="BI115" s="252"/>
      <c r="BJ115" s="76"/>
      <c r="BK115" s="255"/>
      <c r="BL115" s="258"/>
      <c r="BM115" s="251"/>
      <c r="BN115" s="76"/>
      <c r="BO115" s="76"/>
      <c r="BP115" s="76"/>
      <c r="BQ115" s="105"/>
      <c r="BS115" s="252"/>
      <c r="BT115" s="76"/>
      <c r="BU115" s="255"/>
      <c r="BV115" s="258"/>
      <c r="BX115" s="74"/>
      <c r="BY115" s="75"/>
      <c r="BZ115" s="264"/>
      <c r="CA115" s="105"/>
      <c r="CC115" s="260"/>
      <c r="CD115" s="75"/>
      <c r="CE115" s="262"/>
      <c r="CF115" s="258"/>
    </row>
    <row r="116" spans="1:84" outlineLevel="1">
      <c r="A116" s="13"/>
      <c r="B116" s="14" t="s">
        <v>872</v>
      </c>
      <c r="C116" s="15" t="s">
        <v>134</v>
      </c>
      <c r="D116" s="14">
        <v>186907991</v>
      </c>
      <c r="E116" s="15">
        <v>11</v>
      </c>
      <c r="F116" s="25">
        <v>64</v>
      </c>
      <c r="G116" s="16">
        <v>30</v>
      </c>
      <c r="I116" s="30">
        <f t="shared" si="15"/>
        <v>202.65308999999999</v>
      </c>
      <c r="J116" s="31">
        <f t="shared" si="16"/>
        <v>2.3130449890716549</v>
      </c>
      <c r="K116" s="31">
        <f t="shared" si="17"/>
        <v>1.0091804796082795</v>
      </c>
      <c r="L116" s="31">
        <f t="shared" si="29"/>
        <v>1.3036675355415916</v>
      </c>
      <c r="M116" s="87"/>
      <c r="N116" s="31">
        <f t="shared" si="18"/>
        <v>2.3130449890716549</v>
      </c>
      <c r="O116" s="521">
        <v>186907991</v>
      </c>
      <c r="P116" s="503">
        <v>432326592</v>
      </c>
      <c r="Q116" s="357">
        <v>188623896</v>
      </c>
      <c r="R116" s="357">
        <v>243665880</v>
      </c>
      <c r="S116" s="550"/>
      <c r="T116" s="503">
        <v>41.82</v>
      </c>
      <c r="U116" s="357">
        <v>42.96069</v>
      </c>
      <c r="V116" s="357">
        <v>44.187767000000001</v>
      </c>
      <c r="W116" s="550">
        <v>0</v>
      </c>
      <c r="X116" s="507"/>
      <c r="Y116" s="359"/>
      <c r="Z116" s="573">
        <v>0</v>
      </c>
      <c r="AA116" s="573">
        <v>0</v>
      </c>
      <c r="AB116" s="33"/>
      <c r="AD116" s="30" t="str">
        <f t="shared" si="28"/>
        <v>·</v>
      </c>
      <c r="AE116" s="31" t="str">
        <f t="shared" si="21"/>
        <v>·</v>
      </c>
      <c r="AF116" s="31" t="str">
        <f t="shared" si="19"/>
        <v>·</v>
      </c>
      <c r="AG116" s="31" t="str">
        <f t="shared" si="22"/>
        <v>·</v>
      </c>
      <c r="AH116" s="87" t="str">
        <f t="shared" si="30"/>
        <v>·</v>
      </c>
      <c r="AI116" s="31" t="str">
        <f t="shared" si="24"/>
        <v>·</v>
      </c>
      <c r="AJ116" s="521"/>
      <c r="AK116" s="503"/>
      <c r="AL116" s="357"/>
      <c r="AM116" s="357"/>
      <c r="AN116" s="550"/>
      <c r="AO116" s="503"/>
      <c r="AP116" s="357"/>
      <c r="AQ116" s="357"/>
      <c r="AR116" s="550"/>
      <c r="AS116" s="507"/>
      <c r="AT116" s="359"/>
      <c r="AU116" s="573">
        <v>0</v>
      </c>
      <c r="AV116" s="573">
        <v>0</v>
      </c>
      <c r="AW116" s="33"/>
      <c r="AY116" s="56" t="e">
        <f t="shared" si="31"/>
        <v>#DIV/0!</v>
      </c>
      <c r="AZ116" s="57" t="e">
        <f t="shared" si="31"/>
        <v>#DIV/0!</v>
      </c>
      <c r="BA116" s="57" t="e">
        <f t="shared" si="20"/>
        <v>#DIV/0!</v>
      </c>
      <c r="BB116" s="58"/>
      <c r="BD116" s="76"/>
      <c r="BE116" s="76"/>
      <c r="BF116" s="76"/>
      <c r="BG116" s="105"/>
      <c r="BI116" s="252"/>
      <c r="BJ116" s="76"/>
      <c r="BK116" s="255"/>
      <c r="BL116" s="258"/>
      <c r="BM116" s="251"/>
      <c r="BN116" s="76"/>
      <c r="BO116" s="76"/>
      <c r="BP116" s="76"/>
      <c r="BQ116" s="105"/>
      <c r="BS116" s="252"/>
      <c r="BT116" s="76"/>
      <c r="BU116" s="255"/>
      <c r="BV116" s="258"/>
      <c r="BX116" s="74"/>
      <c r="BY116" s="75"/>
      <c r="BZ116" s="264"/>
      <c r="CA116" s="105"/>
      <c r="CC116" s="260"/>
      <c r="CD116" s="75"/>
      <c r="CE116" s="262"/>
      <c r="CF116" s="258"/>
    </row>
    <row r="117" spans="1:84" outlineLevel="1">
      <c r="A117" s="13"/>
      <c r="B117" s="14" t="s">
        <v>872</v>
      </c>
      <c r="C117" s="15" t="s">
        <v>135</v>
      </c>
      <c r="D117" s="14">
        <v>186907991</v>
      </c>
      <c r="E117" s="15">
        <v>11</v>
      </c>
      <c r="F117" s="25">
        <v>64</v>
      </c>
      <c r="G117" s="16">
        <v>30</v>
      </c>
      <c r="I117" s="30">
        <f t="shared" si="15"/>
        <v>344.72877749999998</v>
      </c>
      <c r="J117" s="31">
        <f t="shared" si="16"/>
        <v>3.9346706797570792</v>
      </c>
      <c r="K117" s="31">
        <f t="shared" si="17"/>
        <v>1.0091804796082795</v>
      </c>
      <c r="L117" s="31">
        <f t="shared" si="29"/>
        <v>2.9252932262270157</v>
      </c>
      <c r="M117" s="87"/>
      <c r="N117" s="31">
        <f t="shared" si="18"/>
        <v>3.9346706797570792</v>
      </c>
      <c r="O117" s="521">
        <v>186907991</v>
      </c>
      <c r="P117" s="503">
        <v>735421392</v>
      </c>
      <c r="Q117" s="357">
        <v>188623896</v>
      </c>
      <c r="R117" s="357">
        <v>546760680</v>
      </c>
      <c r="S117" s="550"/>
      <c r="T117" s="503">
        <v>46.804825000000001</v>
      </c>
      <c r="U117" s="357">
        <v>47.985419999999998</v>
      </c>
      <c r="V117" s="357">
        <v>49.086750000000002</v>
      </c>
      <c r="W117" s="550">
        <v>0</v>
      </c>
      <c r="X117" s="507"/>
      <c r="Y117" s="359"/>
      <c r="Z117" s="573">
        <v>0</v>
      </c>
      <c r="AA117" s="573">
        <v>0</v>
      </c>
      <c r="AB117" s="33"/>
      <c r="AD117" s="30" t="str">
        <f t="shared" si="28"/>
        <v>·</v>
      </c>
      <c r="AE117" s="31" t="str">
        <f t="shared" si="21"/>
        <v>·</v>
      </c>
      <c r="AF117" s="31" t="str">
        <f t="shared" si="19"/>
        <v>·</v>
      </c>
      <c r="AG117" s="31" t="str">
        <f t="shared" si="22"/>
        <v>·</v>
      </c>
      <c r="AH117" s="87" t="str">
        <f t="shared" si="30"/>
        <v>·</v>
      </c>
      <c r="AI117" s="31" t="str">
        <f t="shared" si="24"/>
        <v>·</v>
      </c>
      <c r="AJ117" s="521"/>
      <c r="AK117" s="503"/>
      <c r="AL117" s="357"/>
      <c r="AM117" s="357"/>
      <c r="AN117" s="550"/>
      <c r="AO117" s="503"/>
      <c r="AP117" s="357"/>
      <c r="AQ117" s="357"/>
      <c r="AR117" s="550"/>
      <c r="AS117" s="507"/>
      <c r="AT117" s="359"/>
      <c r="AU117" s="573">
        <v>0</v>
      </c>
      <c r="AV117" s="573">
        <v>0</v>
      </c>
      <c r="AW117" s="33"/>
      <c r="AY117" s="56" t="e">
        <f t="shared" si="31"/>
        <v>#DIV/0!</v>
      </c>
      <c r="AZ117" s="57" t="e">
        <f t="shared" si="31"/>
        <v>#DIV/0!</v>
      </c>
      <c r="BA117" s="57" t="e">
        <f t="shared" si="20"/>
        <v>#DIV/0!</v>
      </c>
      <c r="BB117" s="58"/>
      <c r="BD117" s="76"/>
      <c r="BE117" s="76"/>
      <c r="BF117" s="76"/>
      <c r="BG117" s="105"/>
      <c r="BI117" s="252"/>
      <c r="BJ117" s="76"/>
      <c r="BK117" s="255"/>
      <c r="BL117" s="258"/>
      <c r="BM117" s="251"/>
      <c r="BN117" s="76"/>
      <c r="BO117" s="76"/>
      <c r="BP117" s="76"/>
      <c r="BQ117" s="105"/>
      <c r="BS117" s="252"/>
      <c r="BT117" s="76"/>
      <c r="BU117" s="255"/>
      <c r="BV117" s="258"/>
      <c r="BX117" s="74"/>
      <c r="BY117" s="75"/>
      <c r="BZ117" s="264"/>
      <c r="CA117" s="105"/>
      <c r="CC117" s="260"/>
      <c r="CD117" s="75"/>
      <c r="CE117" s="262"/>
      <c r="CF117" s="258"/>
    </row>
    <row r="118" spans="1:84" ht="14.25" outlineLevel="1" thickBot="1">
      <c r="A118" s="13"/>
      <c r="B118" s="18" t="s">
        <v>872</v>
      </c>
      <c r="C118" s="22" t="s">
        <v>136</v>
      </c>
      <c r="D118" s="21">
        <v>186907991</v>
      </c>
      <c r="E118" s="22">
        <v>11</v>
      </c>
      <c r="F118" s="188">
        <v>64</v>
      </c>
      <c r="G118" s="23">
        <v>30</v>
      </c>
      <c r="I118" s="34">
        <f t="shared" si="15"/>
        <v>568.12469999999996</v>
      </c>
      <c r="J118" s="35">
        <f t="shared" si="16"/>
        <v>6.4844705328837442</v>
      </c>
      <c r="K118" s="35">
        <f t="shared" si="17"/>
        <v>1.0091804796082795</v>
      </c>
      <c r="L118" s="35">
        <f>IF(ISBLANK(R118),"·",R118/D118)</f>
        <v>5.4750932933627219</v>
      </c>
      <c r="M118" s="88"/>
      <c r="N118" s="35">
        <f t="shared" si="18"/>
        <v>6.4844705328837442</v>
      </c>
      <c r="O118" s="522">
        <v>186907991</v>
      </c>
      <c r="P118" s="505">
        <v>1211999360</v>
      </c>
      <c r="Q118" s="361">
        <v>188623896</v>
      </c>
      <c r="R118" s="361">
        <v>1023338688</v>
      </c>
      <c r="S118" s="551"/>
      <c r="T118" s="505">
        <v>51.255791000000002</v>
      </c>
      <c r="U118" s="361">
        <v>52.428955000000002</v>
      </c>
      <c r="V118" s="361">
        <v>53.220725999999999</v>
      </c>
      <c r="W118" s="551">
        <v>0</v>
      </c>
      <c r="X118" s="509"/>
      <c r="Y118" s="363"/>
      <c r="Z118" s="575">
        <v>0</v>
      </c>
      <c r="AA118" s="575">
        <v>0</v>
      </c>
      <c r="AB118" s="37"/>
      <c r="AD118" s="34" t="str">
        <f t="shared" si="28"/>
        <v>·</v>
      </c>
      <c r="AE118" s="35" t="str">
        <f t="shared" si="21"/>
        <v>·</v>
      </c>
      <c r="AF118" s="35" t="str">
        <f t="shared" si="19"/>
        <v>·</v>
      </c>
      <c r="AG118" s="35" t="str">
        <f t="shared" si="22"/>
        <v>·</v>
      </c>
      <c r="AH118" s="88" t="str">
        <f t="shared" si="30"/>
        <v>·</v>
      </c>
      <c r="AI118" s="35" t="str">
        <f t="shared" si="24"/>
        <v>·</v>
      </c>
      <c r="AJ118" s="522"/>
      <c r="AK118" s="505"/>
      <c r="AL118" s="361"/>
      <c r="AM118" s="361"/>
      <c r="AN118" s="551"/>
      <c r="AO118" s="505"/>
      <c r="AP118" s="361"/>
      <c r="AQ118" s="361"/>
      <c r="AR118" s="551"/>
      <c r="AS118" s="509"/>
      <c r="AT118" s="363"/>
      <c r="AU118" s="575">
        <v>0</v>
      </c>
      <c r="AV118" s="575">
        <v>0</v>
      </c>
      <c r="AW118" s="37"/>
      <c r="AY118" s="59" t="e">
        <f t="shared" si="31"/>
        <v>#DIV/0!</v>
      </c>
      <c r="AZ118" s="60" t="e">
        <f t="shared" si="31"/>
        <v>#DIV/0!</v>
      </c>
      <c r="BA118" s="60" t="e">
        <f t="shared" si="20"/>
        <v>#DIV/0!</v>
      </c>
      <c r="BB118" s="61"/>
      <c r="BD118" s="79"/>
      <c r="BE118" s="79"/>
      <c r="BF118" s="79"/>
      <c r="BG118" s="108"/>
      <c r="BI118" s="253"/>
      <c r="BJ118" s="79"/>
      <c r="BK118" s="256"/>
      <c r="BL118" s="259"/>
      <c r="BM118" s="251"/>
      <c r="BN118" s="79"/>
      <c r="BO118" s="79"/>
      <c r="BP118" s="79"/>
      <c r="BQ118" s="108"/>
      <c r="BS118" s="253"/>
      <c r="BT118" s="79"/>
      <c r="BU118" s="256"/>
      <c r="BV118" s="259"/>
      <c r="BX118" s="77"/>
      <c r="BY118" s="78"/>
      <c r="BZ118" s="265"/>
      <c r="CA118" s="108"/>
      <c r="CC118" s="261"/>
      <c r="CD118" s="78"/>
      <c r="CE118" s="263"/>
      <c r="CF118" s="259"/>
    </row>
    <row r="119" spans="1:84">
      <c r="A119" s="13"/>
      <c r="B119" s="27" t="s">
        <v>879</v>
      </c>
      <c r="C119" s="28" t="s">
        <v>131</v>
      </c>
      <c r="D119" s="27">
        <v>166028718</v>
      </c>
      <c r="E119" s="28">
        <v>11</v>
      </c>
      <c r="F119" s="28">
        <v>64</v>
      </c>
      <c r="G119" s="29">
        <v>30</v>
      </c>
      <c r="I119" s="46">
        <f t="shared" si="15"/>
        <v>92.161312499999994</v>
      </c>
      <c r="J119" s="47">
        <f t="shared" si="16"/>
        <v>1.184197543463535</v>
      </c>
      <c r="K119" s="47">
        <f t="shared" si="17"/>
        <v>1.0594718439011255</v>
      </c>
      <c r="L119" s="47">
        <f>IF(ISBLANK(R119),"·",R119/D119)</f>
        <v>0.12450385842285429</v>
      </c>
      <c r="M119" s="87"/>
      <c r="N119" s="47">
        <f t="shared" si="18"/>
        <v>1.184197543463535</v>
      </c>
      <c r="O119" s="520">
        <v>166028718</v>
      </c>
      <c r="P119" s="502">
        <v>196610800</v>
      </c>
      <c r="Q119" s="353">
        <v>175902752</v>
      </c>
      <c r="R119" s="353">
        <v>20671216</v>
      </c>
      <c r="S119" s="550"/>
      <c r="T119" s="502">
        <v>25.526479999999999</v>
      </c>
      <c r="U119" s="353">
        <v>31.025058999999999</v>
      </c>
      <c r="V119" s="353">
        <v>33.980815999999997</v>
      </c>
      <c r="W119" s="550">
        <v>0</v>
      </c>
      <c r="X119" s="506"/>
      <c r="Y119" s="355"/>
      <c r="Z119" s="572">
        <v>0</v>
      </c>
      <c r="AA119" s="572">
        <v>0</v>
      </c>
      <c r="AB119" s="49"/>
      <c r="AD119" s="46" t="str">
        <f t="shared" si="28"/>
        <v>·</v>
      </c>
      <c r="AE119" s="47" t="str">
        <f t="shared" si="21"/>
        <v>·</v>
      </c>
      <c r="AF119" s="47" t="str">
        <f t="shared" si="19"/>
        <v>·</v>
      </c>
      <c r="AG119" s="47" t="str">
        <f t="shared" si="22"/>
        <v>·</v>
      </c>
      <c r="AH119" s="87" t="str">
        <f t="shared" si="30"/>
        <v>·</v>
      </c>
      <c r="AI119" s="47" t="str">
        <f t="shared" si="24"/>
        <v>·</v>
      </c>
      <c r="AJ119" s="520"/>
      <c r="AK119" s="502"/>
      <c r="AL119" s="353"/>
      <c r="AM119" s="353"/>
      <c r="AN119" s="550"/>
      <c r="AO119" s="502"/>
      <c r="AP119" s="353"/>
      <c r="AQ119" s="353"/>
      <c r="AR119" s="550"/>
      <c r="AS119" s="506"/>
      <c r="AT119" s="355"/>
      <c r="AU119" s="572">
        <v>0</v>
      </c>
      <c r="AV119" s="572">
        <v>0</v>
      </c>
      <c r="AW119" s="49"/>
      <c r="AY119" s="68" t="e">
        <f t="shared" si="31"/>
        <v>#DIV/0!</v>
      </c>
      <c r="AZ119" s="69" t="e">
        <f t="shared" si="31"/>
        <v>#DIV/0!</v>
      </c>
      <c r="BA119" s="69" t="e">
        <f t="shared" si="20"/>
        <v>#DIV/0!</v>
      </c>
      <c r="BB119" s="70" t="e">
        <f t="array" ref="BB119">AVERAGE(AL119:AL124/AK119:AK124) - AVERAGE(Q119:Q124/P119:P124)</f>
        <v>#DIV/0!</v>
      </c>
      <c r="BD119" s="86" t="str">
        <f>IF( OR(ISBLANK($R119:$R124),ISBLANK($AM119:$AM124), ISBLANK(T119:T124),ISBLANK(AO119:AO124)), "·", bdRateHermite( $R119:$R124,$T119:$T124, $AM119:$AM124,$AO119:$AO124))</f>
        <v>·</v>
      </c>
      <c r="BE119" s="86" t="str">
        <f>IF( OR(ISBLANK($R119:$R124),ISBLANK($AM119:$AM124), ISBLANK(U119:U124),ISBLANK(AP119:AP124)), "·", bdRateHermite( $R119:$R124,$U119:$U124, $AM119:$AM124,$AP119:$AP124))</f>
        <v>·</v>
      </c>
      <c r="BF119" s="86" t="str">
        <f>IF( OR(ISBLANK($R119:$R124),ISBLANK($AM119:$AM124), ISBLANK(V119:V124),ISBLANK(AQ119:AQ124)), "·", bdRateHermite( $R119:$R124,$V119:$V124, $AM119:$AM124,$AQ119:$AQ124))</f>
        <v>·</v>
      </c>
      <c r="BG119" s="103"/>
      <c r="BI119" s="250" t="str">
        <f>IF(OR(ISBLANK($P119:$P124),ISBLANK($AK119:$AK124),ISBLANK(T119:T124),ISBLANK(AO119:AO124)),"·",bdRateHermite($P119:$P124,$T119:$T124,$AK119:$AK124,$AO119:$AO124))</f>
        <v>·</v>
      </c>
      <c r="BJ119" s="85" t="str">
        <f>IF(OR(ISBLANK($P119:$P124),ISBLANK($AK119:$AK124),ISBLANK(U119:U124),ISBLANK(AP119:AP124)),"·",bdRateHermite($P119:$P124,$U119:$U124,$AK119:$AK124,$AP119:$AP124))</f>
        <v>·</v>
      </c>
      <c r="BK119" s="254" t="str">
        <f>IF(OR(ISBLANK($P119:$P124),ISBLANK($AK119:$AK124),ISBLANK(V119:V124),ISBLANK(AQ119:AQ124)),"·",bdRateHermite($P119:$P124,$V119:$V124,$AK119:$AK124,$AQ119:$AQ124))</f>
        <v>·</v>
      </c>
      <c r="BL119" s="257"/>
      <c r="BM119" s="251"/>
      <c r="BN119" s="86" t="str">
        <f>IF( OR(ISBLANK($R119:$R124),ISBLANK($AM119:$AM124), ISBLANK(T119:T124),ISBLANK(AO119:AO124)), "·", bdRateHermite( $R120:$R124,$T120:$T124, $AM120:$AM124,$AO120:$AO124))</f>
        <v>·</v>
      </c>
      <c r="BO119" s="86" t="str">
        <f>IF( OR(ISBLANK($R119:$R124),ISBLANK($AM119:$AM124), ISBLANK(U119:U124),ISBLANK(AP119:AP124)), "·", bdRateHermite( $R120:$R124,$U120:$U124, $AM120:$AM124,$AP120:$AP124))</f>
        <v>·</v>
      </c>
      <c r="BP119" s="86" t="str">
        <f>IF( OR(ISBLANK($R119:$R124),ISBLANK($AM119:$AM124), ISBLANK(V119:V124),ISBLANK(AQ119:AQ124)), "·", bdRateHermite( $R120:$R124,$V120:$V124, $AM120:$AM124,$AQ120:$AQ124))</f>
        <v>·</v>
      </c>
      <c r="BQ119" s="103"/>
      <c r="BS119" s="250" t="str">
        <f>IF(OR(ISBLANK($P119:$P124),ISBLANK($AK119:$AK124),ISBLANK(T119:T124),ISBLANK(AO119:AO124)),"·",bdRateHermite($P120:$P124,$T120:$T124,$AK120:$AK124,$AO120:$AO124))</f>
        <v>·</v>
      </c>
      <c r="BT119" s="85" t="str">
        <f>IF(OR(ISBLANK($P119:$P124),ISBLANK($AK119:$AK124),ISBLANK(U119:U124),ISBLANK(AP119:AP124)),"·",bdRateHermite($P120:$P124,$U120:$U124,$AK120:$AK124,$AP120:$AP124))</f>
        <v>·</v>
      </c>
      <c r="BU119" s="254" t="str">
        <f>IF(OR(ISBLANK($P119:$P124),ISBLANK($AK119:$AK124),ISBLANK(V119:V124),ISBLANK(AQ119:AQ124)),"·",bdRateHermite($P120:$P124,$V120:$V124,$AK120:$AK124,$AQ120:$AQ124))</f>
        <v>·</v>
      </c>
      <c r="BV119" s="257"/>
      <c r="BX119" s="86" t="str">
        <f>IF( OR(ISBLANK($R119:$R124),ISBLANK($AM119:$AM124), ISBLANK(T119:T124),ISBLANK(AO119:AO124)), "·", bdRateHermite( $R119:$R123,$T119:$T123, $AM119:$AM123,$AO119:$AO123))</f>
        <v>·</v>
      </c>
      <c r="BY119" s="86" t="str">
        <f>IF( OR(ISBLANK($R119:$R124),ISBLANK($AM119:$AM124), ISBLANK(U119:U124),ISBLANK(AP119:AP124)), "·", bdRateHermite( $R119:$R123,$U119:$U123, $AM119:$AM123,$AP119:$AP123))</f>
        <v>·</v>
      </c>
      <c r="BZ119" s="86" t="str">
        <f>IF( OR(ISBLANK($R119:$R124),ISBLANK($AM119:$AM124), ISBLANK(V119:V124),ISBLANK(AQ119:AQ124)), "·", bdRateHermite( $R119:$R123,$V119:$V123, $AM119:$AM123,$AQ119:$AQ123))</f>
        <v>·</v>
      </c>
      <c r="CA119" s="103"/>
      <c r="CC119" s="250" t="str">
        <f>IF(OR(ISBLANK($P119:$P124),ISBLANK($AK119:$AK124),ISBLANK(T119:T124),ISBLANK(AO119:AO124)),"·",bdRateHermite($P119:$P123,$T119:$T123,$AK119:$AK123,$AO119:$AO123))</f>
        <v>·</v>
      </c>
      <c r="CD119" s="85" t="str">
        <f>IF(OR(ISBLANK($P119:$P124),ISBLANK($AK119:$AK124),ISBLANK(U119:U124),ISBLANK(AP119:AP124)),"·",bdRateHermite($P119:$P123,$U119:$U123,$AK119:$AK123,$AP119:$AP123))</f>
        <v>·</v>
      </c>
      <c r="CE119" s="254" t="str">
        <f>IF(OR(ISBLANK($P119:$P124),ISBLANK($AK119:$AK124),ISBLANK(V119:V124),ISBLANK(AQ119:AQ124)),"·",bdRateHermite($P119:$P123,$V119:$V123,$AK119:$AK123,$AQ119:$AQ123))</f>
        <v>·</v>
      </c>
      <c r="CF119" s="257"/>
    </row>
    <row r="120" spans="1:84" outlineLevel="1">
      <c r="A120" s="13"/>
      <c r="B120" s="14" t="s">
        <v>874</v>
      </c>
      <c r="C120" s="15" t="s">
        <v>132</v>
      </c>
      <c r="D120" s="14">
        <v>166028718</v>
      </c>
      <c r="E120" s="15">
        <v>11</v>
      </c>
      <c r="F120" s="25">
        <v>64</v>
      </c>
      <c r="G120" s="16">
        <v>30</v>
      </c>
      <c r="I120" s="30">
        <f t="shared" si="15"/>
        <v>102.31452</v>
      </c>
      <c r="J120" s="31">
        <f t="shared" si="16"/>
        <v>1.3146579617629766</v>
      </c>
      <c r="K120" s="31">
        <f t="shared" si="17"/>
        <v>1.0594718439011255</v>
      </c>
      <c r="L120" s="31">
        <f t="shared" ref="L120:L123" si="32">IF(ISBLANK(R120),"·",R120/D120)</f>
        <v>0.25496427672229571</v>
      </c>
      <c r="M120" s="87"/>
      <c r="N120" s="31">
        <f t="shared" si="18"/>
        <v>1.3146579617629766</v>
      </c>
      <c r="O120" s="521">
        <v>166028718</v>
      </c>
      <c r="P120" s="503">
        <v>218270976</v>
      </c>
      <c r="Q120" s="357">
        <v>175902752</v>
      </c>
      <c r="R120" s="357">
        <v>42331392</v>
      </c>
      <c r="S120" s="550"/>
      <c r="T120" s="503">
        <v>31.094017000000001</v>
      </c>
      <c r="U120" s="357">
        <v>31.775949000000001</v>
      </c>
      <c r="V120" s="357">
        <v>34.027641000000003</v>
      </c>
      <c r="W120" s="550">
        <v>0</v>
      </c>
      <c r="X120" s="507"/>
      <c r="Y120" s="359"/>
      <c r="Z120" s="573">
        <v>0</v>
      </c>
      <c r="AA120" s="573">
        <v>0</v>
      </c>
      <c r="AB120" s="33"/>
      <c r="AD120" s="30" t="str">
        <f t="shared" si="28"/>
        <v>·</v>
      </c>
      <c r="AE120" s="31" t="str">
        <f t="shared" si="21"/>
        <v>·</v>
      </c>
      <c r="AF120" s="31" t="str">
        <f t="shared" si="19"/>
        <v>·</v>
      </c>
      <c r="AG120" s="31" t="str">
        <f t="shared" si="22"/>
        <v>·</v>
      </c>
      <c r="AH120" s="87" t="str">
        <f t="shared" si="30"/>
        <v>·</v>
      </c>
      <c r="AI120" s="31" t="str">
        <f t="shared" si="24"/>
        <v>·</v>
      </c>
      <c r="AJ120" s="521"/>
      <c r="AK120" s="503"/>
      <c r="AL120" s="357"/>
      <c r="AM120" s="357"/>
      <c r="AN120" s="550"/>
      <c r="AO120" s="503"/>
      <c r="AP120" s="357"/>
      <c r="AQ120" s="357"/>
      <c r="AR120" s="550"/>
      <c r="AS120" s="507"/>
      <c r="AT120" s="359"/>
      <c r="AU120" s="573">
        <v>0</v>
      </c>
      <c r="AV120" s="573">
        <v>0</v>
      </c>
      <c r="AW120" s="33"/>
      <c r="AY120" s="56" t="e">
        <f t="shared" si="31"/>
        <v>#DIV/0!</v>
      </c>
      <c r="AZ120" s="57" t="e">
        <f t="shared" si="31"/>
        <v>#DIV/0!</v>
      </c>
      <c r="BA120" s="57" t="e">
        <f t="shared" si="20"/>
        <v>#DIV/0!</v>
      </c>
      <c r="BB120" s="58"/>
      <c r="BD120" s="76"/>
      <c r="BE120" s="76"/>
      <c r="BF120" s="76"/>
      <c r="BG120" s="105"/>
      <c r="BI120" s="252"/>
      <c r="BJ120" s="76"/>
      <c r="BK120" s="255"/>
      <c r="BL120" s="258"/>
      <c r="BM120" s="251"/>
      <c r="BN120" s="252"/>
      <c r="BO120" s="76"/>
      <c r="BP120" s="255"/>
      <c r="BQ120" s="258"/>
      <c r="BS120" s="252"/>
      <c r="BT120" s="76"/>
      <c r="BU120" s="255"/>
      <c r="BV120" s="258"/>
      <c r="BX120" s="74"/>
      <c r="BY120" s="75"/>
      <c r="BZ120" s="264"/>
      <c r="CA120" s="105"/>
      <c r="CC120" s="260"/>
      <c r="CD120" s="75"/>
      <c r="CE120" s="262"/>
      <c r="CF120" s="258"/>
    </row>
    <row r="121" spans="1:84" outlineLevel="1">
      <c r="A121" s="13"/>
      <c r="B121" s="14" t="s">
        <v>874</v>
      </c>
      <c r="C121" s="15" t="s">
        <v>133</v>
      </c>
      <c r="D121" s="14">
        <v>166028718</v>
      </c>
      <c r="E121" s="15">
        <v>11</v>
      </c>
      <c r="F121" s="25">
        <v>64</v>
      </c>
      <c r="G121" s="16">
        <v>30</v>
      </c>
      <c r="I121" s="30">
        <f t="shared" si="15"/>
        <v>126.65421375</v>
      </c>
      <c r="J121" s="31">
        <f t="shared" si="16"/>
        <v>1.6274031339566206</v>
      </c>
      <c r="K121" s="31">
        <f t="shared" si="17"/>
        <v>1.0594718439011255</v>
      </c>
      <c r="L121" s="31">
        <f t="shared" si="32"/>
        <v>0.56770944891594</v>
      </c>
      <c r="M121" s="87"/>
      <c r="N121" s="31">
        <f t="shared" si="18"/>
        <v>1.6274031339566206</v>
      </c>
      <c r="O121" s="521">
        <v>166028718</v>
      </c>
      <c r="P121" s="503">
        <v>270195656</v>
      </c>
      <c r="Q121" s="357">
        <v>175902752</v>
      </c>
      <c r="R121" s="357">
        <v>94256072</v>
      </c>
      <c r="S121" s="550"/>
      <c r="T121" s="503">
        <v>36.554324999999999</v>
      </c>
      <c r="U121" s="357">
        <v>38.238731000000001</v>
      </c>
      <c r="V121" s="357">
        <v>39.945210000000003</v>
      </c>
      <c r="W121" s="550">
        <v>0</v>
      </c>
      <c r="X121" s="507"/>
      <c r="Y121" s="359"/>
      <c r="Z121" s="573">
        <v>0</v>
      </c>
      <c r="AA121" s="573">
        <v>0</v>
      </c>
      <c r="AB121" s="33"/>
      <c r="AD121" s="30" t="str">
        <f t="shared" si="28"/>
        <v>·</v>
      </c>
      <c r="AE121" s="31" t="str">
        <f t="shared" si="21"/>
        <v>·</v>
      </c>
      <c r="AF121" s="31" t="str">
        <f t="shared" si="19"/>
        <v>·</v>
      </c>
      <c r="AG121" s="31" t="str">
        <f t="shared" si="22"/>
        <v>·</v>
      </c>
      <c r="AH121" s="87" t="str">
        <f t="shared" si="30"/>
        <v>·</v>
      </c>
      <c r="AI121" s="31" t="str">
        <f t="shared" si="24"/>
        <v>·</v>
      </c>
      <c r="AJ121" s="521"/>
      <c r="AK121" s="503"/>
      <c r="AL121" s="357"/>
      <c r="AM121" s="357"/>
      <c r="AN121" s="550"/>
      <c r="AO121" s="503"/>
      <c r="AP121" s="357"/>
      <c r="AQ121" s="357"/>
      <c r="AR121" s="550"/>
      <c r="AS121" s="507"/>
      <c r="AT121" s="359"/>
      <c r="AU121" s="573">
        <v>0</v>
      </c>
      <c r="AV121" s="573">
        <v>0</v>
      </c>
      <c r="AW121" s="33"/>
      <c r="AY121" s="56" t="e">
        <f t="shared" si="31"/>
        <v>#DIV/0!</v>
      </c>
      <c r="AZ121" s="57" t="e">
        <f t="shared" si="31"/>
        <v>#DIV/0!</v>
      </c>
      <c r="BA121" s="57" t="e">
        <f t="shared" si="20"/>
        <v>#DIV/0!</v>
      </c>
      <c r="BB121" s="58"/>
      <c r="BD121" s="76"/>
      <c r="BE121" s="76"/>
      <c r="BF121" s="76"/>
      <c r="BG121" s="105"/>
      <c r="BI121" s="252"/>
      <c r="BJ121" s="76"/>
      <c r="BK121" s="255"/>
      <c r="BL121" s="258"/>
      <c r="BM121" s="251"/>
      <c r="BN121" s="252"/>
      <c r="BO121" s="76"/>
      <c r="BP121" s="255"/>
      <c r="BQ121" s="258"/>
      <c r="BS121" s="252"/>
      <c r="BT121" s="76"/>
      <c r="BU121" s="255"/>
      <c r="BV121" s="258"/>
      <c r="BX121" s="74"/>
      <c r="BY121" s="75"/>
      <c r="BZ121" s="264"/>
      <c r="CA121" s="105"/>
      <c r="CC121" s="260"/>
      <c r="CD121" s="75"/>
      <c r="CE121" s="262"/>
      <c r="CF121" s="258"/>
    </row>
    <row r="122" spans="1:84" outlineLevel="1">
      <c r="A122" s="13"/>
      <c r="B122" s="14" t="s">
        <v>874</v>
      </c>
      <c r="C122" s="15" t="s">
        <v>134</v>
      </c>
      <c r="D122" s="14">
        <v>166028718</v>
      </c>
      <c r="E122" s="15">
        <v>11</v>
      </c>
      <c r="F122" s="25">
        <v>64</v>
      </c>
      <c r="G122" s="16">
        <v>30</v>
      </c>
      <c r="I122" s="30">
        <f t="shared" si="15"/>
        <v>187.039725</v>
      </c>
      <c r="J122" s="31">
        <f t="shared" si="16"/>
        <v>2.4033076012789545</v>
      </c>
      <c r="K122" s="31">
        <f t="shared" si="17"/>
        <v>1.0594718439011255</v>
      </c>
      <c r="L122" s="31">
        <f t="shared" si="32"/>
        <v>1.3436140126071443</v>
      </c>
      <c r="M122" s="87"/>
      <c r="N122" s="31">
        <f t="shared" si="18"/>
        <v>2.4033076012789545</v>
      </c>
      <c r="O122" s="521">
        <v>166028718</v>
      </c>
      <c r="P122" s="503">
        <v>399018080</v>
      </c>
      <c r="Q122" s="357">
        <v>175902752</v>
      </c>
      <c r="R122" s="357">
        <v>223078512</v>
      </c>
      <c r="S122" s="550"/>
      <c r="T122" s="503">
        <v>41.730553</v>
      </c>
      <c r="U122" s="357">
        <v>43.297744999999999</v>
      </c>
      <c r="V122" s="357">
        <v>44.412227999999999</v>
      </c>
      <c r="W122" s="550">
        <v>0</v>
      </c>
      <c r="X122" s="507"/>
      <c r="Y122" s="359"/>
      <c r="Z122" s="573">
        <v>0</v>
      </c>
      <c r="AA122" s="573">
        <v>0</v>
      </c>
      <c r="AB122" s="33"/>
      <c r="AD122" s="30" t="str">
        <f t="shared" si="28"/>
        <v>·</v>
      </c>
      <c r="AE122" s="31" t="str">
        <f t="shared" si="21"/>
        <v>·</v>
      </c>
      <c r="AF122" s="31" t="str">
        <f t="shared" si="19"/>
        <v>·</v>
      </c>
      <c r="AG122" s="31" t="str">
        <f t="shared" si="22"/>
        <v>·</v>
      </c>
      <c r="AH122" s="87" t="str">
        <f t="shared" si="30"/>
        <v>·</v>
      </c>
      <c r="AI122" s="31" t="str">
        <f t="shared" si="24"/>
        <v>·</v>
      </c>
      <c r="AJ122" s="521"/>
      <c r="AK122" s="503"/>
      <c r="AL122" s="357"/>
      <c r="AM122" s="357"/>
      <c r="AN122" s="550"/>
      <c r="AO122" s="503"/>
      <c r="AP122" s="357"/>
      <c r="AQ122" s="357"/>
      <c r="AR122" s="550"/>
      <c r="AS122" s="507"/>
      <c r="AT122" s="359"/>
      <c r="AU122" s="573">
        <v>0</v>
      </c>
      <c r="AV122" s="573">
        <v>0</v>
      </c>
      <c r="AW122" s="33"/>
      <c r="AY122" s="56" t="e">
        <f t="shared" si="31"/>
        <v>#DIV/0!</v>
      </c>
      <c r="AZ122" s="57" t="e">
        <f t="shared" si="31"/>
        <v>#DIV/0!</v>
      </c>
      <c r="BA122" s="57" t="e">
        <f t="shared" si="20"/>
        <v>#DIV/0!</v>
      </c>
      <c r="BB122" s="58"/>
      <c r="BD122" s="76"/>
      <c r="BE122" s="76"/>
      <c r="BF122" s="76"/>
      <c r="BG122" s="105"/>
      <c r="BI122" s="252"/>
      <c r="BJ122" s="76"/>
      <c r="BK122" s="255"/>
      <c r="BL122" s="258"/>
      <c r="BM122" s="251"/>
      <c r="BN122" s="252"/>
      <c r="BO122" s="76"/>
      <c r="BP122" s="255"/>
      <c r="BQ122" s="258"/>
      <c r="BS122" s="252"/>
      <c r="BT122" s="76"/>
      <c r="BU122" s="255"/>
      <c r="BV122" s="258"/>
      <c r="BX122" s="74"/>
      <c r="BY122" s="75"/>
      <c r="BZ122" s="264"/>
      <c r="CA122" s="105"/>
      <c r="CC122" s="260"/>
      <c r="CD122" s="75"/>
      <c r="CE122" s="262"/>
      <c r="CF122" s="258"/>
    </row>
    <row r="123" spans="1:84" outlineLevel="1">
      <c r="A123" s="13"/>
      <c r="B123" s="14" t="s">
        <v>874</v>
      </c>
      <c r="C123" s="15" t="s">
        <v>135</v>
      </c>
      <c r="D123" s="14">
        <v>166028718</v>
      </c>
      <c r="E123" s="15">
        <v>11</v>
      </c>
      <c r="F123" s="25">
        <v>64</v>
      </c>
      <c r="G123" s="16">
        <v>30</v>
      </c>
      <c r="I123" s="30">
        <f t="shared" si="15"/>
        <v>308.89513875</v>
      </c>
      <c r="J123" s="31">
        <f t="shared" si="16"/>
        <v>3.9690500772282058</v>
      </c>
      <c r="K123" s="31">
        <f t="shared" si="17"/>
        <v>1.0594718439011255</v>
      </c>
      <c r="L123" s="31">
        <f t="shared" si="32"/>
        <v>2.9093564885563956</v>
      </c>
      <c r="M123" s="87"/>
      <c r="N123" s="31">
        <f t="shared" si="18"/>
        <v>3.9690500772282058</v>
      </c>
      <c r="O123" s="521">
        <v>166028718</v>
      </c>
      <c r="P123" s="503">
        <v>658976296</v>
      </c>
      <c r="Q123" s="357">
        <v>175902752</v>
      </c>
      <c r="R123" s="357">
        <v>483036728</v>
      </c>
      <c r="S123" s="550"/>
      <c r="T123" s="503">
        <v>46.739403000000003</v>
      </c>
      <c r="U123" s="357">
        <v>48.233500999999997</v>
      </c>
      <c r="V123" s="357">
        <v>48.849316000000002</v>
      </c>
      <c r="W123" s="550">
        <v>0</v>
      </c>
      <c r="X123" s="507"/>
      <c r="Y123" s="359"/>
      <c r="Z123" s="573">
        <v>0</v>
      </c>
      <c r="AA123" s="573">
        <v>0</v>
      </c>
      <c r="AB123" s="33"/>
      <c r="AD123" s="30" t="str">
        <f t="shared" si="28"/>
        <v>·</v>
      </c>
      <c r="AE123" s="31" t="str">
        <f t="shared" si="21"/>
        <v>·</v>
      </c>
      <c r="AF123" s="31" t="str">
        <f t="shared" si="19"/>
        <v>·</v>
      </c>
      <c r="AG123" s="31" t="str">
        <f t="shared" si="22"/>
        <v>·</v>
      </c>
      <c r="AH123" s="87" t="str">
        <f t="shared" si="30"/>
        <v>·</v>
      </c>
      <c r="AI123" s="31" t="str">
        <f t="shared" si="24"/>
        <v>·</v>
      </c>
      <c r="AJ123" s="521"/>
      <c r="AK123" s="503"/>
      <c r="AL123" s="357"/>
      <c r="AM123" s="357"/>
      <c r="AN123" s="550"/>
      <c r="AO123" s="503"/>
      <c r="AP123" s="357"/>
      <c r="AQ123" s="357"/>
      <c r="AR123" s="550"/>
      <c r="AS123" s="507"/>
      <c r="AT123" s="359"/>
      <c r="AU123" s="573">
        <v>0</v>
      </c>
      <c r="AV123" s="573">
        <v>0</v>
      </c>
      <c r="AW123" s="33"/>
      <c r="AY123" s="56" t="e">
        <f t="shared" si="31"/>
        <v>#DIV/0!</v>
      </c>
      <c r="AZ123" s="57" t="e">
        <f t="shared" si="31"/>
        <v>#DIV/0!</v>
      </c>
      <c r="BA123" s="57" t="e">
        <f t="shared" si="20"/>
        <v>#DIV/0!</v>
      </c>
      <c r="BB123" s="58"/>
      <c r="BD123" s="76"/>
      <c r="BE123" s="76"/>
      <c r="BF123" s="76"/>
      <c r="BG123" s="105"/>
      <c r="BI123" s="252"/>
      <c r="BJ123" s="76"/>
      <c r="BK123" s="255"/>
      <c r="BL123" s="258"/>
      <c r="BM123" s="251"/>
      <c r="BN123" s="252"/>
      <c r="BO123" s="76"/>
      <c r="BP123" s="255"/>
      <c r="BQ123" s="258"/>
      <c r="BS123" s="252"/>
      <c r="BT123" s="76"/>
      <c r="BU123" s="255"/>
      <c r="BV123" s="258"/>
      <c r="BX123" s="74"/>
      <c r="BY123" s="75"/>
      <c r="BZ123" s="264"/>
      <c r="CA123" s="105"/>
      <c r="CC123" s="260"/>
      <c r="CD123" s="75"/>
      <c r="CE123" s="262"/>
      <c r="CF123" s="258"/>
    </row>
    <row r="124" spans="1:84" ht="14.25" outlineLevel="1" thickBot="1">
      <c r="A124" s="13"/>
      <c r="B124" s="18" t="s">
        <v>874</v>
      </c>
      <c r="C124" s="19" t="s">
        <v>136</v>
      </c>
      <c r="D124" s="18">
        <v>166028718</v>
      </c>
      <c r="E124" s="19">
        <v>11</v>
      </c>
      <c r="F124" s="189">
        <v>64</v>
      </c>
      <c r="G124" s="20">
        <v>30</v>
      </c>
      <c r="I124" s="34">
        <f t="shared" si="15"/>
        <v>510.18785250000002</v>
      </c>
      <c r="J124" s="35">
        <f t="shared" si="16"/>
        <v>6.5554969351747934</v>
      </c>
      <c r="K124" s="35">
        <f t="shared" si="17"/>
        <v>1.0594718439011255</v>
      </c>
      <c r="L124" s="35">
        <f>IF(ISBLANK(R124),"·",R124/D124)</f>
        <v>5.4958033465029823</v>
      </c>
      <c r="M124" s="89"/>
      <c r="N124" s="35">
        <f t="shared" si="18"/>
        <v>6.5554969351747934</v>
      </c>
      <c r="O124" s="525">
        <v>166028718</v>
      </c>
      <c r="P124" s="505">
        <v>1088400752</v>
      </c>
      <c r="Q124" s="361">
        <v>175902752</v>
      </c>
      <c r="R124" s="361">
        <v>912461184</v>
      </c>
      <c r="S124" s="552"/>
      <c r="T124" s="505">
        <v>51.232413999999999</v>
      </c>
      <c r="U124" s="361">
        <v>52.818024000000001</v>
      </c>
      <c r="V124" s="361">
        <v>53.033073000000002</v>
      </c>
      <c r="W124" s="552">
        <v>0</v>
      </c>
      <c r="X124" s="509"/>
      <c r="Y124" s="363"/>
      <c r="Z124" s="575">
        <v>0</v>
      </c>
      <c r="AA124" s="575">
        <v>0</v>
      </c>
      <c r="AB124" s="37"/>
      <c r="AD124" s="34" t="str">
        <f t="shared" si="28"/>
        <v>·</v>
      </c>
      <c r="AE124" s="35" t="str">
        <f t="shared" si="21"/>
        <v>·</v>
      </c>
      <c r="AF124" s="35" t="str">
        <f t="shared" si="19"/>
        <v>·</v>
      </c>
      <c r="AG124" s="35" t="str">
        <f t="shared" si="22"/>
        <v>·</v>
      </c>
      <c r="AH124" s="89" t="str">
        <f t="shared" si="30"/>
        <v>·</v>
      </c>
      <c r="AI124" s="35" t="str">
        <f t="shared" si="24"/>
        <v>·</v>
      </c>
      <c r="AJ124" s="525"/>
      <c r="AK124" s="505"/>
      <c r="AL124" s="361"/>
      <c r="AM124" s="361"/>
      <c r="AN124" s="552"/>
      <c r="AO124" s="505"/>
      <c r="AP124" s="361"/>
      <c r="AQ124" s="361"/>
      <c r="AR124" s="552"/>
      <c r="AS124" s="509"/>
      <c r="AT124" s="363"/>
      <c r="AU124" s="575">
        <v>0</v>
      </c>
      <c r="AV124" s="575">
        <v>0</v>
      </c>
      <c r="AW124" s="37"/>
      <c r="AY124" s="59" t="e">
        <f t="shared" si="31"/>
        <v>#DIV/0!</v>
      </c>
      <c r="AZ124" s="60" t="e">
        <f t="shared" si="31"/>
        <v>#DIV/0!</v>
      </c>
      <c r="BA124" s="60" t="e">
        <f t="shared" si="20"/>
        <v>#DIV/0!</v>
      </c>
      <c r="BB124" s="61"/>
      <c r="BD124" s="79"/>
      <c r="BE124" s="79"/>
      <c r="BF124" s="79"/>
      <c r="BG124" s="108"/>
      <c r="BI124" s="253"/>
      <c r="BJ124" s="79"/>
      <c r="BK124" s="256"/>
      <c r="BL124" s="259"/>
      <c r="BM124" s="251"/>
      <c r="BN124" s="253"/>
      <c r="BO124" s="79"/>
      <c r="BP124" s="256"/>
      <c r="BQ124" s="259"/>
      <c r="BS124" s="253"/>
      <c r="BT124" s="79"/>
      <c r="BU124" s="256"/>
      <c r="BV124" s="259"/>
      <c r="BX124" s="77"/>
      <c r="BY124" s="78"/>
      <c r="BZ124" s="265"/>
      <c r="CA124" s="108"/>
      <c r="CC124" s="261"/>
      <c r="CD124" s="78"/>
      <c r="CE124" s="263"/>
      <c r="CF124" s="259"/>
    </row>
    <row r="125" spans="1:84">
      <c r="A125" s="13"/>
      <c r="B125" s="24" t="s">
        <v>875</v>
      </c>
      <c r="C125" s="25" t="s">
        <v>131</v>
      </c>
      <c r="D125" s="27">
        <v>156840910</v>
      </c>
      <c r="E125" s="28">
        <v>11</v>
      </c>
      <c r="F125" s="25">
        <v>64</v>
      </c>
      <c r="G125" s="29">
        <v>30</v>
      </c>
      <c r="I125" s="46">
        <f t="shared" si="15"/>
        <v>80.659305000000003</v>
      </c>
      <c r="J125" s="47">
        <f t="shared" si="16"/>
        <v>1.0971192656303768</v>
      </c>
      <c r="K125" s="47">
        <f t="shared" si="17"/>
        <v>1.0042908320284549</v>
      </c>
      <c r="L125" s="47">
        <f>IF(ISBLANK(R125),"·",R125/D125)</f>
        <v>9.2594311012350036E-2</v>
      </c>
      <c r="M125" s="90"/>
      <c r="N125" s="47">
        <f t="shared" si="18"/>
        <v>1.0971192656303768</v>
      </c>
      <c r="O125" s="520">
        <v>156840910</v>
      </c>
      <c r="P125" s="502">
        <v>172073184</v>
      </c>
      <c r="Q125" s="353">
        <v>157513888</v>
      </c>
      <c r="R125" s="353">
        <v>14522576</v>
      </c>
      <c r="S125" s="553"/>
      <c r="T125" s="502">
        <v>26.354382999999999</v>
      </c>
      <c r="U125" s="353">
        <v>32.281680999999999</v>
      </c>
      <c r="V125" s="207">
        <v>35.981712000000002</v>
      </c>
      <c r="W125" s="553">
        <v>0</v>
      </c>
      <c r="X125" s="506"/>
      <c r="Y125" s="355"/>
      <c r="Z125" s="572">
        <v>0</v>
      </c>
      <c r="AA125" s="572">
        <v>0</v>
      </c>
      <c r="AB125" s="49"/>
      <c r="AD125" s="46" t="str">
        <f t="shared" si="28"/>
        <v>·</v>
      </c>
      <c r="AE125" s="47" t="str">
        <f t="shared" si="21"/>
        <v>·</v>
      </c>
      <c r="AF125" s="47" t="str">
        <f t="shared" si="19"/>
        <v>·</v>
      </c>
      <c r="AG125" s="47" t="str">
        <f t="shared" si="22"/>
        <v>·</v>
      </c>
      <c r="AH125" s="90" t="str">
        <f t="shared" si="30"/>
        <v>·</v>
      </c>
      <c r="AI125" s="47" t="str">
        <f t="shared" si="24"/>
        <v>·</v>
      </c>
      <c r="AJ125" s="520"/>
      <c r="AK125" s="502"/>
      <c r="AL125" s="353"/>
      <c r="AM125" s="353"/>
      <c r="AN125" s="553"/>
      <c r="AO125" s="502"/>
      <c r="AP125" s="353"/>
      <c r="AQ125" s="353"/>
      <c r="AR125" s="553"/>
      <c r="AS125" s="506"/>
      <c r="AT125" s="355"/>
      <c r="AU125" s="572">
        <v>0</v>
      </c>
      <c r="AV125" s="572">
        <v>0</v>
      </c>
      <c r="AW125" s="49"/>
      <c r="AY125" s="68" t="e">
        <f t="shared" si="31"/>
        <v>#DIV/0!</v>
      </c>
      <c r="AZ125" s="69" t="e">
        <f t="shared" si="31"/>
        <v>#DIV/0!</v>
      </c>
      <c r="BA125" s="69" t="e">
        <f t="shared" si="20"/>
        <v>#DIV/0!</v>
      </c>
      <c r="BB125" s="70" t="e">
        <f t="array" ref="BB125">AVERAGE(AL125:AL130/AK125:AK130) - AVERAGE(Q125:Q130/P125:P130)</f>
        <v>#DIV/0!</v>
      </c>
      <c r="BD125" s="86" t="str">
        <f>IF( OR(ISBLANK($R125:$R130),ISBLANK($AM125:$AM130), ISBLANK(T125:T130),ISBLANK(AO125:AO130)), "·", bdRateHermite( $R125:$R130,$T125:$T130, $AM125:$AM130,$AO125:$AO130))</f>
        <v>·</v>
      </c>
      <c r="BE125" s="86" t="str">
        <f>IF( OR(ISBLANK($R125:$R130),ISBLANK($AM125:$AM130), ISBLANK(U125:U130),ISBLANK(AP125:AP130)), "·", bdRateHermite( $R125:$R130,$U125:$U130, $AM125:$AM130,$AP125:$AP130))</f>
        <v>·</v>
      </c>
      <c r="BF125" s="86" t="str">
        <f>IF( OR(ISBLANK($R125:$R130),ISBLANK($AM125:$AM130), ISBLANK(V125:V130),ISBLANK(AQ125:AQ130)), "·", bdRateHermite( $R125:$R130,$V125:$V130, $AM125:$AM130,$AQ125:$AQ130))</f>
        <v>·</v>
      </c>
      <c r="BG125" s="103"/>
      <c r="BI125" s="250" t="str">
        <f>IF(OR(ISBLANK($P125:$P130),ISBLANK($AK125:$AK130),ISBLANK(T125:T130),ISBLANK(AO125:AO130)),"·",bdRateHermite($P125:$P130,$T125:$T130,$AK125:$AK130,$AO125:$AO130))</f>
        <v>·</v>
      </c>
      <c r="BJ125" s="85" t="str">
        <f>IF(OR(ISBLANK($P125:$P130),ISBLANK($AK125:$AK130),ISBLANK(U125:U130),ISBLANK(AP125:AP130)),"·",bdRateHermite($P125:$P130,$U125:$U130,$AK125:$AK130,$AP125:$AP130))</f>
        <v>·</v>
      </c>
      <c r="BK125" s="254" t="str">
        <f>IF(OR(ISBLANK($P125:$P130),ISBLANK($AK125:$AK130),ISBLANK(V125:V130),ISBLANK(AQ125:AQ130)),"·",bdRateHermite($P125:$P130,$V125:$V130,$AK125:$AK130,$AQ125:$AQ130))</f>
        <v>·</v>
      </c>
      <c r="BL125" s="257"/>
      <c r="BM125" s="251"/>
      <c r="BN125" s="86" t="str">
        <f>IF( OR(ISBLANK($R125:$R130),ISBLANK($AM125:$AM130), ISBLANK(T125:T130),ISBLANK(AO125:AO130)), "·", bdRateHermite( $R126:$R130,$T126:$T130, $AM126:$AM130,$AO126:$AO130))</f>
        <v>·</v>
      </c>
      <c r="BO125" s="86" t="str">
        <f>IF( OR(ISBLANK($R125:$R130),ISBLANK($AM125:$AM130), ISBLANK(U125:U130),ISBLANK(AP125:AP130)), "·", bdRateHermite( $R126:$R130,$U126:$U130, $AM126:$AM130,$AP126:$AP130))</f>
        <v>·</v>
      </c>
      <c r="BP125" s="86" t="str">
        <f>IF( OR(ISBLANK($R125:$R130),ISBLANK($AM125:$AM130), ISBLANK(V125:V130),ISBLANK(AQ125:AQ130)), "·", bdRateHermite( $R126:$R130,$V126:$V130, $AM126:$AM130,$AQ126:$AQ130))</f>
        <v>·</v>
      </c>
      <c r="BQ125" s="103"/>
      <c r="BS125" s="250" t="str">
        <f>IF(OR(ISBLANK($P125:$P130),ISBLANK($AK125:$AK130),ISBLANK(T125:T130),ISBLANK(AO125:AO130)),"·",bdRateHermite($P126:$P130,$T126:$T130,$AK126:$AK130,$AO126:$AO130))</f>
        <v>·</v>
      </c>
      <c r="BT125" s="85" t="str">
        <f>IF(OR(ISBLANK($P125:$P130),ISBLANK($AK125:$AK130),ISBLANK(U125:U130),ISBLANK(AP125:AP130)),"·",bdRateHermite($P126:$P130,$U126:$U130,$AK126:$AK130,$AP126:$AP130))</f>
        <v>·</v>
      </c>
      <c r="BU125" s="254" t="str">
        <f>IF(OR(ISBLANK($P125:$P130),ISBLANK($AK125:$AK130),ISBLANK(V125:V130),ISBLANK(AQ125:AQ130)),"·",bdRateHermite($P126:$P130,$V126:$V130,$AK126:$AK130,$AQ126:$AQ130))</f>
        <v>·</v>
      </c>
      <c r="BV125" s="257"/>
      <c r="BX125" s="86" t="str">
        <f>IF( OR(ISBLANK($R125:$R130),ISBLANK($AM125:$AM130), ISBLANK(T125:T130),ISBLANK(AO125:AO130)), "·", bdRateHermite( $R125:$R129,$T125:$T129, $AM125:$AM129,$AO125:$AO129))</f>
        <v>·</v>
      </c>
      <c r="BY125" s="86" t="str">
        <f>IF( OR(ISBLANK($R125:$R130),ISBLANK($AM125:$AM130), ISBLANK(U125:U130),ISBLANK(AP125:AP130)), "·", bdRateHermite( $R125:$R129,$U125:$U129, $AM125:$AM129,$AP125:$AP129))</f>
        <v>·</v>
      </c>
      <c r="BZ125" s="86" t="str">
        <f>IF( OR(ISBLANK($R125:$R130),ISBLANK($AM125:$AM130), ISBLANK(V125:V130),ISBLANK(AQ125:AQ130)), "·", bdRateHermite( $R125:$R129,$V125:$V129, $AM125:$AM129,$AQ125:$AQ129))</f>
        <v>·</v>
      </c>
      <c r="CA125" s="103"/>
      <c r="CC125" s="250" t="str">
        <f>IF(OR(ISBLANK($P125:$P130),ISBLANK($AK125:$AK130),ISBLANK(T125:T130),ISBLANK(AO125:AO130)),"·",bdRateHermite($P125:$P129,$T125:$T129,$AK125:$AK129,$AO125:$AO129))</f>
        <v>·</v>
      </c>
      <c r="CD125" s="85" t="str">
        <f>IF(OR(ISBLANK($P125:$P130),ISBLANK($AK125:$AK130),ISBLANK(U125:U130),ISBLANK(AP125:AP130)),"·",bdRateHermite($P125:$P129,$U125:$U129,$AK125:$AK129,$AP125:$AP129))</f>
        <v>·</v>
      </c>
      <c r="CE125" s="254" t="str">
        <f>IF(OR(ISBLANK($P125:$P130),ISBLANK($AK125:$AK130),ISBLANK(V125:V130),ISBLANK(AQ125:AQ130)),"·",bdRateHermite($P125:$P129,$V125:$V129,$AK125:$AK129,$AQ125:$AQ129))</f>
        <v>·</v>
      </c>
      <c r="CF125" s="257"/>
    </row>
    <row r="126" spans="1:84" outlineLevel="1">
      <c r="A126" s="13"/>
      <c r="B126" s="14" t="s">
        <v>875</v>
      </c>
      <c r="C126" s="15" t="s">
        <v>132</v>
      </c>
      <c r="D126" s="14">
        <v>156840910</v>
      </c>
      <c r="E126" s="15">
        <v>11</v>
      </c>
      <c r="F126" s="25">
        <v>64</v>
      </c>
      <c r="G126" s="16">
        <v>30</v>
      </c>
      <c r="I126" s="30">
        <f t="shared" si="15"/>
        <v>88.108106250000006</v>
      </c>
      <c r="J126" s="31">
        <f t="shared" si="16"/>
        <v>1.1984370659415327</v>
      </c>
      <c r="K126" s="31">
        <f t="shared" si="17"/>
        <v>1.0042908320284549</v>
      </c>
      <c r="L126" s="31">
        <f t="shared" ref="L126:L129" si="33">IF(ISBLANK(R126),"·",R126/D126)</f>
        <v>0.19391211132350608</v>
      </c>
      <c r="M126" s="87"/>
      <c r="N126" s="31">
        <f t="shared" si="18"/>
        <v>1.1984370659415327</v>
      </c>
      <c r="O126" s="521">
        <v>156840910</v>
      </c>
      <c r="P126" s="503">
        <v>187963960</v>
      </c>
      <c r="Q126" s="357">
        <v>157513888</v>
      </c>
      <c r="R126" s="357">
        <v>30413352</v>
      </c>
      <c r="S126" s="550"/>
      <c r="T126" s="503">
        <v>31.918365000000001</v>
      </c>
      <c r="U126" s="357">
        <v>32.877521999999999</v>
      </c>
      <c r="V126" s="208">
        <v>34.528182999999999</v>
      </c>
      <c r="W126" s="550">
        <v>0</v>
      </c>
      <c r="X126" s="507"/>
      <c r="Y126" s="359"/>
      <c r="Z126" s="573">
        <v>0</v>
      </c>
      <c r="AA126" s="573">
        <v>0</v>
      </c>
      <c r="AB126" s="33"/>
      <c r="AD126" s="30" t="str">
        <f t="shared" si="28"/>
        <v>·</v>
      </c>
      <c r="AE126" s="31" t="str">
        <f t="shared" si="21"/>
        <v>·</v>
      </c>
      <c r="AF126" s="31" t="str">
        <f t="shared" si="19"/>
        <v>·</v>
      </c>
      <c r="AG126" s="31" t="str">
        <f t="shared" si="22"/>
        <v>·</v>
      </c>
      <c r="AH126" s="87" t="str">
        <f t="shared" si="30"/>
        <v>·</v>
      </c>
      <c r="AI126" s="31" t="str">
        <f t="shared" si="24"/>
        <v>·</v>
      </c>
      <c r="AJ126" s="521"/>
      <c r="AK126" s="503"/>
      <c r="AL126" s="357"/>
      <c r="AM126" s="357"/>
      <c r="AN126" s="550"/>
      <c r="AO126" s="503"/>
      <c r="AP126" s="357"/>
      <c r="AQ126" s="357"/>
      <c r="AR126" s="550"/>
      <c r="AS126" s="507"/>
      <c r="AT126" s="359"/>
      <c r="AU126" s="573">
        <v>0</v>
      </c>
      <c r="AV126" s="573">
        <v>0</v>
      </c>
      <c r="AW126" s="33"/>
      <c r="AY126" s="56" t="e">
        <f t="shared" si="31"/>
        <v>#DIV/0!</v>
      </c>
      <c r="AZ126" s="57" t="e">
        <f t="shared" si="31"/>
        <v>#DIV/0!</v>
      </c>
      <c r="BA126" s="57" t="e">
        <f t="shared" si="20"/>
        <v>#DIV/0!</v>
      </c>
      <c r="BB126" s="58"/>
      <c r="BD126" s="76"/>
      <c r="BE126" s="76"/>
      <c r="BF126" s="76"/>
      <c r="BG126" s="105"/>
      <c r="BI126" s="252"/>
      <c r="BJ126" s="76"/>
      <c r="BK126" s="255"/>
      <c r="BL126" s="258"/>
      <c r="BM126" s="251"/>
      <c r="BN126" s="252"/>
      <c r="BO126" s="76"/>
      <c r="BP126" s="255"/>
      <c r="BQ126" s="258"/>
      <c r="BS126" s="252"/>
      <c r="BT126" s="76"/>
      <c r="BU126" s="255"/>
      <c r="BV126" s="258"/>
      <c r="BX126" s="74"/>
      <c r="BY126" s="75"/>
      <c r="BZ126" s="264"/>
      <c r="CA126" s="105"/>
      <c r="CC126" s="260"/>
      <c r="CD126" s="75"/>
      <c r="CE126" s="262"/>
      <c r="CF126" s="258"/>
    </row>
    <row r="127" spans="1:84" outlineLevel="1">
      <c r="A127" s="13"/>
      <c r="B127" s="14" t="s">
        <v>875</v>
      </c>
      <c r="C127" s="15" t="s">
        <v>133</v>
      </c>
      <c r="D127" s="14">
        <v>156840910</v>
      </c>
      <c r="E127" s="15">
        <v>11</v>
      </c>
      <c r="F127" s="25">
        <v>64</v>
      </c>
      <c r="G127" s="16">
        <v>30</v>
      </c>
      <c r="I127" s="30">
        <f t="shared" si="15"/>
        <v>111.80786999999999</v>
      </c>
      <c r="J127" s="31">
        <f t="shared" si="16"/>
        <v>1.5207987252815607</v>
      </c>
      <c r="K127" s="31">
        <f t="shared" si="17"/>
        <v>1.0042908320284549</v>
      </c>
      <c r="L127" s="31">
        <f t="shared" si="33"/>
        <v>0.51627377066353419</v>
      </c>
      <c r="M127" s="87"/>
      <c r="N127" s="31">
        <f t="shared" si="18"/>
        <v>1.5207987252815607</v>
      </c>
      <c r="O127" s="521">
        <v>156840910</v>
      </c>
      <c r="P127" s="503">
        <v>238523456</v>
      </c>
      <c r="Q127" s="357">
        <v>157513888</v>
      </c>
      <c r="R127" s="357">
        <v>80972848</v>
      </c>
      <c r="S127" s="550"/>
      <c r="T127" s="503">
        <v>36.722935</v>
      </c>
      <c r="U127" s="357">
        <v>39.536586999999997</v>
      </c>
      <c r="V127" s="357">
        <v>39.770012000000001</v>
      </c>
      <c r="W127" s="550">
        <v>0</v>
      </c>
      <c r="X127" s="507"/>
      <c r="Y127" s="359"/>
      <c r="Z127" s="573">
        <v>0</v>
      </c>
      <c r="AA127" s="573">
        <v>0</v>
      </c>
      <c r="AB127" s="33"/>
      <c r="AD127" s="30" t="str">
        <f t="shared" si="28"/>
        <v>·</v>
      </c>
      <c r="AE127" s="31" t="str">
        <f t="shared" si="21"/>
        <v>·</v>
      </c>
      <c r="AF127" s="31" t="str">
        <f t="shared" si="19"/>
        <v>·</v>
      </c>
      <c r="AG127" s="31" t="str">
        <f t="shared" si="22"/>
        <v>·</v>
      </c>
      <c r="AH127" s="87" t="str">
        <f t="shared" si="30"/>
        <v>·</v>
      </c>
      <c r="AI127" s="31" t="str">
        <f t="shared" si="24"/>
        <v>·</v>
      </c>
      <c r="AJ127" s="521"/>
      <c r="AK127" s="503"/>
      <c r="AL127" s="357"/>
      <c r="AM127" s="357"/>
      <c r="AN127" s="550"/>
      <c r="AO127" s="503"/>
      <c r="AP127" s="357"/>
      <c r="AQ127" s="357"/>
      <c r="AR127" s="550"/>
      <c r="AS127" s="507"/>
      <c r="AT127" s="359"/>
      <c r="AU127" s="573">
        <v>0</v>
      </c>
      <c r="AV127" s="573">
        <v>0</v>
      </c>
      <c r="AW127" s="33"/>
      <c r="AY127" s="56" t="e">
        <f t="shared" si="31"/>
        <v>#DIV/0!</v>
      </c>
      <c r="AZ127" s="57" t="e">
        <f t="shared" si="31"/>
        <v>#DIV/0!</v>
      </c>
      <c r="BA127" s="57" t="e">
        <f t="shared" si="20"/>
        <v>#DIV/0!</v>
      </c>
      <c r="BB127" s="58"/>
      <c r="BD127" s="76"/>
      <c r="BE127" s="76"/>
      <c r="BF127" s="76"/>
      <c r="BG127" s="105"/>
      <c r="BI127" s="252"/>
      <c r="BJ127" s="76"/>
      <c r="BK127" s="255"/>
      <c r="BL127" s="258"/>
      <c r="BM127" s="251"/>
      <c r="BN127" s="252"/>
      <c r="BO127" s="76"/>
      <c r="BP127" s="255"/>
      <c r="BQ127" s="258"/>
      <c r="BS127" s="252"/>
      <c r="BT127" s="76"/>
      <c r="BU127" s="255"/>
      <c r="BV127" s="258"/>
      <c r="BX127" s="74"/>
      <c r="BY127" s="75"/>
      <c r="BZ127" s="264"/>
      <c r="CA127" s="105"/>
      <c r="CC127" s="260"/>
      <c r="CD127" s="75"/>
      <c r="CE127" s="262"/>
      <c r="CF127" s="258"/>
    </row>
    <row r="128" spans="1:84" outlineLevel="1">
      <c r="A128" s="13"/>
      <c r="B128" s="14" t="s">
        <v>875</v>
      </c>
      <c r="C128" s="15" t="s">
        <v>134</v>
      </c>
      <c r="D128" s="14">
        <v>156840910</v>
      </c>
      <c r="E128" s="15">
        <v>11</v>
      </c>
      <c r="F128" s="25">
        <v>64</v>
      </c>
      <c r="G128" s="16">
        <v>30</v>
      </c>
      <c r="I128" s="30">
        <f t="shared" si="15"/>
        <v>176.00563124999999</v>
      </c>
      <c r="J128" s="31">
        <f t="shared" si="16"/>
        <v>2.39400982817557</v>
      </c>
      <c r="K128" s="31">
        <f t="shared" si="17"/>
        <v>1.0042908320284549</v>
      </c>
      <c r="L128" s="31">
        <f t="shared" si="33"/>
        <v>1.3894856386640451</v>
      </c>
      <c r="M128" s="87"/>
      <c r="N128" s="31">
        <f t="shared" si="18"/>
        <v>2.39400982817557</v>
      </c>
      <c r="O128" s="521">
        <v>156840910</v>
      </c>
      <c r="P128" s="503">
        <v>375478680</v>
      </c>
      <c r="Q128" s="357">
        <v>157513888</v>
      </c>
      <c r="R128" s="357">
        <v>217928192</v>
      </c>
      <c r="S128" s="550"/>
      <c r="T128" s="503">
        <v>41.662052000000003</v>
      </c>
      <c r="U128" s="357">
        <v>43.819789999999998</v>
      </c>
      <c r="V128" s="357">
        <v>43.702720999999997</v>
      </c>
      <c r="W128" s="550">
        <v>0</v>
      </c>
      <c r="X128" s="507"/>
      <c r="Y128" s="359"/>
      <c r="Z128" s="573">
        <v>0</v>
      </c>
      <c r="AA128" s="573">
        <v>0</v>
      </c>
      <c r="AB128" s="33"/>
      <c r="AD128" s="30" t="str">
        <f t="shared" si="28"/>
        <v>·</v>
      </c>
      <c r="AE128" s="31" t="str">
        <f t="shared" si="21"/>
        <v>·</v>
      </c>
      <c r="AF128" s="31" t="str">
        <f t="shared" si="19"/>
        <v>·</v>
      </c>
      <c r="AG128" s="31" t="str">
        <f t="shared" si="22"/>
        <v>·</v>
      </c>
      <c r="AH128" s="87" t="str">
        <f t="shared" si="30"/>
        <v>·</v>
      </c>
      <c r="AI128" s="31" t="str">
        <f t="shared" si="24"/>
        <v>·</v>
      </c>
      <c r="AJ128" s="521"/>
      <c r="AK128" s="503"/>
      <c r="AL128" s="357"/>
      <c r="AM128" s="357"/>
      <c r="AN128" s="550"/>
      <c r="AO128" s="503"/>
      <c r="AP128" s="357"/>
      <c r="AQ128" s="357"/>
      <c r="AR128" s="550"/>
      <c r="AS128" s="507"/>
      <c r="AT128" s="359"/>
      <c r="AU128" s="573">
        <v>0</v>
      </c>
      <c r="AV128" s="573">
        <v>0</v>
      </c>
      <c r="AW128" s="33"/>
      <c r="AY128" s="56" t="e">
        <f t="shared" si="31"/>
        <v>#DIV/0!</v>
      </c>
      <c r="AZ128" s="57" t="e">
        <f t="shared" si="31"/>
        <v>#DIV/0!</v>
      </c>
      <c r="BA128" s="57" t="e">
        <f t="shared" si="20"/>
        <v>#DIV/0!</v>
      </c>
      <c r="BB128" s="58"/>
      <c r="BD128" s="76"/>
      <c r="BE128" s="76"/>
      <c r="BF128" s="76"/>
      <c r="BG128" s="105"/>
      <c r="BI128" s="252"/>
      <c r="BJ128" s="76"/>
      <c r="BK128" s="255"/>
      <c r="BL128" s="258"/>
      <c r="BM128" s="251"/>
      <c r="BN128" s="252"/>
      <c r="BO128" s="76"/>
      <c r="BP128" s="255"/>
      <c r="BQ128" s="258"/>
      <c r="BS128" s="252"/>
      <c r="BT128" s="76"/>
      <c r="BU128" s="255"/>
      <c r="BV128" s="258"/>
      <c r="BX128" s="74"/>
      <c r="BY128" s="75"/>
      <c r="BZ128" s="264"/>
      <c r="CA128" s="105"/>
      <c r="CC128" s="260"/>
      <c r="CD128" s="75"/>
      <c r="CE128" s="262"/>
      <c r="CF128" s="258"/>
    </row>
    <row r="129" spans="1:84" outlineLevel="1">
      <c r="A129" s="13"/>
      <c r="B129" s="14" t="s">
        <v>875</v>
      </c>
      <c r="C129" s="15" t="s">
        <v>135</v>
      </c>
      <c r="D129" s="14">
        <v>156840910</v>
      </c>
      <c r="E129" s="15">
        <v>11</v>
      </c>
      <c r="F129" s="25">
        <v>64</v>
      </c>
      <c r="G129" s="16">
        <v>30</v>
      </c>
      <c r="I129" s="30">
        <f t="shared" si="15"/>
        <v>310.70101125000002</v>
      </c>
      <c r="J129" s="31">
        <f t="shared" si="16"/>
        <v>4.2261220239030743</v>
      </c>
      <c r="K129" s="31">
        <f t="shared" si="17"/>
        <v>1.0042908320284549</v>
      </c>
      <c r="L129" s="31">
        <f t="shared" si="33"/>
        <v>3.2215978343915501</v>
      </c>
      <c r="M129" s="87"/>
      <c r="N129" s="31">
        <f t="shared" si="18"/>
        <v>4.2261220239030743</v>
      </c>
      <c r="O129" s="521">
        <v>156840910</v>
      </c>
      <c r="P129" s="503">
        <v>662828824</v>
      </c>
      <c r="Q129" s="357">
        <v>157513888</v>
      </c>
      <c r="R129" s="357">
        <v>505278336</v>
      </c>
      <c r="S129" s="550"/>
      <c r="T129" s="503">
        <v>46.702331999999998</v>
      </c>
      <c r="U129" s="357">
        <v>48.108924999999999</v>
      </c>
      <c r="V129" s="357">
        <v>48.476222999999997</v>
      </c>
      <c r="W129" s="550">
        <v>0</v>
      </c>
      <c r="X129" s="507"/>
      <c r="Y129" s="359"/>
      <c r="Z129" s="573">
        <v>0</v>
      </c>
      <c r="AA129" s="573">
        <v>0</v>
      </c>
      <c r="AB129" s="33"/>
      <c r="AD129" s="30" t="str">
        <f t="shared" si="28"/>
        <v>·</v>
      </c>
      <c r="AE129" s="31" t="str">
        <f t="shared" si="21"/>
        <v>·</v>
      </c>
      <c r="AF129" s="31" t="str">
        <f t="shared" si="19"/>
        <v>·</v>
      </c>
      <c r="AG129" s="31" t="str">
        <f t="shared" si="22"/>
        <v>·</v>
      </c>
      <c r="AH129" s="87" t="str">
        <f t="shared" si="30"/>
        <v>·</v>
      </c>
      <c r="AI129" s="31" t="str">
        <f t="shared" si="24"/>
        <v>·</v>
      </c>
      <c r="AJ129" s="521"/>
      <c r="AK129" s="503"/>
      <c r="AL129" s="357"/>
      <c r="AM129" s="357"/>
      <c r="AN129" s="550"/>
      <c r="AO129" s="503"/>
      <c r="AP129" s="357"/>
      <c r="AQ129" s="357"/>
      <c r="AR129" s="550"/>
      <c r="AS129" s="507"/>
      <c r="AT129" s="359"/>
      <c r="AU129" s="573">
        <v>0</v>
      </c>
      <c r="AV129" s="573">
        <v>0</v>
      </c>
      <c r="AW129" s="33"/>
      <c r="AY129" s="56" t="e">
        <f t="shared" si="31"/>
        <v>#DIV/0!</v>
      </c>
      <c r="AZ129" s="57" t="e">
        <f t="shared" si="31"/>
        <v>#DIV/0!</v>
      </c>
      <c r="BA129" s="57" t="e">
        <f t="shared" si="20"/>
        <v>#DIV/0!</v>
      </c>
      <c r="BB129" s="58"/>
      <c r="BD129" s="76"/>
      <c r="BE129" s="76"/>
      <c r="BF129" s="76"/>
      <c r="BG129" s="105"/>
      <c r="BI129" s="252"/>
      <c r="BJ129" s="76"/>
      <c r="BK129" s="255"/>
      <c r="BL129" s="258"/>
      <c r="BM129" s="251"/>
      <c r="BN129" s="252"/>
      <c r="BO129" s="76"/>
      <c r="BP129" s="255"/>
      <c r="BQ129" s="258"/>
      <c r="BS129" s="252"/>
      <c r="BT129" s="76"/>
      <c r="BU129" s="255"/>
      <c r="BV129" s="258"/>
      <c r="BX129" s="74"/>
      <c r="BY129" s="75"/>
      <c r="BZ129" s="264"/>
      <c r="CA129" s="105"/>
      <c r="CC129" s="260"/>
      <c r="CD129" s="75"/>
      <c r="CE129" s="262"/>
      <c r="CF129" s="258"/>
    </row>
    <row r="130" spans="1:84" ht="14.25" outlineLevel="1" thickBot="1">
      <c r="A130" s="215"/>
      <c r="B130" s="18" t="s">
        <v>875</v>
      </c>
      <c r="C130" s="19" t="s">
        <v>136</v>
      </c>
      <c r="D130" s="18">
        <v>156840910</v>
      </c>
      <c r="E130" s="19">
        <v>11</v>
      </c>
      <c r="F130" s="188">
        <v>64</v>
      </c>
      <c r="G130" s="20">
        <v>30</v>
      </c>
      <c r="I130" s="34">
        <f t="shared" si="15"/>
        <v>503.38387875000001</v>
      </c>
      <c r="J130" s="35">
        <f t="shared" si="16"/>
        <v>6.8469738411999774</v>
      </c>
      <c r="K130" s="35">
        <f t="shared" si="17"/>
        <v>1.0042908320284549</v>
      </c>
      <c r="L130" s="35">
        <f>IF(ISBLANK(R130),"·",R130/D130)</f>
        <v>5.842450569816255</v>
      </c>
      <c r="M130" s="88"/>
      <c r="N130" s="35">
        <f t="shared" si="18"/>
        <v>6.8469738411999774</v>
      </c>
      <c r="O130" s="525">
        <v>156840910</v>
      </c>
      <c r="P130" s="505">
        <v>1073885608</v>
      </c>
      <c r="Q130" s="361">
        <v>157513888</v>
      </c>
      <c r="R130" s="361">
        <v>916335264</v>
      </c>
      <c r="S130" s="551"/>
      <c r="T130" s="505">
        <v>51.221642000000003</v>
      </c>
      <c r="U130" s="361">
        <v>52.641624</v>
      </c>
      <c r="V130" s="361">
        <v>52.112366000000002</v>
      </c>
      <c r="W130" s="551">
        <v>0</v>
      </c>
      <c r="X130" s="509"/>
      <c r="Y130" s="363"/>
      <c r="Z130" s="575">
        <v>0</v>
      </c>
      <c r="AA130" s="575">
        <v>0</v>
      </c>
      <c r="AB130" s="37"/>
      <c r="AD130" s="34" t="str">
        <f t="shared" si="28"/>
        <v>·</v>
      </c>
      <c r="AE130" s="35" t="str">
        <f t="shared" si="21"/>
        <v>·</v>
      </c>
      <c r="AF130" s="35" t="str">
        <f t="shared" si="19"/>
        <v>·</v>
      </c>
      <c r="AG130" s="35" t="str">
        <f t="shared" si="22"/>
        <v>·</v>
      </c>
      <c r="AH130" s="88" t="str">
        <f t="shared" si="30"/>
        <v>·</v>
      </c>
      <c r="AI130" s="35" t="str">
        <f t="shared" si="24"/>
        <v>·</v>
      </c>
      <c r="AJ130" s="525"/>
      <c r="AK130" s="505"/>
      <c r="AL130" s="361"/>
      <c r="AM130" s="361"/>
      <c r="AN130" s="551"/>
      <c r="AO130" s="505"/>
      <c r="AP130" s="361"/>
      <c r="AQ130" s="361"/>
      <c r="AR130" s="551"/>
      <c r="AS130" s="509"/>
      <c r="AT130" s="363"/>
      <c r="AU130" s="575">
        <v>0</v>
      </c>
      <c r="AV130" s="575">
        <v>0</v>
      </c>
      <c r="AW130" s="37"/>
      <c r="AY130" s="59" t="e">
        <f t="shared" si="31"/>
        <v>#DIV/0!</v>
      </c>
      <c r="AZ130" s="60" t="e">
        <f t="shared" si="31"/>
        <v>#DIV/0!</v>
      </c>
      <c r="BA130" s="60" t="e">
        <f t="shared" si="20"/>
        <v>#DIV/0!</v>
      </c>
      <c r="BB130" s="61"/>
      <c r="BD130" s="79"/>
      <c r="BE130" s="79"/>
      <c r="BF130" s="79"/>
      <c r="BG130" s="108"/>
      <c r="BI130" s="253"/>
      <c r="BJ130" s="79"/>
      <c r="BK130" s="256"/>
      <c r="BL130" s="259"/>
      <c r="BM130" s="251"/>
      <c r="BN130" s="253"/>
      <c r="BO130" s="79"/>
      <c r="BP130" s="256"/>
      <c r="BQ130" s="259"/>
      <c r="BS130" s="253"/>
      <c r="BT130" s="79"/>
      <c r="BU130" s="256"/>
      <c r="BV130" s="259"/>
      <c r="BX130" s="77"/>
      <c r="BY130" s="78"/>
      <c r="BZ130" s="265"/>
      <c r="CA130" s="108"/>
      <c r="CC130" s="261"/>
      <c r="CD130" s="78"/>
      <c r="CE130" s="263"/>
      <c r="CF130" s="259"/>
    </row>
    <row r="131" spans="1:84">
      <c r="A131" s="13"/>
      <c r="B131" s="24" t="s">
        <v>876</v>
      </c>
      <c r="C131" s="25" t="s">
        <v>131</v>
      </c>
      <c r="D131" s="27">
        <v>163936020</v>
      </c>
      <c r="E131" s="28">
        <v>11</v>
      </c>
      <c r="F131" s="28">
        <v>64</v>
      </c>
      <c r="G131" s="29">
        <v>30</v>
      </c>
      <c r="I131" s="46">
        <f t="shared" si="15"/>
        <v>88.734063750000004</v>
      </c>
      <c r="J131" s="47">
        <f t="shared" si="16"/>
        <v>1.1547147234634585</v>
      </c>
      <c r="K131" s="47">
        <f t="shared" si="17"/>
        <v>0.97643853986451545</v>
      </c>
      <c r="L131" s="47">
        <f>IF(ISBLANK(R131),"·",R131/D131)</f>
        <v>0.17805170578131641</v>
      </c>
      <c r="M131" s="92"/>
      <c r="N131" s="47">
        <f t="shared" si="18"/>
        <v>1.1547147234634585</v>
      </c>
      <c r="O131" s="520">
        <v>163936020</v>
      </c>
      <c r="P131" s="502">
        <v>189299336</v>
      </c>
      <c r="Q131" s="353">
        <v>160073448</v>
      </c>
      <c r="R131" s="353">
        <v>29189088</v>
      </c>
      <c r="S131" s="549"/>
      <c r="T131" s="502">
        <v>24.786154</v>
      </c>
      <c r="U131" s="353">
        <v>28.428439999999998</v>
      </c>
      <c r="V131" s="353">
        <v>35.062224999999998</v>
      </c>
      <c r="W131" s="549">
        <v>0</v>
      </c>
      <c r="X131" s="506"/>
      <c r="Y131" s="355"/>
      <c r="Z131" s="572">
        <v>0</v>
      </c>
      <c r="AA131" s="572">
        <v>0</v>
      </c>
      <c r="AB131" s="49"/>
      <c r="AD131" s="46" t="str">
        <f t="shared" si="28"/>
        <v>·</v>
      </c>
      <c r="AE131" s="47" t="str">
        <f t="shared" si="21"/>
        <v>·</v>
      </c>
      <c r="AF131" s="47" t="str">
        <f t="shared" si="19"/>
        <v>·</v>
      </c>
      <c r="AG131" s="47" t="str">
        <f t="shared" si="22"/>
        <v>·</v>
      </c>
      <c r="AH131" s="92" t="str">
        <f t="shared" si="30"/>
        <v>·</v>
      </c>
      <c r="AI131" s="47" t="str">
        <f t="shared" si="24"/>
        <v>·</v>
      </c>
      <c r="AJ131" s="520"/>
      <c r="AK131" s="502"/>
      <c r="AL131" s="353"/>
      <c r="AM131" s="353"/>
      <c r="AN131" s="549"/>
      <c r="AO131" s="502"/>
      <c r="AP131" s="353"/>
      <c r="AQ131" s="353"/>
      <c r="AR131" s="549"/>
      <c r="AS131" s="506"/>
      <c r="AT131" s="355"/>
      <c r="AU131" s="572">
        <v>0</v>
      </c>
      <c r="AV131" s="572">
        <v>0</v>
      </c>
      <c r="AW131" s="49"/>
      <c r="AY131" s="68" t="e">
        <f t="shared" si="31"/>
        <v>#DIV/0!</v>
      </c>
      <c r="AZ131" s="69" t="e">
        <f t="shared" si="31"/>
        <v>#DIV/0!</v>
      </c>
      <c r="BA131" s="69" t="e">
        <f t="shared" si="20"/>
        <v>#DIV/0!</v>
      </c>
      <c r="BB131" s="70" t="e">
        <f t="array" ref="BB131">AVERAGE(AL131:AL136/AK131:AK136) - AVERAGE(Q131:Q136/P131:P136)</f>
        <v>#DIV/0!</v>
      </c>
      <c r="BD131" s="86" t="str">
        <f>IF( OR(ISBLANK($R131:$R136),ISBLANK($AM131:$AM136), ISBLANK(T131:T136),ISBLANK(AO131:AO136)), "·", bdRateHermite( $R131:$R136,$T131:$T136, $AM131:$AM136,$AO131:$AO136))</f>
        <v>·</v>
      </c>
      <c r="BE131" s="86" t="str">
        <f>IF( OR(ISBLANK($R131:$R136),ISBLANK($AM131:$AM136), ISBLANK(U131:U136),ISBLANK(AP131:AP136)), "·", bdRateHermite( $R131:$R136,$U131:$U136, $AM131:$AM136,$AP131:$AP136))</f>
        <v>·</v>
      </c>
      <c r="BF131" s="86" t="str">
        <f>IF( OR(ISBLANK($R131:$R136),ISBLANK($AM131:$AM136), ISBLANK(V131:V136),ISBLANK(AQ131:AQ136)), "·", bdRateHermite( $R131:$R136,$V131:$V136, $AM131:$AM136,$AQ131:$AQ136))</f>
        <v>·</v>
      </c>
      <c r="BG131" s="103"/>
      <c r="BI131" s="250" t="str">
        <f>IF(OR(ISBLANK($P131:$P136),ISBLANK($AK131:$AK136),ISBLANK(T131:T136),ISBLANK(AO131:AO136)),"·",bdRateHermite($P131:$P136,$T131:$T136,$AK131:$AK136,$AO131:$AO136))</f>
        <v>·</v>
      </c>
      <c r="BJ131" s="85" t="str">
        <f>IF(OR(ISBLANK($P131:$P136),ISBLANK($AK131:$AK136),ISBLANK(U131:U136),ISBLANK(AP131:AP136)),"·",bdRateHermite($P131:$P136,$U131:$U136,$AK131:$AK136,$AP131:$AP136))</f>
        <v>·</v>
      </c>
      <c r="BK131" s="254" t="str">
        <f>IF(OR(ISBLANK($P131:$P136),ISBLANK($AK131:$AK136),ISBLANK(V131:V136),ISBLANK(AQ131:AQ136)),"·",bdRateHermite($P131:$P136,$V131:$V136,$AK131:$AK136,$AQ131:$AQ136))</f>
        <v>·</v>
      </c>
      <c r="BL131" s="257"/>
      <c r="BM131" s="251"/>
      <c r="BN131" s="86" t="str">
        <f>IF( OR(ISBLANK($R131:$R136),ISBLANK($AM131:$AM136), ISBLANK(T131:T136),ISBLANK(AO131:AO136)), "·", bdRateHermite( $R132:$R136,$T132:$T136, $AM132:$AM136,$AO132:$AO136))</f>
        <v>·</v>
      </c>
      <c r="BO131" s="86" t="str">
        <f>IF( OR(ISBLANK($R131:$R136),ISBLANK($AM131:$AM136), ISBLANK(U131:U136),ISBLANK(AP131:AP136)), "·", bdRateHermite( $R132:$R136,$U132:$U136, $AM132:$AM136,$AP132:$AP136))</f>
        <v>·</v>
      </c>
      <c r="BP131" s="86" t="str">
        <f>IF( OR(ISBLANK($R131:$R136),ISBLANK($AM131:$AM136), ISBLANK(V131:V136),ISBLANK(AQ131:AQ136)), "·", bdRateHermite( $R132:$R136,$V132:$V136, $AM132:$AM136,$AQ132:$AQ136))</f>
        <v>·</v>
      </c>
      <c r="BQ131" s="103"/>
      <c r="BS131" s="250" t="str">
        <f>IF(OR(ISBLANK($P131:$P136),ISBLANK($AK131:$AK136),ISBLANK(T131:T136),ISBLANK(AO131:AO136)),"·",bdRateHermite($P132:$P136,$T132:$T136,$AK132:$AK136,$AO132:$AO136))</f>
        <v>·</v>
      </c>
      <c r="BT131" s="85" t="str">
        <f>IF(OR(ISBLANK($P131:$P136),ISBLANK($AK131:$AK136),ISBLANK(U131:U136),ISBLANK(AP131:AP136)),"·",bdRateHermite($P132:$P136,$U132:$U136,$AK132:$AK136,$AP132:$AP136))</f>
        <v>·</v>
      </c>
      <c r="BU131" s="254" t="str">
        <f>IF(OR(ISBLANK($P131:$P136),ISBLANK($AK131:$AK136),ISBLANK(V131:V136),ISBLANK(AQ131:AQ136)),"·",bdRateHermite($P132:$P136,$V132:$V136,$AK132:$AK136,$AQ132:$AQ136))</f>
        <v>·</v>
      </c>
      <c r="BV131" s="257"/>
      <c r="BX131" s="86" t="str">
        <f>IF( OR(ISBLANK($R131:$R136),ISBLANK($AM131:$AM136), ISBLANK(T131:T136),ISBLANK(AO131:AO136)), "·", bdRateHermite( $R131:$R135,$T131:$T135, $AM131:$AM135,$AO131:$AO135))</f>
        <v>·</v>
      </c>
      <c r="BY131" s="86" t="str">
        <f>IF( OR(ISBLANK($R131:$R136),ISBLANK($AM131:$AM136), ISBLANK(U131:U136),ISBLANK(AP131:AP136)), "·", bdRateHermite( $R131:$R135,$U131:$U135, $AM131:$AM135,$AP131:$AP135))</f>
        <v>·</v>
      </c>
      <c r="BZ131" s="86" t="str">
        <f>IF( OR(ISBLANK($R131:$R136),ISBLANK($AM131:$AM136), ISBLANK(V131:V136),ISBLANK(AQ131:AQ136)), "·", bdRateHermite( $R131:$R135,$V131:$V135, $AM131:$AM135,$AQ131:$AQ135))</f>
        <v>·</v>
      </c>
      <c r="CA131" s="103"/>
      <c r="CC131" s="250" t="str">
        <f>IF(OR(ISBLANK($P131:$P136),ISBLANK($AK131:$AK136),ISBLANK(T131:T136),ISBLANK(AO131:AO136)),"·",bdRateHermite($P131:$P135,$T131:$T135,$AK131:$AK135,$AO131:$AO135))</f>
        <v>·</v>
      </c>
      <c r="CD131" s="85" t="str">
        <f>IF(OR(ISBLANK($P131:$P136),ISBLANK($AK131:$AK136),ISBLANK(U131:U136),ISBLANK(AP131:AP136)),"·",bdRateHermite($P131:$P135,$U131:$U135,$AK131:$AK135,$AP131:$AP135))</f>
        <v>·</v>
      </c>
      <c r="CE131" s="254" t="str">
        <f>IF(OR(ISBLANK($P131:$P136),ISBLANK($AK131:$AK136),ISBLANK(V131:V136),ISBLANK(AQ131:AQ136)),"·",bdRateHermite($P131:$P135,$V131:$V135,$AK131:$AK135,$AQ131:$AQ135))</f>
        <v>·</v>
      </c>
      <c r="CF131" s="257"/>
    </row>
    <row r="132" spans="1:84" outlineLevel="1">
      <c r="A132" s="13"/>
      <c r="B132" s="24" t="s">
        <v>876</v>
      </c>
      <c r="C132" s="15" t="s">
        <v>132</v>
      </c>
      <c r="D132" s="14">
        <v>163936020</v>
      </c>
      <c r="E132" s="15">
        <v>11</v>
      </c>
      <c r="F132" s="25">
        <v>64</v>
      </c>
      <c r="G132" s="16">
        <v>30</v>
      </c>
      <c r="I132" s="30">
        <f t="shared" si="15"/>
        <v>102.50235375</v>
      </c>
      <c r="J132" s="31">
        <f t="shared" si="16"/>
        <v>1.3338843287765556</v>
      </c>
      <c r="K132" s="31">
        <f t="shared" si="17"/>
        <v>0.97643853986451545</v>
      </c>
      <c r="L132" s="31">
        <f t="shared" ref="L132:L135" si="34">IF(ISBLANK(R132),"·",R132/D132)</f>
        <v>0.35722131109441352</v>
      </c>
      <c r="M132" s="87"/>
      <c r="N132" s="31">
        <f t="shared" si="18"/>
        <v>1.3338843287765556</v>
      </c>
      <c r="O132" s="521">
        <v>163936020</v>
      </c>
      <c r="P132" s="503">
        <v>218671688</v>
      </c>
      <c r="Q132" s="357">
        <v>160073448</v>
      </c>
      <c r="R132" s="357">
        <v>58561440</v>
      </c>
      <c r="S132" s="550"/>
      <c r="T132" s="503">
        <v>30.638331999999998</v>
      </c>
      <c r="U132" s="357">
        <v>30.292337</v>
      </c>
      <c r="V132" s="357">
        <v>31.612368</v>
      </c>
      <c r="W132" s="550">
        <v>0</v>
      </c>
      <c r="X132" s="507"/>
      <c r="Y132" s="359"/>
      <c r="Z132" s="573">
        <v>0</v>
      </c>
      <c r="AA132" s="573">
        <v>0</v>
      </c>
      <c r="AB132" s="33"/>
      <c r="AD132" s="30" t="str">
        <f t="shared" si="28"/>
        <v>·</v>
      </c>
      <c r="AE132" s="31" t="str">
        <f t="shared" si="21"/>
        <v>·</v>
      </c>
      <c r="AF132" s="31" t="str">
        <f t="shared" si="19"/>
        <v>·</v>
      </c>
      <c r="AG132" s="31" t="str">
        <f t="shared" si="22"/>
        <v>·</v>
      </c>
      <c r="AH132" s="87" t="str">
        <f t="shared" si="30"/>
        <v>·</v>
      </c>
      <c r="AI132" s="31" t="str">
        <f t="shared" si="24"/>
        <v>·</v>
      </c>
      <c r="AJ132" s="521"/>
      <c r="AK132" s="503"/>
      <c r="AL132" s="357"/>
      <c r="AM132" s="357"/>
      <c r="AN132" s="550"/>
      <c r="AO132" s="503"/>
      <c r="AP132" s="357"/>
      <c r="AQ132" s="357"/>
      <c r="AR132" s="550"/>
      <c r="AS132" s="507"/>
      <c r="AT132" s="359"/>
      <c r="AU132" s="573">
        <v>0</v>
      </c>
      <c r="AV132" s="573">
        <v>0</v>
      </c>
      <c r="AW132" s="33"/>
      <c r="AY132" s="56" t="e">
        <f t="shared" si="31"/>
        <v>#DIV/0!</v>
      </c>
      <c r="AZ132" s="57" t="e">
        <f t="shared" si="31"/>
        <v>#DIV/0!</v>
      </c>
      <c r="BA132" s="57" t="e">
        <f t="shared" si="20"/>
        <v>#DIV/0!</v>
      </c>
      <c r="BB132" s="58"/>
      <c r="BD132" s="76"/>
      <c r="BE132" s="76"/>
      <c r="BF132" s="76"/>
      <c r="BG132" s="105"/>
      <c r="BI132" s="252"/>
      <c r="BJ132" s="76"/>
      <c r="BK132" s="255"/>
      <c r="BL132" s="258"/>
      <c r="BM132" s="251"/>
      <c r="BN132" s="252"/>
      <c r="BO132" s="76"/>
      <c r="BP132" s="255"/>
      <c r="BQ132" s="258"/>
      <c r="BS132" s="252"/>
      <c r="BT132" s="76"/>
      <c r="BU132" s="255"/>
      <c r="BV132" s="258"/>
      <c r="BX132" s="74"/>
      <c r="BY132" s="75"/>
      <c r="BZ132" s="264"/>
      <c r="CA132" s="105"/>
      <c r="CC132" s="260"/>
      <c r="CD132" s="75"/>
      <c r="CE132" s="262"/>
      <c r="CF132" s="258"/>
    </row>
    <row r="133" spans="1:84" outlineLevel="1">
      <c r="A133" s="13"/>
      <c r="B133" s="24" t="s">
        <v>876</v>
      </c>
      <c r="C133" s="15" t="s">
        <v>133</v>
      </c>
      <c r="D133" s="14">
        <v>163936020</v>
      </c>
      <c r="E133" s="15">
        <v>11</v>
      </c>
      <c r="F133" s="25">
        <v>64</v>
      </c>
      <c r="G133" s="16">
        <v>30</v>
      </c>
      <c r="I133" s="30">
        <f t="shared" ref="I133:I136" si="35">IF(OR(ISBLANK(P133),ISBLANK(G133)),"·",P133*G133/F133/1000000)</f>
        <v>133.16475</v>
      </c>
      <c r="J133" s="31">
        <f t="shared" ref="J133:J136" si="36">IF(ISBLANK(P133),"·",P133/D133)</f>
        <v>1.7329004327419928</v>
      </c>
      <c r="K133" s="31">
        <f t="shared" ref="K133:K136" si="37">IF(Q133="","·",Q133/D133)</f>
        <v>0.97643853986451545</v>
      </c>
      <c r="L133" s="31">
        <f t="shared" si="34"/>
        <v>0.75623741505985076</v>
      </c>
      <c r="M133" s="87"/>
      <c r="N133" s="31">
        <f t="shared" ref="N133:N136" si="38">IF(ISBLANK(P133),"·",P133/O133)</f>
        <v>1.7329004327419928</v>
      </c>
      <c r="O133" s="521">
        <v>163936020</v>
      </c>
      <c r="P133" s="503">
        <v>284084800</v>
      </c>
      <c r="Q133" s="357">
        <v>160073448</v>
      </c>
      <c r="R133" s="357">
        <v>123974552</v>
      </c>
      <c r="S133" s="550"/>
      <c r="T133" s="503">
        <v>36.294598000000001</v>
      </c>
      <c r="U133" s="357">
        <v>35.677791999999997</v>
      </c>
      <c r="V133" s="357">
        <v>37.837173</v>
      </c>
      <c r="W133" s="550">
        <v>0</v>
      </c>
      <c r="X133" s="507"/>
      <c r="Y133" s="359"/>
      <c r="Z133" s="573">
        <v>0</v>
      </c>
      <c r="AA133" s="573">
        <v>0</v>
      </c>
      <c r="AB133" s="33"/>
      <c r="AD133" s="30" t="str">
        <f t="shared" si="28"/>
        <v>·</v>
      </c>
      <c r="AE133" s="31" t="str">
        <f t="shared" si="21"/>
        <v>·</v>
      </c>
      <c r="AF133" s="31" t="str">
        <f t="shared" ref="AF133:AF136" si="39">IF(AL133="","·",AL133/D133)</f>
        <v>·</v>
      </c>
      <c r="AG133" s="31" t="str">
        <f t="shared" si="22"/>
        <v>·</v>
      </c>
      <c r="AH133" s="87" t="str">
        <f t="shared" si="30"/>
        <v>·</v>
      </c>
      <c r="AI133" s="31" t="str">
        <f t="shared" si="24"/>
        <v>·</v>
      </c>
      <c r="AJ133" s="521"/>
      <c r="AK133" s="503"/>
      <c r="AL133" s="357"/>
      <c r="AM133" s="357"/>
      <c r="AN133" s="550"/>
      <c r="AO133" s="503"/>
      <c r="AP133" s="357"/>
      <c r="AQ133" s="357"/>
      <c r="AR133" s="550"/>
      <c r="AS133" s="507"/>
      <c r="AT133" s="359"/>
      <c r="AU133" s="573">
        <v>0</v>
      </c>
      <c r="AV133" s="573">
        <v>0</v>
      </c>
      <c r="AW133" s="33"/>
      <c r="AY133" s="56" t="e">
        <f t="shared" si="31"/>
        <v>#DIV/0!</v>
      </c>
      <c r="AZ133" s="57" t="e">
        <f t="shared" si="31"/>
        <v>#DIV/0!</v>
      </c>
      <c r="BA133" s="57" t="e">
        <f t="shared" ref="BA133:BA136" si="40">(AL133/AK133) - (Q133/P133)</f>
        <v>#DIV/0!</v>
      </c>
      <c r="BB133" s="58"/>
      <c r="BD133" s="76"/>
      <c r="BE133" s="76"/>
      <c r="BF133" s="76"/>
      <c r="BG133" s="105"/>
      <c r="BI133" s="252"/>
      <c r="BJ133" s="76"/>
      <c r="BK133" s="255"/>
      <c r="BL133" s="258"/>
      <c r="BM133" s="251"/>
      <c r="BN133" s="252"/>
      <c r="BO133" s="76"/>
      <c r="BP133" s="255"/>
      <c r="BQ133" s="258"/>
      <c r="BS133" s="252"/>
      <c r="BT133" s="76"/>
      <c r="BU133" s="255"/>
      <c r="BV133" s="258"/>
      <c r="BX133" s="74"/>
      <c r="BY133" s="75"/>
      <c r="BZ133" s="264"/>
      <c r="CA133" s="105"/>
      <c r="CC133" s="260"/>
      <c r="CD133" s="75"/>
      <c r="CE133" s="262"/>
      <c r="CF133" s="258"/>
    </row>
    <row r="134" spans="1:84" outlineLevel="1">
      <c r="A134" s="13"/>
      <c r="B134" s="24" t="s">
        <v>876</v>
      </c>
      <c r="C134" s="15" t="s">
        <v>134</v>
      </c>
      <c r="D134" s="14">
        <v>163936020</v>
      </c>
      <c r="E134" s="15">
        <v>11</v>
      </c>
      <c r="F134" s="25">
        <v>64</v>
      </c>
      <c r="G134" s="16">
        <v>30</v>
      </c>
      <c r="I134" s="30">
        <f t="shared" si="35"/>
        <v>198.96697875000001</v>
      </c>
      <c r="J134" s="31">
        <f t="shared" si="36"/>
        <v>2.5891984446127214</v>
      </c>
      <c r="K134" s="31">
        <f t="shared" si="37"/>
        <v>0.97643853986451545</v>
      </c>
      <c r="L134" s="31">
        <f t="shared" si="34"/>
        <v>1.6125363541215652</v>
      </c>
      <c r="M134" s="87"/>
      <c r="N134" s="31">
        <f t="shared" si="38"/>
        <v>2.5891984446127214</v>
      </c>
      <c r="O134" s="521">
        <v>163936020</v>
      </c>
      <c r="P134" s="503">
        <v>424462888</v>
      </c>
      <c r="Q134" s="357">
        <v>160073448</v>
      </c>
      <c r="R134" s="357">
        <v>264352792</v>
      </c>
      <c r="S134" s="550"/>
      <c r="T134" s="503">
        <v>41.698860000000003</v>
      </c>
      <c r="U134" s="357">
        <v>41.931018999999999</v>
      </c>
      <c r="V134" s="357">
        <v>43.628613000000001</v>
      </c>
      <c r="W134" s="550">
        <v>0</v>
      </c>
      <c r="X134" s="507"/>
      <c r="Y134" s="359"/>
      <c r="Z134" s="573">
        <v>0</v>
      </c>
      <c r="AA134" s="573">
        <v>0</v>
      </c>
      <c r="AB134" s="33"/>
      <c r="AD134" s="30" t="str">
        <f t="shared" si="28"/>
        <v>·</v>
      </c>
      <c r="AE134" s="31" t="str">
        <f t="shared" ref="AE134:AE136" si="41">IF(ISBLANK(AK134),"·",AK134/D134)</f>
        <v>·</v>
      </c>
      <c r="AF134" s="31" t="str">
        <f t="shared" si="39"/>
        <v>·</v>
      </c>
      <c r="AG134" s="31" t="str">
        <f t="shared" ref="AG134:AG136" si="42">IF(ISBLANK(AM134),"·",AM134/D134)</f>
        <v>·</v>
      </c>
      <c r="AH134" s="87" t="str">
        <f t="shared" si="30"/>
        <v>·</v>
      </c>
      <c r="AI134" s="31" t="str">
        <f t="shared" ref="AI134:AI136" si="43">IF(ISBLANK(AK134),"·",AK134/AJ134)</f>
        <v>·</v>
      </c>
      <c r="AJ134" s="521"/>
      <c r="AK134" s="503"/>
      <c r="AL134" s="357"/>
      <c r="AM134" s="357"/>
      <c r="AN134" s="550"/>
      <c r="AO134" s="503"/>
      <c r="AP134" s="357"/>
      <c r="AQ134" s="357"/>
      <c r="AR134" s="550"/>
      <c r="AS134" s="507"/>
      <c r="AT134" s="359"/>
      <c r="AU134" s="573">
        <v>0</v>
      </c>
      <c r="AV134" s="573">
        <v>0</v>
      </c>
      <c r="AW134" s="33"/>
      <c r="AY134" s="56" t="e">
        <f t="shared" si="31"/>
        <v>#DIV/0!</v>
      </c>
      <c r="AZ134" s="57" t="e">
        <f t="shared" si="31"/>
        <v>#DIV/0!</v>
      </c>
      <c r="BA134" s="57" t="e">
        <f t="shared" si="40"/>
        <v>#DIV/0!</v>
      </c>
      <c r="BB134" s="58"/>
      <c r="BD134" s="76"/>
      <c r="BE134" s="76"/>
      <c r="BF134" s="76"/>
      <c r="BG134" s="105"/>
      <c r="BI134" s="252"/>
      <c r="BJ134" s="76"/>
      <c r="BK134" s="255"/>
      <c r="BL134" s="258"/>
      <c r="BM134" s="251"/>
      <c r="BN134" s="252"/>
      <c r="BO134" s="76"/>
      <c r="BP134" s="255"/>
      <c r="BQ134" s="258"/>
      <c r="BS134" s="252"/>
      <c r="BT134" s="76"/>
      <c r="BU134" s="255"/>
      <c r="BV134" s="258"/>
      <c r="BX134" s="74"/>
      <c r="BY134" s="75"/>
      <c r="BZ134" s="264"/>
      <c r="CA134" s="105"/>
      <c r="CC134" s="260"/>
      <c r="CD134" s="75"/>
      <c r="CE134" s="262"/>
      <c r="CF134" s="258"/>
    </row>
    <row r="135" spans="1:84" outlineLevel="1">
      <c r="A135" s="13"/>
      <c r="B135" s="24" t="s">
        <v>876</v>
      </c>
      <c r="C135" s="15" t="s">
        <v>135</v>
      </c>
      <c r="D135" s="14">
        <v>163936020</v>
      </c>
      <c r="E135" s="15">
        <v>11</v>
      </c>
      <c r="F135" s="25">
        <v>64</v>
      </c>
      <c r="G135" s="16">
        <v>30</v>
      </c>
      <c r="I135" s="30">
        <f t="shared" si="35"/>
        <v>311.74468875000002</v>
      </c>
      <c r="J135" s="31">
        <f t="shared" si="36"/>
        <v>4.0567981094087804</v>
      </c>
      <c r="K135" s="31">
        <f t="shared" si="37"/>
        <v>0.97643853986451545</v>
      </c>
      <c r="L135" s="31">
        <f t="shared" si="34"/>
        <v>3.0801360189176239</v>
      </c>
      <c r="M135" s="87"/>
      <c r="N135" s="31">
        <f t="shared" si="38"/>
        <v>4.0567981094087804</v>
      </c>
      <c r="O135" s="521">
        <v>163936020</v>
      </c>
      <c r="P135" s="503">
        <v>665055336</v>
      </c>
      <c r="Q135" s="357">
        <v>160073448</v>
      </c>
      <c r="R135" s="357">
        <v>504945240</v>
      </c>
      <c r="S135" s="550"/>
      <c r="T135" s="503">
        <v>46.862918999999998</v>
      </c>
      <c r="U135" s="357">
        <v>48.156975000000003</v>
      </c>
      <c r="V135" s="357">
        <v>48.893836999999998</v>
      </c>
      <c r="W135" s="550">
        <v>0</v>
      </c>
      <c r="X135" s="507"/>
      <c r="Y135" s="359"/>
      <c r="Z135" s="573">
        <v>0</v>
      </c>
      <c r="AA135" s="573">
        <v>0</v>
      </c>
      <c r="AB135" s="33"/>
      <c r="AD135" s="30" t="str">
        <f t="shared" si="28"/>
        <v>·</v>
      </c>
      <c r="AE135" s="31" t="str">
        <f t="shared" si="41"/>
        <v>·</v>
      </c>
      <c r="AF135" s="31" t="str">
        <f t="shared" si="39"/>
        <v>·</v>
      </c>
      <c r="AG135" s="31" t="str">
        <f t="shared" si="42"/>
        <v>·</v>
      </c>
      <c r="AH135" s="87" t="str">
        <f t="shared" si="30"/>
        <v>·</v>
      </c>
      <c r="AI135" s="31" t="str">
        <f t="shared" si="43"/>
        <v>·</v>
      </c>
      <c r="AJ135" s="521"/>
      <c r="AK135" s="503"/>
      <c r="AL135" s="357"/>
      <c r="AM135" s="357"/>
      <c r="AN135" s="550"/>
      <c r="AO135" s="503"/>
      <c r="AP135" s="357"/>
      <c r="AQ135" s="357"/>
      <c r="AR135" s="550"/>
      <c r="AS135" s="507"/>
      <c r="AT135" s="359"/>
      <c r="AU135" s="573">
        <v>0</v>
      </c>
      <c r="AV135" s="573">
        <v>0</v>
      </c>
      <c r="AW135" s="33"/>
      <c r="AY135" s="56" t="e">
        <f t="shared" si="31"/>
        <v>#DIV/0!</v>
      </c>
      <c r="AZ135" s="57" t="e">
        <f t="shared" si="31"/>
        <v>#DIV/0!</v>
      </c>
      <c r="BA135" s="57" t="e">
        <f t="shared" si="40"/>
        <v>#DIV/0!</v>
      </c>
      <c r="BB135" s="58"/>
      <c r="BD135" s="76"/>
      <c r="BE135" s="76"/>
      <c r="BF135" s="76"/>
      <c r="BG135" s="105"/>
      <c r="BI135" s="252"/>
      <c r="BJ135" s="76"/>
      <c r="BK135" s="255"/>
      <c r="BL135" s="258"/>
      <c r="BM135" s="251"/>
      <c r="BN135" s="252"/>
      <c r="BO135" s="76"/>
      <c r="BP135" s="255"/>
      <c r="BQ135" s="258"/>
      <c r="BS135" s="252"/>
      <c r="BT135" s="76"/>
      <c r="BU135" s="255"/>
      <c r="BV135" s="258"/>
      <c r="BX135" s="74"/>
      <c r="BY135" s="75"/>
      <c r="BZ135" s="264"/>
      <c r="CA135" s="105"/>
      <c r="CC135" s="260"/>
      <c r="CD135" s="75"/>
      <c r="CE135" s="262"/>
      <c r="CF135" s="258"/>
    </row>
    <row r="136" spans="1:84" ht="14.25" outlineLevel="1" thickBot="1">
      <c r="A136" s="17"/>
      <c r="B136" s="18" t="s">
        <v>876</v>
      </c>
      <c r="C136" s="19" t="s">
        <v>136</v>
      </c>
      <c r="D136" s="18">
        <v>163936020</v>
      </c>
      <c r="E136" s="19">
        <v>11</v>
      </c>
      <c r="F136" s="189">
        <v>64</v>
      </c>
      <c r="G136" s="20">
        <v>30</v>
      </c>
      <c r="I136" s="34">
        <f t="shared" si="35"/>
        <v>496.44549375000003</v>
      </c>
      <c r="J136" s="35">
        <f t="shared" si="36"/>
        <v>6.4603478844978666</v>
      </c>
      <c r="K136" s="35">
        <f t="shared" si="37"/>
        <v>0.97643853986451545</v>
      </c>
      <c r="L136" s="35">
        <f>IF(ISBLANK(R136),"·",R136/D136)</f>
        <v>5.4836878923863104</v>
      </c>
      <c r="M136" s="88"/>
      <c r="N136" s="35">
        <f t="shared" si="38"/>
        <v>6.4603478844978666</v>
      </c>
      <c r="O136" s="525">
        <v>163936020</v>
      </c>
      <c r="P136" s="505">
        <v>1059083720</v>
      </c>
      <c r="Q136" s="361">
        <v>160073448</v>
      </c>
      <c r="R136" s="361">
        <v>898973968</v>
      </c>
      <c r="S136" s="551"/>
      <c r="T136" s="505">
        <v>51.296230000000001</v>
      </c>
      <c r="U136" s="361">
        <v>53.269500999999998</v>
      </c>
      <c r="V136" s="361">
        <v>53.688167999999997</v>
      </c>
      <c r="W136" s="551">
        <v>0</v>
      </c>
      <c r="X136" s="509"/>
      <c r="Y136" s="363"/>
      <c r="Z136" s="575">
        <v>0</v>
      </c>
      <c r="AA136" s="575">
        <v>0</v>
      </c>
      <c r="AB136" s="37"/>
      <c r="AD136" s="34" t="str">
        <f t="shared" si="28"/>
        <v>·</v>
      </c>
      <c r="AE136" s="35" t="str">
        <f t="shared" si="41"/>
        <v>·</v>
      </c>
      <c r="AF136" s="35" t="str">
        <f t="shared" si="39"/>
        <v>·</v>
      </c>
      <c r="AG136" s="35" t="str">
        <f t="shared" si="42"/>
        <v>·</v>
      </c>
      <c r="AH136" s="88" t="str">
        <f t="shared" si="30"/>
        <v>·</v>
      </c>
      <c r="AI136" s="35" t="str">
        <f t="shared" si="43"/>
        <v>·</v>
      </c>
      <c r="AJ136" s="525"/>
      <c r="AK136" s="505"/>
      <c r="AL136" s="361"/>
      <c r="AM136" s="361"/>
      <c r="AN136" s="551"/>
      <c r="AO136" s="505"/>
      <c r="AP136" s="361"/>
      <c r="AQ136" s="361"/>
      <c r="AR136" s="551"/>
      <c r="AS136" s="509"/>
      <c r="AT136" s="363"/>
      <c r="AU136" s="575">
        <v>0</v>
      </c>
      <c r="AV136" s="575">
        <v>0</v>
      </c>
      <c r="AW136" s="37"/>
      <c r="AY136" s="59" t="e">
        <f t="shared" si="31"/>
        <v>#DIV/0!</v>
      </c>
      <c r="AZ136" s="60" t="e">
        <f t="shared" si="31"/>
        <v>#DIV/0!</v>
      </c>
      <c r="BA136" s="60" t="e">
        <f t="shared" si="40"/>
        <v>#DIV/0!</v>
      </c>
      <c r="BB136" s="61"/>
      <c r="BD136" s="79"/>
      <c r="BE136" s="79"/>
      <c r="BF136" s="79"/>
      <c r="BG136" s="108"/>
      <c r="BI136" s="253"/>
      <c r="BJ136" s="79"/>
      <c r="BK136" s="256"/>
      <c r="BL136" s="259"/>
      <c r="BM136" s="251"/>
      <c r="BN136" s="253"/>
      <c r="BO136" s="79"/>
      <c r="BP136" s="256"/>
      <c r="BQ136" s="259"/>
      <c r="BS136" s="253"/>
      <c r="BT136" s="79"/>
      <c r="BU136" s="256"/>
      <c r="BV136" s="259"/>
      <c r="BX136" s="77"/>
      <c r="BY136" s="78"/>
      <c r="BZ136" s="265"/>
      <c r="CA136" s="108"/>
      <c r="CC136" s="261"/>
      <c r="CD136" s="78"/>
      <c r="CE136" s="263"/>
      <c r="CF136" s="259"/>
    </row>
    <row r="137" spans="1:84">
      <c r="B137" s="6" t="s">
        <v>1125</v>
      </c>
      <c r="J137" s="7">
        <f>AVERAGE(J5:J40)</f>
        <v>22.361551296372525</v>
      </c>
      <c r="K137" s="7">
        <f>AVERAGE(K5:K40)</f>
        <v>15.747350786695067</v>
      </c>
      <c r="L137" s="53"/>
      <c r="M137" s="7">
        <f>AVERAGE(M5:M40)</f>
        <v>6.6141050622016389</v>
      </c>
      <c r="X137" s="7" t="e">
        <f>AVERAGE(X5:X40)</f>
        <v>#DIV/0!</v>
      </c>
      <c r="Y137" s="7" t="e">
        <f>AVERAGE(Y5:Y40)</f>
        <v>#DIV/0!</v>
      </c>
      <c r="Z137" s="571">
        <f t="shared" ref="Z137:AB137" si="44">AVERAGE(Z5:Z40)</f>
        <v>0</v>
      </c>
      <c r="AA137" s="571">
        <f t="shared" si="44"/>
        <v>0</v>
      </c>
      <c r="AB137" s="7" t="e">
        <f t="shared" si="44"/>
        <v>#DIV/0!</v>
      </c>
      <c r="AE137" s="7" t="e">
        <f>AVERAGE(AE5:AE40)</f>
        <v>#DIV/0!</v>
      </c>
      <c r="AF137" s="7" t="e">
        <f>AVERAGE(AF5:AF40)</f>
        <v>#DIV/0!</v>
      </c>
      <c r="AG137" s="53"/>
      <c r="AH137" s="7" t="e">
        <f>AVERAGE(AH5:AH40)</f>
        <v>#DIV/0!</v>
      </c>
      <c r="AS137" s="7" t="e">
        <f>AVERAGE(AS5:AS40)</f>
        <v>#DIV/0!</v>
      </c>
      <c r="AT137" s="7" t="e">
        <f>AVERAGE(AT5:AT40)</f>
        <v>#DIV/0!</v>
      </c>
      <c r="AU137" s="571">
        <f t="shared" ref="AU137:AV137" si="45">AVERAGE(AU5:AU40)</f>
        <v>0</v>
      </c>
      <c r="AV137" s="571">
        <f t="shared" si="45"/>
        <v>0</v>
      </c>
      <c r="AW137" s="7"/>
      <c r="AY137" s="2" t="e">
        <f>AVERAGE(AY5:AY40)</f>
        <v>#DIV/0!</v>
      </c>
      <c r="AZ137" s="2" t="e">
        <f>AVERAGE(AZ5:AZ40)</f>
        <v>#DIV/0!</v>
      </c>
      <c r="BA137" s="2" t="e">
        <f>AVERAGE(BA5:BA40)</f>
        <v>#DIV/0!</v>
      </c>
      <c r="BB137" s="2" t="e">
        <f>AVERAGE(BB5:BB40)</f>
        <v>#DIV/0!</v>
      </c>
      <c r="BC137" s="590"/>
      <c r="BD137" s="297"/>
      <c r="BE137" s="297"/>
      <c r="BF137" s="297"/>
      <c r="BG137" s="2" t="e">
        <f>AVERAGE(BG5:BG40)</f>
        <v>#DIV/0!</v>
      </c>
      <c r="BH137" s="590"/>
      <c r="BI137" s="297"/>
      <c r="BJ137" s="297"/>
      <c r="BK137" s="297"/>
      <c r="BL137" s="2" t="e">
        <f>AVERAGE(BL5:BL40)</f>
        <v>#DIV/0!</v>
      </c>
      <c r="BM137" s="590"/>
      <c r="BN137" s="297"/>
      <c r="BO137" s="297"/>
      <c r="BP137" s="297"/>
      <c r="BQ137" s="2" t="e">
        <f>AVERAGE(BQ5:BQ40)</f>
        <v>#DIV/0!</v>
      </c>
      <c r="BR137" s="590"/>
      <c r="BS137" s="297"/>
      <c r="BT137" s="297"/>
      <c r="BU137" s="297"/>
      <c r="BV137" s="2" t="e">
        <f>AVERAGE(BV5:BV40)</f>
        <v>#DIV/0!</v>
      </c>
      <c r="BW137" s="590"/>
      <c r="BX137" s="297"/>
      <c r="BY137" s="297"/>
      <c r="BZ137" s="297"/>
      <c r="CA137" s="2" t="e">
        <f>AVERAGE(CA5:CA40)</f>
        <v>#DIV/0!</v>
      </c>
      <c r="CB137" s="590"/>
      <c r="CC137" s="297"/>
      <c r="CD137" s="297"/>
      <c r="CE137" s="297"/>
      <c r="CF137" s="2" t="e">
        <f>AVERAGE(CF5:CF40)</f>
        <v>#DIV/0!</v>
      </c>
    </row>
    <row r="138" spans="1:84">
      <c r="B138" s="6" t="s">
        <v>1138</v>
      </c>
      <c r="J138" s="7">
        <f>AVERAGE(J41:J82)</f>
        <v>18.174123500676675</v>
      </c>
      <c r="K138" s="7">
        <f>AVERAGE(K41:K82)</f>
        <v>14.159026455206448</v>
      </c>
      <c r="L138" s="7">
        <f>AVERAGE(L41:L82)</f>
        <v>4.015007592794829</v>
      </c>
      <c r="M138" s="53"/>
      <c r="X138" s="7" t="e">
        <f>AVERAGE(X41:X82)</f>
        <v>#DIV/0!</v>
      </c>
      <c r="Y138" s="7" t="e">
        <f>AVERAGE(Y41:Y82)</f>
        <v>#DIV/0!</v>
      </c>
      <c r="Z138" s="571">
        <f t="shared" ref="Z138:AB138" si="46">AVERAGE(Z41:Z82)</f>
        <v>0</v>
      </c>
      <c r="AA138" s="571">
        <f t="shared" si="46"/>
        <v>0</v>
      </c>
      <c r="AB138" s="7" t="e">
        <f t="shared" si="46"/>
        <v>#DIV/0!</v>
      </c>
      <c r="AE138" s="7" t="e">
        <f>AVERAGE(AE41:AE82)</f>
        <v>#DIV/0!</v>
      </c>
      <c r="AF138" s="7" t="e">
        <f>AVERAGE(AF41:AF82)</f>
        <v>#DIV/0!</v>
      </c>
      <c r="AG138" s="7" t="e">
        <f>AVERAGE(AG41:AG82)</f>
        <v>#DIV/0!</v>
      </c>
      <c r="AH138" s="53"/>
      <c r="AS138" s="7" t="e">
        <f>AVERAGE(AS41:AS82)</f>
        <v>#DIV/0!</v>
      </c>
      <c r="AT138" s="7" t="e">
        <f>AVERAGE(AT41:AT82)</f>
        <v>#DIV/0!</v>
      </c>
      <c r="AU138" s="571">
        <f t="shared" ref="AU138:AV138" si="47">AVERAGE(AU41:AU82)</f>
        <v>0</v>
      </c>
      <c r="AV138" s="571">
        <f t="shared" si="47"/>
        <v>0</v>
      </c>
      <c r="AW138" s="7"/>
      <c r="AY138" s="2" t="e">
        <f>AVERAGE(AY41:AY82)</f>
        <v>#DIV/0!</v>
      </c>
      <c r="AZ138" s="2" t="e">
        <f>AVERAGE(AZ41:AZ82)</f>
        <v>#DIV/0!</v>
      </c>
      <c r="BA138" s="2" t="e">
        <f>AVERAGE(BA41:BA82)</f>
        <v>#DIV/0!</v>
      </c>
      <c r="BB138" s="2" t="e">
        <f>AVERAGE(BB41:BB82)</f>
        <v>#DIV/0!</v>
      </c>
      <c r="BC138" s="590"/>
      <c r="BD138" s="2" t="e">
        <f>AVERAGE(BD41:BD82)</f>
        <v>#DIV/0!</v>
      </c>
      <c r="BE138" s="2" t="e">
        <f>AVERAGE(BE41:BE82)</f>
        <v>#DIV/0!</v>
      </c>
      <c r="BF138" s="2" t="e">
        <f>AVERAGE(BF41:BF82)</f>
        <v>#DIV/0!</v>
      </c>
      <c r="BG138" s="298"/>
      <c r="BH138" s="590"/>
      <c r="BI138" s="2" t="e">
        <f>AVERAGE(BI41:BI82)</f>
        <v>#DIV/0!</v>
      </c>
      <c r="BJ138" s="2" t="e">
        <f>AVERAGE(BJ41:BJ82)</f>
        <v>#DIV/0!</v>
      </c>
      <c r="BK138" s="2" t="e">
        <f>AVERAGE(BK41:BK82)</f>
        <v>#DIV/0!</v>
      </c>
      <c r="BL138" s="298"/>
      <c r="BM138" s="590"/>
      <c r="BN138" s="2" t="e">
        <f>AVERAGE(BN41:BN82)</f>
        <v>#DIV/0!</v>
      </c>
      <c r="BO138" s="2" t="e">
        <f>AVERAGE(BO41:BO82)</f>
        <v>#DIV/0!</v>
      </c>
      <c r="BP138" s="2" t="e">
        <f>AVERAGE(BP41:BP82)</f>
        <v>#DIV/0!</v>
      </c>
      <c r="BQ138" s="298"/>
      <c r="BR138" s="590"/>
      <c r="BS138" s="2" t="e">
        <f>AVERAGE(BS41:BS82)</f>
        <v>#DIV/0!</v>
      </c>
      <c r="BT138" s="2" t="e">
        <f>AVERAGE(BT41:BT82)</f>
        <v>#DIV/0!</v>
      </c>
      <c r="BU138" s="2" t="e">
        <f>AVERAGE(BU41:BU82)</f>
        <v>#DIV/0!</v>
      </c>
      <c r="BV138" s="298"/>
      <c r="BW138" s="590"/>
      <c r="BX138" s="2" t="e">
        <f>AVERAGE(BX41:BX82)</f>
        <v>#DIV/0!</v>
      </c>
      <c r="BY138" s="2" t="e">
        <f>AVERAGE(BY41:BY82)</f>
        <v>#DIV/0!</v>
      </c>
      <c r="BZ138" s="2" t="e">
        <f>AVERAGE(BZ41:BZ82)</f>
        <v>#DIV/0!</v>
      </c>
      <c r="CA138" s="298"/>
      <c r="CB138" s="590"/>
      <c r="CC138" s="2" t="e">
        <f>AVERAGE(CC41:CC82)</f>
        <v>#DIV/0!</v>
      </c>
      <c r="CD138" s="2" t="e">
        <f>AVERAGE(CD41:CD82)</f>
        <v>#DIV/0!</v>
      </c>
      <c r="CE138" s="2" t="e">
        <f>AVERAGE(CE41:CE82)</f>
        <v>#DIV/0!</v>
      </c>
      <c r="CF138" s="298"/>
    </row>
    <row r="139" spans="1:84">
      <c r="B139" s="6" t="s">
        <v>171</v>
      </c>
      <c r="J139" s="7">
        <f>AVERAGE(J83:J112)</f>
        <v>19.788129491782399</v>
      </c>
      <c r="K139" s="7">
        <f>AVERAGE(K83:K112)</f>
        <v>18.014616346544653</v>
      </c>
      <c r="L139" s="53"/>
      <c r="M139" s="493">
        <f>AVERAGE(M83:M112)</f>
        <v>1.7661906591756835</v>
      </c>
      <c r="X139" s="7" t="e">
        <f>AVERAGE(X83:X112)</f>
        <v>#DIV/0!</v>
      </c>
      <c r="Y139" s="7" t="e">
        <f>AVERAGE(Y83:Y112)</f>
        <v>#DIV/0!</v>
      </c>
      <c r="Z139" s="571">
        <f t="shared" ref="Z139:AB139" si="48">AVERAGE(Z83:Z112)</f>
        <v>0</v>
      </c>
      <c r="AA139" s="571">
        <f t="shared" si="48"/>
        <v>0</v>
      </c>
      <c r="AB139" s="7" t="e">
        <f t="shared" si="48"/>
        <v>#DIV/0!</v>
      </c>
      <c r="AE139" s="7" t="e">
        <f>AVERAGE(AE83:AE112)</f>
        <v>#DIV/0!</v>
      </c>
      <c r="AF139" s="7" t="e">
        <f>AVERAGE(AF83:AF112)</f>
        <v>#DIV/0!</v>
      </c>
      <c r="AG139" s="53"/>
      <c r="AH139" s="493" t="e">
        <f>AVERAGE(AH83:AH112)</f>
        <v>#DIV/0!</v>
      </c>
      <c r="AS139" s="7" t="e">
        <f>AVERAGE(AS83:AS112)</f>
        <v>#DIV/0!</v>
      </c>
      <c r="AT139" s="7" t="e">
        <f>AVERAGE(AT83:AT112)</f>
        <v>#DIV/0!</v>
      </c>
      <c r="AU139" s="571">
        <f t="shared" ref="AU139:AV139" si="49">AVERAGE(AU83:AU112)</f>
        <v>0</v>
      </c>
      <c r="AV139" s="571">
        <f t="shared" si="49"/>
        <v>0</v>
      </c>
      <c r="AW139" s="7"/>
      <c r="AY139" s="2" t="e">
        <f>AVERAGE(AY83:AY112)</f>
        <v>#DIV/0!</v>
      </c>
      <c r="AZ139" s="2" t="e">
        <f>AVERAGE(AZ83:AZ112)</f>
        <v>#DIV/0!</v>
      </c>
      <c r="BA139" s="2" t="e">
        <f>AVERAGE(BA83:BA112)</f>
        <v>#DIV/0!</v>
      </c>
      <c r="BB139" s="2" t="e">
        <f>AVERAGE(BB83:BB112)</f>
        <v>#DIV/0!</v>
      </c>
      <c r="BC139" s="590"/>
      <c r="BD139" s="298"/>
      <c r="BE139" s="298"/>
      <c r="BF139" s="298"/>
      <c r="BG139" s="2" t="e">
        <f>AVERAGE(BG83:BG112)</f>
        <v>#DIV/0!</v>
      </c>
      <c r="BH139" s="590"/>
      <c r="BI139" s="298"/>
      <c r="BJ139" s="298"/>
      <c r="BK139" s="298"/>
      <c r="BL139" s="2" t="e">
        <f>AVERAGE(BL83:BL112)</f>
        <v>#DIV/0!</v>
      </c>
      <c r="BM139" s="590"/>
      <c r="BN139" s="298"/>
      <c r="BO139" s="298"/>
      <c r="BP139" s="298"/>
      <c r="BQ139" s="2" t="e">
        <f>AVERAGE(BQ83:BQ112)</f>
        <v>#DIV/0!</v>
      </c>
      <c r="BR139" s="590"/>
      <c r="BS139" s="298"/>
      <c r="BT139" s="298"/>
      <c r="BU139" s="298"/>
      <c r="BV139" s="2" t="e">
        <f>AVERAGE(BV83:BV112)</f>
        <v>#DIV/0!</v>
      </c>
      <c r="BW139" s="590"/>
      <c r="BX139" s="298"/>
      <c r="BY139" s="298"/>
      <c r="BZ139" s="298"/>
      <c r="CA139" s="2" t="e">
        <f>AVERAGE(CA83:CA112)</f>
        <v>#DIV/0!</v>
      </c>
      <c r="CB139" s="590"/>
      <c r="CC139" s="298"/>
      <c r="CD139" s="298"/>
      <c r="CE139" s="298"/>
      <c r="CF139" s="2" t="e">
        <f>AVERAGE(CF83:CF112)</f>
        <v>#DIV/0!</v>
      </c>
    </row>
    <row r="140" spans="1:84">
      <c r="B140" s="6" t="s">
        <v>903</v>
      </c>
      <c r="J140" s="7">
        <f>AVERAGE(J113:J136)</f>
        <v>2.8448242155006871</v>
      </c>
      <c r="K140" s="7">
        <f>AVERAGE(K113:K136)</f>
        <v>1.0123454238505933</v>
      </c>
      <c r="L140" s="7">
        <f>AVERAGE(L113:L136)</f>
        <v>1.8322597103674891</v>
      </c>
      <c r="M140" s="53"/>
      <c r="X140" s="7" t="e">
        <f t="shared" ref="X140:AB140" si="50">AVERAGE(X113:X136)</f>
        <v>#DIV/0!</v>
      </c>
      <c r="Y140" s="7" t="e">
        <f t="shared" si="50"/>
        <v>#DIV/0!</v>
      </c>
      <c r="Z140" s="571">
        <f t="shared" si="50"/>
        <v>0</v>
      </c>
      <c r="AA140" s="571">
        <f t="shared" si="50"/>
        <v>0</v>
      </c>
      <c r="AB140" s="7" t="e">
        <f t="shared" si="50"/>
        <v>#DIV/0!</v>
      </c>
      <c r="AE140" s="7" t="e">
        <f>AVERAGE(AE113:AE136)</f>
        <v>#DIV/0!</v>
      </c>
      <c r="AF140" s="7" t="e">
        <f>AVERAGE(AF113:AF136)</f>
        <v>#DIV/0!</v>
      </c>
      <c r="AG140" s="7" t="e">
        <f>AVERAGE(AG113:AG136)</f>
        <v>#DIV/0!</v>
      </c>
      <c r="AH140" s="53"/>
      <c r="AS140" s="7" t="e">
        <f t="shared" ref="AS140:AV140" si="51">AVERAGE(AS113:AS136)</f>
        <v>#DIV/0!</v>
      </c>
      <c r="AT140" s="7" t="e">
        <f t="shared" si="51"/>
        <v>#DIV/0!</v>
      </c>
      <c r="AU140" s="571">
        <f t="shared" si="51"/>
        <v>0</v>
      </c>
      <c r="AV140" s="571">
        <f t="shared" si="51"/>
        <v>0</v>
      </c>
      <c r="AW140" s="7"/>
      <c r="AY140" s="2" t="e">
        <f t="shared" ref="AY140:BB140" si="52">AVERAGE(AY113:AY136)</f>
        <v>#DIV/0!</v>
      </c>
      <c r="AZ140" s="2" t="e">
        <f t="shared" si="52"/>
        <v>#DIV/0!</v>
      </c>
      <c r="BA140" s="2" t="e">
        <f t="shared" si="52"/>
        <v>#DIV/0!</v>
      </c>
      <c r="BB140" s="2" t="e">
        <f t="shared" si="52"/>
        <v>#DIV/0!</v>
      </c>
      <c r="BC140" s="590"/>
      <c r="BD140" s="2" t="e">
        <f t="shared" ref="BD140:BF140" si="53">AVERAGE(BD113:BD136)</f>
        <v>#DIV/0!</v>
      </c>
      <c r="BE140" s="2" t="e">
        <f t="shared" si="53"/>
        <v>#DIV/0!</v>
      </c>
      <c r="BF140" s="2" t="e">
        <f t="shared" si="53"/>
        <v>#DIV/0!</v>
      </c>
      <c r="BG140" s="249"/>
      <c r="BH140" s="590"/>
      <c r="BI140" s="2" t="e">
        <f t="shared" ref="BI140:BK140" si="54">AVERAGE(BI113:BI136)</f>
        <v>#DIV/0!</v>
      </c>
      <c r="BJ140" s="2" t="e">
        <f t="shared" si="54"/>
        <v>#DIV/0!</v>
      </c>
      <c r="BK140" s="2" t="e">
        <f t="shared" si="54"/>
        <v>#DIV/0!</v>
      </c>
      <c r="BL140" s="249"/>
      <c r="BM140" s="590"/>
      <c r="BN140" s="2" t="e">
        <f t="shared" ref="BN140:BP140" si="55">AVERAGE(BN113:BN136)</f>
        <v>#DIV/0!</v>
      </c>
      <c r="BO140" s="2" t="e">
        <f t="shared" si="55"/>
        <v>#DIV/0!</v>
      </c>
      <c r="BP140" s="2" t="e">
        <f t="shared" si="55"/>
        <v>#DIV/0!</v>
      </c>
      <c r="BQ140" s="249"/>
      <c r="BR140" s="590"/>
      <c r="BS140" s="2" t="e">
        <f t="shared" ref="BS140:BU140" si="56">AVERAGE(BS113:BS136)</f>
        <v>#DIV/0!</v>
      </c>
      <c r="BT140" s="2" t="e">
        <f t="shared" si="56"/>
        <v>#DIV/0!</v>
      </c>
      <c r="BU140" s="2" t="e">
        <f t="shared" si="56"/>
        <v>#DIV/0!</v>
      </c>
      <c r="BV140" s="249"/>
      <c r="BW140" s="590"/>
      <c r="BX140" s="2" t="e">
        <f t="shared" ref="BX140:BZ140" si="57">AVERAGE(BX113:BX136)</f>
        <v>#DIV/0!</v>
      </c>
      <c r="BY140" s="2" t="e">
        <f t="shared" si="57"/>
        <v>#DIV/0!</v>
      </c>
      <c r="BZ140" s="2" t="e">
        <f t="shared" si="57"/>
        <v>#DIV/0!</v>
      </c>
      <c r="CA140" s="249"/>
      <c r="CB140" s="590"/>
      <c r="CC140" s="2" t="e">
        <f t="shared" ref="CC140:CE140" si="58">AVERAGE(CC113:CC136)</f>
        <v>#DIV/0!</v>
      </c>
      <c r="CD140" s="2" t="e">
        <f t="shared" si="58"/>
        <v>#DIV/0!</v>
      </c>
      <c r="CE140" s="2" t="e">
        <f t="shared" si="58"/>
        <v>#DIV/0!</v>
      </c>
      <c r="CF140" s="249"/>
    </row>
    <row r="141" spans="1:84" ht="27">
      <c r="B141" s="6" t="s">
        <v>1132</v>
      </c>
      <c r="J141" s="7">
        <f>AVERAGE(J5:J40,J83:J112)</f>
        <v>21.191814112467924</v>
      </c>
      <c r="K141" s="7">
        <f>AVERAGE(K5:K40,K83:K112)</f>
        <v>16.777926041172144</v>
      </c>
      <c r="L141" s="53"/>
      <c r="M141" s="7">
        <f>AVERAGE(M5:M40,M83:M112)</f>
        <v>4.4105076062807518</v>
      </c>
      <c r="X141" s="7" t="e">
        <f>AVERAGE(X5:X40,X83:X112)</f>
        <v>#DIV/0!</v>
      </c>
      <c r="Y141" s="7" t="e">
        <f>AVERAGE(Y5:Y40,Y83:Y112)</f>
        <v>#DIV/0!</v>
      </c>
      <c r="Z141" s="571">
        <f t="shared" ref="Z141:AB141" si="59">AVERAGE(Z5:Z40,Z83:Z112)</f>
        <v>0</v>
      </c>
      <c r="AA141" s="571">
        <f t="shared" si="59"/>
        <v>0</v>
      </c>
      <c r="AB141" s="7" t="e">
        <f t="shared" si="59"/>
        <v>#DIV/0!</v>
      </c>
      <c r="AE141" s="7" t="e">
        <f>AVERAGE(AE5:AE40,AE83:AE112)</f>
        <v>#DIV/0!</v>
      </c>
      <c r="AF141" s="7" t="e">
        <f>AVERAGE(AF5:AF40,AF83:AF112)</f>
        <v>#DIV/0!</v>
      </c>
      <c r="AG141" s="53"/>
      <c r="AH141" s="7" t="e">
        <f>AVERAGE(AH5:AH40,AH83:AH112)</f>
        <v>#DIV/0!</v>
      </c>
      <c r="AS141" s="7" t="e">
        <f>AVERAGE(AS5:AS40,AS83:AS112)</f>
        <v>#DIV/0!</v>
      </c>
      <c r="AT141" s="7" t="e">
        <f>AVERAGE(AT5:AT40,AT83:AT112)</f>
        <v>#DIV/0!</v>
      </c>
      <c r="AU141" s="571">
        <f t="shared" ref="AU141:AV141" si="60">AVERAGE(AU5:AU40,AU83:AU112)</f>
        <v>0</v>
      </c>
      <c r="AV141" s="571">
        <f t="shared" si="60"/>
        <v>0</v>
      </c>
      <c r="AW141" s="7"/>
      <c r="AY141" s="2" t="e">
        <f>AVERAGE(AY5:AY40,AY83:AY112)</f>
        <v>#DIV/0!</v>
      </c>
      <c r="AZ141" s="2" t="e">
        <f>AVERAGE(AZ5:AZ40,AZ83:AZ112)</f>
        <v>#DIV/0!</v>
      </c>
      <c r="BA141" s="2" t="e">
        <f>AVERAGE(BA5:BA40,BA83:BA112)</f>
        <v>#DIV/0!</v>
      </c>
      <c r="BB141" s="2" t="e">
        <f>AVERAGE(BB5:BB40,BB83:BB112)</f>
        <v>#DIV/0!</v>
      </c>
      <c r="BC141" s="590"/>
      <c r="BD141" s="298"/>
      <c r="BE141" s="298"/>
      <c r="BF141" s="298"/>
      <c r="BG141" s="2" t="e">
        <f>AVERAGE(BG5:BG40,BG83:BG112)</f>
        <v>#DIV/0!</v>
      </c>
      <c r="BH141" s="590"/>
      <c r="BI141" s="298"/>
      <c r="BJ141" s="298"/>
      <c r="BK141" s="298"/>
      <c r="BL141" s="2" t="e">
        <f>AVERAGE(BL5:BL40,BL83:BL112)</f>
        <v>#DIV/0!</v>
      </c>
      <c r="BM141" s="590"/>
      <c r="BN141" s="298"/>
      <c r="BO141" s="298"/>
      <c r="BP141" s="298"/>
      <c r="BQ141" s="2" t="e">
        <f>AVERAGE(BQ5:BQ40,BQ83:BQ112)</f>
        <v>#DIV/0!</v>
      </c>
      <c r="BR141" s="590"/>
      <c r="BS141" s="298"/>
      <c r="BT141" s="298"/>
      <c r="BU141" s="298"/>
      <c r="BV141" s="2" t="e">
        <f>AVERAGE(BV5:BV40,BV83:BV112)</f>
        <v>#DIV/0!</v>
      </c>
      <c r="BW141" s="590"/>
      <c r="BX141" s="298"/>
      <c r="BY141" s="298"/>
      <c r="BZ141" s="298"/>
      <c r="CA141" s="2" t="e">
        <f>AVERAGE(CA5:CA40,CA83:CA112)</f>
        <v>#DIV/0!</v>
      </c>
      <c r="CB141" s="590"/>
      <c r="CC141" s="298"/>
      <c r="CD141" s="298"/>
      <c r="CE141" s="298"/>
      <c r="CF141" s="2" t="e">
        <f>AVERAGE(CF5:CF40,CF83:CF112)</f>
        <v>#DIV/0!</v>
      </c>
    </row>
    <row r="142" spans="1:84">
      <c r="B142" s="6" t="s">
        <v>137</v>
      </c>
      <c r="J142" s="7">
        <f>AVERAGE(J5:J136)</f>
        <v>16.895823481994835</v>
      </c>
      <c r="K142" s="7">
        <f>AVERAGE(K5:K136)</f>
        <v>13.078170606124594</v>
      </c>
      <c r="L142" s="7">
        <f>AVERAGE(L5:L136)</f>
        <v>3.2212810900939779</v>
      </c>
      <c r="M142" s="7">
        <f>AVERAGE(M5:M136)</f>
        <v>4.4105076062807518</v>
      </c>
      <c r="X142" s="7" t="e">
        <f>AVERAGE(X5:X136)</f>
        <v>#DIV/0!</v>
      </c>
      <c r="Y142" s="7" t="e">
        <f>AVERAGE(Y5:Y136)</f>
        <v>#DIV/0!</v>
      </c>
      <c r="Z142" s="571">
        <f t="shared" ref="Z142:AB142" si="61">AVERAGE(Z5:Z136)</f>
        <v>0</v>
      </c>
      <c r="AA142" s="571">
        <f t="shared" si="61"/>
        <v>0</v>
      </c>
      <c r="AB142" s="7" t="e">
        <f t="shared" si="61"/>
        <v>#DIV/0!</v>
      </c>
      <c r="AE142" s="7" t="e">
        <f>AVERAGE(AE5:AE136)</f>
        <v>#DIV/0!</v>
      </c>
      <c r="AF142" s="7" t="e">
        <f>AVERAGE(AF5:AF136)</f>
        <v>#DIV/0!</v>
      </c>
      <c r="AG142" s="7" t="e">
        <f>AVERAGE(AG5:AG136)</f>
        <v>#DIV/0!</v>
      </c>
      <c r="AH142" s="7" t="e">
        <f>AVERAGE(AH5:AH136)</f>
        <v>#DIV/0!</v>
      </c>
      <c r="AS142" s="7" t="e">
        <f>AVERAGE(AS5:AS136)</f>
        <v>#DIV/0!</v>
      </c>
      <c r="AT142" s="7" t="e">
        <f>AVERAGE(AT5:AT136)</f>
        <v>#DIV/0!</v>
      </c>
      <c r="AU142" s="571">
        <f t="shared" ref="AU142:AV142" si="62">AVERAGE(AU5:AU136)</f>
        <v>0</v>
      </c>
      <c r="AV142" s="571">
        <f t="shared" si="62"/>
        <v>0</v>
      </c>
      <c r="AW142" s="7"/>
      <c r="AY142" s="2" t="e">
        <f>AVERAGE(AY5:AY136)</f>
        <v>#DIV/0!</v>
      </c>
      <c r="AZ142" s="2" t="e">
        <f>AVERAGE(AZ5:AZ136)</f>
        <v>#DIV/0!</v>
      </c>
      <c r="BA142" s="2" t="e">
        <f>AVERAGE(BA5:BA136)</f>
        <v>#DIV/0!</v>
      </c>
      <c r="BB142" s="2" t="e">
        <f>AVERAGE(BB5:BB136)</f>
        <v>#DIV/0!</v>
      </c>
      <c r="BC142" s="590"/>
      <c r="BD142" s="2" t="e">
        <f>AVERAGE(BD5:BD136)</f>
        <v>#DIV/0!</v>
      </c>
      <c r="BE142" s="2" t="e">
        <f>AVERAGE(BE5:BE136)</f>
        <v>#DIV/0!</v>
      </c>
      <c r="BF142" s="2" t="e">
        <f>AVERAGE(BF5:BF136)</f>
        <v>#DIV/0!</v>
      </c>
      <c r="BG142" s="2" t="e">
        <f>AVERAGE(BG5:BG136)</f>
        <v>#DIV/0!</v>
      </c>
      <c r="BH142" s="590"/>
      <c r="BI142" s="2" t="e">
        <f>AVERAGE(BI5:BI136)</f>
        <v>#DIV/0!</v>
      </c>
      <c r="BJ142" s="2" t="e">
        <f>AVERAGE(BJ5:BJ136)</f>
        <v>#DIV/0!</v>
      </c>
      <c r="BK142" s="2" t="e">
        <f>AVERAGE(BK5:BK136)</f>
        <v>#DIV/0!</v>
      </c>
      <c r="BL142" s="2" t="e">
        <f>AVERAGE(BL5:BL136)</f>
        <v>#DIV/0!</v>
      </c>
      <c r="BM142" s="590"/>
      <c r="BN142" s="2" t="e">
        <f>AVERAGE(BN5:BN136)</f>
        <v>#DIV/0!</v>
      </c>
      <c r="BO142" s="2" t="e">
        <f>AVERAGE(BO5:BO136)</f>
        <v>#DIV/0!</v>
      </c>
      <c r="BP142" s="2" t="e">
        <f>AVERAGE(BP5:BP136)</f>
        <v>#DIV/0!</v>
      </c>
      <c r="BQ142" s="2" t="e">
        <f>AVERAGE(BQ5:BQ136)</f>
        <v>#DIV/0!</v>
      </c>
      <c r="BR142" s="590"/>
      <c r="BS142" s="2" t="e">
        <f>AVERAGE(BS5:BS136)</f>
        <v>#DIV/0!</v>
      </c>
      <c r="BT142" s="2" t="e">
        <f>AVERAGE(BT5:BT136)</f>
        <v>#DIV/0!</v>
      </c>
      <c r="BU142" s="2" t="e">
        <f>AVERAGE(BU5:BU136)</f>
        <v>#DIV/0!</v>
      </c>
      <c r="BV142" s="2" t="e">
        <f>AVERAGE(BV5:BV136)</f>
        <v>#DIV/0!</v>
      </c>
      <c r="BW142" s="590"/>
      <c r="BX142" s="2" t="e">
        <f>AVERAGE(BX5:BX136)</f>
        <v>#DIV/0!</v>
      </c>
      <c r="BY142" s="2" t="e">
        <f>AVERAGE(BY5:BY136)</f>
        <v>#DIV/0!</v>
      </c>
      <c r="BZ142" s="2" t="e">
        <f>AVERAGE(BZ5:BZ136)</f>
        <v>#DIV/0!</v>
      </c>
      <c r="CA142" s="2" t="e">
        <f>AVERAGE(CA5:CA136)</f>
        <v>#DIV/0!</v>
      </c>
      <c r="CB142" s="590"/>
      <c r="CC142" s="2" t="e">
        <f>AVERAGE(CC5:CC136)</f>
        <v>#DIV/0!</v>
      </c>
      <c r="CD142" s="2" t="e">
        <f>AVERAGE(CD5:CD136)</f>
        <v>#DIV/0!</v>
      </c>
      <c r="CE142" s="2" t="e">
        <f>AVERAGE(CE5:CE136)</f>
        <v>#DIV/0!</v>
      </c>
      <c r="CF142" s="2" t="e">
        <f>AVERAGE(CF5:CF136)</f>
        <v>#DIV/0!</v>
      </c>
    </row>
    <row r="143" spans="1:84" ht="27" outlineLevel="2">
      <c r="A143" s="338" t="s">
        <v>138</v>
      </c>
      <c r="B143" s="6" t="s">
        <v>1127</v>
      </c>
      <c r="X143" s="8"/>
      <c r="Y143" s="8"/>
      <c r="AS143" s="12" t="e">
        <f>AS137/X137</f>
        <v>#DIV/0!</v>
      </c>
      <c r="AT143" s="12" t="e">
        <f t="shared" ref="AT143:AV148" si="63">AT137/Y137</f>
        <v>#DIV/0!</v>
      </c>
      <c r="AU143" s="12" t="e">
        <f t="shared" si="63"/>
        <v>#DIV/0!</v>
      </c>
      <c r="AV143" s="12" t="e">
        <f t="shared" si="63"/>
        <v>#DIV/0!</v>
      </c>
      <c r="AW143" s="12"/>
    </row>
    <row r="144" spans="1:84" outlineLevel="2">
      <c r="B144" s="6" t="s">
        <v>1128</v>
      </c>
      <c r="AS144" s="12" t="e">
        <f t="shared" ref="AS144:AS148" si="64">AS138/X138</f>
        <v>#DIV/0!</v>
      </c>
      <c r="AT144" s="12" t="e">
        <f t="shared" si="63"/>
        <v>#DIV/0!</v>
      </c>
      <c r="AU144" s="12" t="e">
        <f t="shared" si="63"/>
        <v>#DIV/0!</v>
      </c>
      <c r="AV144" s="12" t="e">
        <f t="shared" si="63"/>
        <v>#DIV/0!</v>
      </c>
      <c r="AW144" s="12"/>
    </row>
    <row r="145" spans="1:49" ht="27" outlineLevel="2">
      <c r="A145" s="6"/>
      <c r="B145" s="6" t="s">
        <v>1130</v>
      </c>
      <c r="X145" s="8"/>
      <c r="Y145" s="8"/>
      <c r="AS145" s="12" t="e">
        <f t="shared" si="64"/>
        <v>#DIV/0!</v>
      </c>
      <c r="AT145" s="12" t="e">
        <f t="shared" si="63"/>
        <v>#DIV/0!</v>
      </c>
      <c r="AU145" s="12" t="e">
        <f t="shared" si="63"/>
        <v>#DIV/0!</v>
      </c>
      <c r="AV145" s="12" t="e">
        <f t="shared" si="63"/>
        <v>#DIV/0!</v>
      </c>
      <c r="AW145" s="12"/>
    </row>
    <row r="146" spans="1:49" outlineLevel="2">
      <c r="B146" s="6" t="s">
        <v>1131</v>
      </c>
      <c r="AS146" s="12" t="e">
        <f t="shared" si="64"/>
        <v>#DIV/0!</v>
      </c>
      <c r="AT146" s="12" t="e">
        <f t="shared" si="63"/>
        <v>#DIV/0!</v>
      </c>
      <c r="AU146" s="12" t="e">
        <f t="shared" si="63"/>
        <v>#DIV/0!</v>
      </c>
      <c r="AV146" s="12" t="e">
        <f t="shared" si="63"/>
        <v>#DIV/0!</v>
      </c>
      <c r="AW146" s="12"/>
    </row>
    <row r="147" spans="1:49" ht="27" outlineLevel="2">
      <c r="B147" s="6" t="s">
        <v>1133</v>
      </c>
      <c r="X147" s="8"/>
      <c r="Y147" s="8"/>
      <c r="AS147" s="12" t="e">
        <f t="shared" si="64"/>
        <v>#DIV/0!</v>
      </c>
      <c r="AT147" s="12" t="e">
        <f t="shared" si="63"/>
        <v>#DIV/0!</v>
      </c>
      <c r="AU147" s="12" t="e">
        <f t="shared" si="63"/>
        <v>#DIV/0!</v>
      </c>
      <c r="AV147" s="12" t="e">
        <f t="shared" si="63"/>
        <v>#DIV/0!</v>
      </c>
      <c r="AW147" s="12"/>
    </row>
    <row r="148" spans="1:49" outlineLevel="2" collapsed="1">
      <c r="B148" s="6" t="s">
        <v>1135</v>
      </c>
      <c r="AS148" s="12" t="e">
        <f t="shared" si="64"/>
        <v>#DIV/0!</v>
      </c>
      <c r="AT148" s="12" t="e">
        <f t="shared" si="63"/>
        <v>#DIV/0!</v>
      </c>
      <c r="AU148" s="12" t="e">
        <f t="shared" si="63"/>
        <v>#DIV/0!</v>
      </c>
      <c r="AV148" s="12" t="e">
        <f t="shared" si="63"/>
        <v>#DIV/0!</v>
      </c>
      <c r="AW148" s="12"/>
    </row>
  </sheetData>
  <mergeCells count="48">
    <mergeCell ref="BS1:BV1"/>
    <mergeCell ref="BX1:CA1"/>
    <mergeCell ref="CC1:CF1"/>
    <mergeCell ref="A2:A3"/>
    <mergeCell ref="B2:B3"/>
    <mergeCell ref="C2:C3"/>
    <mergeCell ref="D2:D3"/>
    <mergeCell ref="E2:E3"/>
    <mergeCell ref="F2:F3"/>
    <mergeCell ref="G2:G3"/>
    <mergeCell ref="A1:G1"/>
    <mergeCell ref="I1:AB1"/>
    <mergeCell ref="AD1:AW1"/>
    <mergeCell ref="BD1:BG1"/>
    <mergeCell ref="BI1:BL1"/>
    <mergeCell ref="BN1:BQ1"/>
    <mergeCell ref="AD2:AD3"/>
    <mergeCell ref="I2:I3"/>
    <mergeCell ref="J2:M2"/>
    <mergeCell ref="N2:N3"/>
    <mergeCell ref="O2:O3"/>
    <mergeCell ref="P2:S2"/>
    <mergeCell ref="T2:W2"/>
    <mergeCell ref="X2:X3"/>
    <mergeCell ref="Y2:Y3"/>
    <mergeCell ref="Z2:Z3"/>
    <mergeCell ref="AA2:AA3"/>
    <mergeCell ref="AB2:AB3"/>
    <mergeCell ref="AZ2:AZ3"/>
    <mergeCell ref="AE2:AH2"/>
    <mergeCell ref="AI2:AI3"/>
    <mergeCell ref="AJ2:AJ3"/>
    <mergeCell ref="AK2:AN2"/>
    <mergeCell ref="AO2:AR2"/>
    <mergeCell ref="AS2:AS3"/>
    <mergeCell ref="AT2:AT3"/>
    <mergeCell ref="AU2:AU3"/>
    <mergeCell ref="AV2:AV3"/>
    <mergeCell ref="AW2:AW3"/>
    <mergeCell ref="AY2:AY3"/>
    <mergeCell ref="BX2:CA2"/>
    <mergeCell ref="CC2:CF2"/>
    <mergeCell ref="BA2:BA3"/>
    <mergeCell ref="BB2:BB3"/>
    <mergeCell ref="BD2:BG2"/>
    <mergeCell ref="BI2:BL2"/>
    <mergeCell ref="BN2:BQ2"/>
    <mergeCell ref="BS2:BV2"/>
  </mergeCells>
  <phoneticPr fontId="2" type="noConversion"/>
  <conditionalFormatting sqref="BD83:BF88 BD90:BF94 BD96:BF100 AH65:AH76">
    <cfRule type="cellIs" dxfId="1793" priority="1035" operator="greaterThanOrEqual">
      <formula>0.03</formula>
    </cfRule>
    <cfRule type="cellIs" dxfId="1792" priority="1036" operator="lessThanOrEqual">
      <formula>-0.03</formula>
    </cfRule>
  </conditionalFormatting>
  <conditionalFormatting sqref="BG84:BG88 BG90:BG94 BG96:BG100">
    <cfRule type="cellIs" dxfId="1791" priority="1033" operator="greaterThanOrEqual">
      <formula>0.03</formula>
    </cfRule>
    <cfRule type="cellIs" dxfId="1790" priority="1034" operator="lessThanOrEqual">
      <formula>-0.03</formula>
    </cfRule>
  </conditionalFormatting>
  <conditionalFormatting sqref="BL84:BL88 BL90:BL94 BL96:BL100">
    <cfRule type="cellIs" dxfId="1789" priority="1037" operator="greaterThanOrEqual">
      <formula>0.03</formula>
    </cfRule>
    <cfRule type="cellIs" dxfId="1788" priority="1038" operator="lessThanOrEqual">
      <formula>-0.03</formula>
    </cfRule>
  </conditionalFormatting>
  <conditionalFormatting sqref="BI84:BK88 BI90:BK94 BI96:BK100">
    <cfRule type="cellIs" dxfId="1787" priority="1031" operator="greaterThanOrEqual">
      <formula>0.03</formula>
    </cfRule>
    <cfRule type="cellIs" dxfId="1786" priority="1032" operator="lessThanOrEqual">
      <formula>-0.03</formula>
    </cfRule>
  </conditionalFormatting>
  <conditionalFormatting sqref="AG83:AG100">
    <cfRule type="cellIs" dxfId="1785" priority="1029" operator="greaterThanOrEqual">
      <formula>0.03</formula>
    </cfRule>
    <cfRule type="cellIs" dxfId="1784" priority="1030" operator="lessThanOrEqual">
      <formula>-0.03</formula>
    </cfRule>
  </conditionalFormatting>
  <conditionalFormatting sqref="BN84:BP88 BN90:BP94 BN96:BP100">
    <cfRule type="cellIs" dxfId="1783" priority="1025" operator="greaterThanOrEqual">
      <formula>0.03</formula>
    </cfRule>
    <cfRule type="cellIs" dxfId="1782" priority="1026" operator="lessThanOrEqual">
      <formula>-0.03</formula>
    </cfRule>
  </conditionalFormatting>
  <conditionalFormatting sqref="BQ84:BQ88 BQ90:BQ94 BQ96:BQ100">
    <cfRule type="cellIs" dxfId="1781" priority="1023" operator="greaterThanOrEqual">
      <formula>0.03</formula>
    </cfRule>
    <cfRule type="cellIs" dxfId="1780" priority="1024" operator="lessThanOrEqual">
      <formula>-0.03</formula>
    </cfRule>
  </conditionalFormatting>
  <conditionalFormatting sqref="BV84:BV88 BV90:BV94 BV96:BV100">
    <cfRule type="cellIs" dxfId="1779" priority="1027" operator="greaterThanOrEqual">
      <formula>0.03</formula>
    </cfRule>
    <cfRule type="cellIs" dxfId="1778" priority="1028" operator="lessThanOrEqual">
      <formula>-0.03</formula>
    </cfRule>
  </conditionalFormatting>
  <conditionalFormatting sqref="BS84:BU88 BS90:BU94 BS96:BU100">
    <cfRule type="cellIs" dxfId="1777" priority="1021" operator="greaterThanOrEqual">
      <formula>0.03</formula>
    </cfRule>
    <cfRule type="cellIs" dxfId="1776" priority="1022" operator="lessThanOrEqual">
      <formula>-0.03</formula>
    </cfRule>
  </conditionalFormatting>
  <conditionalFormatting sqref="BX84:BZ88 BX90:BZ94 BX96:BZ100">
    <cfRule type="cellIs" dxfId="1775" priority="1017" operator="greaterThanOrEqual">
      <formula>0.03</formula>
    </cfRule>
    <cfRule type="cellIs" dxfId="1774" priority="1018" operator="lessThanOrEqual">
      <formula>-0.03</formula>
    </cfRule>
  </conditionalFormatting>
  <conditionalFormatting sqref="CA84:CA88 CA90:CA94 CA96:CA100">
    <cfRule type="cellIs" dxfId="1773" priority="1015" operator="greaterThanOrEqual">
      <formula>0.03</formula>
    </cfRule>
    <cfRule type="cellIs" dxfId="1772" priority="1016" operator="lessThanOrEqual">
      <formula>-0.03</formula>
    </cfRule>
  </conditionalFormatting>
  <conditionalFormatting sqref="CF84:CF88 CF90:CF94 CF96:CF100">
    <cfRule type="cellIs" dxfId="1771" priority="1019" operator="greaterThanOrEqual">
      <formula>0.03</formula>
    </cfRule>
    <cfRule type="cellIs" dxfId="1770" priority="1020" operator="lessThanOrEqual">
      <formula>-0.03</formula>
    </cfRule>
  </conditionalFormatting>
  <conditionalFormatting sqref="CC84:CE88 CC90:CE94 CC96:CE100">
    <cfRule type="cellIs" dxfId="1769" priority="1013" operator="greaterThanOrEqual">
      <formula>0.03</formula>
    </cfRule>
    <cfRule type="cellIs" dxfId="1768" priority="1014" operator="lessThanOrEqual">
      <formula>-0.03</formula>
    </cfRule>
  </conditionalFormatting>
  <conditionalFormatting sqref="BD89:BF89">
    <cfRule type="cellIs" dxfId="1767" priority="1011" operator="greaterThanOrEqual">
      <formula>0.03</formula>
    </cfRule>
    <cfRule type="cellIs" dxfId="1766" priority="1012" operator="lessThanOrEqual">
      <formula>-0.03</formula>
    </cfRule>
  </conditionalFormatting>
  <conditionalFormatting sqref="BL102:BL106">
    <cfRule type="cellIs" dxfId="1765" priority="1007" operator="greaterThanOrEqual">
      <formula>0.03</formula>
    </cfRule>
    <cfRule type="cellIs" dxfId="1764" priority="1008" operator="lessThanOrEqual">
      <formula>-0.03</formula>
    </cfRule>
  </conditionalFormatting>
  <conditionalFormatting sqref="BD101:BF106">
    <cfRule type="cellIs" dxfId="1763" priority="1005" operator="greaterThanOrEqual">
      <formula>0.03</formula>
    </cfRule>
    <cfRule type="cellIs" dxfId="1762" priority="1006" operator="lessThanOrEqual">
      <formula>-0.03</formula>
    </cfRule>
  </conditionalFormatting>
  <conditionalFormatting sqref="BI102:BK106">
    <cfRule type="cellIs" dxfId="1761" priority="1001" operator="greaterThanOrEqual">
      <formula>0.03</formula>
    </cfRule>
    <cfRule type="cellIs" dxfId="1760" priority="1002" operator="lessThanOrEqual">
      <formula>-0.03</formula>
    </cfRule>
  </conditionalFormatting>
  <conditionalFormatting sqref="BG102:BG106">
    <cfRule type="cellIs" dxfId="1759" priority="1003" operator="greaterThanOrEqual">
      <formula>0.03</formula>
    </cfRule>
    <cfRule type="cellIs" dxfId="1758" priority="1004" operator="lessThanOrEqual">
      <formula>-0.03</formula>
    </cfRule>
  </conditionalFormatting>
  <conditionalFormatting sqref="AG101:AG106">
    <cfRule type="cellIs" dxfId="1757" priority="999" operator="greaterThanOrEqual">
      <formula>0.03</formula>
    </cfRule>
    <cfRule type="cellIs" dxfId="1756" priority="1000" operator="lessThanOrEqual">
      <formula>-0.03</formula>
    </cfRule>
  </conditionalFormatting>
  <conditionalFormatting sqref="BV102:BV106">
    <cfRule type="cellIs" dxfId="1755" priority="997" operator="greaterThanOrEqual">
      <formula>0.03</formula>
    </cfRule>
    <cfRule type="cellIs" dxfId="1754" priority="998" operator="lessThanOrEqual">
      <formula>-0.03</formula>
    </cfRule>
  </conditionalFormatting>
  <conditionalFormatting sqref="BD95:BF95">
    <cfRule type="cellIs" dxfId="1753" priority="1009" operator="greaterThanOrEqual">
      <formula>0.03</formula>
    </cfRule>
    <cfRule type="cellIs" dxfId="1752" priority="1010" operator="lessThanOrEqual">
      <formula>-0.03</formula>
    </cfRule>
  </conditionalFormatting>
  <conditionalFormatting sqref="BN102:BP106">
    <cfRule type="cellIs" dxfId="1751" priority="995" operator="greaterThanOrEqual">
      <formula>0.03</formula>
    </cfRule>
    <cfRule type="cellIs" dxfId="1750" priority="996" operator="lessThanOrEqual">
      <formula>-0.03</formula>
    </cfRule>
  </conditionalFormatting>
  <conditionalFormatting sqref="BQ102:BQ106">
    <cfRule type="cellIs" dxfId="1749" priority="993" operator="greaterThanOrEqual">
      <formula>0.03</formula>
    </cfRule>
    <cfRule type="cellIs" dxfId="1748" priority="994" operator="lessThanOrEqual">
      <formula>-0.03</formula>
    </cfRule>
  </conditionalFormatting>
  <conditionalFormatting sqref="BS102:BU106">
    <cfRule type="cellIs" dxfId="1747" priority="991" operator="greaterThanOrEqual">
      <formula>0.03</formula>
    </cfRule>
    <cfRule type="cellIs" dxfId="1746" priority="992" operator="lessThanOrEqual">
      <formula>-0.03</formula>
    </cfRule>
  </conditionalFormatting>
  <conditionalFormatting sqref="BX102:BZ106">
    <cfRule type="cellIs" dxfId="1745" priority="987" operator="greaterThanOrEqual">
      <formula>0.03</formula>
    </cfRule>
    <cfRule type="cellIs" dxfId="1744" priority="988" operator="lessThanOrEqual">
      <formula>-0.03</formula>
    </cfRule>
  </conditionalFormatting>
  <conditionalFormatting sqref="CA102:CA106">
    <cfRule type="cellIs" dxfId="1743" priority="985" operator="greaterThanOrEqual">
      <formula>0.03</formula>
    </cfRule>
    <cfRule type="cellIs" dxfId="1742" priority="986" operator="lessThanOrEqual">
      <formula>-0.03</formula>
    </cfRule>
  </conditionalFormatting>
  <conditionalFormatting sqref="CF102:CF106">
    <cfRule type="cellIs" dxfId="1741" priority="989" operator="greaterThanOrEqual">
      <formula>0.03</formula>
    </cfRule>
    <cfRule type="cellIs" dxfId="1740" priority="990" operator="lessThanOrEqual">
      <formula>-0.03</formula>
    </cfRule>
  </conditionalFormatting>
  <conditionalFormatting sqref="CC102:CE106">
    <cfRule type="cellIs" dxfId="1739" priority="983" operator="greaterThanOrEqual">
      <formula>0.03</formula>
    </cfRule>
    <cfRule type="cellIs" dxfId="1738" priority="984" operator="lessThanOrEqual">
      <formula>-0.03</formula>
    </cfRule>
  </conditionalFormatting>
  <conditionalFormatting sqref="BX101:BZ101">
    <cfRule type="cellIs" dxfId="1737" priority="919" operator="greaterThanOrEqual">
      <formula>0.03</formula>
    </cfRule>
    <cfRule type="cellIs" dxfId="1736" priority="920" operator="lessThanOrEqual">
      <formula>-0.03</formula>
    </cfRule>
  </conditionalFormatting>
  <conditionalFormatting sqref="CA101">
    <cfRule type="cellIs" dxfId="1735" priority="917" operator="greaterThanOrEqual">
      <formula>0.03</formula>
    </cfRule>
    <cfRule type="cellIs" dxfId="1734" priority="918" operator="lessThanOrEqual">
      <formula>-0.03</formula>
    </cfRule>
  </conditionalFormatting>
  <conditionalFormatting sqref="CF101">
    <cfRule type="cellIs" dxfId="1733" priority="921" operator="greaterThanOrEqual">
      <formula>0.03</formula>
    </cfRule>
    <cfRule type="cellIs" dxfId="1732" priority="922" operator="lessThanOrEqual">
      <formula>-0.03</formula>
    </cfRule>
  </conditionalFormatting>
  <conditionalFormatting sqref="CC101:CE101">
    <cfRule type="cellIs" dxfId="1731" priority="915" operator="greaterThanOrEqual">
      <formula>0.03</formula>
    </cfRule>
    <cfRule type="cellIs" dxfId="1730" priority="916" operator="lessThanOrEqual">
      <formula>-0.03</formula>
    </cfRule>
  </conditionalFormatting>
  <conditionalFormatting sqref="BV101">
    <cfRule type="cellIs" dxfId="1729" priority="911" operator="greaterThanOrEqual">
      <formula>0.03</formula>
    </cfRule>
    <cfRule type="cellIs" dxfId="1728" priority="912" operator="lessThanOrEqual">
      <formula>-0.03</formula>
    </cfRule>
  </conditionalFormatting>
  <conditionalFormatting sqref="BL95">
    <cfRule type="cellIs" dxfId="1727" priority="909" operator="greaterThanOrEqual">
      <formula>0.03</formula>
    </cfRule>
    <cfRule type="cellIs" dxfId="1726" priority="910" operator="lessThanOrEqual">
      <formula>-0.03</formula>
    </cfRule>
  </conditionalFormatting>
  <conditionalFormatting sqref="BQ101">
    <cfRule type="cellIs" dxfId="1725" priority="913" operator="greaterThanOrEqual">
      <formula>0.03</formula>
    </cfRule>
    <cfRule type="cellIs" dxfId="1724" priority="914" operator="lessThanOrEqual">
      <formula>-0.03</formula>
    </cfRule>
  </conditionalFormatting>
  <conditionalFormatting sqref="BG95">
    <cfRule type="cellIs" dxfId="1723" priority="907" operator="greaterThanOrEqual">
      <formula>0.03</formula>
    </cfRule>
    <cfRule type="cellIs" dxfId="1722" priority="908" operator="lessThanOrEqual">
      <formula>-0.03</formula>
    </cfRule>
  </conditionalFormatting>
  <conditionalFormatting sqref="BD108:BF112">
    <cfRule type="cellIs" dxfId="1721" priority="979" operator="greaterThanOrEqual">
      <formula>0.03</formula>
    </cfRule>
    <cfRule type="cellIs" dxfId="1720" priority="980" operator="lessThanOrEqual">
      <formula>-0.03</formula>
    </cfRule>
  </conditionalFormatting>
  <conditionalFormatting sqref="BG108:BG112">
    <cfRule type="cellIs" dxfId="1719" priority="977" operator="greaterThanOrEqual">
      <formula>0.03</formula>
    </cfRule>
    <cfRule type="cellIs" dxfId="1718" priority="978" operator="lessThanOrEqual">
      <formula>-0.03</formula>
    </cfRule>
  </conditionalFormatting>
  <conditionalFormatting sqref="BL108:BL112">
    <cfRule type="cellIs" dxfId="1717" priority="981" operator="greaterThanOrEqual">
      <formula>0.03</formula>
    </cfRule>
    <cfRule type="cellIs" dxfId="1716" priority="982" operator="lessThanOrEqual">
      <formula>-0.03</formula>
    </cfRule>
  </conditionalFormatting>
  <conditionalFormatting sqref="BI108:BK112">
    <cfRule type="cellIs" dxfId="1715" priority="975" operator="greaterThanOrEqual">
      <formula>0.03</formula>
    </cfRule>
    <cfRule type="cellIs" dxfId="1714" priority="976" operator="lessThanOrEqual">
      <formula>-0.03</formula>
    </cfRule>
  </conditionalFormatting>
  <conditionalFormatting sqref="AG107:AG112">
    <cfRule type="cellIs" dxfId="1713" priority="973" operator="greaterThanOrEqual">
      <formula>0.03</formula>
    </cfRule>
    <cfRule type="cellIs" dxfId="1712" priority="974" operator="lessThanOrEqual">
      <formula>-0.03</formula>
    </cfRule>
  </conditionalFormatting>
  <conditionalFormatting sqref="BN108:BP112">
    <cfRule type="cellIs" dxfId="1711" priority="969" operator="greaterThanOrEqual">
      <formula>0.03</formula>
    </cfRule>
    <cfRule type="cellIs" dxfId="1710" priority="970" operator="lessThanOrEqual">
      <formula>-0.03</formula>
    </cfRule>
  </conditionalFormatting>
  <conditionalFormatting sqref="BQ108:BQ112">
    <cfRule type="cellIs" dxfId="1709" priority="967" operator="greaterThanOrEqual">
      <formula>0.03</formula>
    </cfRule>
    <cfRule type="cellIs" dxfId="1708" priority="968" operator="lessThanOrEqual">
      <formula>-0.03</formula>
    </cfRule>
  </conditionalFormatting>
  <conditionalFormatting sqref="BV108:BV112">
    <cfRule type="cellIs" dxfId="1707" priority="971" operator="greaterThanOrEqual">
      <formula>0.03</formula>
    </cfRule>
    <cfRule type="cellIs" dxfId="1706" priority="972" operator="lessThanOrEqual">
      <formula>-0.03</formula>
    </cfRule>
  </conditionalFormatting>
  <conditionalFormatting sqref="BS108:BU112">
    <cfRule type="cellIs" dxfId="1705" priority="965" operator="greaterThanOrEqual">
      <formula>0.03</formula>
    </cfRule>
    <cfRule type="cellIs" dxfId="1704" priority="966" operator="lessThanOrEqual">
      <formula>-0.03</formula>
    </cfRule>
  </conditionalFormatting>
  <conditionalFormatting sqref="BX108:BZ112">
    <cfRule type="cellIs" dxfId="1703" priority="961" operator="greaterThanOrEqual">
      <formula>0.03</formula>
    </cfRule>
    <cfRule type="cellIs" dxfId="1702" priority="962" operator="lessThanOrEqual">
      <formula>-0.03</formula>
    </cfRule>
  </conditionalFormatting>
  <conditionalFormatting sqref="CA108:CA112">
    <cfRule type="cellIs" dxfId="1701" priority="959" operator="greaterThanOrEqual">
      <formula>0.03</formula>
    </cfRule>
    <cfRule type="cellIs" dxfId="1700" priority="960" operator="lessThanOrEqual">
      <formula>-0.03</formula>
    </cfRule>
  </conditionalFormatting>
  <conditionalFormatting sqref="CF108:CF112">
    <cfRule type="cellIs" dxfId="1699" priority="963" operator="greaterThanOrEqual">
      <formula>0.03</formula>
    </cfRule>
    <cfRule type="cellIs" dxfId="1698" priority="964" operator="lessThanOrEqual">
      <formula>-0.03</formula>
    </cfRule>
  </conditionalFormatting>
  <conditionalFormatting sqref="CC108:CE112">
    <cfRule type="cellIs" dxfId="1697" priority="957" operator="greaterThanOrEqual">
      <formula>0.03</formula>
    </cfRule>
    <cfRule type="cellIs" dxfId="1696" priority="958" operator="lessThanOrEqual">
      <formula>-0.03</formula>
    </cfRule>
  </conditionalFormatting>
  <conditionalFormatting sqref="BD107:BF107">
    <cfRule type="cellIs" dxfId="1695" priority="955" operator="greaterThanOrEqual">
      <formula>0.03</formula>
    </cfRule>
    <cfRule type="cellIs" dxfId="1694" priority="956" operator="lessThanOrEqual">
      <formula>-0.03</formula>
    </cfRule>
  </conditionalFormatting>
  <conditionalFormatting sqref="BV83">
    <cfRule type="cellIs" dxfId="1693" priority="845" operator="greaterThanOrEqual">
      <formula>0.03</formula>
    </cfRule>
    <cfRule type="cellIs" dxfId="1692" priority="846" operator="lessThanOrEqual">
      <formula>-0.03</formula>
    </cfRule>
  </conditionalFormatting>
  <conditionalFormatting sqref="CC83:CE83">
    <cfRule type="cellIs" dxfId="1691" priority="849" operator="greaterThanOrEqual">
      <formula>0.03</formula>
    </cfRule>
    <cfRule type="cellIs" dxfId="1690" priority="850" operator="lessThanOrEqual">
      <formula>-0.03</formula>
    </cfRule>
  </conditionalFormatting>
  <conditionalFormatting sqref="BI114:BK118">
    <cfRule type="cellIs" dxfId="1689" priority="843" operator="greaterThanOrEqual">
      <formula>0.03</formula>
    </cfRule>
    <cfRule type="cellIs" dxfId="1688" priority="844" operator="lessThanOrEqual">
      <formula>-0.03</formula>
    </cfRule>
  </conditionalFormatting>
  <conditionalFormatting sqref="BD114:BF118">
    <cfRule type="cellIs" dxfId="1687" priority="841" operator="greaterThanOrEqual">
      <formula>0.03</formula>
    </cfRule>
    <cfRule type="cellIs" dxfId="1686" priority="842" operator="lessThanOrEqual">
      <formula>-0.03</formula>
    </cfRule>
  </conditionalFormatting>
  <conditionalFormatting sqref="BL107">
    <cfRule type="cellIs" dxfId="1685" priority="953" operator="greaterThanOrEqual">
      <formula>0.03</formula>
    </cfRule>
    <cfRule type="cellIs" dxfId="1684" priority="954" operator="lessThanOrEqual">
      <formula>-0.03</formula>
    </cfRule>
  </conditionalFormatting>
  <conditionalFormatting sqref="BG107">
    <cfRule type="cellIs" dxfId="1683" priority="951" operator="greaterThanOrEqual">
      <formula>0.03</formula>
    </cfRule>
    <cfRule type="cellIs" dxfId="1682" priority="952" operator="lessThanOrEqual">
      <formula>-0.03</formula>
    </cfRule>
  </conditionalFormatting>
  <conditionalFormatting sqref="BN107:BP107">
    <cfRule type="cellIs" dxfId="1681" priority="947" operator="greaterThanOrEqual">
      <formula>0.03</formula>
    </cfRule>
    <cfRule type="cellIs" dxfId="1680" priority="948" operator="lessThanOrEqual">
      <formula>-0.03</formula>
    </cfRule>
  </conditionalFormatting>
  <conditionalFormatting sqref="BS107:BU107">
    <cfRule type="cellIs" dxfId="1679" priority="945" operator="greaterThanOrEqual">
      <formula>0.03</formula>
    </cfRule>
    <cfRule type="cellIs" dxfId="1678" priority="946" operator="lessThanOrEqual">
      <formula>-0.03</formula>
    </cfRule>
  </conditionalFormatting>
  <conditionalFormatting sqref="BI107:BK107">
    <cfRule type="cellIs" dxfId="1677" priority="949" operator="greaterThanOrEqual">
      <formula>0.03</formula>
    </cfRule>
    <cfRule type="cellIs" dxfId="1676" priority="950" operator="lessThanOrEqual">
      <formula>-0.03</formula>
    </cfRule>
  </conditionalFormatting>
  <conditionalFormatting sqref="CF107">
    <cfRule type="cellIs" dxfId="1675" priority="943" operator="greaterThanOrEqual">
      <formula>0.03</formula>
    </cfRule>
    <cfRule type="cellIs" dxfId="1674" priority="944" operator="lessThanOrEqual">
      <formula>-0.03</formula>
    </cfRule>
  </conditionalFormatting>
  <conditionalFormatting sqref="BV107">
    <cfRule type="cellIs" dxfId="1673" priority="933" operator="greaterThanOrEqual">
      <formula>0.03</formula>
    </cfRule>
    <cfRule type="cellIs" dxfId="1672" priority="934" operator="lessThanOrEqual">
      <formula>-0.03</formula>
    </cfRule>
  </conditionalFormatting>
  <conditionalFormatting sqref="BQ107">
    <cfRule type="cellIs" dxfId="1671" priority="935" operator="greaterThanOrEqual">
      <formula>0.03</formula>
    </cfRule>
    <cfRule type="cellIs" dxfId="1670" priority="936" operator="lessThanOrEqual">
      <formula>-0.03</formula>
    </cfRule>
  </conditionalFormatting>
  <conditionalFormatting sqref="BN101:BP101">
    <cfRule type="cellIs" dxfId="1669" priority="925" operator="greaterThanOrEqual">
      <formula>0.03</formula>
    </cfRule>
    <cfRule type="cellIs" dxfId="1668" priority="926" operator="lessThanOrEqual">
      <formula>-0.03</formula>
    </cfRule>
  </conditionalFormatting>
  <conditionalFormatting sqref="BG101">
    <cfRule type="cellIs" dxfId="1667" priority="929" operator="greaterThanOrEqual">
      <formula>0.03</formula>
    </cfRule>
    <cfRule type="cellIs" dxfId="1666" priority="930" operator="lessThanOrEqual">
      <formula>-0.03</formula>
    </cfRule>
  </conditionalFormatting>
  <conditionalFormatting sqref="BS101:BU101">
    <cfRule type="cellIs" dxfId="1665" priority="923" operator="greaterThanOrEqual">
      <formula>0.03</formula>
    </cfRule>
    <cfRule type="cellIs" dxfId="1664" priority="924" operator="lessThanOrEqual">
      <formula>-0.03</formula>
    </cfRule>
  </conditionalFormatting>
  <conditionalFormatting sqref="BI95:BK95">
    <cfRule type="cellIs" dxfId="1663" priority="905" operator="greaterThanOrEqual">
      <formula>0.03</formula>
    </cfRule>
    <cfRule type="cellIs" dxfId="1662" priority="906" operator="lessThanOrEqual">
      <formula>-0.03</formula>
    </cfRule>
  </conditionalFormatting>
  <conditionalFormatting sqref="BS95:BU95">
    <cfRule type="cellIs" dxfId="1661" priority="901" operator="greaterThanOrEqual">
      <formula>0.03</formula>
    </cfRule>
    <cfRule type="cellIs" dxfId="1660" priority="902" operator="lessThanOrEqual">
      <formula>-0.03</formula>
    </cfRule>
  </conditionalFormatting>
  <conditionalFormatting sqref="CF95">
    <cfRule type="cellIs" dxfId="1659" priority="899" operator="greaterThanOrEqual">
      <formula>0.03</formula>
    </cfRule>
    <cfRule type="cellIs" dxfId="1658" priority="900" operator="lessThanOrEqual">
      <formula>-0.03</formula>
    </cfRule>
  </conditionalFormatting>
  <conditionalFormatting sqref="BN95:BP95">
    <cfRule type="cellIs" dxfId="1657" priority="903" operator="greaterThanOrEqual">
      <formula>0.03</formula>
    </cfRule>
    <cfRule type="cellIs" dxfId="1656" priority="904" operator="lessThanOrEqual">
      <formula>-0.03</formula>
    </cfRule>
  </conditionalFormatting>
  <conditionalFormatting sqref="BX95:BZ95">
    <cfRule type="cellIs" dxfId="1655" priority="897" operator="greaterThanOrEqual">
      <formula>0.03</formula>
    </cfRule>
    <cfRule type="cellIs" dxfId="1654" priority="898" operator="lessThanOrEqual">
      <formula>-0.03</formula>
    </cfRule>
  </conditionalFormatting>
  <conditionalFormatting sqref="CC95:CE95">
    <cfRule type="cellIs" dxfId="1653" priority="893" operator="greaterThanOrEqual">
      <formula>0.03</formula>
    </cfRule>
    <cfRule type="cellIs" dxfId="1652" priority="894" operator="lessThanOrEqual">
      <formula>-0.03</formula>
    </cfRule>
  </conditionalFormatting>
  <conditionalFormatting sqref="BQ95">
    <cfRule type="cellIs" dxfId="1651" priority="891" operator="greaterThanOrEqual">
      <formula>0.03</formula>
    </cfRule>
    <cfRule type="cellIs" dxfId="1650" priority="892" operator="lessThanOrEqual">
      <formula>-0.03</formula>
    </cfRule>
  </conditionalFormatting>
  <conditionalFormatting sqref="CA95">
    <cfRule type="cellIs" dxfId="1649" priority="895" operator="greaterThanOrEqual">
      <formula>0.03</formula>
    </cfRule>
    <cfRule type="cellIs" dxfId="1648" priority="896" operator="lessThanOrEqual">
      <formula>-0.03</formula>
    </cfRule>
  </conditionalFormatting>
  <conditionalFormatting sqref="BV95">
    <cfRule type="cellIs" dxfId="1647" priority="889" operator="greaterThanOrEqual">
      <formula>0.03</formula>
    </cfRule>
    <cfRule type="cellIs" dxfId="1646" priority="890" operator="lessThanOrEqual">
      <formula>-0.03</formula>
    </cfRule>
  </conditionalFormatting>
  <conditionalFormatting sqref="BG89">
    <cfRule type="cellIs" dxfId="1645" priority="885" operator="greaterThanOrEqual">
      <formula>0.03</formula>
    </cfRule>
    <cfRule type="cellIs" dxfId="1644" priority="886" operator="lessThanOrEqual">
      <formula>-0.03</formula>
    </cfRule>
  </conditionalFormatting>
  <conditionalFormatting sqref="BI89:BK89">
    <cfRule type="cellIs" dxfId="1643" priority="883" operator="greaterThanOrEqual">
      <formula>0.03</formula>
    </cfRule>
    <cfRule type="cellIs" dxfId="1642" priority="884" operator="lessThanOrEqual">
      <formula>-0.03</formula>
    </cfRule>
  </conditionalFormatting>
  <conditionalFormatting sqref="BL89">
    <cfRule type="cellIs" dxfId="1641" priority="887" operator="greaterThanOrEqual">
      <formula>0.03</formula>
    </cfRule>
    <cfRule type="cellIs" dxfId="1640" priority="888" operator="lessThanOrEqual">
      <formula>-0.03</formula>
    </cfRule>
  </conditionalFormatting>
  <conditionalFormatting sqref="BN89:BP89">
    <cfRule type="cellIs" dxfId="1639" priority="881" operator="greaterThanOrEqual">
      <formula>0.03</formula>
    </cfRule>
    <cfRule type="cellIs" dxfId="1638" priority="882" operator="lessThanOrEqual">
      <formula>-0.03</formula>
    </cfRule>
  </conditionalFormatting>
  <conditionalFormatting sqref="CF89">
    <cfRule type="cellIs" dxfId="1637" priority="877" operator="greaterThanOrEqual">
      <formula>0.03</formula>
    </cfRule>
    <cfRule type="cellIs" dxfId="1636" priority="878" operator="lessThanOrEqual">
      <formula>-0.03</formula>
    </cfRule>
  </conditionalFormatting>
  <conditionalFormatting sqref="CF83">
    <cfRule type="cellIs" dxfId="1635" priority="855" operator="greaterThanOrEqual">
      <formula>0.03</formula>
    </cfRule>
    <cfRule type="cellIs" dxfId="1634" priority="856" operator="lessThanOrEqual">
      <formula>-0.03</formula>
    </cfRule>
  </conditionalFormatting>
  <conditionalFormatting sqref="BI83:BK83">
    <cfRule type="cellIs" dxfId="1633" priority="861" operator="greaterThanOrEqual">
      <formula>0.03</formula>
    </cfRule>
    <cfRule type="cellIs" dxfId="1632" priority="862" operator="lessThanOrEqual">
      <formula>-0.03</formula>
    </cfRule>
  </conditionalFormatting>
  <conditionalFormatting sqref="CA89">
    <cfRule type="cellIs" dxfId="1631" priority="873" operator="greaterThanOrEqual">
      <formula>0.03</formula>
    </cfRule>
    <cfRule type="cellIs" dxfId="1630" priority="874" operator="lessThanOrEqual">
      <formula>-0.03</formula>
    </cfRule>
  </conditionalFormatting>
  <conditionalFormatting sqref="BQ89">
    <cfRule type="cellIs" dxfId="1629" priority="869" operator="greaterThanOrEqual">
      <formula>0.03</formula>
    </cfRule>
    <cfRule type="cellIs" dxfId="1628" priority="870" operator="lessThanOrEqual">
      <formula>-0.03</formula>
    </cfRule>
  </conditionalFormatting>
  <conditionalFormatting sqref="BV89">
    <cfRule type="cellIs" dxfId="1627" priority="867" operator="greaterThanOrEqual">
      <formula>0.03</formula>
    </cfRule>
    <cfRule type="cellIs" dxfId="1626" priority="868" operator="lessThanOrEqual">
      <formula>-0.03</formula>
    </cfRule>
  </conditionalFormatting>
  <conditionalFormatting sqref="CC89:CE89">
    <cfRule type="cellIs" dxfId="1625" priority="871" operator="greaterThanOrEqual">
      <formula>0.03</formula>
    </cfRule>
    <cfRule type="cellIs" dxfId="1624" priority="872" operator="lessThanOrEqual">
      <formula>-0.03</formula>
    </cfRule>
  </conditionalFormatting>
  <conditionalFormatting sqref="BL83">
    <cfRule type="cellIs" dxfId="1623" priority="865" operator="greaterThanOrEqual">
      <formula>0.03</formula>
    </cfRule>
    <cfRule type="cellIs" dxfId="1622" priority="866" operator="lessThanOrEqual">
      <formula>-0.03</formula>
    </cfRule>
  </conditionalFormatting>
  <conditionalFormatting sqref="BG83">
    <cfRule type="cellIs" dxfId="1621" priority="863" operator="greaterThanOrEqual">
      <formula>0.03</formula>
    </cfRule>
    <cfRule type="cellIs" dxfId="1620" priority="864" operator="lessThanOrEqual">
      <formula>-0.03</formula>
    </cfRule>
  </conditionalFormatting>
  <conditionalFormatting sqref="BS83:BU83">
    <cfRule type="cellIs" dxfId="1619" priority="857" operator="greaterThanOrEqual">
      <formula>0.03</formula>
    </cfRule>
    <cfRule type="cellIs" dxfId="1618" priority="858" operator="lessThanOrEqual">
      <formula>-0.03</formula>
    </cfRule>
  </conditionalFormatting>
  <conditionalFormatting sqref="BN83:BP83">
    <cfRule type="cellIs" dxfId="1617" priority="859" operator="greaterThanOrEqual">
      <formula>0.03</formula>
    </cfRule>
    <cfRule type="cellIs" dxfId="1616" priority="860" operator="lessThanOrEqual">
      <formula>-0.03</formula>
    </cfRule>
  </conditionalFormatting>
  <conditionalFormatting sqref="BX83:BZ83">
    <cfRule type="cellIs" dxfId="1615" priority="853" operator="greaterThanOrEqual">
      <formula>0.03</formula>
    </cfRule>
    <cfRule type="cellIs" dxfId="1614" priority="854" operator="lessThanOrEqual">
      <formula>-0.03</formula>
    </cfRule>
  </conditionalFormatting>
  <conditionalFormatting sqref="CA83">
    <cfRule type="cellIs" dxfId="1613" priority="851" operator="greaterThanOrEqual">
      <formula>0.03</formula>
    </cfRule>
    <cfRule type="cellIs" dxfId="1612" priority="852" operator="lessThanOrEqual">
      <formula>-0.03</formula>
    </cfRule>
  </conditionalFormatting>
  <conditionalFormatting sqref="BQ83">
    <cfRule type="cellIs" dxfId="1611" priority="847" operator="greaterThanOrEqual">
      <formula>0.03</formula>
    </cfRule>
    <cfRule type="cellIs" dxfId="1610" priority="848" operator="lessThanOrEqual">
      <formula>-0.03</formula>
    </cfRule>
  </conditionalFormatting>
  <conditionalFormatting sqref="BX107:BZ107">
    <cfRule type="cellIs" dxfId="1609" priority="941" operator="greaterThanOrEqual">
      <formula>0.03</formula>
    </cfRule>
    <cfRule type="cellIs" dxfId="1608" priority="942" operator="lessThanOrEqual">
      <formula>-0.03</formula>
    </cfRule>
  </conditionalFormatting>
  <conditionalFormatting sqref="CA107">
    <cfRule type="cellIs" dxfId="1607" priority="939" operator="greaterThanOrEqual">
      <formula>0.03</formula>
    </cfRule>
    <cfRule type="cellIs" dxfId="1606" priority="940" operator="lessThanOrEqual">
      <formula>-0.03</formula>
    </cfRule>
  </conditionalFormatting>
  <conditionalFormatting sqref="CC107:CE107">
    <cfRule type="cellIs" dxfId="1605" priority="937" operator="greaterThanOrEqual">
      <formula>0.03</formula>
    </cfRule>
    <cfRule type="cellIs" dxfId="1604" priority="938" operator="lessThanOrEqual">
      <formula>-0.03</formula>
    </cfRule>
  </conditionalFormatting>
  <conditionalFormatting sqref="BL132:BL136">
    <cfRule type="cellIs" dxfId="1603" priority="801" operator="greaterThanOrEqual">
      <formula>0.03</formula>
    </cfRule>
    <cfRule type="cellIs" dxfId="1602" priority="802" operator="lessThanOrEqual">
      <formula>-0.03</formula>
    </cfRule>
  </conditionalFormatting>
  <conditionalFormatting sqref="BV114:BV118">
    <cfRule type="cellIs" dxfId="1601" priority="781" operator="greaterThanOrEqual">
      <formula>0.03</formula>
    </cfRule>
    <cfRule type="cellIs" dxfId="1600" priority="782" operator="lessThanOrEqual">
      <formula>-0.03</formula>
    </cfRule>
  </conditionalFormatting>
  <conditionalFormatting sqref="BD113:BF113">
    <cfRule type="cellIs" dxfId="1599" priority="837" operator="greaterThanOrEqual">
      <formula>0.03</formula>
    </cfRule>
    <cfRule type="cellIs" dxfId="1598" priority="838" operator="lessThanOrEqual">
      <formula>-0.03</formula>
    </cfRule>
  </conditionalFormatting>
  <conditionalFormatting sqref="BG113">
    <cfRule type="cellIs" dxfId="1597" priority="829" operator="greaterThanOrEqual">
      <formula>0.03</formula>
    </cfRule>
    <cfRule type="cellIs" dxfId="1596" priority="830" operator="lessThanOrEqual">
      <formula>-0.03</formula>
    </cfRule>
  </conditionalFormatting>
  <conditionalFormatting sqref="BD120:BF124">
    <cfRule type="cellIs" dxfId="1595" priority="827" operator="greaterThanOrEqual">
      <formula>0.03</formula>
    </cfRule>
    <cfRule type="cellIs" dxfId="1594" priority="828" operator="lessThanOrEqual">
      <formula>-0.03</formula>
    </cfRule>
  </conditionalFormatting>
  <conditionalFormatting sqref="BL101">
    <cfRule type="cellIs" dxfId="1593" priority="931" operator="greaterThanOrEqual">
      <formula>0.03</formula>
    </cfRule>
    <cfRule type="cellIs" dxfId="1592" priority="932" operator="lessThanOrEqual">
      <formula>-0.03</formula>
    </cfRule>
  </conditionalFormatting>
  <conditionalFormatting sqref="BI101:BK101">
    <cfRule type="cellIs" dxfId="1591" priority="927" operator="greaterThanOrEqual">
      <formula>0.03</formula>
    </cfRule>
    <cfRule type="cellIs" dxfId="1590" priority="928" operator="lessThanOrEqual">
      <formula>-0.03</formula>
    </cfRule>
  </conditionalFormatting>
  <conditionalFormatting sqref="BS89:BU89">
    <cfRule type="cellIs" dxfId="1589" priority="879" operator="greaterThanOrEqual">
      <formula>0.03</formula>
    </cfRule>
    <cfRule type="cellIs" dxfId="1588" priority="880" operator="lessThanOrEqual">
      <formula>-0.03</formula>
    </cfRule>
  </conditionalFormatting>
  <conditionalFormatting sqref="BX89:BZ89">
    <cfRule type="cellIs" dxfId="1587" priority="875" operator="greaterThanOrEqual">
      <formula>0.03</formula>
    </cfRule>
    <cfRule type="cellIs" dxfId="1586" priority="876" operator="lessThanOrEqual">
      <formula>-0.03</formula>
    </cfRule>
  </conditionalFormatting>
  <conditionalFormatting sqref="BI132:BK136">
    <cfRule type="cellIs" dxfId="1585" priority="803" operator="greaterThanOrEqual">
      <formula>0.03</formula>
    </cfRule>
    <cfRule type="cellIs" dxfId="1584" priority="804" operator="lessThanOrEqual">
      <formula>-0.03</formula>
    </cfRule>
  </conditionalFormatting>
  <conditionalFormatting sqref="AH131:AH136">
    <cfRule type="cellIs" dxfId="1583" priority="833" operator="greaterThanOrEqual">
      <formula>0.03</formula>
    </cfRule>
    <cfRule type="cellIs" dxfId="1582" priority="834" operator="lessThanOrEqual">
      <formula>-0.03</formula>
    </cfRule>
  </conditionalFormatting>
  <conditionalFormatting sqref="BL126:BL130">
    <cfRule type="cellIs" dxfId="1581" priority="805" operator="greaterThanOrEqual">
      <formula>0.03</formula>
    </cfRule>
    <cfRule type="cellIs" dxfId="1580" priority="806" operator="lessThanOrEqual">
      <formula>-0.03</formula>
    </cfRule>
  </conditionalFormatting>
  <conditionalFormatting sqref="BL113">
    <cfRule type="cellIs" dxfId="1579" priority="813" operator="greaterThanOrEqual">
      <formula>0.03</formula>
    </cfRule>
    <cfRule type="cellIs" dxfId="1578" priority="814" operator="lessThanOrEqual">
      <formula>-0.03</formula>
    </cfRule>
  </conditionalFormatting>
  <conditionalFormatting sqref="CC120:CE124">
    <cfRule type="cellIs" dxfId="1577" priority="755" operator="greaterThanOrEqual">
      <formula>0.03</formula>
    </cfRule>
    <cfRule type="cellIs" dxfId="1576" priority="756" operator="lessThanOrEqual">
      <formula>-0.03</formula>
    </cfRule>
  </conditionalFormatting>
  <conditionalFormatting sqref="BG120:BG124">
    <cfRule type="cellIs" dxfId="1575" priority="825" operator="greaterThanOrEqual">
      <formula>0.03</formula>
    </cfRule>
    <cfRule type="cellIs" dxfId="1574" priority="826" operator="lessThanOrEqual">
      <formula>-0.03</formula>
    </cfRule>
  </conditionalFormatting>
  <conditionalFormatting sqref="BD132:BF136">
    <cfRule type="cellIs" dxfId="1573" priority="819" operator="greaterThanOrEqual">
      <formula>0.03</formula>
    </cfRule>
    <cfRule type="cellIs" dxfId="1572" priority="820" operator="lessThanOrEqual">
      <formula>-0.03</formula>
    </cfRule>
  </conditionalFormatting>
  <conditionalFormatting sqref="CA114:CA118">
    <cfRule type="cellIs" dxfId="1571" priority="761" operator="greaterThanOrEqual">
      <formula>0.03</formula>
    </cfRule>
    <cfRule type="cellIs" dxfId="1570" priority="762" operator="lessThanOrEqual">
      <formula>-0.03</formula>
    </cfRule>
  </conditionalFormatting>
  <conditionalFormatting sqref="AH113:AH130">
    <cfRule type="cellIs" dxfId="1569" priority="835" operator="greaterThanOrEqual">
      <formula>0.03</formula>
    </cfRule>
    <cfRule type="cellIs" dxfId="1568" priority="836" operator="lessThanOrEqual">
      <formula>-0.03</formula>
    </cfRule>
  </conditionalFormatting>
  <conditionalFormatting sqref="BI113:BK113">
    <cfRule type="cellIs" dxfId="1567" priority="839" operator="greaterThanOrEqual">
      <formula>0.03</formula>
    </cfRule>
    <cfRule type="cellIs" dxfId="1566" priority="840" operator="lessThanOrEqual">
      <formula>-0.03</formula>
    </cfRule>
  </conditionalFormatting>
  <conditionalFormatting sqref="BL114:BL118">
    <cfRule type="cellIs" dxfId="1565" priority="815" operator="greaterThanOrEqual">
      <formula>0.03</formula>
    </cfRule>
    <cfRule type="cellIs" dxfId="1564" priority="816" operator="lessThanOrEqual">
      <formula>-0.03</formula>
    </cfRule>
  </conditionalFormatting>
  <conditionalFormatting sqref="BI120:BK124">
    <cfRule type="cellIs" dxfId="1563" priority="811" operator="greaterThanOrEqual">
      <formula>0.03</formula>
    </cfRule>
    <cfRule type="cellIs" dxfId="1562" priority="812" operator="lessThanOrEqual">
      <formula>-0.03</formula>
    </cfRule>
  </conditionalFormatting>
  <conditionalFormatting sqref="BD126:BF130">
    <cfRule type="cellIs" dxfId="1561" priority="823" operator="greaterThanOrEqual">
      <formula>0.03</formula>
    </cfRule>
    <cfRule type="cellIs" dxfId="1560" priority="824" operator="lessThanOrEqual">
      <formula>-0.03</formula>
    </cfRule>
  </conditionalFormatting>
  <conditionalFormatting sqref="BG114:BG118">
    <cfRule type="cellIs" dxfId="1559" priority="831" operator="greaterThanOrEqual">
      <formula>0.03</formula>
    </cfRule>
    <cfRule type="cellIs" dxfId="1558" priority="832" operator="lessThanOrEqual">
      <formula>-0.03</formula>
    </cfRule>
  </conditionalFormatting>
  <conditionalFormatting sqref="BG126:BG130">
    <cfRule type="cellIs" dxfId="1557" priority="821" operator="greaterThanOrEqual">
      <formula>0.03</formula>
    </cfRule>
    <cfRule type="cellIs" dxfId="1556" priority="822" operator="lessThanOrEqual">
      <formula>-0.03</formula>
    </cfRule>
  </conditionalFormatting>
  <conditionalFormatting sqref="BG132:BG136">
    <cfRule type="cellIs" dxfId="1555" priority="817" operator="greaterThanOrEqual">
      <formula>0.03</formula>
    </cfRule>
    <cfRule type="cellIs" dxfId="1554" priority="818" operator="lessThanOrEqual">
      <formula>-0.03</formula>
    </cfRule>
  </conditionalFormatting>
  <conditionalFormatting sqref="BL120:BL124">
    <cfRule type="cellIs" dxfId="1553" priority="809" operator="greaterThanOrEqual">
      <formula>0.03</formula>
    </cfRule>
    <cfRule type="cellIs" dxfId="1552" priority="810" operator="lessThanOrEqual">
      <formula>-0.03</formula>
    </cfRule>
  </conditionalFormatting>
  <conditionalFormatting sqref="BI126:BK130">
    <cfRule type="cellIs" dxfId="1551" priority="807" operator="greaterThanOrEqual">
      <formula>0.03</formula>
    </cfRule>
    <cfRule type="cellIs" dxfId="1550" priority="808" operator="lessThanOrEqual">
      <formula>-0.03</formula>
    </cfRule>
  </conditionalFormatting>
  <conditionalFormatting sqref="BQ126:BQ130">
    <cfRule type="cellIs" dxfId="1549" priority="793" operator="greaterThanOrEqual">
      <formula>0.03</formula>
    </cfRule>
    <cfRule type="cellIs" dxfId="1548" priority="794" operator="lessThanOrEqual">
      <formula>-0.03</formula>
    </cfRule>
  </conditionalFormatting>
  <conditionalFormatting sqref="CA126:CA130">
    <cfRule type="cellIs" dxfId="1547" priority="741" operator="greaterThanOrEqual">
      <formula>0.03</formula>
    </cfRule>
    <cfRule type="cellIs" dxfId="1546" priority="742" operator="lessThanOrEqual">
      <formula>-0.03</formula>
    </cfRule>
  </conditionalFormatting>
  <conditionalFormatting sqref="BN120:BP124">
    <cfRule type="cellIs" dxfId="1545" priority="799" operator="greaterThanOrEqual">
      <formula>0.03</formula>
    </cfRule>
    <cfRule type="cellIs" dxfId="1544" priority="800" operator="lessThanOrEqual">
      <formula>-0.03</formula>
    </cfRule>
  </conditionalFormatting>
  <conditionalFormatting sqref="CF119">
    <cfRule type="cellIs" dxfId="1543" priority="747" operator="greaterThanOrEqual">
      <formula>0.03</formula>
    </cfRule>
    <cfRule type="cellIs" dxfId="1542" priority="748" operator="lessThanOrEqual">
      <formula>-0.03</formula>
    </cfRule>
  </conditionalFormatting>
  <conditionalFormatting sqref="BQ120:BQ124">
    <cfRule type="cellIs" dxfId="1541" priority="797" operator="greaterThanOrEqual">
      <formula>0.03</formula>
    </cfRule>
    <cfRule type="cellIs" dxfId="1540" priority="798" operator="lessThanOrEqual">
      <formula>-0.03</formula>
    </cfRule>
  </conditionalFormatting>
  <conditionalFormatting sqref="BN126:BP130">
    <cfRule type="cellIs" dxfId="1539" priority="795" operator="greaterThanOrEqual">
      <formula>0.03</formula>
    </cfRule>
    <cfRule type="cellIs" dxfId="1538" priority="796" operator="lessThanOrEqual">
      <formula>-0.03</formula>
    </cfRule>
  </conditionalFormatting>
  <conditionalFormatting sqref="BN132:BP136">
    <cfRule type="cellIs" dxfId="1537" priority="791" operator="greaterThanOrEqual">
      <formula>0.03</formula>
    </cfRule>
    <cfRule type="cellIs" dxfId="1536" priority="792" operator="lessThanOrEqual">
      <formula>-0.03</formula>
    </cfRule>
  </conditionalFormatting>
  <conditionalFormatting sqref="BQ132:BQ136">
    <cfRule type="cellIs" dxfId="1535" priority="789" operator="greaterThanOrEqual">
      <formula>0.03</formula>
    </cfRule>
    <cfRule type="cellIs" dxfId="1534" priority="790" operator="lessThanOrEqual">
      <formula>-0.03</formula>
    </cfRule>
  </conditionalFormatting>
  <conditionalFormatting sqref="BS114:BU118">
    <cfRule type="cellIs" dxfId="1533" priority="787" operator="greaterThanOrEqual">
      <formula>0.03</formula>
    </cfRule>
    <cfRule type="cellIs" dxfId="1532" priority="788" operator="lessThanOrEqual">
      <formula>-0.03</formula>
    </cfRule>
  </conditionalFormatting>
  <conditionalFormatting sqref="BN114:BP118">
    <cfRule type="cellIs" dxfId="1531" priority="785" operator="greaterThanOrEqual">
      <formula>0.03</formula>
    </cfRule>
    <cfRule type="cellIs" dxfId="1530" priority="786" operator="lessThanOrEqual">
      <formula>-0.03</formula>
    </cfRule>
  </conditionalFormatting>
  <conditionalFormatting sqref="BQ114:BQ118">
    <cfRule type="cellIs" dxfId="1529" priority="783" operator="greaterThanOrEqual">
      <formula>0.03</formula>
    </cfRule>
    <cfRule type="cellIs" dxfId="1528" priority="784" operator="lessThanOrEqual">
      <formula>-0.03</formula>
    </cfRule>
  </conditionalFormatting>
  <conditionalFormatting sqref="BV113">
    <cfRule type="cellIs" dxfId="1527" priority="779" operator="greaterThanOrEqual">
      <formula>0.03</formula>
    </cfRule>
    <cfRule type="cellIs" dxfId="1526" priority="780" operator="lessThanOrEqual">
      <formula>-0.03</formula>
    </cfRule>
  </conditionalFormatting>
  <conditionalFormatting sqref="BS120:BU124">
    <cfRule type="cellIs" dxfId="1525" priority="777" operator="greaterThanOrEqual">
      <formula>0.03</formula>
    </cfRule>
    <cfRule type="cellIs" dxfId="1524" priority="778" operator="lessThanOrEqual">
      <formula>-0.03</formula>
    </cfRule>
  </conditionalFormatting>
  <conditionalFormatting sqref="BV120:BV124">
    <cfRule type="cellIs" dxfId="1523" priority="775" operator="greaterThanOrEqual">
      <formula>0.03</formula>
    </cfRule>
    <cfRule type="cellIs" dxfId="1522" priority="776" operator="lessThanOrEqual">
      <formula>-0.03</formula>
    </cfRule>
  </conditionalFormatting>
  <conditionalFormatting sqref="BS126:BU130">
    <cfRule type="cellIs" dxfId="1521" priority="773" operator="greaterThanOrEqual">
      <formula>0.03</formula>
    </cfRule>
    <cfRule type="cellIs" dxfId="1520" priority="774" operator="lessThanOrEqual">
      <formula>-0.03</formula>
    </cfRule>
  </conditionalFormatting>
  <conditionalFormatting sqref="BV126:BV130">
    <cfRule type="cellIs" dxfId="1519" priority="771" operator="greaterThanOrEqual">
      <formula>0.03</formula>
    </cfRule>
    <cfRule type="cellIs" dxfId="1518" priority="772" operator="lessThanOrEqual">
      <formula>-0.03</formula>
    </cfRule>
  </conditionalFormatting>
  <conditionalFormatting sqref="BS132:BU136">
    <cfRule type="cellIs" dxfId="1517" priority="769" operator="greaterThanOrEqual">
      <formula>0.03</formula>
    </cfRule>
    <cfRule type="cellIs" dxfId="1516" priority="770" operator="lessThanOrEqual">
      <formula>-0.03</formula>
    </cfRule>
  </conditionalFormatting>
  <conditionalFormatting sqref="BV132:BV136">
    <cfRule type="cellIs" dxfId="1515" priority="767" operator="greaterThanOrEqual">
      <formula>0.03</formula>
    </cfRule>
    <cfRule type="cellIs" dxfId="1514" priority="768" operator="lessThanOrEqual">
      <formula>-0.03</formula>
    </cfRule>
  </conditionalFormatting>
  <conditionalFormatting sqref="CA113">
    <cfRule type="cellIs" dxfId="1513" priority="715" operator="greaterThanOrEqual">
      <formula>0.03</formula>
    </cfRule>
    <cfRule type="cellIs" dxfId="1512" priority="716" operator="lessThanOrEqual">
      <formula>-0.03</formula>
    </cfRule>
  </conditionalFormatting>
  <conditionalFormatting sqref="BX120:BZ124">
    <cfRule type="cellIs" dxfId="1511" priority="753" operator="greaterThanOrEqual">
      <formula>0.03</formula>
    </cfRule>
    <cfRule type="cellIs" dxfId="1510" priority="754" operator="lessThanOrEqual">
      <formula>-0.03</formula>
    </cfRule>
  </conditionalFormatting>
  <conditionalFormatting sqref="CC114:CE118">
    <cfRule type="cellIs" dxfId="1509" priority="765" operator="greaterThanOrEqual">
      <formula>0.03</formula>
    </cfRule>
    <cfRule type="cellIs" dxfId="1508" priority="766" operator="lessThanOrEqual">
      <formula>-0.03</formula>
    </cfRule>
  </conditionalFormatting>
  <conditionalFormatting sqref="BX114:BZ118">
    <cfRule type="cellIs" dxfId="1507" priority="763" operator="greaterThanOrEqual">
      <formula>0.03</formula>
    </cfRule>
    <cfRule type="cellIs" dxfId="1506" priority="764" operator="lessThanOrEqual">
      <formula>-0.03</formula>
    </cfRule>
  </conditionalFormatting>
  <conditionalFormatting sqref="CF114:CF118">
    <cfRule type="cellIs" dxfId="1505" priority="759" operator="greaterThanOrEqual">
      <formula>0.03</formula>
    </cfRule>
    <cfRule type="cellIs" dxfId="1504" priority="760" operator="lessThanOrEqual">
      <formula>-0.03</formula>
    </cfRule>
  </conditionalFormatting>
  <conditionalFormatting sqref="CF113">
    <cfRule type="cellIs" dxfId="1503" priority="757" operator="greaterThanOrEqual">
      <formula>0.03</formula>
    </cfRule>
    <cfRule type="cellIs" dxfId="1502" priority="758" operator="lessThanOrEqual">
      <formula>-0.03</formula>
    </cfRule>
  </conditionalFormatting>
  <conditionalFormatting sqref="CA120:CA124">
    <cfRule type="cellIs" dxfId="1501" priority="751" operator="greaterThanOrEqual">
      <formula>0.03</formula>
    </cfRule>
    <cfRule type="cellIs" dxfId="1500" priority="752" operator="lessThanOrEqual">
      <formula>-0.03</formula>
    </cfRule>
  </conditionalFormatting>
  <conditionalFormatting sqref="CF120:CF124">
    <cfRule type="cellIs" dxfId="1499" priority="749" operator="greaterThanOrEqual">
      <formula>0.03</formula>
    </cfRule>
    <cfRule type="cellIs" dxfId="1498" priority="750" operator="lessThanOrEqual">
      <formula>-0.03</formula>
    </cfRule>
  </conditionalFormatting>
  <conditionalFormatting sqref="CC126:CE130">
    <cfRule type="cellIs" dxfId="1497" priority="745" operator="greaterThanOrEqual">
      <formula>0.03</formula>
    </cfRule>
    <cfRule type="cellIs" dxfId="1496" priority="746" operator="lessThanOrEqual">
      <formula>-0.03</formula>
    </cfRule>
  </conditionalFormatting>
  <conditionalFormatting sqref="BX126:BZ130">
    <cfRule type="cellIs" dxfId="1495" priority="743" operator="greaterThanOrEqual">
      <formula>0.03</formula>
    </cfRule>
    <cfRule type="cellIs" dxfId="1494" priority="744" operator="lessThanOrEqual">
      <formula>-0.03</formula>
    </cfRule>
  </conditionalFormatting>
  <conditionalFormatting sqref="CF126:CF130">
    <cfRule type="cellIs" dxfId="1493" priority="739" operator="greaterThanOrEqual">
      <formula>0.03</formula>
    </cfRule>
    <cfRule type="cellIs" dxfId="1492" priority="740" operator="lessThanOrEqual">
      <formula>-0.03</formula>
    </cfRule>
  </conditionalFormatting>
  <conditionalFormatting sqref="CF125">
    <cfRule type="cellIs" dxfId="1491" priority="737" operator="greaterThanOrEqual">
      <formula>0.03</formula>
    </cfRule>
    <cfRule type="cellIs" dxfId="1490" priority="738" operator="lessThanOrEqual">
      <formula>-0.03</formula>
    </cfRule>
  </conditionalFormatting>
  <conditionalFormatting sqref="CC132:CE136">
    <cfRule type="cellIs" dxfId="1489" priority="735" operator="greaterThanOrEqual">
      <formula>0.03</formula>
    </cfRule>
    <cfRule type="cellIs" dxfId="1488" priority="736" operator="lessThanOrEqual">
      <formula>-0.03</formula>
    </cfRule>
  </conditionalFormatting>
  <conditionalFormatting sqref="BX132:BZ136">
    <cfRule type="cellIs" dxfId="1487" priority="733" operator="greaterThanOrEqual">
      <formula>0.03</formula>
    </cfRule>
    <cfRule type="cellIs" dxfId="1486" priority="734" operator="lessThanOrEqual">
      <formula>-0.03</formula>
    </cfRule>
  </conditionalFormatting>
  <conditionalFormatting sqref="CA132:CA136">
    <cfRule type="cellIs" dxfId="1485" priority="731" operator="greaterThanOrEqual">
      <formula>0.03</formula>
    </cfRule>
    <cfRule type="cellIs" dxfId="1484" priority="732" operator="lessThanOrEqual">
      <formula>-0.03</formula>
    </cfRule>
  </conditionalFormatting>
  <conditionalFormatting sqref="CF132:CF136">
    <cfRule type="cellIs" dxfId="1483" priority="729" operator="greaterThanOrEqual">
      <formula>0.03</formula>
    </cfRule>
    <cfRule type="cellIs" dxfId="1482" priority="730" operator="lessThanOrEqual">
      <formula>-0.03</formula>
    </cfRule>
  </conditionalFormatting>
  <conditionalFormatting sqref="CF131">
    <cfRule type="cellIs" dxfId="1481" priority="727" operator="greaterThanOrEqual">
      <formula>0.03</formula>
    </cfRule>
    <cfRule type="cellIs" dxfId="1480" priority="728" operator="lessThanOrEqual">
      <formula>-0.03</formula>
    </cfRule>
  </conditionalFormatting>
  <conditionalFormatting sqref="BX113:BZ113">
    <cfRule type="cellIs" dxfId="1479" priority="717" operator="greaterThanOrEqual">
      <formula>0.03</formula>
    </cfRule>
    <cfRule type="cellIs" dxfId="1478" priority="718" operator="lessThanOrEqual">
      <formula>-0.03</formula>
    </cfRule>
  </conditionalFormatting>
  <conditionalFormatting sqref="BN113:BP113">
    <cfRule type="cellIs" dxfId="1477" priority="723" operator="greaterThanOrEqual">
      <formula>0.03</formula>
    </cfRule>
    <cfRule type="cellIs" dxfId="1476" priority="724" operator="lessThanOrEqual">
      <formula>-0.03</formula>
    </cfRule>
  </conditionalFormatting>
  <conditionalFormatting sqref="BQ113">
    <cfRule type="cellIs" dxfId="1475" priority="721" operator="greaterThanOrEqual">
      <formula>0.03</formula>
    </cfRule>
    <cfRule type="cellIs" dxfId="1474" priority="722" operator="lessThanOrEqual">
      <formula>-0.03</formula>
    </cfRule>
  </conditionalFormatting>
  <conditionalFormatting sqref="BS113:BU113">
    <cfRule type="cellIs" dxfId="1473" priority="725" operator="greaterThanOrEqual">
      <formula>0.03</formula>
    </cfRule>
    <cfRule type="cellIs" dxfId="1472" priority="726" operator="lessThanOrEqual">
      <formula>-0.03</formula>
    </cfRule>
  </conditionalFormatting>
  <conditionalFormatting sqref="CC113:CE113">
    <cfRule type="cellIs" dxfId="1471" priority="719" operator="greaterThanOrEqual">
      <formula>0.03</formula>
    </cfRule>
    <cfRule type="cellIs" dxfId="1470" priority="720" operator="lessThanOrEqual">
      <formula>-0.03</formula>
    </cfRule>
  </conditionalFormatting>
  <conditionalFormatting sqref="BD119:BF119">
    <cfRule type="cellIs" dxfId="1469" priority="711" operator="greaterThanOrEqual">
      <formula>0.03</formula>
    </cfRule>
    <cfRule type="cellIs" dxfId="1468" priority="712" operator="lessThanOrEqual">
      <formula>-0.03</formula>
    </cfRule>
  </conditionalFormatting>
  <conditionalFormatting sqref="BG119">
    <cfRule type="cellIs" dxfId="1467" priority="709" operator="greaterThanOrEqual">
      <formula>0.03</formula>
    </cfRule>
    <cfRule type="cellIs" dxfId="1466" priority="710" operator="lessThanOrEqual">
      <formula>-0.03</formula>
    </cfRule>
  </conditionalFormatting>
  <conditionalFormatting sqref="BL119">
    <cfRule type="cellIs" dxfId="1465" priority="707" operator="greaterThanOrEqual">
      <formula>0.03</formula>
    </cfRule>
    <cfRule type="cellIs" dxfId="1464" priority="708" operator="lessThanOrEqual">
      <formula>-0.03</formula>
    </cfRule>
  </conditionalFormatting>
  <conditionalFormatting sqref="BI119:BK119">
    <cfRule type="cellIs" dxfId="1463" priority="713" operator="greaterThanOrEqual">
      <formula>0.03</formula>
    </cfRule>
    <cfRule type="cellIs" dxfId="1462" priority="714" operator="lessThanOrEqual">
      <formula>-0.03</formula>
    </cfRule>
  </conditionalFormatting>
  <conditionalFormatting sqref="BV119">
    <cfRule type="cellIs" dxfId="1461" priority="705" operator="greaterThanOrEqual">
      <formula>0.03</formula>
    </cfRule>
    <cfRule type="cellIs" dxfId="1460" priority="706" operator="lessThanOrEqual">
      <formula>-0.03</formula>
    </cfRule>
  </conditionalFormatting>
  <conditionalFormatting sqref="BN119:BP119">
    <cfRule type="cellIs" dxfId="1459" priority="701" operator="greaterThanOrEqual">
      <formula>0.03</formula>
    </cfRule>
    <cfRule type="cellIs" dxfId="1458" priority="702" operator="lessThanOrEqual">
      <formula>-0.03</formula>
    </cfRule>
  </conditionalFormatting>
  <conditionalFormatting sqref="BQ119">
    <cfRule type="cellIs" dxfId="1457" priority="699" operator="greaterThanOrEqual">
      <formula>0.03</formula>
    </cfRule>
    <cfRule type="cellIs" dxfId="1456" priority="700" operator="lessThanOrEqual">
      <formula>-0.03</formula>
    </cfRule>
  </conditionalFormatting>
  <conditionalFormatting sqref="BS119:BU119">
    <cfRule type="cellIs" dxfId="1455" priority="703" operator="greaterThanOrEqual">
      <formula>0.03</formula>
    </cfRule>
    <cfRule type="cellIs" dxfId="1454" priority="704" operator="lessThanOrEqual">
      <formula>-0.03</formula>
    </cfRule>
  </conditionalFormatting>
  <conditionalFormatting sqref="BX119:BZ119">
    <cfRule type="cellIs" dxfId="1453" priority="695" operator="greaterThanOrEqual">
      <formula>0.03</formula>
    </cfRule>
    <cfRule type="cellIs" dxfId="1452" priority="696" operator="lessThanOrEqual">
      <formula>-0.03</formula>
    </cfRule>
  </conditionalFormatting>
  <conditionalFormatting sqref="CA119">
    <cfRule type="cellIs" dxfId="1451" priority="693" operator="greaterThanOrEqual">
      <formula>0.03</formula>
    </cfRule>
    <cfRule type="cellIs" dxfId="1450" priority="694" operator="lessThanOrEqual">
      <formula>-0.03</formula>
    </cfRule>
  </conditionalFormatting>
  <conditionalFormatting sqref="CC119:CE119">
    <cfRule type="cellIs" dxfId="1449" priority="697" operator="greaterThanOrEqual">
      <formula>0.03</formula>
    </cfRule>
    <cfRule type="cellIs" dxfId="1448" priority="698" operator="lessThanOrEqual">
      <formula>-0.03</formula>
    </cfRule>
  </conditionalFormatting>
  <conditionalFormatting sqref="BD125:BF125">
    <cfRule type="cellIs" dxfId="1447" priority="689" operator="greaterThanOrEqual">
      <formula>0.03</formula>
    </cfRule>
    <cfRule type="cellIs" dxfId="1446" priority="690" operator="lessThanOrEqual">
      <formula>-0.03</formula>
    </cfRule>
  </conditionalFormatting>
  <conditionalFormatting sqref="BG125">
    <cfRule type="cellIs" dxfId="1445" priority="687" operator="greaterThanOrEqual">
      <formula>0.03</formula>
    </cfRule>
    <cfRule type="cellIs" dxfId="1444" priority="688" operator="lessThanOrEqual">
      <formula>-0.03</formula>
    </cfRule>
  </conditionalFormatting>
  <conditionalFormatting sqref="BL125">
    <cfRule type="cellIs" dxfId="1443" priority="685" operator="greaterThanOrEqual">
      <formula>0.03</formula>
    </cfRule>
    <cfRule type="cellIs" dxfId="1442" priority="686" operator="lessThanOrEqual">
      <formula>-0.03</formula>
    </cfRule>
  </conditionalFormatting>
  <conditionalFormatting sqref="BI125:BK125">
    <cfRule type="cellIs" dxfId="1441" priority="691" operator="greaterThanOrEqual">
      <formula>0.03</formula>
    </cfRule>
    <cfRule type="cellIs" dxfId="1440" priority="692" operator="lessThanOrEqual">
      <formula>-0.03</formula>
    </cfRule>
  </conditionalFormatting>
  <conditionalFormatting sqref="BV125">
    <cfRule type="cellIs" dxfId="1439" priority="683" operator="greaterThanOrEqual">
      <formula>0.03</formula>
    </cfRule>
    <cfRule type="cellIs" dxfId="1438" priority="684" operator="lessThanOrEqual">
      <formula>-0.03</formula>
    </cfRule>
  </conditionalFormatting>
  <conditionalFormatting sqref="BN125:BP125">
    <cfRule type="cellIs" dxfId="1437" priority="679" operator="greaterThanOrEqual">
      <formula>0.03</formula>
    </cfRule>
    <cfRule type="cellIs" dxfId="1436" priority="680" operator="lessThanOrEqual">
      <formula>-0.03</formula>
    </cfRule>
  </conditionalFormatting>
  <conditionalFormatting sqref="BQ125">
    <cfRule type="cellIs" dxfId="1435" priority="677" operator="greaterThanOrEqual">
      <formula>0.03</formula>
    </cfRule>
    <cfRule type="cellIs" dxfId="1434" priority="678" operator="lessThanOrEqual">
      <formula>-0.03</formula>
    </cfRule>
  </conditionalFormatting>
  <conditionalFormatting sqref="BS125:BU125">
    <cfRule type="cellIs" dxfId="1433" priority="681" operator="greaterThanOrEqual">
      <formula>0.03</formula>
    </cfRule>
    <cfRule type="cellIs" dxfId="1432" priority="682" operator="lessThanOrEqual">
      <formula>-0.03</formula>
    </cfRule>
  </conditionalFormatting>
  <conditionalFormatting sqref="BX125:BZ125">
    <cfRule type="cellIs" dxfId="1431" priority="673" operator="greaterThanOrEqual">
      <formula>0.03</formula>
    </cfRule>
    <cfRule type="cellIs" dxfId="1430" priority="674" operator="lessThanOrEqual">
      <formula>-0.03</formula>
    </cfRule>
  </conditionalFormatting>
  <conditionalFormatting sqref="CA125">
    <cfRule type="cellIs" dxfId="1429" priority="671" operator="greaterThanOrEqual">
      <formula>0.03</formula>
    </cfRule>
    <cfRule type="cellIs" dxfId="1428" priority="672" operator="lessThanOrEqual">
      <formula>-0.03</formula>
    </cfRule>
  </conditionalFormatting>
  <conditionalFormatting sqref="CC125:CE125">
    <cfRule type="cellIs" dxfId="1427" priority="675" operator="greaterThanOrEqual">
      <formula>0.03</formula>
    </cfRule>
    <cfRule type="cellIs" dxfId="1426" priority="676" operator="lessThanOrEqual">
      <formula>-0.03</formula>
    </cfRule>
  </conditionalFormatting>
  <conditionalFormatting sqref="BD131:BF131">
    <cfRule type="cellIs" dxfId="1425" priority="667" operator="greaterThanOrEqual">
      <formula>0.03</formula>
    </cfRule>
    <cfRule type="cellIs" dxfId="1424" priority="668" operator="lessThanOrEqual">
      <formula>-0.03</formula>
    </cfRule>
  </conditionalFormatting>
  <conditionalFormatting sqref="BG131">
    <cfRule type="cellIs" dxfId="1423" priority="665" operator="greaterThanOrEqual">
      <formula>0.03</formula>
    </cfRule>
    <cfRule type="cellIs" dxfId="1422" priority="666" operator="lessThanOrEqual">
      <formula>-0.03</formula>
    </cfRule>
  </conditionalFormatting>
  <conditionalFormatting sqref="BL131">
    <cfRule type="cellIs" dxfId="1421" priority="663" operator="greaterThanOrEqual">
      <formula>0.03</formula>
    </cfRule>
    <cfRule type="cellIs" dxfId="1420" priority="664" operator="lessThanOrEqual">
      <formula>-0.03</formula>
    </cfRule>
  </conditionalFormatting>
  <conditionalFormatting sqref="BI131:BK131">
    <cfRule type="cellIs" dxfId="1419" priority="669" operator="greaterThanOrEqual">
      <formula>0.03</formula>
    </cfRule>
    <cfRule type="cellIs" dxfId="1418" priority="670" operator="lessThanOrEqual">
      <formula>-0.03</formula>
    </cfRule>
  </conditionalFormatting>
  <conditionalFormatting sqref="BV131">
    <cfRule type="cellIs" dxfId="1417" priority="661" operator="greaterThanOrEqual">
      <formula>0.03</formula>
    </cfRule>
    <cfRule type="cellIs" dxfId="1416" priority="662" operator="lessThanOrEqual">
      <formula>-0.03</formula>
    </cfRule>
  </conditionalFormatting>
  <conditionalFormatting sqref="BN131:BP131">
    <cfRule type="cellIs" dxfId="1415" priority="657" operator="greaterThanOrEqual">
      <formula>0.03</formula>
    </cfRule>
    <cfRule type="cellIs" dxfId="1414" priority="658" operator="lessThanOrEqual">
      <formula>-0.03</formula>
    </cfRule>
  </conditionalFormatting>
  <conditionalFormatting sqref="BQ131">
    <cfRule type="cellIs" dxfId="1413" priority="655" operator="greaterThanOrEqual">
      <formula>0.03</formula>
    </cfRule>
    <cfRule type="cellIs" dxfId="1412" priority="656" operator="lessThanOrEqual">
      <formula>-0.03</formula>
    </cfRule>
  </conditionalFormatting>
  <conditionalFormatting sqref="BS131:BU131">
    <cfRule type="cellIs" dxfId="1411" priority="659" operator="greaterThanOrEqual">
      <formula>0.03</formula>
    </cfRule>
    <cfRule type="cellIs" dxfId="1410" priority="660" operator="lessThanOrEqual">
      <formula>-0.03</formula>
    </cfRule>
  </conditionalFormatting>
  <conditionalFormatting sqref="BX131:BZ131">
    <cfRule type="cellIs" dxfId="1409" priority="651" operator="greaterThanOrEqual">
      <formula>0.03</formula>
    </cfRule>
    <cfRule type="cellIs" dxfId="1408" priority="652" operator="lessThanOrEqual">
      <formula>-0.03</formula>
    </cfRule>
  </conditionalFormatting>
  <conditionalFormatting sqref="CA131">
    <cfRule type="cellIs" dxfId="1407" priority="649" operator="greaterThanOrEqual">
      <formula>0.03</formula>
    </cfRule>
    <cfRule type="cellIs" dxfId="1406" priority="650" operator="lessThanOrEqual">
      <formula>-0.03</formula>
    </cfRule>
  </conditionalFormatting>
  <conditionalFormatting sqref="CC131:CE131">
    <cfRule type="cellIs" dxfId="1405" priority="653" operator="greaterThanOrEqual">
      <formula>0.03</formula>
    </cfRule>
    <cfRule type="cellIs" dxfId="1404" priority="654" operator="lessThanOrEqual">
      <formula>-0.03</formula>
    </cfRule>
  </conditionalFormatting>
  <conditionalFormatting sqref="BD23:BF28 BD30:BF34 BD36:BF40">
    <cfRule type="cellIs" dxfId="1403" priority="645" operator="greaterThanOrEqual">
      <formula>0.03</formula>
    </cfRule>
    <cfRule type="cellIs" dxfId="1402" priority="646" operator="lessThanOrEqual">
      <formula>-0.03</formula>
    </cfRule>
  </conditionalFormatting>
  <conditionalFormatting sqref="BG24:BG28 BG30:BG34 BG36:BG40">
    <cfRule type="cellIs" dxfId="1401" priority="643" operator="greaterThanOrEqual">
      <formula>0.03</formula>
    </cfRule>
    <cfRule type="cellIs" dxfId="1400" priority="644" operator="lessThanOrEqual">
      <formula>-0.03</formula>
    </cfRule>
  </conditionalFormatting>
  <conditionalFormatting sqref="BL24:BL28 BL30:BL34 BL36:BL40">
    <cfRule type="cellIs" dxfId="1399" priority="647" operator="greaterThanOrEqual">
      <formula>0.03</formula>
    </cfRule>
    <cfRule type="cellIs" dxfId="1398" priority="648" operator="lessThanOrEqual">
      <formula>-0.03</formula>
    </cfRule>
  </conditionalFormatting>
  <conditionalFormatting sqref="BI24:BK28 BI30:BK34 BI36:BK40">
    <cfRule type="cellIs" dxfId="1397" priority="641" operator="greaterThanOrEqual">
      <formula>0.03</formula>
    </cfRule>
    <cfRule type="cellIs" dxfId="1396" priority="642" operator="lessThanOrEqual">
      <formula>-0.03</formula>
    </cfRule>
  </conditionalFormatting>
  <conditionalFormatting sqref="BI35:BK35">
    <cfRule type="cellIs" dxfId="1395" priority="613" operator="greaterThanOrEqual">
      <formula>0.03</formula>
    </cfRule>
    <cfRule type="cellIs" dxfId="1394" priority="614" operator="lessThanOrEqual">
      <formula>-0.03</formula>
    </cfRule>
  </conditionalFormatting>
  <conditionalFormatting sqref="AG23:AG40">
    <cfRule type="cellIs" dxfId="1393" priority="639" operator="greaterThanOrEqual">
      <formula>0.03</formula>
    </cfRule>
    <cfRule type="cellIs" dxfId="1392" priority="640" operator="lessThanOrEqual">
      <formula>-0.03</formula>
    </cfRule>
  </conditionalFormatting>
  <conditionalFormatting sqref="CF35">
    <cfRule type="cellIs" dxfId="1391" priority="607" operator="greaterThanOrEqual">
      <formula>0.03</formula>
    </cfRule>
    <cfRule type="cellIs" dxfId="1390" priority="608" operator="lessThanOrEqual">
      <formula>-0.03</formula>
    </cfRule>
  </conditionalFormatting>
  <conditionalFormatting sqref="BN24:BP28 BN30:BP34 BN36:BP40">
    <cfRule type="cellIs" dxfId="1389" priority="635" operator="greaterThanOrEqual">
      <formula>0.03</formula>
    </cfRule>
    <cfRule type="cellIs" dxfId="1388" priority="636" operator="lessThanOrEqual">
      <formula>-0.03</formula>
    </cfRule>
  </conditionalFormatting>
  <conditionalFormatting sqref="BQ24:BQ28 BQ30:BQ34 BQ36:BQ40">
    <cfRule type="cellIs" dxfId="1387" priority="633" operator="greaterThanOrEqual">
      <formula>0.03</formula>
    </cfRule>
    <cfRule type="cellIs" dxfId="1386" priority="634" operator="lessThanOrEqual">
      <formula>-0.03</formula>
    </cfRule>
  </conditionalFormatting>
  <conditionalFormatting sqref="BV24:BV28 BV30:BV34 BV36:BV40">
    <cfRule type="cellIs" dxfId="1385" priority="637" operator="greaterThanOrEqual">
      <formula>0.03</formula>
    </cfRule>
    <cfRule type="cellIs" dxfId="1384" priority="638" operator="lessThanOrEqual">
      <formula>-0.03</formula>
    </cfRule>
  </conditionalFormatting>
  <conditionalFormatting sqref="BS24:BU28 BS30:BU34 BS36:BU40">
    <cfRule type="cellIs" dxfId="1383" priority="631" operator="greaterThanOrEqual">
      <formula>0.03</formula>
    </cfRule>
    <cfRule type="cellIs" dxfId="1382" priority="632" operator="lessThanOrEqual">
      <formula>-0.03</formula>
    </cfRule>
  </conditionalFormatting>
  <conditionalFormatting sqref="BX24:BZ28 BX30:BZ34 BX36:BZ40">
    <cfRule type="cellIs" dxfId="1381" priority="627" operator="greaterThanOrEqual">
      <formula>0.03</formula>
    </cfRule>
    <cfRule type="cellIs" dxfId="1380" priority="628" operator="lessThanOrEqual">
      <formula>-0.03</formula>
    </cfRule>
  </conditionalFormatting>
  <conditionalFormatting sqref="CA24:CA28 CA30:CA34 CA36:CA40">
    <cfRule type="cellIs" dxfId="1379" priority="625" operator="greaterThanOrEqual">
      <formula>0.03</formula>
    </cfRule>
    <cfRule type="cellIs" dxfId="1378" priority="626" operator="lessThanOrEqual">
      <formula>-0.03</formula>
    </cfRule>
  </conditionalFormatting>
  <conditionalFormatting sqref="CF24:CF28 CF30:CF34 CF36:CF40">
    <cfRule type="cellIs" dxfId="1377" priority="629" operator="greaterThanOrEqual">
      <formula>0.03</formula>
    </cfRule>
    <cfRule type="cellIs" dxfId="1376" priority="630" operator="lessThanOrEqual">
      <formula>-0.03</formula>
    </cfRule>
  </conditionalFormatting>
  <conditionalFormatting sqref="CC24:CE28 CC30:CE34 CC36:CE40">
    <cfRule type="cellIs" dxfId="1375" priority="623" operator="greaterThanOrEqual">
      <formula>0.03</formula>
    </cfRule>
    <cfRule type="cellIs" dxfId="1374" priority="624" operator="lessThanOrEqual">
      <formula>-0.03</formula>
    </cfRule>
  </conditionalFormatting>
  <conditionalFormatting sqref="BD29:BF29">
    <cfRule type="cellIs" dxfId="1373" priority="621" operator="greaterThanOrEqual">
      <formula>0.03</formula>
    </cfRule>
    <cfRule type="cellIs" dxfId="1372" priority="622" operator="lessThanOrEqual">
      <formula>-0.03</formula>
    </cfRule>
  </conditionalFormatting>
  <conditionalFormatting sqref="BD35:BF35">
    <cfRule type="cellIs" dxfId="1371" priority="619" operator="greaterThanOrEqual">
      <formula>0.03</formula>
    </cfRule>
    <cfRule type="cellIs" dxfId="1370" priority="620" operator="lessThanOrEqual">
      <formula>-0.03</formula>
    </cfRule>
  </conditionalFormatting>
  <conditionalFormatting sqref="BL35">
    <cfRule type="cellIs" dxfId="1369" priority="617" operator="greaterThanOrEqual">
      <formula>0.03</formula>
    </cfRule>
    <cfRule type="cellIs" dxfId="1368" priority="618" operator="lessThanOrEqual">
      <formula>-0.03</formula>
    </cfRule>
  </conditionalFormatting>
  <conditionalFormatting sqref="BG35">
    <cfRule type="cellIs" dxfId="1367" priority="615" operator="greaterThanOrEqual">
      <formula>0.03</formula>
    </cfRule>
    <cfRule type="cellIs" dxfId="1366" priority="616" operator="lessThanOrEqual">
      <formula>-0.03</formula>
    </cfRule>
  </conditionalFormatting>
  <conditionalFormatting sqref="BV23">
    <cfRule type="cellIs" dxfId="1365" priority="553" operator="greaterThanOrEqual">
      <formula>0.03</formula>
    </cfRule>
    <cfRule type="cellIs" dxfId="1364" priority="554" operator="lessThanOrEqual">
      <formula>-0.03</formula>
    </cfRule>
  </conditionalFormatting>
  <conditionalFormatting sqref="CC23:CE23">
    <cfRule type="cellIs" dxfId="1363" priority="557" operator="greaterThanOrEqual">
      <formula>0.03</formula>
    </cfRule>
    <cfRule type="cellIs" dxfId="1362" priority="558" operator="lessThanOrEqual">
      <formula>-0.03</formula>
    </cfRule>
  </conditionalFormatting>
  <conditionalFormatting sqref="BS35:BU35">
    <cfRule type="cellIs" dxfId="1361" priority="609" operator="greaterThanOrEqual">
      <formula>0.03</formula>
    </cfRule>
    <cfRule type="cellIs" dxfId="1360" priority="610" operator="lessThanOrEqual">
      <formula>-0.03</formula>
    </cfRule>
  </conditionalFormatting>
  <conditionalFormatting sqref="BN35:BP35">
    <cfRule type="cellIs" dxfId="1359" priority="611" operator="greaterThanOrEqual">
      <formula>0.03</formula>
    </cfRule>
    <cfRule type="cellIs" dxfId="1358" priority="612" operator="lessThanOrEqual">
      <formula>-0.03</formula>
    </cfRule>
  </conditionalFormatting>
  <conditionalFormatting sqref="BX35:BZ35">
    <cfRule type="cellIs" dxfId="1357" priority="605" operator="greaterThanOrEqual">
      <formula>0.03</formula>
    </cfRule>
    <cfRule type="cellIs" dxfId="1356" priority="606" operator="lessThanOrEqual">
      <formula>-0.03</formula>
    </cfRule>
  </conditionalFormatting>
  <conditionalFormatting sqref="CC35:CE35">
    <cfRule type="cellIs" dxfId="1355" priority="601" operator="greaterThanOrEqual">
      <formula>0.03</formula>
    </cfRule>
    <cfRule type="cellIs" dxfId="1354" priority="602" operator="lessThanOrEqual">
      <formula>-0.03</formula>
    </cfRule>
  </conditionalFormatting>
  <conditionalFormatting sqref="BQ35">
    <cfRule type="cellIs" dxfId="1353" priority="599" operator="greaterThanOrEqual">
      <formula>0.03</formula>
    </cfRule>
    <cfRule type="cellIs" dxfId="1352" priority="600" operator="lessThanOrEqual">
      <formula>-0.03</formula>
    </cfRule>
  </conditionalFormatting>
  <conditionalFormatting sqref="CA35">
    <cfRule type="cellIs" dxfId="1351" priority="603" operator="greaterThanOrEqual">
      <formula>0.03</formula>
    </cfRule>
    <cfRule type="cellIs" dxfId="1350" priority="604" operator="lessThanOrEqual">
      <formula>-0.03</formula>
    </cfRule>
  </conditionalFormatting>
  <conditionalFormatting sqref="BV35">
    <cfRule type="cellIs" dxfId="1349" priority="597" operator="greaterThanOrEqual">
      <formula>0.03</formula>
    </cfRule>
    <cfRule type="cellIs" dxfId="1348" priority="598" operator="lessThanOrEqual">
      <formula>-0.03</formula>
    </cfRule>
  </conditionalFormatting>
  <conditionalFormatting sqref="BG29">
    <cfRule type="cellIs" dxfId="1347" priority="593" operator="greaterThanOrEqual">
      <formula>0.03</formula>
    </cfRule>
    <cfRule type="cellIs" dxfId="1346" priority="594" operator="lessThanOrEqual">
      <formula>-0.03</formula>
    </cfRule>
  </conditionalFormatting>
  <conditionalFormatting sqref="BI29:BK29">
    <cfRule type="cellIs" dxfId="1345" priority="591" operator="greaterThanOrEqual">
      <formula>0.03</formula>
    </cfRule>
    <cfRule type="cellIs" dxfId="1344" priority="592" operator="lessThanOrEqual">
      <formula>-0.03</formula>
    </cfRule>
  </conditionalFormatting>
  <conditionalFormatting sqref="BL29">
    <cfRule type="cellIs" dxfId="1343" priority="595" operator="greaterThanOrEqual">
      <formula>0.03</formula>
    </cfRule>
    <cfRule type="cellIs" dxfId="1342" priority="596" operator="lessThanOrEqual">
      <formula>-0.03</formula>
    </cfRule>
  </conditionalFormatting>
  <conditionalFormatting sqref="BN29:BP29">
    <cfRule type="cellIs" dxfId="1341" priority="589" operator="greaterThanOrEqual">
      <formula>0.03</formula>
    </cfRule>
    <cfRule type="cellIs" dxfId="1340" priority="590" operator="lessThanOrEqual">
      <formula>-0.03</formula>
    </cfRule>
  </conditionalFormatting>
  <conditionalFormatting sqref="CF29">
    <cfRule type="cellIs" dxfId="1339" priority="585" operator="greaterThanOrEqual">
      <formula>0.03</formula>
    </cfRule>
    <cfRule type="cellIs" dxfId="1338" priority="586" operator="lessThanOrEqual">
      <formula>-0.03</formula>
    </cfRule>
  </conditionalFormatting>
  <conditionalFormatting sqref="CF23">
    <cfRule type="cellIs" dxfId="1337" priority="563" operator="greaterThanOrEqual">
      <formula>0.03</formula>
    </cfRule>
    <cfRule type="cellIs" dxfId="1336" priority="564" operator="lessThanOrEqual">
      <formula>-0.03</formula>
    </cfRule>
  </conditionalFormatting>
  <conditionalFormatting sqref="BI23:BK23">
    <cfRule type="cellIs" dxfId="1335" priority="569" operator="greaterThanOrEqual">
      <formula>0.03</formula>
    </cfRule>
    <cfRule type="cellIs" dxfId="1334" priority="570" operator="lessThanOrEqual">
      <formula>-0.03</formula>
    </cfRule>
  </conditionalFormatting>
  <conditionalFormatting sqref="CA29">
    <cfRule type="cellIs" dxfId="1333" priority="581" operator="greaterThanOrEqual">
      <formula>0.03</formula>
    </cfRule>
    <cfRule type="cellIs" dxfId="1332" priority="582" operator="lessThanOrEqual">
      <formula>-0.03</formula>
    </cfRule>
  </conditionalFormatting>
  <conditionalFormatting sqref="BQ29">
    <cfRule type="cellIs" dxfId="1331" priority="577" operator="greaterThanOrEqual">
      <formula>0.03</formula>
    </cfRule>
    <cfRule type="cellIs" dxfId="1330" priority="578" operator="lessThanOrEqual">
      <formula>-0.03</formula>
    </cfRule>
  </conditionalFormatting>
  <conditionalFormatting sqref="BV29">
    <cfRule type="cellIs" dxfId="1329" priority="575" operator="greaterThanOrEqual">
      <formula>0.03</formula>
    </cfRule>
    <cfRule type="cellIs" dxfId="1328" priority="576" operator="lessThanOrEqual">
      <formula>-0.03</formula>
    </cfRule>
  </conditionalFormatting>
  <conditionalFormatting sqref="CC29:CE29">
    <cfRule type="cellIs" dxfId="1327" priority="579" operator="greaterThanOrEqual">
      <formula>0.03</formula>
    </cfRule>
    <cfRule type="cellIs" dxfId="1326" priority="580" operator="lessThanOrEqual">
      <formula>-0.03</formula>
    </cfRule>
  </conditionalFormatting>
  <conditionalFormatting sqref="BL23">
    <cfRule type="cellIs" dxfId="1325" priority="573" operator="greaterThanOrEqual">
      <formula>0.03</formula>
    </cfRule>
    <cfRule type="cellIs" dxfId="1324" priority="574" operator="lessThanOrEqual">
      <formula>-0.03</formula>
    </cfRule>
  </conditionalFormatting>
  <conditionalFormatting sqref="BG23">
    <cfRule type="cellIs" dxfId="1323" priority="571" operator="greaterThanOrEqual">
      <formula>0.03</formula>
    </cfRule>
    <cfRule type="cellIs" dxfId="1322" priority="572" operator="lessThanOrEqual">
      <formula>-0.03</formula>
    </cfRule>
  </conditionalFormatting>
  <conditionalFormatting sqref="BS23:BU23">
    <cfRule type="cellIs" dxfId="1321" priority="565" operator="greaterThanOrEqual">
      <formula>0.03</formula>
    </cfRule>
    <cfRule type="cellIs" dxfId="1320" priority="566" operator="lessThanOrEqual">
      <formula>-0.03</formula>
    </cfRule>
  </conditionalFormatting>
  <conditionalFormatting sqref="BN23:BP23">
    <cfRule type="cellIs" dxfId="1319" priority="567" operator="greaterThanOrEqual">
      <formula>0.03</formula>
    </cfRule>
    <cfRule type="cellIs" dxfId="1318" priority="568" operator="lessThanOrEqual">
      <formula>-0.03</formula>
    </cfRule>
  </conditionalFormatting>
  <conditionalFormatting sqref="BX23:BZ23">
    <cfRule type="cellIs" dxfId="1317" priority="561" operator="greaterThanOrEqual">
      <formula>0.03</formula>
    </cfRule>
    <cfRule type="cellIs" dxfId="1316" priority="562" operator="lessThanOrEqual">
      <formula>-0.03</formula>
    </cfRule>
  </conditionalFormatting>
  <conditionalFormatting sqref="CA23">
    <cfRule type="cellIs" dxfId="1315" priority="559" operator="greaterThanOrEqual">
      <formula>0.03</formula>
    </cfRule>
    <cfRule type="cellIs" dxfId="1314" priority="560" operator="lessThanOrEqual">
      <formula>-0.03</formula>
    </cfRule>
  </conditionalFormatting>
  <conditionalFormatting sqref="BQ23">
    <cfRule type="cellIs" dxfId="1313" priority="555" operator="greaterThanOrEqual">
      <formula>0.03</formula>
    </cfRule>
    <cfRule type="cellIs" dxfId="1312" priority="556" operator="lessThanOrEqual">
      <formula>-0.03</formula>
    </cfRule>
  </conditionalFormatting>
  <conditionalFormatting sqref="BS29:BU29">
    <cfRule type="cellIs" dxfId="1311" priority="587" operator="greaterThanOrEqual">
      <formula>0.03</formula>
    </cfRule>
    <cfRule type="cellIs" dxfId="1310" priority="588" operator="lessThanOrEqual">
      <formula>-0.03</formula>
    </cfRule>
  </conditionalFormatting>
  <conditionalFormatting sqref="BX29:BZ29">
    <cfRule type="cellIs" dxfId="1309" priority="583" operator="greaterThanOrEqual">
      <formula>0.03</formula>
    </cfRule>
    <cfRule type="cellIs" dxfId="1308" priority="584" operator="lessThanOrEqual">
      <formula>-0.03</formula>
    </cfRule>
  </conditionalFormatting>
  <conditionalFormatting sqref="BD5:BF10 BD12:BF16 BD18:BF22">
    <cfRule type="cellIs" dxfId="1307" priority="549" operator="greaterThanOrEqual">
      <formula>0.03</formula>
    </cfRule>
    <cfRule type="cellIs" dxfId="1306" priority="550" operator="lessThanOrEqual">
      <formula>-0.03</formula>
    </cfRule>
  </conditionalFormatting>
  <conditionalFormatting sqref="BG6:BG10 BG12:BG16 BG18:BG22">
    <cfRule type="cellIs" dxfId="1305" priority="547" operator="greaterThanOrEqual">
      <formula>0.03</formula>
    </cfRule>
    <cfRule type="cellIs" dxfId="1304" priority="548" operator="lessThanOrEqual">
      <formula>-0.03</formula>
    </cfRule>
  </conditionalFormatting>
  <conditionalFormatting sqref="BL6:BL10 BL12:BL16 BL18:BL22">
    <cfRule type="cellIs" dxfId="1303" priority="551" operator="greaterThanOrEqual">
      <formula>0.03</formula>
    </cfRule>
    <cfRule type="cellIs" dxfId="1302" priority="552" operator="lessThanOrEqual">
      <formula>-0.03</formula>
    </cfRule>
  </conditionalFormatting>
  <conditionalFormatting sqref="BI6:BK10 BI12:BK16 BI18:BK22">
    <cfRule type="cellIs" dxfId="1301" priority="545" operator="greaterThanOrEqual">
      <formula>0.03</formula>
    </cfRule>
    <cfRule type="cellIs" dxfId="1300" priority="546" operator="lessThanOrEqual">
      <formula>-0.03</formula>
    </cfRule>
  </conditionalFormatting>
  <conditionalFormatting sqref="BI17:BK17">
    <cfRule type="cellIs" dxfId="1299" priority="517" operator="greaterThanOrEqual">
      <formula>0.03</formula>
    </cfRule>
    <cfRule type="cellIs" dxfId="1298" priority="518" operator="lessThanOrEqual">
      <formula>-0.03</formula>
    </cfRule>
  </conditionalFormatting>
  <conditionalFormatting sqref="AG5:AG22">
    <cfRule type="cellIs" dxfId="1297" priority="543" operator="greaterThanOrEqual">
      <formula>0.03</formula>
    </cfRule>
    <cfRule type="cellIs" dxfId="1296" priority="544" operator="lessThanOrEqual">
      <formula>-0.03</formula>
    </cfRule>
  </conditionalFormatting>
  <conditionalFormatting sqref="CF17">
    <cfRule type="cellIs" dxfId="1295" priority="511" operator="greaterThanOrEqual">
      <formula>0.03</formula>
    </cfRule>
    <cfRule type="cellIs" dxfId="1294" priority="512" operator="lessThanOrEqual">
      <formula>-0.03</formula>
    </cfRule>
  </conditionalFormatting>
  <conditionalFormatting sqref="BN6:BP10 BN12:BP16 BN18:BP22">
    <cfRule type="cellIs" dxfId="1293" priority="539" operator="greaterThanOrEqual">
      <formula>0.03</formula>
    </cfRule>
    <cfRule type="cellIs" dxfId="1292" priority="540" operator="lessThanOrEqual">
      <formula>-0.03</formula>
    </cfRule>
  </conditionalFormatting>
  <conditionalFormatting sqref="BQ6:BQ10 BQ12:BQ16 BQ18:BQ22">
    <cfRule type="cellIs" dxfId="1291" priority="537" operator="greaterThanOrEqual">
      <formula>0.03</formula>
    </cfRule>
    <cfRule type="cellIs" dxfId="1290" priority="538" operator="lessThanOrEqual">
      <formula>-0.03</formula>
    </cfRule>
  </conditionalFormatting>
  <conditionalFormatting sqref="BV6:BV10 BV12:BV16 BV18:BV22">
    <cfRule type="cellIs" dxfId="1289" priority="541" operator="greaterThanOrEqual">
      <formula>0.03</formula>
    </cfRule>
    <cfRule type="cellIs" dxfId="1288" priority="542" operator="lessThanOrEqual">
      <formula>-0.03</formula>
    </cfRule>
  </conditionalFormatting>
  <conditionalFormatting sqref="BS6:BU10 BS12:BU16 BS18:BU22">
    <cfRule type="cellIs" dxfId="1287" priority="535" operator="greaterThanOrEqual">
      <formula>0.03</formula>
    </cfRule>
    <cfRule type="cellIs" dxfId="1286" priority="536" operator="lessThanOrEqual">
      <formula>-0.03</formula>
    </cfRule>
  </conditionalFormatting>
  <conditionalFormatting sqref="BX6:BZ10 BX12:BZ16 BX18:BZ22">
    <cfRule type="cellIs" dxfId="1285" priority="531" operator="greaterThanOrEqual">
      <formula>0.03</formula>
    </cfRule>
    <cfRule type="cellIs" dxfId="1284" priority="532" operator="lessThanOrEqual">
      <formula>-0.03</formula>
    </cfRule>
  </conditionalFormatting>
  <conditionalFormatting sqref="CA6:CA10 CA12:CA16 CA18:CA22">
    <cfRule type="cellIs" dxfId="1283" priority="529" operator="greaterThanOrEqual">
      <formula>0.03</formula>
    </cfRule>
    <cfRule type="cellIs" dxfId="1282" priority="530" operator="lessThanOrEqual">
      <formula>-0.03</formula>
    </cfRule>
  </conditionalFormatting>
  <conditionalFormatting sqref="CF6:CF10 CF12:CF16 CF18:CF22">
    <cfRule type="cellIs" dxfId="1281" priority="533" operator="greaterThanOrEqual">
      <formula>0.03</formula>
    </cfRule>
    <cfRule type="cellIs" dxfId="1280" priority="534" operator="lessThanOrEqual">
      <formula>-0.03</formula>
    </cfRule>
  </conditionalFormatting>
  <conditionalFormatting sqref="CC6:CE10 CC12:CE16 CC18:CE22">
    <cfRule type="cellIs" dxfId="1279" priority="527" operator="greaterThanOrEqual">
      <formula>0.03</formula>
    </cfRule>
    <cfRule type="cellIs" dxfId="1278" priority="528" operator="lessThanOrEqual">
      <formula>-0.03</formula>
    </cfRule>
  </conditionalFormatting>
  <conditionalFormatting sqref="BD11:BF11">
    <cfRule type="cellIs" dxfId="1277" priority="525" operator="greaterThanOrEqual">
      <formula>0.03</formula>
    </cfRule>
    <cfRule type="cellIs" dxfId="1276" priority="526" operator="lessThanOrEqual">
      <formula>-0.03</formula>
    </cfRule>
  </conditionalFormatting>
  <conditionalFormatting sqref="BD17:BF17">
    <cfRule type="cellIs" dxfId="1275" priority="523" operator="greaterThanOrEqual">
      <formula>0.03</formula>
    </cfRule>
    <cfRule type="cellIs" dxfId="1274" priority="524" operator="lessThanOrEqual">
      <formula>-0.03</formula>
    </cfRule>
  </conditionalFormatting>
  <conditionalFormatting sqref="BL17">
    <cfRule type="cellIs" dxfId="1273" priority="521" operator="greaterThanOrEqual">
      <formula>0.03</formula>
    </cfRule>
    <cfRule type="cellIs" dxfId="1272" priority="522" operator="lessThanOrEqual">
      <formula>-0.03</formula>
    </cfRule>
  </conditionalFormatting>
  <conditionalFormatting sqref="BG17">
    <cfRule type="cellIs" dxfId="1271" priority="519" operator="greaterThanOrEqual">
      <formula>0.03</formula>
    </cfRule>
    <cfRule type="cellIs" dxfId="1270" priority="520" operator="lessThanOrEqual">
      <formula>-0.03</formula>
    </cfRule>
  </conditionalFormatting>
  <conditionalFormatting sqref="BV5">
    <cfRule type="cellIs" dxfId="1269" priority="457" operator="greaterThanOrEqual">
      <formula>0.03</formula>
    </cfRule>
    <cfRule type="cellIs" dxfId="1268" priority="458" operator="lessThanOrEqual">
      <formula>-0.03</formula>
    </cfRule>
  </conditionalFormatting>
  <conditionalFormatting sqref="CC5:CE5">
    <cfRule type="cellIs" dxfId="1267" priority="461" operator="greaterThanOrEqual">
      <formula>0.03</formula>
    </cfRule>
    <cfRule type="cellIs" dxfId="1266" priority="462" operator="lessThanOrEqual">
      <formula>-0.03</formula>
    </cfRule>
  </conditionalFormatting>
  <conditionalFormatting sqref="BS17:BU17">
    <cfRule type="cellIs" dxfId="1265" priority="513" operator="greaterThanOrEqual">
      <formula>0.03</formula>
    </cfRule>
    <cfRule type="cellIs" dxfId="1264" priority="514" operator="lessThanOrEqual">
      <formula>-0.03</formula>
    </cfRule>
  </conditionalFormatting>
  <conditionalFormatting sqref="BN17:BP17">
    <cfRule type="cellIs" dxfId="1263" priority="515" operator="greaterThanOrEqual">
      <formula>0.03</formula>
    </cfRule>
    <cfRule type="cellIs" dxfId="1262" priority="516" operator="lessThanOrEqual">
      <formula>-0.03</formula>
    </cfRule>
  </conditionalFormatting>
  <conditionalFormatting sqref="BX17:BZ17">
    <cfRule type="cellIs" dxfId="1261" priority="509" operator="greaterThanOrEqual">
      <formula>0.03</formula>
    </cfRule>
    <cfRule type="cellIs" dxfId="1260" priority="510" operator="lessThanOrEqual">
      <formula>-0.03</formula>
    </cfRule>
  </conditionalFormatting>
  <conditionalFormatting sqref="CC17:CE17">
    <cfRule type="cellIs" dxfId="1259" priority="505" operator="greaterThanOrEqual">
      <formula>0.03</formula>
    </cfRule>
    <cfRule type="cellIs" dxfId="1258" priority="506" operator="lessThanOrEqual">
      <formula>-0.03</formula>
    </cfRule>
  </conditionalFormatting>
  <conditionalFormatting sqref="BQ17">
    <cfRule type="cellIs" dxfId="1257" priority="503" operator="greaterThanOrEqual">
      <formula>0.03</formula>
    </cfRule>
    <cfRule type="cellIs" dxfId="1256" priority="504" operator="lessThanOrEqual">
      <formula>-0.03</formula>
    </cfRule>
  </conditionalFormatting>
  <conditionalFormatting sqref="CA17">
    <cfRule type="cellIs" dxfId="1255" priority="507" operator="greaterThanOrEqual">
      <formula>0.03</formula>
    </cfRule>
    <cfRule type="cellIs" dxfId="1254" priority="508" operator="lessThanOrEqual">
      <formula>-0.03</formula>
    </cfRule>
  </conditionalFormatting>
  <conditionalFormatting sqref="BV17">
    <cfRule type="cellIs" dxfId="1253" priority="501" operator="greaterThanOrEqual">
      <formula>0.03</formula>
    </cfRule>
    <cfRule type="cellIs" dxfId="1252" priority="502" operator="lessThanOrEqual">
      <formula>-0.03</formula>
    </cfRule>
  </conditionalFormatting>
  <conditionalFormatting sqref="BG11">
    <cfRule type="cellIs" dxfId="1251" priority="497" operator="greaterThanOrEqual">
      <formula>0.03</formula>
    </cfRule>
    <cfRule type="cellIs" dxfId="1250" priority="498" operator="lessThanOrEqual">
      <formula>-0.03</formula>
    </cfRule>
  </conditionalFormatting>
  <conditionalFormatting sqref="BI11:BK11">
    <cfRule type="cellIs" dxfId="1249" priority="495" operator="greaterThanOrEqual">
      <formula>0.03</formula>
    </cfRule>
    <cfRule type="cellIs" dxfId="1248" priority="496" operator="lessThanOrEqual">
      <formula>-0.03</formula>
    </cfRule>
  </conditionalFormatting>
  <conditionalFormatting sqref="BL11">
    <cfRule type="cellIs" dxfId="1247" priority="499" operator="greaterThanOrEqual">
      <formula>0.03</formula>
    </cfRule>
    <cfRule type="cellIs" dxfId="1246" priority="500" operator="lessThanOrEqual">
      <formula>-0.03</formula>
    </cfRule>
  </conditionalFormatting>
  <conditionalFormatting sqref="BN11:BP11">
    <cfRule type="cellIs" dxfId="1245" priority="493" operator="greaterThanOrEqual">
      <formula>0.03</formula>
    </cfRule>
    <cfRule type="cellIs" dxfId="1244" priority="494" operator="lessThanOrEqual">
      <formula>-0.03</formula>
    </cfRule>
  </conditionalFormatting>
  <conditionalFormatting sqref="CF11">
    <cfRule type="cellIs" dxfId="1243" priority="489" operator="greaterThanOrEqual">
      <formula>0.03</formula>
    </cfRule>
    <cfRule type="cellIs" dxfId="1242" priority="490" operator="lessThanOrEqual">
      <formula>-0.03</formula>
    </cfRule>
  </conditionalFormatting>
  <conditionalFormatting sqref="CF5">
    <cfRule type="cellIs" dxfId="1241" priority="467" operator="greaterThanOrEqual">
      <formula>0.03</formula>
    </cfRule>
    <cfRule type="cellIs" dxfId="1240" priority="468" operator="lessThanOrEqual">
      <formula>-0.03</formula>
    </cfRule>
  </conditionalFormatting>
  <conditionalFormatting sqref="BI5:BK5">
    <cfRule type="cellIs" dxfId="1239" priority="473" operator="greaterThanOrEqual">
      <formula>0.03</formula>
    </cfRule>
    <cfRule type="cellIs" dxfId="1238" priority="474" operator="lessThanOrEqual">
      <formula>-0.03</formula>
    </cfRule>
  </conditionalFormatting>
  <conditionalFormatting sqref="CA11">
    <cfRule type="cellIs" dxfId="1237" priority="485" operator="greaterThanOrEqual">
      <formula>0.03</formula>
    </cfRule>
    <cfRule type="cellIs" dxfId="1236" priority="486" operator="lessThanOrEqual">
      <formula>-0.03</formula>
    </cfRule>
  </conditionalFormatting>
  <conditionalFormatting sqref="BQ11">
    <cfRule type="cellIs" dxfId="1235" priority="481" operator="greaterThanOrEqual">
      <formula>0.03</formula>
    </cfRule>
    <cfRule type="cellIs" dxfId="1234" priority="482" operator="lessThanOrEqual">
      <formula>-0.03</formula>
    </cfRule>
  </conditionalFormatting>
  <conditionalFormatting sqref="BV11">
    <cfRule type="cellIs" dxfId="1233" priority="479" operator="greaterThanOrEqual">
      <formula>0.03</formula>
    </cfRule>
    <cfRule type="cellIs" dxfId="1232" priority="480" operator="lessThanOrEqual">
      <formula>-0.03</formula>
    </cfRule>
  </conditionalFormatting>
  <conditionalFormatting sqref="CC11:CE11">
    <cfRule type="cellIs" dxfId="1231" priority="483" operator="greaterThanOrEqual">
      <formula>0.03</formula>
    </cfRule>
    <cfRule type="cellIs" dxfId="1230" priority="484" operator="lessThanOrEqual">
      <formula>-0.03</formula>
    </cfRule>
  </conditionalFormatting>
  <conditionalFormatting sqref="BL5">
    <cfRule type="cellIs" dxfId="1229" priority="477" operator="greaterThanOrEqual">
      <formula>0.03</formula>
    </cfRule>
    <cfRule type="cellIs" dxfId="1228" priority="478" operator="lessThanOrEqual">
      <formula>-0.03</formula>
    </cfRule>
  </conditionalFormatting>
  <conditionalFormatting sqref="BG5">
    <cfRule type="cellIs" dxfId="1227" priority="475" operator="greaterThanOrEqual">
      <formula>0.03</formula>
    </cfRule>
    <cfRule type="cellIs" dxfId="1226" priority="476" operator="lessThanOrEqual">
      <formula>-0.03</formula>
    </cfRule>
  </conditionalFormatting>
  <conditionalFormatting sqref="BS5:BU5">
    <cfRule type="cellIs" dxfId="1225" priority="469" operator="greaterThanOrEqual">
      <formula>0.03</formula>
    </cfRule>
    <cfRule type="cellIs" dxfId="1224" priority="470" operator="lessThanOrEqual">
      <formula>-0.03</formula>
    </cfRule>
  </conditionalFormatting>
  <conditionalFormatting sqref="BN5:BP5">
    <cfRule type="cellIs" dxfId="1223" priority="471" operator="greaterThanOrEqual">
      <formula>0.03</formula>
    </cfRule>
    <cfRule type="cellIs" dxfId="1222" priority="472" operator="lessThanOrEqual">
      <formula>-0.03</formula>
    </cfRule>
  </conditionalFormatting>
  <conditionalFormatting sqref="BX5:BZ5">
    <cfRule type="cellIs" dxfId="1221" priority="465" operator="greaterThanOrEqual">
      <formula>0.03</formula>
    </cfRule>
    <cfRule type="cellIs" dxfId="1220" priority="466" operator="lessThanOrEqual">
      <formula>-0.03</formula>
    </cfRule>
  </conditionalFormatting>
  <conditionalFormatting sqref="CA5">
    <cfRule type="cellIs" dxfId="1219" priority="463" operator="greaterThanOrEqual">
      <formula>0.03</formula>
    </cfRule>
    <cfRule type="cellIs" dxfId="1218" priority="464" operator="lessThanOrEqual">
      <formula>-0.03</formula>
    </cfRule>
  </conditionalFormatting>
  <conditionalFormatting sqref="BQ5">
    <cfRule type="cellIs" dxfId="1217" priority="459" operator="greaterThanOrEqual">
      <formula>0.03</formula>
    </cfRule>
    <cfRule type="cellIs" dxfId="1216" priority="460" operator="lessThanOrEqual">
      <formula>-0.03</formula>
    </cfRule>
  </conditionalFormatting>
  <conditionalFormatting sqref="BS11:BU11">
    <cfRule type="cellIs" dxfId="1215" priority="491" operator="greaterThanOrEqual">
      <formula>0.03</formula>
    </cfRule>
    <cfRule type="cellIs" dxfId="1214" priority="492" operator="lessThanOrEqual">
      <formula>-0.03</formula>
    </cfRule>
  </conditionalFormatting>
  <conditionalFormatting sqref="BX11:BZ11">
    <cfRule type="cellIs" dxfId="1213" priority="487" operator="greaterThanOrEqual">
      <formula>0.03</formula>
    </cfRule>
    <cfRule type="cellIs" dxfId="1212" priority="488" operator="lessThanOrEqual">
      <formula>-0.03</formula>
    </cfRule>
  </conditionalFormatting>
  <conditionalFormatting sqref="BL60:BL64">
    <cfRule type="cellIs" dxfId="1211" priority="413" operator="greaterThanOrEqual">
      <formula>0.03</formula>
    </cfRule>
    <cfRule type="cellIs" dxfId="1210" priority="414" operator="lessThanOrEqual">
      <formula>-0.03</formula>
    </cfRule>
  </conditionalFormatting>
  <conditionalFormatting sqref="BL48:BL52">
    <cfRule type="cellIs" dxfId="1209" priority="421" operator="greaterThanOrEqual">
      <formula>0.03</formula>
    </cfRule>
    <cfRule type="cellIs" dxfId="1208" priority="422" operator="lessThanOrEqual">
      <formula>-0.03</formula>
    </cfRule>
  </conditionalFormatting>
  <conditionalFormatting sqref="BI54:BK58">
    <cfRule type="cellIs" dxfId="1207" priority="419" operator="greaterThanOrEqual">
      <formula>0.03</formula>
    </cfRule>
    <cfRule type="cellIs" dxfId="1206" priority="420" operator="lessThanOrEqual">
      <formula>-0.03</formula>
    </cfRule>
  </conditionalFormatting>
  <conditionalFormatting sqref="BL54:BL58">
    <cfRule type="cellIs" dxfId="1205" priority="417" operator="greaterThanOrEqual">
      <formula>0.03</formula>
    </cfRule>
    <cfRule type="cellIs" dxfId="1204" priority="418" operator="lessThanOrEqual">
      <formula>-0.03</formula>
    </cfRule>
  </conditionalFormatting>
  <conditionalFormatting sqref="BI60:BK64">
    <cfRule type="cellIs" dxfId="1203" priority="415" operator="greaterThanOrEqual">
      <formula>0.03</formula>
    </cfRule>
    <cfRule type="cellIs" dxfId="1202" priority="416" operator="lessThanOrEqual">
      <formula>-0.03</formula>
    </cfRule>
  </conditionalFormatting>
  <conditionalFormatting sqref="BN48:BP52">
    <cfRule type="cellIs" dxfId="1201" priority="411" operator="greaterThanOrEqual">
      <formula>0.03</formula>
    </cfRule>
    <cfRule type="cellIs" dxfId="1200" priority="412" operator="lessThanOrEqual">
      <formula>-0.03</formula>
    </cfRule>
  </conditionalFormatting>
  <conditionalFormatting sqref="BQ48:BQ52">
    <cfRule type="cellIs" dxfId="1199" priority="409" operator="greaterThanOrEqual">
      <formula>0.03</formula>
    </cfRule>
    <cfRule type="cellIs" dxfId="1198" priority="410" operator="lessThanOrEqual">
      <formula>-0.03</formula>
    </cfRule>
  </conditionalFormatting>
  <conditionalFormatting sqref="BQ54:BQ58">
    <cfRule type="cellIs" dxfId="1197" priority="405" operator="greaterThanOrEqual">
      <formula>0.03</formula>
    </cfRule>
    <cfRule type="cellIs" dxfId="1196" priority="406" operator="lessThanOrEqual">
      <formula>-0.03</formula>
    </cfRule>
  </conditionalFormatting>
  <conditionalFormatting sqref="BN54:BP58">
    <cfRule type="cellIs" dxfId="1195" priority="407" operator="greaterThanOrEqual">
      <formula>0.03</formula>
    </cfRule>
    <cfRule type="cellIs" dxfId="1194" priority="408" operator="lessThanOrEqual">
      <formula>-0.03</formula>
    </cfRule>
  </conditionalFormatting>
  <conditionalFormatting sqref="BN60:BP64">
    <cfRule type="cellIs" dxfId="1193" priority="403" operator="greaterThanOrEqual">
      <formula>0.03</formula>
    </cfRule>
    <cfRule type="cellIs" dxfId="1192" priority="404" operator="lessThanOrEqual">
      <formula>-0.03</formula>
    </cfRule>
  </conditionalFormatting>
  <conditionalFormatting sqref="BQ60:BQ64">
    <cfRule type="cellIs" dxfId="1191" priority="401" operator="greaterThanOrEqual">
      <formula>0.03</formula>
    </cfRule>
    <cfRule type="cellIs" dxfId="1190" priority="402" operator="lessThanOrEqual">
      <formula>-0.03</formula>
    </cfRule>
  </conditionalFormatting>
  <conditionalFormatting sqref="BS42:BU46">
    <cfRule type="cellIs" dxfId="1189" priority="399" operator="greaterThanOrEqual">
      <formula>0.03</formula>
    </cfRule>
    <cfRule type="cellIs" dxfId="1188" priority="400" operator="lessThanOrEqual">
      <formula>-0.03</formula>
    </cfRule>
  </conditionalFormatting>
  <conditionalFormatting sqref="BN42:BP46">
    <cfRule type="cellIs" dxfId="1187" priority="397" operator="greaterThanOrEqual">
      <formula>0.03</formula>
    </cfRule>
    <cfRule type="cellIs" dxfId="1186" priority="398" operator="lessThanOrEqual">
      <formula>-0.03</formula>
    </cfRule>
  </conditionalFormatting>
  <conditionalFormatting sqref="BQ42:BQ46">
    <cfRule type="cellIs" dxfId="1185" priority="395" operator="greaterThanOrEqual">
      <formula>0.03</formula>
    </cfRule>
    <cfRule type="cellIs" dxfId="1184" priority="396" operator="lessThanOrEqual">
      <formula>-0.03</formula>
    </cfRule>
  </conditionalFormatting>
  <conditionalFormatting sqref="BV42:BV46">
    <cfRule type="cellIs" dxfId="1183" priority="393" operator="greaterThanOrEqual">
      <formula>0.03</formula>
    </cfRule>
    <cfRule type="cellIs" dxfId="1182" priority="394" operator="lessThanOrEqual">
      <formula>-0.03</formula>
    </cfRule>
  </conditionalFormatting>
  <conditionalFormatting sqref="BV41">
    <cfRule type="cellIs" dxfId="1181" priority="391" operator="greaterThanOrEqual">
      <formula>0.03</formula>
    </cfRule>
    <cfRule type="cellIs" dxfId="1180" priority="392" operator="lessThanOrEqual">
      <formula>-0.03</formula>
    </cfRule>
  </conditionalFormatting>
  <conditionalFormatting sqref="BI42:BK46">
    <cfRule type="cellIs" dxfId="1179" priority="455" operator="greaterThanOrEqual">
      <formula>0.03</formula>
    </cfRule>
    <cfRule type="cellIs" dxfId="1178" priority="456" operator="lessThanOrEqual">
      <formula>-0.03</formula>
    </cfRule>
  </conditionalFormatting>
  <conditionalFormatting sqref="BD42:BF46">
    <cfRule type="cellIs" dxfId="1177" priority="453" operator="greaterThanOrEqual">
      <formula>0.03</formula>
    </cfRule>
    <cfRule type="cellIs" dxfId="1176" priority="454" operator="lessThanOrEqual">
      <formula>-0.03</formula>
    </cfRule>
  </conditionalFormatting>
  <conditionalFormatting sqref="BD41:BF41">
    <cfRule type="cellIs" dxfId="1175" priority="449" operator="greaterThanOrEqual">
      <formula>0.03</formula>
    </cfRule>
    <cfRule type="cellIs" dxfId="1174" priority="450" operator="lessThanOrEqual">
      <formula>-0.03</formula>
    </cfRule>
  </conditionalFormatting>
  <conditionalFormatting sqref="BG41">
    <cfRule type="cellIs" dxfId="1173" priority="441" operator="greaterThanOrEqual">
      <formula>0.03</formula>
    </cfRule>
    <cfRule type="cellIs" dxfId="1172" priority="442" operator="lessThanOrEqual">
      <formula>-0.03</formula>
    </cfRule>
  </conditionalFormatting>
  <conditionalFormatting sqref="BD48:BF52">
    <cfRule type="cellIs" dxfId="1171" priority="439" operator="greaterThanOrEqual">
      <formula>0.03</formula>
    </cfRule>
    <cfRule type="cellIs" dxfId="1170" priority="440" operator="lessThanOrEqual">
      <formula>-0.03</formula>
    </cfRule>
  </conditionalFormatting>
  <conditionalFormatting sqref="AH59:AH64">
    <cfRule type="cellIs" dxfId="1169" priority="445" operator="greaterThanOrEqual">
      <formula>0.03</formula>
    </cfRule>
    <cfRule type="cellIs" dxfId="1168" priority="446" operator="lessThanOrEqual">
      <formula>-0.03</formula>
    </cfRule>
  </conditionalFormatting>
  <conditionalFormatting sqref="BL41">
    <cfRule type="cellIs" dxfId="1167" priority="425" operator="greaterThanOrEqual">
      <formula>0.03</formula>
    </cfRule>
    <cfRule type="cellIs" dxfId="1166" priority="426" operator="lessThanOrEqual">
      <formula>-0.03</formula>
    </cfRule>
  </conditionalFormatting>
  <conditionalFormatting sqref="CC48:CE52">
    <cfRule type="cellIs" dxfId="1165" priority="367" operator="greaterThanOrEqual">
      <formula>0.03</formula>
    </cfRule>
    <cfRule type="cellIs" dxfId="1164" priority="368" operator="lessThanOrEqual">
      <formula>-0.03</formula>
    </cfRule>
  </conditionalFormatting>
  <conditionalFormatting sqref="BG48:BG52">
    <cfRule type="cellIs" dxfId="1163" priority="437" operator="greaterThanOrEqual">
      <formula>0.03</formula>
    </cfRule>
    <cfRule type="cellIs" dxfId="1162" priority="438" operator="lessThanOrEqual">
      <formula>-0.03</formula>
    </cfRule>
  </conditionalFormatting>
  <conditionalFormatting sqref="BD60:BF64">
    <cfRule type="cellIs" dxfId="1161" priority="431" operator="greaterThanOrEqual">
      <formula>0.03</formula>
    </cfRule>
    <cfRule type="cellIs" dxfId="1160" priority="432" operator="lessThanOrEqual">
      <formula>-0.03</formula>
    </cfRule>
  </conditionalFormatting>
  <conditionalFormatting sqref="CA42:CA46">
    <cfRule type="cellIs" dxfId="1159" priority="373" operator="greaterThanOrEqual">
      <formula>0.03</formula>
    </cfRule>
    <cfRule type="cellIs" dxfId="1158" priority="374" operator="lessThanOrEqual">
      <formula>-0.03</formula>
    </cfRule>
  </conditionalFormatting>
  <conditionalFormatting sqref="AH41:AH58">
    <cfRule type="cellIs" dxfId="1157" priority="447" operator="greaterThanOrEqual">
      <formula>0.03</formula>
    </cfRule>
    <cfRule type="cellIs" dxfId="1156" priority="448" operator="lessThanOrEqual">
      <formula>-0.03</formula>
    </cfRule>
  </conditionalFormatting>
  <conditionalFormatting sqref="BI41:BK41">
    <cfRule type="cellIs" dxfId="1155" priority="451" operator="greaterThanOrEqual">
      <formula>0.03</formula>
    </cfRule>
    <cfRule type="cellIs" dxfId="1154" priority="452" operator="lessThanOrEqual">
      <formula>-0.03</formula>
    </cfRule>
  </conditionalFormatting>
  <conditionalFormatting sqref="BL42:BL46">
    <cfRule type="cellIs" dxfId="1153" priority="427" operator="greaterThanOrEqual">
      <formula>0.03</formula>
    </cfRule>
    <cfRule type="cellIs" dxfId="1152" priority="428" operator="lessThanOrEqual">
      <formula>-0.03</formula>
    </cfRule>
  </conditionalFormatting>
  <conditionalFormatting sqref="BI48:BK52">
    <cfRule type="cellIs" dxfId="1151" priority="423" operator="greaterThanOrEqual">
      <formula>0.03</formula>
    </cfRule>
    <cfRule type="cellIs" dxfId="1150" priority="424" operator="lessThanOrEqual">
      <formula>-0.03</formula>
    </cfRule>
  </conditionalFormatting>
  <conditionalFormatting sqref="BD54:BF58">
    <cfRule type="cellIs" dxfId="1149" priority="435" operator="greaterThanOrEqual">
      <formula>0.03</formula>
    </cfRule>
    <cfRule type="cellIs" dxfId="1148" priority="436" operator="lessThanOrEqual">
      <formula>-0.03</formula>
    </cfRule>
  </conditionalFormatting>
  <conditionalFormatting sqref="BG42:BG46">
    <cfRule type="cellIs" dxfId="1147" priority="443" operator="greaterThanOrEqual">
      <formula>0.03</formula>
    </cfRule>
    <cfRule type="cellIs" dxfId="1146" priority="444" operator="lessThanOrEqual">
      <formula>-0.03</formula>
    </cfRule>
  </conditionalFormatting>
  <conditionalFormatting sqref="BG54:BG58">
    <cfRule type="cellIs" dxfId="1145" priority="433" operator="greaterThanOrEqual">
      <formula>0.03</formula>
    </cfRule>
    <cfRule type="cellIs" dxfId="1144" priority="434" operator="lessThanOrEqual">
      <formula>-0.03</formula>
    </cfRule>
  </conditionalFormatting>
  <conditionalFormatting sqref="BG60:BG64">
    <cfRule type="cellIs" dxfId="1143" priority="429" operator="greaterThanOrEqual">
      <formula>0.03</formula>
    </cfRule>
    <cfRule type="cellIs" dxfId="1142" priority="430" operator="lessThanOrEqual">
      <formula>-0.03</formula>
    </cfRule>
  </conditionalFormatting>
  <conditionalFormatting sqref="CA54:CA58">
    <cfRule type="cellIs" dxfId="1141" priority="353" operator="greaterThanOrEqual">
      <formula>0.03</formula>
    </cfRule>
    <cfRule type="cellIs" dxfId="1140" priority="354" operator="lessThanOrEqual">
      <formula>-0.03</formula>
    </cfRule>
  </conditionalFormatting>
  <conditionalFormatting sqref="CF47">
    <cfRule type="cellIs" dxfId="1139" priority="359" operator="greaterThanOrEqual">
      <formula>0.03</formula>
    </cfRule>
    <cfRule type="cellIs" dxfId="1138" priority="360" operator="lessThanOrEqual">
      <formula>-0.03</formula>
    </cfRule>
  </conditionalFormatting>
  <conditionalFormatting sqref="BS48:BU52">
    <cfRule type="cellIs" dxfId="1137" priority="389" operator="greaterThanOrEqual">
      <formula>0.03</formula>
    </cfRule>
    <cfRule type="cellIs" dxfId="1136" priority="390" operator="lessThanOrEqual">
      <formula>-0.03</formula>
    </cfRule>
  </conditionalFormatting>
  <conditionalFormatting sqref="BV48:BV52">
    <cfRule type="cellIs" dxfId="1135" priority="387" operator="greaterThanOrEqual">
      <formula>0.03</formula>
    </cfRule>
    <cfRule type="cellIs" dxfId="1134" priority="388" operator="lessThanOrEqual">
      <formula>-0.03</formula>
    </cfRule>
  </conditionalFormatting>
  <conditionalFormatting sqref="BS54:BU58">
    <cfRule type="cellIs" dxfId="1133" priority="385" operator="greaterThanOrEqual">
      <formula>0.03</formula>
    </cfRule>
    <cfRule type="cellIs" dxfId="1132" priority="386" operator="lessThanOrEqual">
      <formula>-0.03</formula>
    </cfRule>
  </conditionalFormatting>
  <conditionalFormatting sqref="BV54:BV58">
    <cfRule type="cellIs" dxfId="1131" priority="383" operator="greaterThanOrEqual">
      <formula>0.03</formula>
    </cfRule>
    <cfRule type="cellIs" dxfId="1130" priority="384" operator="lessThanOrEqual">
      <formula>-0.03</formula>
    </cfRule>
  </conditionalFormatting>
  <conditionalFormatting sqref="BS60:BU64">
    <cfRule type="cellIs" dxfId="1129" priority="381" operator="greaterThanOrEqual">
      <formula>0.03</formula>
    </cfRule>
    <cfRule type="cellIs" dxfId="1128" priority="382" operator="lessThanOrEqual">
      <formula>-0.03</formula>
    </cfRule>
  </conditionalFormatting>
  <conditionalFormatting sqref="BV60:BV64">
    <cfRule type="cellIs" dxfId="1127" priority="379" operator="greaterThanOrEqual">
      <formula>0.03</formula>
    </cfRule>
    <cfRule type="cellIs" dxfId="1126" priority="380" operator="lessThanOrEqual">
      <formula>-0.03</formula>
    </cfRule>
  </conditionalFormatting>
  <conditionalFormatting sqref="CA41">
    <cfRule type="cellIs" dxfId="1125" priority="327" operator="greaterThanOrEqual">
      <formula>0.03</formula>
    </cfRule>
    <cfRule type="cellIs" dxfId="1124" priority="328" operator="lessThanOrEqual">
      <formula>-0.03</formula>
    </cfRule>
  </conditionalFormatting>
  <conditionalFormatting sqref="BX48:BZ52">
    <cfRule type="cellIs" dxfId="1123" priority="365" operator="greaterThanOrEqual">
      <formula>0.03</formula>
    </cfRule>
    <cfRule type="cellIs" dxfId="1122" priority="366" operator="lessThanOrEqual">
      <formula>-0.03</formula>
    </cfRule>
  </conditionalFormatting>
  <conditionalFormatting sqref="CC42:CE46">
    <cfRule type="cellIs" dxfId="1121" priority="377" operator="greaterThanOrEqual">
      <formula>0.03</formula>
    </cfRule>
    <cfRule type="cellIs" dxfId="1120" priority="378" operator="lessThanOrEqual">
      <formula>-0.03</formula>
    </cfRule>
  </conditionalFormatting>
  <conditionalFormatting sqref="BX42:BZ46">
    <cfRule type="cellIs" dxfId="1119" priority="375" operator="greaterThanOrEqual">
      <formula>0.03</formula>
    </cfRule>
    <cfRule type="cellIs" dxfId="1118" priority="376" operator="lessThanOrEqual">
      <formula>-0.03</formula>
    </cfRule>
  </conditionalFormatting>
  <conditionalFormatting sqref="CF42:CF46">
    <cfRule type="cellIs" dxfId="1117" priority="371" operator="greaterThanOrEqual">
      <formula>0.03</formula>
    </cfRule>
    <cfRule type="cellIs" dxfId="1116" priority="372" operator="lessThanOrEqual">
      <formula>-0.03</formula>
    </cfRule>
  </conditionalFormatting>
  <conditionalFormatting sqref="CF41">
    <cfRule type="cellIs" dxfId="1115" priority="369" operator="greaterThanOrEqual">
      <formula>0.03</formula>
    </cfRule>
    <cfRule type="cellIs" dxfId="1114" priority="370" operator="lessThanOrEqual">
      <formula>-0.03</formula>
    </cfRule>
  </conditionalFormatting>
  <conditionalFormatting sqref="CA48:CA52">
    <cfRule type="cellIs" dxfId="1113" priority="363" operator="greaterThanOrEqual">
      <formula>0.03</formula>
    </cfRule>
    <cfRule type="cellIs" dxfId="1112" priority="364" operator="lessThanOrEqual">
      <formula>-0.03</formula>
    </cfRule>
  </conditionalFormatting>
  <conditionalFormatting sqref="CF48:CF52">
    <cfRule type="cellIs" dxfId="1111" priority="361" operator="greaterThanOrEqual">
      <formula>0.03</formula>
    </cfRule>
    <cfRule type="cellIs" dxfId="1110" priority="362" operator="lessThanOrEqual">
      <formula>-0.03</formula>
    </cfRule>
  </conditionalFormatting>
  <conditionalFormatting sqref="CC54:CE58">
    <cfRule type="cellIs" dxfId="1109" priority="357" operator="greaterThanOrEqual">
      <formula>0.03</formula>
    </cfRule>
    <cfRule type="cellIs" dxfId="1108" priority="358" operator="lessThanOrEqual">
      <formula>-0.03</formula>
    </cfRule>
  </conditionalFormatting>
  <conditionalFormatting sqref="BX54:BZ58">
    <cfRule type="cellIs" dxfId="1107" priority="355" operator="greaterThanOrEqual">
      <formula>0.03</formula>
    </cfRule>
    <cfRule type="cellIs" dxfId="1106" priority="356" operator="lessThanOrEqual">
      <formula>-0.03</formula>
    </cfRule>
  </conditionalFormatting>
  <conditionalFormatting sqref="CF54:CF58">
    <cfRule type="cellIs" dxfId="1105" priority="351" operator="greaterThanOrEqual">
      <formula>0.03</formula>
    </cfRule>
    <cfRule type="cellIs" dxfId="1104" priority="352" operator="lessThanOrEqual">
      <formula>-0.03</formula>
    </cfRule>
  </conditionalFormatting>
  <conditionalFormatting sqref="CF53">
    <cfRule type="cellIs" dxfId="1103" priority="349" operator="greaterThanOrEqual">
      <formula>0.03</formula>
    </cfRule>
    <cfRule type="cellIs" dxfId="1102" priority="350" operator="lessThanOrEqual">
      <formula>-0.03</formula>
    </cfRule>
  </conditionalFormatting>
  <conditionalFormatting sqref="CC60:CE64">
    <cfRule type="cellIs" dxfId="1101" priority="347" operator="greaterThanOrEqual">
      <formula>0.03</formula>
    </cfRule>
    <cfRule type="cellIs" dxfId="1100" priority="348" operator="lessThanOrEqual">
      <formula>-0.03</formula>
    </cfRule>
  </conditionalFormatting>
  <conditionalFormatting sqref="BX60:BZ64">
    <cfRule type="cellIs" dxfId="1099" priority="345" operator="greaterThanOrEqual">
      <formula>0.03</formula>
    </cfRule>
    <cfRule type="cellIs" dxfId="1098" priority="346" operator="lessThanOrEqual">
      <formula>-0.03</formula>
    </cfRule>
  </conditionalFormatting>
  <conditionalFormatting sqref="CA60:CA64">
    <cfRule type="cellIs" dxfId="1097" priority="343" operator="greaterThanOrEqual">
      <formula>0.03</formula>
    </cfRule>
    <cfRule type="cellIs" dxfId="1096" priority="344" operator="lessThanOrEqual">
      <formula>-0.03</formula>
    </cfRule>
  </conditionalFormatting>
  <conditionalFormatting sqref="CF60:CF64">
    <cfRule type="cellIs" dxfId="1095" priority="341" operator="greaterThanOrEqual">
      <formula>0.03</formula>
    </cfRule>
    <cfRule type="cellIs" dxfId="1094" priority="342" operator="lessThanOrEqual">
      <formula>-0.03</formula>
    </cfRule>
  </conditionalFormatting>
  <conditionalFormatting sqref="CF59">
    <cfRule type="cellIs" dxfId="1093" priority="339" operator="greaterThanOrEqual">
      <formula>0.03</formula>
    </cfRule>
    <cfRule type="cellIs" dxfId="1092" priority="340" operator="lessThanOrEqual">
      <formula>-0.03</formula>
    </cfRule>
  </conditionalFormatting>
  <conditionalFormatting sqref="BX41:BZ41">
    <cfRule type="cellIs" dxfId="1091" priority="329" operator="greaterThanOrEqual">
      <formula>0.03</formula>
    </cfRule>
    <cfRule type="cellIs" dxfId="1090" priority="330" operator="lessThanOrEqual">
      <formula>-0.03</formula>
    </cfRule>
  </conditionalFormatting>
  <conditionalFormatting sqref="BN41:BP41">
    <cfRule type="cellIs" dxfId="1089" priority="335" operator="greaterThanOrEqual">
      <formula>0.03</formula>
    </cfRule>
    <cfRule type="cellIs" dxfId="1088" priority="336" operator="lessThanOrEqual">
      <formula>-0.03</formula>
    </cfRule>
  </conditionalFormatting>
  <conditionalFormatting sqref="BQ41">
    <cfRule type="cellIs" dxfId="1087" priority="333" operator="greaterThanOrEqual">
      <formula>0.03</formula>
    </cfRule>
    <cfRule type="cellIs" dxfId="1086" priority="334" operator="lessThanOrEqual">
      <formula>-0.03</formula>
    </cfRule>
  </conditionalFormatting>
  <conditionalFormatting sqref="BS41:BU41">
    <cfRule type="cellIs" dxfId="1085" priority="337" operator="greaterThanOrEqual">
      <formula>0.03</formula>
    </cfRule>
    <cfRule type="cellIs" dxfId="1084" priority="338" operator="lessThanOrEqual">
      <formula>-0.03</formula>
    </cfRule>
  </conditionalFormatting>
  <conditionalFormatting sqref="CC41:CE41">
    <cfRule type="cellIs" dxfId="1083" priority="331" operator="greaterThanOrEqual">
      <formula>0.03</formula>
    </cfRule>
    <cfRule type="cellIs" dxfId="1082" priority="332" operator="lessThanOrEqual">
      <formula>-0.03</formula>
    </cfRule>
  </conditionalFormatting>
  <conditionalFormatting sqref="BD47:BF47">
    <cfRule type="cellIs" dxfId="1081" priority="323" operator="greaterThanOrEqual">
      <formula>0.03</formula>
    </cfRule>
    <cfRule type="cellIs" dxfId="1080" priority="324" operator="lessThanOrEqual">
      <formula>-0.03</formula>
    </cfRule>
  </conditionalFormatting>
  <conditionalFormatting sqref="BG47">
    <cfRule type="cellIs" dxfId="1079" priority="321" operator="greaterThanOrEqual">
      <formula>0.03</formula>
    </cfRule>
    <cfRule type="cellIs" dxfId="1078" priority="322" operator="lessThanOrEqual">
      <formula>-0.03</formula>
    </cfRule>
  </conditionalFormatting>
  <conditionalFormatting sqref="BL47">
    <cfRule type="cellIs" dxfId="1077" priority="319" operator="greaterThanOrEqual">
      <formula>0.03</formula>
    </cfRule>
    <cfRule type="cellIs" dxfId="1076" priority="320" operator="lessThanOrEqual">
      <formula>-0.03</formula>
    </cfRule>
  </conditionalFormatting>
  <conditionalFormatting sqref="BI47:BK47">
    <cfRule type="cellIs" dxfId="1075" priority="325" operator="greaterThanOrEqual">
      <formula>0.03</formula>
    </cfRule>
    <cfRule type="cellIs" dxfId="1074" priority="326" operator="lessThanOrEqual">
      <formula>-0.03</formula>
    </cfRule>
  </conditionalFormatting>
  <conditionalFormatting sqref="BV47">
    <cfRule type="cellIs" dxfId="1073" priority="317" operator="greaterThanOrEqual">
      <formula>0.03</formula>
    </cfRule>
    <cfRule type="cellIs" dxfId="1072" priority="318" operator="lessThanOrEqual">
      <formula>-0.03</formula>
    </cfRule>
  </conditionalFormatting>
  <conditionalFormatting sqref="BN47:BP47">
    <cfRule type="cellIs" dxfId="1071" priority="313" operator="greaterThanOrEqual">
      <formula>0.03</formula>
    </cfRule>
    <cfRule type="cellIs" dxfId="1070" priority="314" operator="lessThanOrEqual">
      <formula>-0.03</formula>
    </cfRule>
  </conditionalFormatting>
  <conditionalFormatting sqref="BQ47">
    <cfRule type="cellIs" dxfId="1069" priority="311" operator="greaterThanOrEqual">
      <formula>0.03</formula>
    </cfRule>
    <cfRule type="cellIs" dxfId="1068" priority="312" operator="lessThanOrEqual">
      <formula>-0.03</formula>
    </cfRule>
  </conditionalFormatting>
  <conditionalFormatting sqref="BS47:BU47">
    <cfRule type="cellIs" dxfId="1067" priority="315" operator="greaterThanOrEqual">
      <formula>0.03</formula>
    </cfRule>
    <cfRule type="cellIs" dxfId="1066" priority="316" operator="lessThanOrEqual">
      <formula>-0.03</formula>
    </cfRule>
  </conditionalFormatting>
  <conditionalFormatting sqref="BX47:BZ47">
    <cfRule type="cellIs" dxfId="1065" priority="307" operator="greaterThanOrEqual">
      <formula>0.03</formula>
    </cfRule>
    <cfRule type="cellIs" dxfId="1064" priority="308" operator="lessThanOrEqual">
      <formula>-0.03</formula>
    </cfRule>
  </conditionalFormatting>
  <conditionalFormatting sqref="CA47">
    <cfRule type="cellIs" dxfId="1063" priority="305" operator="greaterThanOrEqual">
      <formula>0.03</formula>
    </cfRule>
    <cfRule type="cellIs" dxfId="1062" priority="306" operator="lessThanOrEqual">
      <formula>-0.03</formula>
    </cfRule>
  </conditionalFormatting>
  <conditionalFormatting sqref="CC47:CE47">
    <cfRule type="cellIs" dxfId="1061" priority="309" operator="greaterThanOrEqual">
      <formula>0.03</formula>
    </cfRule>
    <cfRule type="cellIs" dxfId="1060" priority="310" operator="lessThanOrEqual">
      <formula>-0.03</formula>
    </cfRule>
  </conditionalFormatting>
  <conditionalFormatting sqref="BD53:BF53">
    <cfRule type="cellIs" dxfId="1059" priority="301" operator="greaterThanOrEqual">
      <formula>0.03</formula>
    </cfRule>
    <cfRule type="cellIs" dxfId="1058" priority="302" operator="lessThanOrEqual">
      <formula>-0.03</formula>
    </cfRule>
  </conditionalFormatting>
  <conditionalFormatting sqref="BG53">
    <cfRule type="cellIs" dxfId="1057" priority="299" operator="greaterThanOrEqual">
      <formula>0.03</formula>
    </cfRule>
    <cfRule type="cellIs" dxfId="1056" priority="300" operator="lessThanOrEqual">
      <formula>-0.03</formula>
    </cfRule>
  </conditionalFormatting>
  <conditionalFormatting sqref="BL53">
    <cfRule type="cellIs" dxfId="1055" priority="297" operator="greaterThanOrEqual">
      <formula>0.03</formula>
    </cfRule>
    <cfRule type="cellIs" dxfId="1054" priority="298" operator="lessThanOrEqual">
      <formula>-0.03</formula>
    </cfRule>
  </conditionalFormatting>
  <conditionalFormatting sqref="BI53:BK53">
    <cfRule type="cellIs" dxfId="1053" priority="303" operator="greaterThanOrEqual">
      <formula>0.03</formula>
    </cfRule>
    <cfRule type="cellIs" dxfId="1052" priority="304" operator="lessThanOrEqual">
      <formula>-0.03</formula>
    </cfRule>
  </conditionalFormatting>
  <conditionalFormatting sqref="BV53">
    <cfRule type="cellIs" dxfId="1051" priority="295" operator="greaterThanOrEqual">
      <formula>0.03</formula>
    </cfRule>
    <cfRule type="cellIs" dxfId="1050" priority="296" operator="lessThanOrEqual">
      <formula>-0.03</formula>
    </cfRule>
  </conditionalFormatting>
  <conditionalFormatting sqref="BN53:BP53">
    <cfRule type="cellIs" dxfId="1049" priority="291" operator="greaterThanOrEqual">
      <formula>0.03</formula>
    </cfRule>
    <cfRule type="cellIs" dxfId="1048" priority="292" operator="lessThanOrEqual">
      <formula>-0.03</formula>
    </cfRule>
  </conditionalFormatting>
  <conditionalFormatting sqref="BQ53">
    <cfRule type="cellIs" dxfId="1047" priority="289" operator="greaterThanOrEqual">
      <formula>0.03</formula>
    </cfRule>
    <cfRule type="cellIs" dxfId="1046" priority="290" operator="lessThanOrEqual">
      <formula>-0.03</formula>
    </cfRule>
  </conditionalFormatting>
  <conditionalFormatting sqref="BS53:BU53">
    <cfRule type="cellIs" dxfId="1045" priority="293" operator="greaterThanOrEqual">
      <formula>0.03</formula>
    </cfRule>
    <cfRule type="cellIs" dxfId="1044" priority="294" operator="lessThanOrEqual">
      <formula>-0.03</formula>
    </cfRule>
  </conditionalFormatting>
  <conditionalFormatting sqref="BX53:BZ53">
    <cfRule type="cellIs" dxfId="1043" priority="285" operator="greaterThanOrEqual">
      <formula>0.03</formula>
    </cfRule>
    <cfRule type="cellIs" dxfId="1042" priority="286" operator="lessThanOrEqual">
      <formula>-0.03</formula>
    </cfRule>
  </conditionalFormatting>
  <conditionalFormatting sqref="CA53">
    <cfRule type="cellIs" dxfId="1041" priority="283" operator="greaterThanOrEqual">
      <formula>0.03</formula>
    </cfRule>
    <cfRule type="cellIs" dxfId="1040" priority="284" operator="lessThanOrEqual">
      <formula>-0.03</formula>
    </cfRule>
  </conditionalFormatting>
  <conditionalFormatting sqref="CC53:CE53">
    <cfRule type="cellIs" dxfId="1039" priority="287" operator="greaterThanOrEqual">
      <formula>0.03</formula>
    </cfRule>
    <cfRule type="cellIs" dxfId="1038" priority="288" operator="lessThanOrEqual">
      <formula>-0.03</formula>
    </cfRule>
  </conditionalFormatting>
  <conditionalFormatting sqref="BD59:BF59">
    <cfRule type="cellIs" dxfId="1037" priority="279" operator="greaterThanOrEqual">
      <formula>0.03</formula>
    </cfRule>
    <cfRule type="cellIs" dxfId="1036" priority="280" operator="lessThanOrEqual">
      <formula>-0.03</formula>
    </cfRule>
  </conditionalFormatting>
  <conditionalFormatting sqref="BG59">
    <cfRule type="cellIs" dxfId="1035" priority="277" operator="greaterThanOrEqual">
      <formula>0.03</formula>
    </cfRule>
    <cfRule type="cellIs" dxfId="1034" priority="278" operator="lessThanOrEqual">
      <formula>-0.03</formula>
    </cfRule>
  </conditionalFormatting>
  <conditionalFormatting sqref="BL59">
    <cfRule type="cellIs" dxfId="1033" priority="275" operator="greaterThanOrEqual">
      <formula>0.03</formula>
    </cfRule>
    <cfRule type="cellIs" dxfId="1032" priority="276" operator="lessThanOrEqual">
      <formula>-0.03</formula>
    </cfRule>
  </conditionalFormatting>
  <conditionalFormatting sqref="BI59:BK59">
    <cfRule type="cellIs" dxfId="1031" priority="281" operator="greaterThanOrEqual">
      <formula>0.03</formula>
    </cfRule>
    <cfRule type="cellIs" dxfId="1030" priority="282" operator="lessThanOrEqual">
      <formula>-0.03</formula>
    </cfRule>
  </conditionalFormatting>
  <conditionalFormatting sqref="BV59">
    <cfRule type="cellIs" dxfId="1029" priority="273" operator="greaterThanOrEqual">
      <formula>0.03</formula>
    </cfRule>
    <cfRule type="cellIs" dxfId="1028" priority="274" operator="lessThanOrEqual">
      <formula>-0.03</formula>
    </cfRule>
  </conditionalFormatting>
  <conditionalFormatting sqref="BN59:BP59">
    <cfRule type="cellIs" dxfId="1027" priority="269" operator="greaterThanOrEqual">
      <formula>0.03</formula>
    </cfRule>
    <cfRule type="cellIs" dxfId="1026" priority="270" operator="lessThanOrEqual">
      <formula>-0.03</formula>
    </cfRule>
  </conditionalFormatting>
  <conditionalFormatting sqref="BQ59">
    <cfRule type="cellIs" dxfId="1025" priority="267" operator="greaterThanOrEqual">
      <formula>0.03</formula>
    </cfRule>
    <cfRule type="cellIs" dxfId="1024" priority="268" operator="lessThanOrEqual">
      <formula>-0.03</formula>
    </cfRule>
  </conditionalFormatting>
  <conditionalFormatting sqref="BS59:BU59">
    <cfRule type="cellIs" dxfId="1023" priority="271" operator="greaterThanOrEqual">
      <formula>0.03</formula>
    </cfRule>
    <cfRule type="cellIs" dxfId="1022" priority="272" operator="lessThanOrEqual">
      <formula>-0.03</formula>
    </cfRule>
  </conditionalFormatting>
  <conditionalFormatting sqref="BX59:BZ59">
    <cfRule type="cellIs" dxfId="1021" priority="263" operator="greaterThanOrEqual">
      <formula>0.03</formula>
    </cfRule>
    <cfRule type="cellIs" dxfId="1020" priority="264" operator="lessThanOrEqual">
      <formula>-0.03</formula>
    </cfRule>
  </conditionalFormatting>
  <conditionalFormatting sqref="CA59">
    <cfRule type="cellIs" dxfId="1019" priority="261" operator="greaterThanOrEqual">
      <formula>0.03</formula>
    </cfRule>
    <cfRule type="cellIs" dxfId="1018" priority="262" operator="lessThanOrEqual">
      <formula>-0.03</formula>
    </cfRule>
  </conditionalFormatting>
  <conditionalFormatting sqref="CC59:CE59">
    <cfRule type="cellIs" dxfId="1017" priority="265" operator="greaterThanOrEqual">
      <formula>0.03</formula>
    </cfRule>
    <cfRule type="cellIs" dxfId="1016" priority="266" operator="lessThanOrEqual">
      <formula>-0.03</formula>
    </cfRule>
  </conditionalFormatting>
  <conditionalFormatting sqref="BL78:BL82">
    <cfRule type="cellIs" dxfId="1015" priority="235" operator="greaterThanOrEqual">
      <formula>0.03</formula>
    </cfRule>
    <cfRule type="cellIs" dxfId="1014" priority="236" operator="lessThanOrEqual">
      <formula>-0.03</formula>
    </cfRule>
  </conditionalFormatting>
  <conditionalFormatting sqref="BD66:BF70">
    <cfRule type="cellIs" dxfId="1013" priority="257" operator="greaterThanOrEqual">
      <formula>0.03</formula>
    </cfRule>
    <cfRule type="cellIs" dxfId="1012" priority="258" operator="lessThanOrEqual">
      <formula>-0.03</formula>
    </cfRule>
  </conditionalFormatting>
  <conditionalFormatting sqref="BI78:BK82">
    <cfRule type="cellIs" dxfId="1011" priority="237" operator="greaterThanOrEqual">
      <formula>0.03</formula>
    </cfRule>
    <cfRule type="cellIs" dxfId="1010" priority="238" operator="lessThanOrEqual">
      <formula>-0.03</formula>
    </cfRule>
  </conditionalFormatting>
  <conditionalFormatting sqref="AH77:AH82">
    <cfRule type="cellIs" dxfId="1009" priority="259" operator="greaterThanOrEqual">
      <formula>0.03</formula>
    </cfRule>
    <cfRule type="cellIs" dxfId="1008" priority="260" operator="lessThanOrEqual">
      <formula>-0.03</formula>
    </cfRule>
  </conditionalFormatting>
  <conditionalFormatting sqref="BL72:BL76">
    <cfRule type="cellIs" dxfId="1007" priority="239" operator="greaterThanOrEqual">
      <formula>0.03</formula>
    </cfRule>
    <cfRule type="cellIs" dxfId="1006" priority="240" operator="lessThanOrEqual">
      <formula>-0.03</formula>
    </cfRule>
  </conditionalFormatting>
  <conditionalFormatting sqref="CC66:CE70">
    <cfRule type="cellIs" dxfId="1005" priority="209" operator="greaterThanOrEqual">
      <formula>0.03</formula>
    </cfRule>
    <cfRule type="cellIs" dxfId="1004" priority="210" operator="lessThanOrEqual">
      <formula>-0.03</formula>
    </cfRule>
  </conditionalFormatting>
  <conditionalFormatting sqref="BG66:BG70">
    <cfRule type="cellIs" dxfId="1003" priority="255" operator="greaterThanOrEqual">
      <formula>0.03</formula>
    </cfRule>
    <cfRule type="cellIs" dxfId="1002" priority="256" operator="lessThanOrEqual">
      <formula>-0.03</formula>
    </cfRule>
  </conditionalFormatting>
  <conditionalFormatting sqref="BD78:BF82">
    <cfRule type="cellIs" dxfId="1001" priority="249" operator="greaterThanOrEqual">
      <formula>0.03</formula>
    </cfRule>
    <cfRule type="cellIs" dxfId="1000" priority="250" operator="lessThanOrEqual">
      <formula>-0.03</formula>
    </cfRule>
  </conditionalFormatting>
  <conditionalFormatting sqref="BI66:BK70">
    <cfRule type="cellIs" dxfId="999" priority="245" operator="greaterThanOrEqual">
      <formula>0.03</formula>
    </cfRule>
    <cfRule type="cellIs" dxfId="998" priority="246" operator="lessThanOrEqual">
      <formula>-0.03</formula>
    </cfRule>
  </conditionalFormatting>
  <conditionalFormatting sqref="BD72:BF76">
    <cfRule type="cellIs" dxfId="997" priority="253" operator="greaterThanOrEqual">
      <formula>0.03</formula>
    </cfRule>
    <cfRule type="cellIs" dxfId="996" priority="254" operator="lessThanOrEqual">
      <formula>-0.03</formula>
    </cfRule>
  </conditionalFormatting>
  <conditionalFormatting sqref="BG72:BG76">
    <cfRule type="cellIs" dxfId="995" priority="251" operator="greaterThanOrEqual">
      <formula>0.03</formula>
    </cfRule>
    <cfRule type="cellIs" dxfId="994" priority="252" operator="lessThanOrEqual">
      <formula>-0.03</formula>
    </cfRule>
  </conditionalFormatting>
  <conditionalFormatting sqref="BG78:BG82">
    <cfRule type="cellIs" dxfId="993" priority="247" operator="greaterThanOrEqual">
      <formula>0.03</formula>
    </cfRule>
    <cfRule type="cellIs" dxfId="992" priority="248" operator="lessThanOrEqual">
      <formula>-0.03</formula>
    </cfRule>
  </conditionalFormatting>
  <conditionalFormatting sqref="BL66:BL70">
    <cfRule type="cellIs" dxfId="991" priority="243" operator="greaterThanOrEqual">
      <formula>0.03</formula>
    </cfRule>
    <cfRule type="cellIs" dxfId="990" priority="244" operator="lessThanOrEqual">
      <formula>-0.03</formula>
    </cfRule>
  </conditionalFormatting>
  <conditionalFormatting sqref="BI72:BK76">
    <cfRule type="cellIs" dxfId="989" priority="241" operator="greaterThanOrEqual">
      <formula>0.03</formula>
    </cfRule>
    <cfRule type="cellIs" dxfId="988" priority="242" operator="lessThanOrEqual">
      <formula>-0.03</formula>
    </cfRule>
  </conditionalFormatting>
  <conditionalFormatting sqref="BQ72:BQ76">
    <cfRule type="cellIs" dxfId="987" priority="227" operator="greaterThanOrEqual">
      <formula>0.03</formula>
    </cfRule>
    <cfRule type="cellIs" dxfId="986" priority="228" operator="lessThanOrEqual">
      <formula>-0.03</formula>
    </cfRule>
  </conditionalFormatting>
  <conditionalFormatting sqref="CA72:CA76">
    <cfRule type="cellIs" dxfId="985" priority="195" operator="greaterThanOrEqual">
      <formula>0.03</formula>
    </cfRule>
    <cfRule type="cellIs" dxfId="984" priority="196" operator="lessThanOrEqual">
      <formula>-0.03</formula>
    </cfRule>
  </conditionalFormatting>
  <conditionalFormatting sqref="BN66:BP70">
    <cfRule type="cellIs" dxfId="983" priority="233" operator="greaterThanOrEqual">
      <formula>0.03</formula>
    </cfRule>
    <cfRule type="cellIs" dxfId="982" priority="234" operator="lessThanOrEqual">
      <formula>-0.03</formula>
    </cfRule>
  </conditionalFormatting>
  <conditionalFormatting sqref="CF65">
    <cfRule type="cellIs" dxfId="981" priority="201" operator="greaterThanOrEqual">
      <formula>0.03</formula>
    </cfRule>
    <cfRule type="cellIs" dxfId="980" priority="202" operator="lessThanOrEqual">
      <formula>-0.03</formula>
    </cfRule>
  </conditionalFormatting>
  <conditionalFormatting sqref="BQ66:BQ70">
    <cfRule type="cellIs" dxfId="979" priority="231" operator="greaterThanOrEqual">
      <formula>0.03</formula>
    </cfRule>
    <cfRule type="cellIs" dxfId="978" priority="232" operator="lessThanOrEqual">
      <formula>-0.03</formula>
    </cfRule>
  </conditionalFormatting>
  <conditionalFormatting sqref="BN72:BP76">
    <cfRule type="cellIs" dxfId="977" priority="229" operator="greaterThanOrEqual">
      <formula>0.03</formula>
    </cfRule>
    <cfRule type="cellIs" dxfId="976" priority="230" operator="lessThanOrEqual">
      <formula>-0.03</formula>
    </cfRule>
  </conditionalFormatting>
  <conditionalFormatting sqref="BN78:BP82">
    <cfRule type="cellIs" dxfId="975" priority="225" operator="greaterThanOrEqual">
      <formula>0.03</formula>
    </cfRule>
    <cfRule type="cellIs" dxfId="974" priority="226" operator="lessThanOrEqual">
      <formula>-0.03</formula>
    </cfRule>
  </conditionalFormatting>
  <conditionalFormatting sqref="BQ78:BQ82">
    <cfRule type="cellIs" dxfId="973" priority="223" operator="greaterThanOrEqual">
      <formula>0.03</formula>
    </cfRule>
    <cfRule type="cellIs" dxfId="972" priority="224" operator="lessThanOrEqual">
      <formula>-0.03</formula>
    </cfRule>
  </conditionalFormatting>
  <conditionalFormatting sqref="BS66:BU70">
    <cfRule type="cellIs" dxfId="971" priority="221" operator="greaterThanOrEqual">
      <formula>0.03</formula>
    </cfRule>
    <cfRule type="cellIs" dxfId="970" priority="222" operator="lessThanOrEqual">
      <formula>-0.03</formula>
    </cfRule>
  </conditionalFormatting>
  <conditionalFormatting sqref="BV66:BV70">
    <cfRule type="cellIs" dxfId="969" priority="219" operator="greaterThanOrEqual">
      <formula>0.03</formula>
    </cfRule>
    <cfRule type="cellIs" dxfId="968" priority="220" operator="lessThanOrEqual">
      <formula>-0.03</formula>
    </cfRule>
  </conditionalFormatting>
  <conditionalFormatting sqref="BS72:BU76">
    <cfRule type="cellIs" dxfId="967" priority="217" operator="greaterThanOrEqual">
      <formula>0.03</formula>
    </cfRule>
    <cfRule type="cellIs" dxfId="966" priority="218" operator="lessThanOrEqual">
      <formula>-0.03</formula>
    </cfRule>
  </conditionalFormatting>
  <conditionalFormatting sqref="BV72:BV76">
    <cfRule type="cellIs" dxfId="965" priority="215" operator="greaterThanOrEqual">
      <formula>0.03</formula>
    </cfRule>
    <cfRule type="cellIs" dxfId="964" priority="216" operator="lessThanOrEqual">
      <formula>-0.03</formula>
    </cfRule>
  </conditionalFormatting>
  <conditionalFormatting sqref="BS78:BU82">
    <cfRule type="cellIs" dxfId="963" priority="213" operator="greaterThanOrEqual">
      <formula>0.03</formula>
    </cfRule>
    <cfRule type="cellIs" dxfId="962" priority="214" operator="lessThanOrEqual">
      <formula>-0.03</formula>
    </cfRule>
  </conditionalFormatting>
  <conditionalFormatting sqref="BV78:BV82">
    <cfRule type="cellIs" dxfId="961" priority="211" operator="greaterThanOrEqual">
      <formula>0.03</formula>
    </cfRule>
    <cfRule type="cellIs" dxfId="960" priority="212" operator="lessThanOrEqual">
      <formula>-0.03</formula>
    </cfRule>
  </conditionalFormatting>
  <conditionalFormatting sqref="BX66:BZ70">
    <cfRule type="cellIs" dxfId="959" priority="207" operator="greaterThanOrEqual">
      <formula>0.03</formula>
    </cfRule>
    <cfRule type="cellIs" dxfId="958" priority="208" operator="lessThanOrEqual">
      <formula>-0.03</formula>
    </cfRule>
  </conditionalFormatting>
  <conditionalFormatting sqref="CA66:CA70">
    <cfRule type="cellIs" dxfId="957" priority="205" operator="greaterThanOrEqual">
      <formula>0.03</formula>
    </cfRule>
    <cfRule type="cellIs" dxfId="956" priority="206" operator="lessThanOrEqual">
      <formula>-0.03</formula>
    </cfRule>
  </conditionalFormatting>
  <conditionalFormatting sqref="CF66:CF70">
    <cfRule type="cellIs" dxfId="955" priority="203" operator="greaterThanOrEqual">
      <formula>0.03</formula>
    </cfRule>
    <cfRule type="cellIs" dxfId="954" priority="204" operator="lessThanOrEqual">
      <formula>-0.03</formula>
    </cfRule>
  </conditionalFormatting>
  <conditionalFormatting sqref="CC72:CE76">
    <cfRule type="cellIs" dxfId="953" priority="199" operator="greaterThanOrEqual">
      <formula>0.03</formula>
    </cfRule>
    <cfRule type="cellIs" dxfId="952" priority="200" operator="lessThanOrEqual">
      <formula>-0.03</formula>
    </cfRule>
  </conditionalFormatting>
  <conditionalFormatting sqref="BX72:BZ76">
    <cfRule type="cellIs" dxfId="951" priority="197" operator="greaterThanOrEqual">
      <formula>0.03</formula>
    </cfRule>
    <cfRule type="cellIs" dxfId="950" priority="198" operator="lessThanOrEqual">
      <formula>-0.03</formula>
    </cfRule>
  </conditionalFormatting>
  <conditionalFormatting sqref="CF72:CF76">
    <cfRule type="cellIs" dxfId="949" priority="193" operator="greaterThanOrEqual">
      <formula>0.03</formula>
    </cfRule>
    <cfRule type="cellIs" dxfId="948" priority="194" operator="lessThanOrEqual">
      <formula>-0.03</formula>
    </cfRule>
  </conditionalFormatting>
  <conditionalFormatting sqref="CF71">
    <cfRule type="cellIs" dxfId="947" priority="191" operator="greaterThanOrEqual">
      <formula>0.03</formula>
    </cfRule>
    <cfRule type="cellIs" dxfId="946" priority="192" operator="lessThanOrEqual">
      <formula>-0.03</formula>
    </cfRule>
  </conditionalFormatting>
  <conditionalFormatting sqref="CC78:CE82">
    <cfRule type="cellIs" dxfId="945" priority="189" operator="greaterThanOrEqual">
      <formula>0.03</formula>
    </cfRule>
    <cfRule type="cellIs" dxfId="944" priority="190" operator="lessThanOrEqual">
      <formula>-0.03</formula>
    </cfRule>
  </conditionalFormatting>
  <conditionalFormatting sqref="BX78:BZ82">
    <cfRule type="cellIs" dxfId="943" priority="187" operator="greaterThanOrEqual">
      <formula>0.03</formula>
    </cfRule>
    <cfRule type="cellIs" dxfId="942" priority="188" operator="lessThanOrEqual">
      <formula>-0.03</formula>
    </cfRule>
  </conditionalFormatting>
  <conditionalFormatting sqref="CA78:CA82">
    <cfRule type="cellIs" dxfId="941" priority="185" operator="greaterThanOrEqual">
      <formula>0.03</formula>
    </cfRule>
    <cfRule type="cellIs" dxfId="940" priority="186" operator="lessThanOrEqual">
      <formula>-0.03</formula>
    </cfRule>
  </conditionalFormatting>
  <conditionalFormatting sqref="CF78:CF82">
    <cfRule type="cellIs" dxfId="939" priority="183" operator="greaterThanOrEqual">
      <formula>0.03</formula>
    </cfRule>
    <cfRule type="cellIs" dxfId="938" priority="184" operator="lessThanOrEqual">
      <formula>-0.03</formula>
    </cfRule>
  </conditionalFormatting>
  <conditionalFormatting sqref="CF77">
    <cfRule type="cellIs" dxfId="937" priority="181" operator="greaterThanOrEqual">
      <formula>0.03</formula>
    </cfRule>
    <cfRule type="cellIs" dxfId="936" priority="182" operator="lessThanOrEqual">
      <formula>-0.03</formula>
    </cfRule>
  </conditionalFormatting>
  <conditionalFormatting sqref="BD65:BF65">
    <cfRule type="cellIs" dxfId="935" priority="177" operator="greaterThanOrEqual">
      <formula>0.03</formula>
    </cfRule>
    <cfRule type="cellIs" dxfId="934" priority="178" operator="lessThanOrEqual">
      <formula>-0.03</formula>
    </cfRule>
  </conditionalFormatting>
  <conditionalFormatting sqref="BG65">
    <cfRule type="cellIs" dxfId="933" priority="175" operator="greaterThanOrEqual">
      <formula>0.03</formula>
    </cfRule>
    <cfRule type="cellIs" dxfId="932" priority="176" operator="lessThanOrEqual">
      <formula>-0.03</formula>
    </cfRule>
  </conditionalFormatting>
  <conditionalFormatting sqref="BL65">
    <cfRule type="cellIs" dxfId="931" priority="173" operator="greaterThanOrEqual">
      <formula>0.03</formula>
    </cfRule>
    <cfRule type="cellIs" dxfId="930" priority="174" operator="lessThanOrEqual">
      <formula>-0.03</formula>
    </cfRule>
  </conditionalFormatting>
  <conditionalFormatting sqref="BI65:BK65">
    <cfRule type="cellIs" dxfId="929" priority="179" operator="greaterThanOrEqual">
      <formula>0.03</formula>
    </cfRule>
    <cfRule type="cellIs" dxfId="928" priority="180" operator="lessThanOrEqual">
      <formula>-0.03</formula>
    </cfRule>
  </conditionalFormatting>
  <conditionalFormatting sqref="BV65">
    <cfRule type="cellIs" dxfId="927" priority="171" operator="greaterThanOrEqual">
      <formula>0.03</formula>
    </cfRule>
    <cfRule type="cellIs" dxfId="926" priority="172" operator="lessThanOrEqual">
      <formula>-0.03</formula>
    </cfRule>
  </conditionalFormatting>
  <conditionalFormatting sqref="BN65:BP65">
    <cfRule type="cellIs" dxfId="925" priority="167" operator="greaterThanOrEqual">
      <formula>0.03</formula>
    </cfRule>
    <cfRule type="cellIs" dxfId="924" priority="168" operator="lessThanOrEqual">
      <formula>-0.03</formula>
    </cfRule>
  </conditionalFormatting>
  <conditionalFormatting sqref="BQ65">
    <cfRule type="cellIs" dxfId="923" priority="165" operator="greaterThanOrEqual">
      <formula>0.03</formula>
    </cfRule>
    <cfRule type="cellIs" dxfId="922" priority="166" operator="lessThanOrEqual">
      <formula>-0.03</formula>
    </cfRule>
  </conditionalFormatting>
  <conditionalFormatting sqref="BS65:BU65">
    <cfRule type="cellIs" dxfId="921" priority="169" operator="greaterThanOrEqual">
      <formula>0.03</formula>
    </cfRule>
    <cfRule type="cellIs" dxfId="920" priority="170" operator="lessThanOrEqual">
      <formula>-0.03</formula>
    </cfRule>
  </conditionalFormatting>
  <conditionalFormatting sqref="BX65:BZ65">
    <cfRule type="cellIs" dxfId="919" priority="161" operator="greaterThanOrEqual">
      <formula>0.03</formula>
    </cfRule>
    <cfRule type="cellIs" dxfId="918" priority="162" operator="lessThanOrEqual">
      <formula>-0.03</formula>
    </cfRule>
  </conditionalFormatting>
  <conditionalFormatting sqref="CA65">
    <cfRule type="cellIs" dxfId="917" priority="159" operator="greaterThanOrEqual">
      <formula>0.03</formula>
    </cfRule>
    <cfRule type="cellIs" dxfId="916" priority="160" operator="lessThanOrEqual">
      <formula>-0.03</formula>
    </cfRule>
  </conditionalFormatting>
  <conditionalFormatting sqref="CC65:CE65">
    <cfRule type="cellIs" dxfId="915" priority="163" operator="greaterThanOrEqual">
      <formula>0.03</formula>
    </cfRule>
    <cfRule type="cellIs" dxfId="914" priority="164" operator="lessThanOrEqual">
      <formula>-0.03</formula>
    </cfRule>
  </conditionalFormatting>
  <conditionalFormatting sqref="BD71:BF71">
    <cfRule type="cellIs" dxfId="913" priority="155" operator="greaterThanOrEqual">
      <formula>0.03</formula>
    </cfRule>
    <cfRule type="cellIs" dxfId="912" priority="156" operator="lessThanOrEqual">
      <formula>-0.03</formula>
    </cfRule>
  </conditionalFormatting>
  <conditionalFormatting sqref="BG71">
    <cfRule type="cellIs" dxfId="911" priority="153" operator="greaterThanOrEqual">
      <formula>0.03</formula>
    </cfRule>
    <cfRule type="cellIs" dxfId="910" priority="154" operator="lessThanOrEqual">
      <formula>-0.03</formula>
    </cfRule>
  </conditionalFormatting>
  <conditionalFormatting sqref="BL71">
    <cfRule type="cellIs" dxfId="909" priority="151" operator="greaterThanOrEqual">
      <formula>0.03</formula>
    </cfRule>
    <cfRule type="cellIs" dxfId="908" priority="152" operator="lessThanOrEqual">
      <formula>-0.03</formula>
    </cfRule>
  </conditionalFormatting>
  <conditionalFormatting sqref="BI71:BK71">
    <cfRule type="cellIs" dxfId="907" priority="157" operator="greaterThanOrEqual">
      <formula>0.03</formula>
    </cfRule>
    <cfRule type="cellIs" dxfId="906" priority="158" operator="lessThanOrEqual">
      <formula>-0.03</formula>
    </cfRule>
  </conditionalFormatting>
  <conditionalFormatting sqref="BV71">
    <cfRule type="cellIs" dxfId="905" priority="149" operator="greaterThanOrEqual">
      <formula>0.03</formula>
    </cfRule>
    <cfRule type="cellIs" dxfId="904" priority="150" operator="lessThanOrEqual">
      <formula>-0.03</formula>
    </cfRule>
  </conditionalFormatting>
  <conditionalFormatting sqref="BN71:BP71">
    <cfRule type="cellIs" dxfId="903" priority="145" operator="greaterThanOrEqual">
      <formula>0.03</formula>
    </cfRule>
    <cfRule type="cellIs" dxfId="902" priority="146" operator="lessThanOrEqual">
      <formula>-0.03</formula>
    </cfRule>
  </conditionalFormatting>
  <conditionalFormatting sqref="BQ71">
    <cfRule type="cellIs" dxfId="901" priority="143" operator="greaterThanOrEqual">
      <formula>0.03</formula>
    </cfRule>
    <cfRule type="cellIs" dxfId="900" priority="144" operator="lessThanOrEqual">
      <formula>-0.03</formula>
    </cfRule>
  </conditionalFormatting>
  <conditionalFormatting sqref="BS71:BU71">
    <cfRule type="cellIs" dxfId="899" priority="147" operator="greaterThanOrEqual">
      <formula>0.03</formula>
    </cfRule>
    <cfRule type="cellIs" dxfId="898" priority="148" operator="lessThanOrEqual">
      <formula>-0.03</formula>
    </cfRule>
  </conditionalFormatting>
  <conditionalFormatting sqref="BX71:BZ71">
    <cfRule type="cellIs" dxfId="897" priority="139" operator="greaterThanOrEqual">
      <formula>0.03</formula>
    </cfRule>
    <cfRule type="cellIs" dxfId="896" priority="140" operator="lessThanOrEqual">
      <formula>-0.03</formula>
    </cfRule>
  </conditionalFormatting>
  <conditionalFormatting sqref="CA71">
    <cfRule type="cellIs" dxfId="895" priority="137" operator="greaterThanOrEqual">
      <formula>0.03</formula>
    </cfRule>
    <cfRule type="cellIs" dxfId="894" priority="138" operator="lessThanOrEqual">
      <formula>-0.03</formula>
    </cfRule>
  </conditionalFormatting>
  <conditionalFormatting sqref="CC71:CE71">
    <cfRule type="cellIs" dxfId="893" priority="141" operator="greaterThanOrEqual">
      <formula>0.03</formula>
    </cfRule>
    <cfRule type="cellIs" dxfId="892" priority="142" operator="lessThanOrEqual">
      <formula>-0.03</formula>
    </cfRule>
  </conditionalFormatting>
  <conditionalFormatting sqref="BD77:BF77">
    <cfRule type="cellIs" dxfId="891" priority="133" operator="greaterThanOrEqual">
      <formula>0.03</formula>
    </cfRule>
    <cfRule type="cellIs" dxfId="890" priority="134" operator="lessThanOrEqual">
      <formula>-0.03</formula>
    </cfRule>
  </conditionalFormatting>
  <conditionalFormatting sqref="BG77">
    <cfRule type="cellIs" dxfId="889" priority="131" operator="greaterThanOrEqual">
      <formula>0.03</formula>
    </cfRule>
    <cfRule type="cellIs" dxfId="888" priority="132" operator="lessThanOrEqual">
      <formula>-0.03</formula>
    </cfRule>
  </conditionalFormatting>
  <conditionalFormatting sqref="BL77">
    <cfRule type="cellIs" dxfId="887" priority="129" operator="greaterThanOrEqual">
      <formula>0.03</formula>
    </cfRule>
    <cfRule type="cellIs" dxfId="886" priority="130" operator="lessThanOrEqual">
      <formula>-0.03</formula>
    </cfRule>
  </conditionalFormatting>
  <conditionalFormatting sqref="BI77:BK77">
    <cfRule type="cellIs" dxfId="885" priority="135" operator="greaterThanOrEqual">
      <formula>0.03</formula>
    </cfRule>
    <cfRule type="cellIs" dxfId="884" priority="136" operator="lessThanOrEqual">
      <formula>-0.03</formula>
    </cfRule>
  </conditionalFormatting>
  <conditionalFormatting sqref="BV77">
    <cfRule type="cellIs" dxfId="883" priority="127" operator="greaterThanOrEqual">
      <formula>0.03</formula>
    </cfRule>
    <cfRule type="cellIs" dxfId="882" priority="128" operator="lessThanOrEqual">
      <formula>-0.03</formula>
    </cfRule>
  </conditionalFormatting>
  <conditionalFormatting sqref="BN77:BP77">
    <cfRule type="cellIs" dxfId="881" priority="123" operator="greaterThanOrEqual">
      <formula>0.03</formula>
    </cfRule>
    <cfRule type="cellIs" dxfId="880" priority="124" operator="lessThanOrEqual">
      <formula>-0.03</formula>
    </cfRule>
  </conditionalFormatting>
  <conditionalFormatting sqref="BQ77">
    <cfRule type="cellIs" dxfId="879" priority="121" operator="greaterThanOrEqual">
      <formula>0.03</formula>
    </cfRule>
    <cfRule type="cellIs" dxfId="878" priority="122" operator="lessThanOrEqual">
      <formula>-0.03</formula>
    </cfRule>
  </conditionalFormatting>
  <conditionalFormatting sqref="BS77:BU77">
    <cfRule type="cellIs" dxfId="877" priority="125" operator="greaterThanOrEqual">
      <formula>0.03</formula>
    </cfRule>
    <cfRule type="cellIs" dxfId="876" priority="126" operator="lessThanOrEqual">
      <formula>-0.03</formula>
    </cfRule>
  </conditionalFormatting>
  <conditionalFormatting sqref="BX77:BZ77">
    <cfRule type="cellIs" dxfId="875" priority="117" operator="greaterThanOrEqual">
      <formula>0.03</formula>
    </cfRule>
    <cfRule type="cellIs" dxfId="874" priority="118" operator="lessThanOrEqual">
      <formula>-0.03</formula>
    </cfRule>
  </conditionalFormatting>
  <conditionalFormatting sqref="CA77">
    <cfRule type="cellIs" dxfId="873" priority="115" operator="greaterThanOrEqual">
      <formula>0.03</formula>
    </cfRule>
    <cfRule type="cellIs" dxfId="872" priority="116" operator="lessThanOrEqual">
      <formula>-0.03</formula>
    </cfRule>
  </conditionalFormatting>
  <conditionalFormatting sqref="CC77:CE77">
    <cfRule type="cellIs" dxfId="871" priority="119" operator="greaterThanOrEqual">
      <formula>0.03</formula>
    </cfRule>
    <cfRule type="cellIs" dxfId="870" priority="120" operator="lessThanOrEqual">
      <formula>-0.03</formula>
    </cfRule>
  </conditionalFormatting>
  <conditionalFormatting sqref="M65:M76">
    <cfRule type="cellIs" dxfId="869" priority="113" operator="greaterThanOrEqual">
      <formula>0.03</formula>
    </cfRule>
    <cfRule type="cellIs" dxfId="868" priority="114" operator="lessThanOrEqual">
      <formula>-0.03</formula>
    </cfRule>
  </conditionalFormatting>
  <conditionalFormatting sqref="L83:L100">
    <cfRule type="cellIs" dxfId="867" priority="111" operator="greaterThanOrEqual">
      <formula>0.03</formula>
    </cfRule>
    <cfRule type="cellIs" dxfId="866" priority="112" operator="lessThanOrEqual">
      <formula>-0.03</formula>
    </cfRule>
  </conditionalFormatting>
  <conditionalFormatting sqref="L101:L106">
    <cfRule type="cellIs" dxfId="865" priority="109" operator="greaterThanOrEqual">
      <formula>0.03</formula>
    </cfRule>
    <cfRule type="cellIs" dxfId="864" priority="110" operator="lessThanOrEqual">
      <formula>-0.03</formula>
    </cfRule>
  </conditionalFormatting>
  <conditionalFormatting sqref="L107:L112">
    <cfRule type="cellIs" dxfId="863" priority="107" operator="greaterThanOrEqual">
      <formula>0.03</formula>
    </cfRule>
    <cfRule type="cellIs" dxfId="862" priority="108" operator="lessThanOrEqual">
      <formula>-0.03</formula>
    </cfRule>
  </conditionalFormatting>
  <conditionalFormatting sqref="M131:M136">
    <cfRule type="cellIs" dxfId="861" priority="103" operator="greaterThanOrEqual">
      <formula>0.03</formula>
    </cfRule>
    <cfRule type="cellIs" dxfId="860" priority="104" operator="lessThanOrEqual">
      <formula>-0.03</formula>
    </cfRule>
  </conditionalFormatting>
  <conditionalFormatting sqref="M113:M130">
    <cfRule type="cellIs" dxfId="859" priority="105" operator="greaterThanOrEqual">
      <formula>0.03</formula>
    </cfRule>
    <cfRule type="cellIs" dxfId="858" priority="106" operator="lessThanOrEqual">
      <formula>-0.03</formula>
    </cfRule>
  </conditionalFormatting>
  <conditionalFormatting sqref="L23:L40">
    <cfRule type="cellIs" dxfId="857" priority="101" operator="greaterThanOrEqual">
      <formula>0.03</formula>
    </cfRule>
    <cfRule type="cellIs" dxfId="856" priority="102" operator="lessThanOrEqual">
      <formula>-0.03</formula>
    </cfRule>
  </conditionalFormatting>
  <conditionalFormatting sqref="L5:L22">
    <cfRule type="cellIs" dxfId="855" priority="99" operator="greaterThanOrEqual">
      <formula>0.03</formula>
    </cfRule>
    <cfRule type="cellIs" dxfId="854" priority="100" operator="lessThanOrEqual">
      <formula>-0.03</formula>
    </cfRule>
  </conditionalFormatting>
  <conditionalFormatting sqref="M59:M64">
    <cfRule type="cellIs" dxfId="853" priority="95" operator="greaterThanOrEqual">
      <formula>0.03</formula>
    </cfRule>
    <cfRule type="cellIs" dxfId="852" priority="96" operator="lessThanOrEqual">
      <formula>-0.03</formula>
    </cfRule>
  </conditionalFormatting>
  <conditionalFormatting sqref="M41:M58">
    <cfRule type="cellIs" dxfId="851" priority="97" operator="greaterThanOrEqual">
      <formula>0.03</formula>
    </cfRule>
    <cfRule type="cellIs" dxfId="850" priority="98" operator="lessThanOrEqual">
      <formula>-0.03</formula>
    </cfRule>
  </conditionalFormatting>
  <conditionalFormatting sqref="M77:M82">
    <cfRule type="cellIs" dxfId="849" priority="93" operator="greaterThanOrEqual">
      <formula>0.03</formula>
    </cfRule>
    <cfRule type="cellIs" dxfId="848" priority="94" operator="lessThanOrEqual">
      <formula>-0.03</formula>
    </cfRule>
  </conditionalFormatting>
  <conditionalFormatting sqref="BA137:CF142">
    <cfRule type="cellIs" dxfId="847" priority="91" operator="greaterThanOrEqual">
      <formula>0.03</formula>
    </cfRule>
    <cfRule type="cellIs" dxfId="846" priority="92" operator="lessThanOrEqual">
      <formula>-0.03</formula>
    </cfRule>
  </conditionalFormatting>
  <conditionalFormatting sqref="AY137:AZ142">
    <cfRule type="cellIs" dxfId="845" priority="89" operator="greaterThanOrEqual">
      <formula>1.03</formula>
    </cfRule>
    <cfRule type="cellIs" dxfId="844" priority="90" operator="lessThanOrEqual">
      <formula>0.97</formula>
    </cfRule>
  </conditionalFormatting>
  <conditionalFormatting sqref="T5:V22">
    <cfRule type="cellIs" dxfId="843" priority="63" operator="greaterThanOrEqual">
      <formula>0.03</formula>
    </cfRule>
    <cfRule type="cellIs" dxfId="842" priority="64" operator="lessThanOrEqual">
      <formula>-0.03</formula>
    </cfRule>
  </conditionalFormatting>
  <conditionalFormatting sqref="W113:W130">
    <cfRule type="cellIs" dxfId="841" priority="71" operator="greaterThanOrEqual">
      <formula>0.03</formula>
    </cfRule>
    <cfRule type="cellIs" dxfId="840" priority="72" operator="lessThanOrEqual">
      <formula>-0.03</formula>
    </cfRule>
  </conditionalFormatting>
  <conditionalFormatting sqref="T107:V112">
    <cfRule type="cellIs" dxfId="839" priority="79" operator="greaterThanOrEqual">
      <formula>0.03</formula>
    </cfRule>
    <cfRule type="cellIs" dxfId="838" priority="80" operator="lessThanOrEqual">
      <formula>-0.03</formula>
    </cfRule>
  </conditionalFormatting>
  <conditionalFormatting sqref="T83:V100">
    <cfRule type="cellIs" dxfId="837" priority="87" operator="greaterThanOrEqual">
      <formula>0.03</formula>
    </cfRule>
    <cfRule type="cellIs" dxfId="836" priority="88" operator="lessThanOrEqual">
      <formula>-0.03</formula>
    </cfRule>
  </conditionalFormatting>
  <conditionalFormatting sqref="R83:R100">
    <cfRule type="cellIs" dxfId="835" priority="85" operator="greaterThanOrEqual">
      <formula>0.03</formula>
    </cfRule>
    <cfRule type="cellIs" dxfId="834" priority="86" operator="lessThanOrEqual">
      <formula>-0.03</formula>
    </cfRule>
  </conditionalFormatting>
  <conditionalFormatting sqref="T101:V106">
    <cfRule type="cellIs" dxfId="833" priority="83" operator="greaterThanOrEqual">
      <formula>0.03</formula>
    </cfRule>
    <cfRule type="cellIs" dxfId="832" priority="84" operator="lessThanOrEqual">
      <formula>-0.03</formula>
    </cfRule>
  </conditionalFormatting>
  <conditionalFormatting sqref="R101:R106">
    <cfRule type="cellIs" dxfId="831" priority="81" operator="greaterThanOrEqual">
      <formula>0.03</formula>
    </cfRule>
    <cfRule type="cellIs" dxfId="830" priority="82" operator="lessThanOrEqual">
      <formula>-0.03</formula>
    </cfRule>
  </conditionalFormatting>
  <conditionalFormatting sqref="R107:R112">
    <cfRule type="cellIs" dxfId="829" priority="77" operator="greaterThanOrEqual">
      <formula>0.03</formula>
    </cfRule>
    <cfRule type="cellIs" dxfId="828" priority="78" operator="lessThanOrEqual">
      <formula>-0.03</formula>
    </cfRule>
  </conditionalFormatting>
  <conditionalFormatting sqref="S113:S130">
    <cfRule type="cellIs" dxfId="827" priority="75" operator="greaterThanOrEqual">
      <formula>0.03</formula>
    </cfRule>
    <cfRule type="cellIs" dxfId="826" priority="76" operator="lessThanOrEqual">
      <formula>-0.03</formula>
    </cfRule>
  </conditionalFormatting>
  <conditionalFormatting sqref="S131:S136">
    <cfRule type="cellIs" dxfId="825" priority="73" operator="greaterThanOrEqual">
      <formula>0.03</formula>
    </cfRule>
    <cfRule type="cellIs" dxfId="824" priority="74" operator="lessThanOrEqual">
      <formula>-0.03</formula>
    </cfRule>
  </conditionalFormatting>
  <conditionalFormatting sqref="W131:W136">
    <cfRule type="cellIs" dxfId="823" priority="69" operator="greaterThanOrEqual">
      <formula>0.03</formula>
    </cfRule>
    <cfRule type="cellIs" dxfId="822" priority="70" operator="lessThanOrEqual">
      <formula>-0.03</formula>
    </cfRule>
  </conditionalFormatting>
  <conditionalFormatting sqref="T29:V40">
    <cfRule type="cellIs" dxfId="821" priority="67" operator="greaterThanOrEqual">
      <formula>0.03</formula>
    </cfRule>
    <cfRule type="cellIs" dxfId="820" priority="68" operator="lessThanOrEqual">
      <formula>-0.03</formula>
    </cfRule>
  </conditionalFormatting>
  <conditionalFormatting sqref="R29:R40">
    <cfRule type="cellIs" dxfId="819" priority="65" operator="greaterThanOrEqual">
      <formula>0.03</formula>
    </cfRule>
    <cfRule type="cellIs" dxfId="818" priority="66" operator="lessThanOrEqual">
      <formula>-0.03</formula>
    </cfRule>
  </conditionalFormatting>
  <conditionalFormatting sqref="R5:R22">
    <cfRule type="cellIs" dxfId="817" priority="61" operator="greaterThanOrEqual">
      <formula>0.03</formula>
    </cfRule>
    <cfRule type="cellIs" dxfId="816" priority="62" operator="lessThanOrEqual">
      <formula>-0.03</formula>
    </cfRule>
  </conditionalFormatting>
  <conditionalFormatting sqref="T23:V28">
    <cfRule type="cellIs" dxfId="815" priority="59" operator="greaterThanOrEqual">
      <formula>0.03</formula>
    </cfRule>
    <cfRule type="cellIs" dxfId="814" priority="60" operator="lessThanOrEqual">
      <formula>-0.03</formula>
    </cfRule>
  </conditionalFormatting>
  <conditionalFormatting sqref="R23:R28">
    <cfRule type="cellIs" dxfId="813" priority="57" operator="greaterThanOrEqual">
      <formula>0.03</formula>
    </cfRule>
    <cfRule type="cellIs" dxfId="812" priority="58" operator="lessThanOrEqual">
      <formula>-0.03</formula>
    </cfRule>
  </conditionalFormatting>
  <conditionalFormatting sqref="S41:S46">
    <cfRule type="cellIs" dxfId="811" priority="55" operator="greaterThanOrEqual">
      <formula>0.03</formula>
    </cfRule>
    <cfRule type="cellIs" dxfId="810" priority="56" operator="lessThanOrEqual">
      <formula>-0.03</formula>
    </cfRule>
  </conditionalFormatting>
  <conditionalFormatting sqref="W41:W46">
    <cfRule type="cellIs" dxfId="809" priority="53" operator="greaterThanOrEqual">
      <formula>0.03</formula>
    </cfRule>
    <cfRule type="cellIs" dxfId="808" priority="54" operator="lessThanOrEqual">
      <formula>-0.03</formula>
    </cfRule>
  </conditionalFormatting>
  <conditionalFormatting sqref="W47:W76">
    <cfRule type="cellIs" dxfId="807" priority="49" operator="greaterThanOrEqual">
      <formula>0.03</formula>
    </cfRule>
    <cfRule type="cellIs" dxfId="806" priority="50" operator="lessThanOrEqual">
      <formula>-0.03</formula>
    </cfRule>
  </conditionalFormatting>
  <conditionalFormatting sqref="S47:S76">
    <cfRule type="cellIs" dxfId="805" priority="51" operator="greaterThanOrEqual">
      <formula>0.03</formula>
    </cfRule>
    <cfRule type="cellIs" dxfId="804" priority="52" operator="lessThanOrEqual">
      <formula>-0.03</formula>
    </cfRule>
  </conditionalFormatting>
  <conditionalFormatting sqref="S77:S82">
    <cfRule type="cellIs" dxfId="803" priority="47" operator="greaterThanOrEqual">
      <formula>0.03</formula>
    </cfRule>
    <cfRule type="cellIs" dxfId="802" priority="48" operator="lessThanOrEqual">
      <formula>-0.03</formula>
    </cfRule>
  </conditionalFormatting>
  <conditionalFormatting sqref="W77:W82">
    <cfRule type="cellIs" dxfId="801" priority="45" operator="greaterThanOrEqual">
      <formula>0.03</formula>
    </cfRule>
    <cfRule type="cellIs" dxfId="800" priority="46" operator="lessThanOrEqual">
      <formula>-0.03</formula>
    </cfRule>
  </conditionalFormatting>
  <conditionalFormatting sqref="AO5:AQ22">
    <cfRule type="cellIs" dxfId="799" priority="19" operator="greaterThanOrEqual">
      <formula>0.03</formula>
    </cfRule>
    <cfRule type="cellIs" dxfId="798" priority="20" operator="lessThanOrEqual">
      <formula>-0.03</formula>
    </cfRule>
  </conditionalFormatting>
  <conditionalFormatting sqref="AR113:AR130">
    <cfRule type="cellIs" dxfId="797" priority="27" operator="greaterThanOrEqual">
      <formula>0.03</formula>
    </cfRule>
    <cfRule type="cellIs" dxfId="796" priority="28" operator="lessThanOrEqual">
      <formula>-0.03</formula>
    </cfRule>
  </conditionalFormatting>
  <conditionalFormatting sqref="AO107:AQ112">
    <cfRule type="cellIs" dxfId="795" priority="35" operator="greaterThanOrEqual">
      <formula>0.03</formula>
    </cfRule>
    <cfRule type="cellIs" dxfId="794" priority="36" operator="lessThanOrEqual">
      <formula>-0.03</formula>
    </cfRule>
  </conditionalFormatting>
  <conditionalFormatting sqref="AO83:AQ100">
    <cfRule type="cellIs" dxfId="793" priority="43" operator="greaterThanOrEqual">
      <formula>0.03</formula>
    </cfRule>
    <cfRule type="cellIs" dxfId="792" priority="44" operator="lessThanOrEqual">
      <formula>-0.03</formula>
    </cfRule>
  </conditionalFormatting>
  <conditionalFormatting sqref="AM83:AM100">
    <cfRule type="cellIs" dxfId="791" priority="41" operator="greaterThanOrEqual">
      <formula>0.03</formula>
    </cfRule>
    <cfRule type="cellIs" dxfId="790" priority="42" operator="lessThanOrEqual">
      <formula>-0.03</formula>
    </cfRule>
  </conditionalFormatting>
  <conditionalFormatting sqref="AO101:AQ106">
    <cfRule type="cellIs" dxfId="789" priority="39" operator="greaterThanOrEqual">
      <formula>0.03</formula>
    </cfRule>
    <cfRule type="cellIs" dxfId="788" priority="40" operator="lessThanOrEqual">
      <formula>-0.03</formula>
    </cfRule>
  </conditionalFormatting>
  <conditionalFormatting sqref="AM101:AM106">
    <cfRule type="cellIs" dxfId="787" priority="37" operator="greaterThanOrEqual">
      <formula>0.03</formula>
    </cfRule>
    <cfRule type="cellIs" dxfId="786" priority="38" operator="lessThanOrEqual">
      <formula>-0.03</formula>
    </cfRule>
  </conditionalFormatting>
  <conditionalFormatting sqref="AM107:AM112">
    <cfRule type="cellIs" dxfId="785" priority="33" operator="greaterThanOrEqual">
      <formula>0.03</formula>
    </cfRule>
    <cfRule type="cellIs" dxfId="784" priority="34" operator="lessThanOrEqual">
      <formula>-0.03</formula>
    </cfRule>
  </conditionalFormatting>
  <conditionalFormatting sqref="AN113:AN130">
    <cfRule type="cellIs" dxfId="783" priority="31" operator="greaterThanOrEqual">
      <formula>0.03</formula>
    </cfRule>
    <cfRule type="cellIs" dxfId="782" priority="32" operator="lessThanOrEqual">
      <formula>-0.03</formula>
    </cfRule>
  </conditionalFormatting>
  <conditionalFormatting sqref="AN131:AN136">
    <cfRule type="cellIs" dxfId="781" priority="29" operator="greaterThanOrEqual">
      <formula>0.03</formula>
    </cfRule>
    <cfRule type="cellIs" dxfId="780" priority="30" operator="lessThanOrEqual">
      <formula>-0.03</formula>
    </cfRule>
  </conditionalFormatting>
  <conditionalFormatting sqref="AR131:AR136">
    <cfRule type="cellIs" dxfId="779" priority="25" operator="greaterThanOrEqual">
      <formula>0.03</formula>
    </cfRule>
    <cfRule type="cellIs" dxfId="778" priority="26" operator="lessThanOrEqual">
      <formula>-0.03</formula>
    </cfRule>
  </conditionalFormatting>
  <conditionalFormatting sqref="AO29:AQ40">
    <cfRule type="cellIs" dxfId="777" priority="23" operator="greaterThanOrEqual">
      <formula>0.03</formula>
    </cfRule>
    <cfRule type="cellIs" dxfId="776" priority="24" operator="lessThanOrEqual">
      <formula>-0.03</formula>
    </cfRule>
  </conditionalFormatting>
  <conditionalFormatting sqref="AM29:AM40">
    <cfRule type="cellIs" dxfId="775" priority="21" operator="greaterThanOrEqual">
      <formula>0.03</formula>
    </cfRule>
    <cfRule type="cellIs" dxfId="774" priority="22" operator="lessThanOrEqual">
      <formula>-0.03</formula>
    </cfRule>
  </conditionalFormatting>
  <conditionalFormatting sqref="AM5:AM22">
    <cfRule type="cellIs" dxfId="773" priority="17" operator="greaterThanOrEqual">
      <formula>0.03</formula>
    </cfRule>
    <cfRule type="cellIs" dxfId="772" priority="18" operator="lessThanOrEqual">
      <formula>-0.03</formula>
    </cfRule>
  </conditionalFormatting>
  <conditionalFormatting sqref="AO23:AQ28">
    <cfRule type="cellIs" dxfId="771" priority="15" operator="greaterThanOrEqual">
      <formula>0.03</formula>
    </cfRule>
    <cfRule type="cellIs" dxfId="770" priority="16" operator="lessThanOrEqual">
      <formula>-0.03</formula>
    </cfRule>
  </conditionalFormatting>
  <conditionalFormatting sqref="AM23:AM28">
    <cfRule type="cellIs" dxfId="769" priority="13" operator="greaterThanOrEqual">
      <formula>0.03</formula>
    </cfRule>
    <cfRule type="cellIs" dxfId="768" priority="14" operator="lessThanOrEqual">
      <formula>-0.03</formula>
    </cfRule>
  </conditionalFormatting>
  <conditionalFormatting sqref="AN41:AN46">
    <cfRule type="cellIs" dxfId="767" priority="11" operator="greaterThanOrEqual">
      <formula>0.03</formula>
    </cfRule>
    <cfRule type="cellIs" dxfId="766" priority="12" operator="lessThanOrEqual">
      <formula>-0.03</formula>
    </cfRule>
  </conditionalFormatting>
  <conditionalFormatting sqref="AR41:AR46">
    <cfRule type="cellIs" dxfId="765" priority="9" operator="greaterThanOrEqual">
      <formula>0.03</formula>
    </cfRule>
    <cfRule type="cellIs" dxfId="764" priority="10" operator="lessThanOrEqual">
      <formula>-0.03</formula>
    </cfRule>
  </conditionalFormatting>
  <conditionalFormatting sqref="AR47:AR76">
    <cfRule type="cellIs" dxfId="763" priority="5" operator="greaterThanOrEqual">
      <formula>0.03</formula>
    </cfRule>
    <cfRule type="cellIs" dxfId="762" priority="6" operator="lessThanOrEqual">
      <formula>-0.03</formula>
    </cfRule>
  </conditionalFormatting>
  <conditionalFormatting sqref="AN47:AN76">
    <cfRule type="cellIs" dxfId="761" priority="7" operator="greaterThanOrEqual">
      <formula>0.03</formula>
    </cfRule>
    <cfRule type="cellIs" dxfId="760" priority="8" operator="lessThanOrEqual">
      <formula>-0.03</formula>
    </cfRule>
  </conditionalFormatting>
  <conditionalFormatting sqref="AN77:AN82">
    <cfRule type="cellIs" dxfId="759" priority="3" operator="greaterThanOrEqual">
      <formula>0.03</formula>
    </cfRule>
    <cfRule type="cellIs" dxfId="758" priority="4" operator="lessThanOrEqual">
      <formula>-0.03</formula>
    </cfRule>
  </conditionalFormatting>
  <conditionalFormatting sqref="AR77:AR82">
    <cfRule type="cellIs" dxfId="757" priority="1" operator="greaterThanOrEqual">
      <formula>0.03</formula>
    </cfRule>
    <cfRule type="cellIs" dxfId="756" priority="2" operator="lessThanOrEqual">
      <formula>-0.03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D126"/>
  <sheetViews>
    <sheetView workbookViewId="0">
      <selection sqref="A1:G1"/>
    </sheetView>
  </sheetViews>
  <sheetFormatPr defaultColWidth="9" defaultRowHeight="13.5" outlineLevelRow="2"/>
  <cols>
    <col min="1" max="1" width="9" style="1"/>
    <col min="2" max="2" width="24.875" style="1" customWidth="1"/>
    <col min="3" max="3" width="9" style="1"/>
    <col min="4" max="5" width="10.875" style="1" customWidth="1"/>
    <col min="6" max="7" width="9" style="1"/>
    <col min="8" max="8" width="1.875" style="251" customWidth="1"/>
    <col min="9" max="9" width="9" style="1"/>
    <col min="10" max="12" width="10.875" style="1" customWidth="1"/>
    <col min="13" max="13" width="11.875" style="1" customWidth="1"/>
    <col min="14" max="14" width="12.875" style="1" customWidth="1"/>
    <col min="15" max="15" width="10.875" style="1" customWidth="1"/>
    <col min="16" max="19" width="12.875" style="1" customWidth="1"/>
    <col min="20" max="27" width="11.875" style="1" customWidth="1"/>
    <col min="28" max="32" width="9" style="1"/>
    <col min="33" max="33" width="1.875" style="1" customWidth="1"/>
    <col min="34" max="34" width="9" style="1"/>
    <col min="35" max="37" width="10.875" style="1" customWidth="1"/>
    <col min="38" max="38" width="11.875" style="1" customWidth="1"/>
    <col min="39" max="39" width="12.875" style="1" customWidth="1"/>
    <col min="40" max="40" width="10.875" style="1" customWidth="1"/>
    <col min="41" max="44" width="12.875" style="1" customWidth="1"/>
    <col min="45" max="52" width="11.875" style="1" customWidth="1"/>
    <col min="53" max="57" width="9" style="1"/>
    <col min="58" max="58" width="1.875" style="1" customWidth="1"/>
    <col min="59" max="62" width="9" style="1"/>
    <col min="63" max="63" width="1.875" style="1" customWidth="1"/>
    <col min="64" max="67" width="11.875" style="1" customWidth="1"/>
    <col min="68" max="68" width="1.875" style="1" customWidth="1"/>
    <col min="69" max="72" width="11.875" style="1" customWidth="1"/>
    <col min="73" max="73" width="1.875" style="1" customWidth="1"/>
    <col min="74" max="77" width="11.875" style="1" customWidth="1"/>
    <col min="78" max="78" width="1.875" style="1" customWidth="1"/>
    <col min="79" max="82" width="11.875" style="1" customWidth="1"/>
    <col min="83" max="83" width="1.875" style="1" customWidth="1"/>
    <col min="84" max="16384" width="9" style="1"/>
  </cols>
  <sheetData>
    <row r="1" spans="1:82" ht="14.25" thickBot="1">
      <c r="A1" s="702" t="s">
        <v>1381</v>
      </c>
      <c r="B1" s="703"/>
      <c r="C1" s="703"/>
      <c r="D1" s="703"/>
      <c r="E1" s="703"/>
      <c r="F1" s="703"/>
      <c r="G1" s="704"/>
      <c r="I1" s="757" t="s">
        <v>1000</v>
      </c>
      <c r="J1" s="758"/>
      <c r="K1" s="758"/>
      <c r="L1" s="758"/>
      <c r="M1" s="758"/>
      <c r="N1" s="758"/>
      <c r="O1" s="758"/>
      <c r="P1" s="758"/>
      <c r="Q1" s="758"/>
      <c r="R1" s="758"/>
      <c r="S1" s="758"/>
      <c r="T1" s="758"/>
      <c r="U1" s="758"/>
      <c r="V1" s="758"/>
      <c r="W1" s="758"/>
      <c r="X1" s="758"/>
      <c r="Y1" s="758"/>
      <c r="Z1" s="758"/>
      <c r="AA1" s="758"/>
      <c r="AB1" s="758"/>
      <c r="AC1" s="758"/>
      <c r="AD1" s="758"/>
      <c r="AE1" s="758"/>
      <c r="AF1" s="759"/>
      <c r="AH1" s="708" t="s">
        <v>1001</v>
      </c>
      <c r="AI1" s="623"/>
      <c r="AJ1" s="623"/>
      <c r="AK1" s="623"/>
      <c r="AL1" s="623"/>
      <c r="AM1" s="623"/>
      <c r="AN1" s="623"/>
      <c r="AO1" s="623"/>
      <c r="AP1" s="623"/>
      <c r="AQ1" s="623"/>
      <c r="AR1" s="623"/>
      <c r="AS1" s="623"/>
      <c r="AT1" s="623"/>
      <c r="AU1" s="623"/>
      <c r="AV1" s="623"/>
      <c r="AW1" s="623"/>
      <c r="AX1" s="623"/>
      <c r="AY1" s="623"/>
      <c r="AZ1" s="623"/>
      <c r="BA1" s="623"/>
      <c r="BB1" s="623"/>
      <c r="BC1" s="623"/>
      <c r="BD1" s="623"/>
      <c r="BE1" s="624"/>
      <c r="BL1" s="755" t="s">
        <v>808</v>
      </c>
      <c r="BM1" s="756"/>
      <c r="BN1" s="756"/>
      <c r="BO1" s="756"/>
      <c r="BQ1" s="755" t="s">
        <v>808</v>
      </c>
      <c r="BR1" s="756"/>
      <c r="BS1" s="756"/>
      <c r="BT1" s="756"/>
      <c r="BV1" s="755" t="s">
        <v>808</v>
      </c>
      <c r="BW1" s="756"/>
      <c r="BX1" s="756"/>
      <c r="BY1" s="756"/>
      <c r="CA1" s="755" t="s">
        <v>808</v>
      </c>
      <c r="CB1" s="756"/>
      <c r="CC1" s="756"/>
      <c r="CD1" s="756"/>
    </row>
    <row r="2" spans="1:82" ht="30" customHeight="1" thickBot="1">
      <c r="A2" s="727" t="s">
        <v>48</v>
      </c>
      <c r="B2" s="721" t="s">
        <v>50</v>
      </c>
      <c r="C2" s="721" t="s">
        <v>52</v>
      </c>
      <c r="D2" s="721" t="s">
        <v>54</v>
      </c>
      <c r="E2" s="721" t="s">
        <v>990</v>
      </c>
      <c r="F2" s="721" t="s">
        <v>58</v>
      </c>
      <c r="G2" s="723" t="s">
        <v>60</v>
      </c>
      <c r="I2" s="764" t="s">
        <v>62</v>
      </c>
      <c r="J2" s="760" t="s">
        <v>64</v>
      </c>
      <c r="K2" s="760"/>
      <c r="L2" s="760"/>
      <c r="M2" s="760"/>
      <c r="N2" s="760" t="s">
        <v>496</v>
      </c>
      <c r="O2" s="760" t="s">
        <v>14</v>
      </c>
      <c r="P2" s="760" t="s">
        <v>75</v>
      </c>
      <c r="Q2" s="760"/>
      <c r="R2" s="760"/>
      <c r="S2" s="760"/>
      <c r="T2" s="760" t="s">
        <v>503</v>
      </c>
      <c r="U2" s="760"/>
      <c r="V2" s="760"/>
      <c r="W2" s="760"/>
      <c r="X2" s="760" t="s">
        <v>495</v>
      </c>
      <c r="Y2" s="760"/>
      <c r="Z2" s="760"/>
      <c r="AA2" s="760"/>
      <c r="AB2" s="760" t="s">
        <v>904</v>
      </c>
      <c r="AC2" s="760" t="s">
        <v>905</v>
      </c>
      <c r="AD2" s="760" t="s">
        <v>92</v>
      </c>
      <c r="AE2" s="760" t="s">
        <v>94</v>
      </c>
      <c r="AF2" s="761" t="s">
        <v>11</v>
      </c>
      <c r="AH2" s="719" t="s">
        <v>62</v>
      </c>
      <c r="AI2" s="713" t="s">
        <v>64</v>
      </c>
      <c r="AJ2" s="713"/>
      <c r="AK2" s="713"/>
      <c r="AL2" s="713"/>
      <c r="AM2" s="713" t="s">
        <v>496</v>
      </c>
      <c r="AN2" s="713" t="s">
        <v>14</v>
      </c>
      <c r="AO2" s="713" t="s">
        <v>75</v>
      </c>
      <c r="AP2" s="713"/>
      <c r="AQ2" s="713"/>
      <c r="AR2" s="713"/>
      <c r="AS2" s="713" t="s">
        <v>503</v>
      </c>
      <c r="AT2" s="713"/>
      <c r="AU2" s="713"/>
      <c r="AV2" s="713"/>
      <c r="AW2" s="713" t="s">
        <v>495</v>
      </c>
      <c r="AX2" s="713"/>
      <c r="AY2" s="713"/>
      <c r="AZ2" s="713"/>
      <c r="BA2" s="713" t="s">
        <v>904</v>
      </c>
      <c r="BB2" s="713" t="s">
        <v>905</v>
      </c>
      <c r="BC2" s="713" t="s">
        <v>92</v>
      </c>
      <c r="BD2" s="713" t="s">
        <v>94</v>
      </c>
      <c r="BE2" s="709" t="s">
        <v>11</v>
      </c>
      <c r="BG2" s="747" t="s">
        <v>117</v>
      </c>
      <c r="BH2" s="737" t="s">
        <v>119</v>
      </c>
      <c r="BI2" s="737" t="s">
        <v>493</v>
      </c>
      <c r="BJ2" s="739" t="s">
        <v>494</v>
      </c>
      <c r="BL2" s="741" t="s">
        <v>482</v>
      </c>
      <c r="BM2" s="742"/>
      <c r="BN2" s="742"/>
      <c r="BO2" s="743"/>
      <c r="BQ2" s="741" t="s">
        <v>992</v>
      </c>
      <c r="BR2" s="742"/>
      <c r="BS2" s="742"/>
      <c r="BT2" s="743"/>
      <c r="BV2" s="741" t="s">
        <v>126</v>
      </c>
      <c r="BW2" s="742"/>
      <c r="BX2" s="742"/>
      <c r="BY2" s="743"/>
      <c r="CA2" s="741" t="s">
        <v>497</v>
      </c>
      <c r="CB2" s="742"/>
      <c r="CC2" s="742"/>
      <c r="CD2" s="743"/>
    </row>
    <row r="3" spans="1:82" ht="27.75" thickBot="1">
      <c r="A3" s="766"/>
      <c r="B3" s="762"/>
      <c r="C3" s="762"/>
      <c r="D3" s="762"/>
      <c r="E3" s="762"/>
      <c r="F3" s="762"/>
      <c r="G3" s="763"/>
      <c r="I3" s="765"/>
      <c r="J3" s="614" t="s">
        <v>65</v>
      </c>
      <c r="K3" s="614" t="s">
        <v>67</v>
      </c>
      <c r="L3" s="614" t="s">
        <v>69</v>
      </c>
      <c r="M3" s="614" t="s">
        <v>71</v>
      </c>
      <c r="N3" s="625"/>
      <c r="O3" s="625"/>
      <c r="P3" s="614" t="s">
        <v>65</v>
      </c>
      <c r="Q3" s="614" t="s">
        <v>67</v>
      </c>
      <c r="R3" s="614" t="s">
        <v>78</v>
      </c>
      <c r="S3" s="614" t="s">
        <v>71</v>
      </c>
      <c r="T3" s="614" t="s">
        <v>81</v>
      </c>
      <c r="U3" s="614" t="s">
        <v>83</v>
      </c>
      <c r="V3" s="614" t="s">
        <v>85</v>
      </c>
      <c r="W3" s="614" t="s">
        <v>71</v>
      </c>
      <c r="X3" s="614" t="s">
        <v>81</v>
      </c>
      <c r="Y3" s="614" t="s">
        <v>83</v>
      </c>
      <c r="Z3" s="614" t="s">
        <v>85</v>
      </c>
      <c r="AA3" s="614" t="s">
        <v>71</v>
      </c>
      <c r="AB3" s="625"/>
      <c r="AC3" s="625"/>
      <c r="AD3" s="625"/>
      <c r="AE3" s="625"/>
      <c r="AF3" s="626"/>
      <c r="AH3" s="720"/>
      <c r="AI3" s="618" t="s">
        <v>65</v>
      </c>
      <c r="AJ3" s="618" t="s">
        <v>67</v>
      </c>
      <c r="AK3" s="618" t="s">
        <v>69</v>
      </c>
      <c r="AL3" s="618" t="s">
        <v>71</v>
      </c>
      <c r="AM3" s="714"/>
      <c r="AN3" s="714"/>
      <c r="AO3" s="618" t="s">
        <v>65</v>
      </c>
      <c r="AP3" s="618" t="s">
        <v>67</v>
      </c>
      <c r="AQ3" s="618" t="s">
        <v>78</v>
      </c>
      <c r="AR3" s="618" t="s">
        <v>71</v>
      </c>
      <c r="AS3" s="618" t="s">
        <v>81</v>
      </c>
      <c r="AT3" s="618" t="s">
        <v>83</v>
      </c>
      <c r="AU3" s="618" t="s">
        <v>85</v>
      </c>
      <c r="AV3" s="618" t="s">
        <v>71</v>
      </c>
      <c r="AW3" s="618" t="s">
        <v>81</v>
      </c>
      <c r="AX3" s="618" t="s">
        <v>83</v>
      </c>
      <c r="AY3" s="618" t="s">
        <v>85</v>
      </c>
      <c r="AZ3" s="618" t="s">
        <v>71</v>
      </c>
      <c r="BA3" s="714"/>
      <c r="BB3" s="714"/>
      <c r="BC3" s="714"/>
      <c r="BD3" s="714"/>
      <c r="BE3" s="710"/>
      <c r="BG3" s="748"/>
      <c r="BH3" s="738"/>
      <c r="BI3" s="738"/>
      <c r="BJ3" s="740"/>
      <c r="BL3" s="617" t="s">
        <v>81</v>
      </c>
      <c r="BM3" s="615" t="s">
        <v>83</v>
      </c>
      <c r="BN3" s="615" t="s">
        <v>85</v>
      </c>
      <c r="BO3" s="616" t="s">
        <v>71</v>
      </c>
      <c r="BQ3" s="617" t="s">
        <v>81</v>
      </c>
      <c r="BR3" s="615" t="s">
        <v>83</v>
      </c>
      <c r="BS3" s="615" t="s">
        <v>85</v>
      </c>
      <c r="BT3" s="616" t="s">
        <v>71</v>
      </c>
      <c r="BV3" s="617" t="s">
        <v>81</v>
      </c>
      <c r="BW3" s="615" t="s">
        <v>83</v>
      </c>
      <c r="BX3" s="615" t="s">
        <v>85</v>
      </c>
      <c r="BY3" s="616" t="s">
        <v>71</v>
      </c>
      <c r="CA3" s="617" t="s">
        <v>81</v>
      </c>
      <c r="CB3" s="615" t="s">
        <v>83</v>
      </c>
      <c r="CC3" s="615" t="s">
        <v>85</v>
      </c>
      <c r="CD3" s="616" t="s">
        <v>71</v>
      </c>
    </row>
    <row r="4" spans="1:82" ht="12.6" hidden="1" customHeight="1">
      <c r="A4" s="93" t="s">
        <v>49</v>
      </c>
      <c r="B4" s="94" t="s">
        <v>51</v>
      </c>
      <c r="C4" s="94" t="s">
        <v>53</v>
      </c>
      <c r="D4" s="94" t="s">
        <v>55</v>
      </c>
      <c r="E4" s="94" t="s">
        <v>57</v>
      </c>
      <c r="F4" s="94" t="s">
        <v>59</v>
      </c>
      <c r="G4" s="95" t="s">
        <v>61</v>
      </c>
      <c r="I4" s="116" t="s">
        <v>63</v>
      </c>
      <c r="J4" s="117" t="s">
        <v>66</v>
      </c>
      <c r="K4" s="117" t="s">
        <v>68</v>
      </c>
      <c r="L4" s="117" t="s">
        <v>70</v>
      </c>
      <c r="M4" s="117" t="s">
        <v>72</v>
      </c>
      <c r="N4" s="117" t="s">
        <v>73</v>
      </c>
      <c r="O4" s="117" t="s">
        <v>74</v>
      </c>
      <c r="P4" s="117" t="s">
        <v>76</v>
      </c>
      <c r="Q4" s="117" t="s">
        <v>77</v>
      </c>
      <c r="R4" s="117" t="s">
        <v>79</v>
      </c>
      <c r="S4" s="117" t="s">
        <v>80</v>
      </c>
      <c r="T4" s="117" t="s">
        <v>82</v>
      </c>
      <c r="U4" s="117" t="s">
        <v>84</v>
      </c>
      <c r="V4" s="117" t="s">
        <v>86</v>
      </c>
      <c r="W4" s="117" t="s">
        <v>87</v>
      </c>
      <c r="X4" s="117" t="s">
        <v>152</v>
      </c>
      <c r="Y4" s="117" t="s">
        <v>153</v>
      </c>
      <c r="Z4" s="117" t="s">
        <v>154</v>
      </c>
      <c r="AA4" s="117" t="s">
        <v>155</v>
      </c>
      <c r="AB4" s="117" t="s">
        <v>89</v>
      </c>
      <c r="AC4" s="117" t="s">
        <v>91</v>
      </c>
      <c r="AD4" s="117" t="s">
        <v>93</v>
      </c>
      <c r="AE4" s="117" t="s">
        <v>95</v>
      </c>
      <c r="AF4" s="118" t="s">
        <v>96</v>
      </c>
      <c r="AH4" s="97" t="s">
        <v>97</v>
      </c>
      <c r="AI4" s="98" t="s">
        <v>98</v>
      </c>
      <c r="AJ4" s="98" t="s">
        <v>99</v>
      </c>
      <c r="AK4" s="98" t="s">
        <v>100</v>
      </c>
      <c r="AL4" s="98" t="s">
        <v>101</v>
      </c>
      <c r="AM4" s="98" t="s">
        <v>102</v>
      </c>
      <c r="AN4" s="98" t="s">
        <v>103</v>
      </c>
      <c r="AO4" s="98" t="s">
        <v>104</v>
      </c>
      <c r="AP4" s="98" t="s">
        <v>105</v>
      </c>
      <c r="AQ4" s="98" t="s">
        <v>106</v>
      </c>
      <c r="AR4" s="98" t="s">
        <v>107</v>
      </c>
      <c r="AS4" s="98" t="s">
        <v>108</v>
      </c>
      <c r="AT4" s="98" t="s">
        <v>109</v>
      </c>
      <c r="AU4" s="98" t="s">
        <v>110</v>
      </c>
      <c r="AV4" s="98" t="s">
        <v>111</v>
      </c>
      <c r="AW4" s="98" t="s">
        <v>156</v>
      </c>
      <c r="AX4" s="98" t="s">
        <v>157</v>
      </c>
      <c r="AY4" s="98" t="s">
        <v>158</v>
      </c>
      <c r="AZ4" s="98" t="s">
        <v>159</v>
      </c>
      <c r="BA4" s="98" t="s">
        <v>112</v>
      </c>
      <c r="BB4" s="98" t="s">
        <v>113</v>
      </c>
      <c r="BC4" s="98" t="s">
        <v>114</v>
      </c>
      <c r="BD4" s="98" t="s">
        <v>115</v>
      </c>
      <c r="BE4" s="99" t="s">
        <v>116</v>
      </c>
      <c r="BG4" s="93" t="s">
        <v>118</v>
      </c>
      <c r="BH4" s="94" t="s">
        <v>120</v>
      </c>
      <c r="BI4" s="94" t="s">
        <v>505</v>
      </c>
      <c r="BJ4" s="95" t="s">
        <v>506</v>
      </c>
      <c r="BL4" s="97" t="s">
        <v>122</v>
      </c>
      <c r="BM4" s="98" t="s">
        <v>123</v>
      </c>
      <c r="BN4" s="98" t="s">
        <v>124</v>
      </c>
      <c r="BO4" s="99" t="s">
        <v>125</v>
      </c>
      <c r="BQ4" s="97" t="s">
        <v>161</v>
      </c>
      <c r="BR4" s="98" t="s">
        <v>162</v>
      </c>
      <c r="BS4" s="98" t="s">
        <v>163</v>
      </c>
      <c r="BT4" s="99" t="s">
        <v>164</v>
      </c>
      <c r="BV4" s="97" t="s">
        <v>127</v>
      </c>
      <c r="BW4" s="98" t="s">
        <v>128</v>
      </c>
      <c r="BX4" s="98" t="s">
        <v>129</v>
      </c>
      <c r="BY4" s="99" t="s">
        <v>130</v>
      </c>
      <c r="CA4" s="97" t="s">
        <v>165</v>
      </c>
      <c r="CB4" s="98" t="s">
        <v>166</v>
      </c>
      <c r="CC4" s="98" t="s">
        <v>167</v>
      </c>
      <c r="CD4" s="99" t="s">
        <v>168</v>
      </c>
    </row>
    <row r="5" spans="1:82">
      <c r="A5" s="96" t="s">
        <v>1142</v>
      </c>
      <c r="B5" s="290" t="s">
        <v>983</v>
      </c>
      <c r="C5" s="28" t="s">
        <v>131</v>
      </c>
      <c r="D5" s="300">
        <v>9378695</v>
      </c>
      <c r="E5" s="299">
        <v>17</v>
      </c>
      <c r="F5" s="299">
        <v>1</v>
      </c>
      <c r="G5" s="309"/>
      <c r="I5" s="46" t="str">
        <f t="shared" ref="I5:I34" si="0">IF(OR(ISBLANK(P5),ISBLANK(G5)),"·",P5*G5/F5/1000000)</f>
        <v>·</v>
      </c>
      <c r="J5" s="47">
        <f t="shared" ref="J5:J35" si="1">IF(ISBLANK(P5),"·",P5/D5)</f>
        <v>19.557640375340068</v>
      </c>
      <c r="K5" s="47">
        <f t="shared" ref="K5:K103" si="2">IF(Q5="","·",Q5/D5)</f>
        <v>15.231585204551379</v>
      </c>
      <c r="L5" s="103"/>
      <c r="M5" s="47">
        <f t="shared" ref="M5:M34" si="3">IF(ISBLANK(Q5),"·",S5/D5)</f>
        <v>4.3259809600376169</v>
      </c>
      <c r="N5" s="47">
        <f t="shared" ref="N5:N103" si="4">IF(ISBLANK(P5),"·",P5/O5)</f>
        <v>19.557640375340068</v>
      </c>
      <c r="O5" s="520">
        <v>9378695</v>
      </c>
      <c r="P5" s="502">
        <v>183425144</v>
      </c>
      <c r="Q5" s="372">
        <v>142852392</v>
      </c>
      <c r="R5" s="104"/>
      <c r="S5" s="353">
        <v>40572056</v>
      </c>
      <c r="T5" s="103"/>
      <c r="U5" s="104"/>
      <c r="V5" s="104"/>
      <c r="W5" s="354">
        <v>77.007507000000004</v>
      </c>
      <c r="X5" s="103"/>
      <c r="Y5" s="104"/>
      <c r="Z5" s="104"/>
      <c r="AA5" s="514">
        <v>72.247062999999997</v>
      </c>
      <c r="AB5" s="506"/>
      <c r="AC5" s="355"/>
      <c r="AD5" s="572">
        <v>0</v>
      </c>
      <c r="AE5" s="572">
        <v>0</v>
      </c>
      <c r="AF5" s="49"/>
      <c r="AH5" s="46" t="str">
        <f t="shared" ref="AH5:AH69" si="5">IF(OR(ISBLANK(AO5),ISBLANK(G5)),"·",AO5*G5/F5/1000000)</f>
        <v>·</v>
      </c>
      <c r="AI5" s="47" t="str">
        <f t="shared" ref="AI5:AI68" si="6">IF(ISBLANK(AO5),"·",AO5/D5)</f>
        <v>·</v>
      </c>
      <c r="AJ5" s="47" t="str">
        <f>IF(AP5="","·",AP5/D5)</f>
        <v>·</v>
      </c>
      <c r="AK5" s="103" t="str">
        <f>IF(ISBLANK(AQ5),"·",AQ5/D5)</f>
        <v>·</v>
      </c>
      <c r="AL5" s="47" t="str">
        <f>IF(ISBLANK(AR5),"·",AR5/D5)</f>
        <v>·</v>
      </c>
      <c r="AM5" s="47" t="str">
        <f>IF(ISBLANK(AO5),"·",AO5/AN5)</f>
        <v>·</v>
      </c>
      <c r="AN5" s="520"/>
      <c r="AO5" s="502"/>
      <c r="AP5" s="372"/>
      <c r="AQ5" s="104"/>
      <c r="AR5" s="353"/>
      <c r="AS5" s="103"/>
      <c r="AT5" s="104"/>
      <c r="AU5" s="104"/>
      <c r="AV5" s="354"/>
      <c r="AW5" s="103"/>
      <c r="AX5" s="104"/>
      <c r="AY5" s="104"/>
      <c r="AZ5" s="514"/>
      <c r="BA5" s="506"/>
      <c r="BB5" s="355"/>
      <c r="BC5" s="572">
        <v>0</v>
      </c>
      <c r="BD5" s="572">
        <v>0</v>
      </c>
      <c r="BE5" s="49"/>
      <c r="BG5" s="119" t="e">
        <f t="shared" ref="BG5:BH20" si="7">BC5/AD5</f>
        <v>#DIV/0!</v>
      </c>
      <c r="BH5" s="120" t="e">
        <f t="shared" si="7"/>
        <v>#DIV/0!</v>
      </c>
      <c r="BI5" s="120" t="e">
        <f t="shared" ref="BI5:BI103" si="8">(AP5/AO5) - (Q5/P5)</f>
        <v>#DIV/0!</v>
      </c>
      <c r="BJ5" s="121" t="e">
        <f t="array" ref="BJ5">AVERAGE(AP5:AP9/AO5:AO9) - AVERAGE(Q5:Q9/P5:P9)</f>
        <v>#DIV/0!</v>
      </c>
      <c r="BL5" s="103"/>
      <c r="BM5" s="104"/>
      <c r="BN5" s="104"/>
      <c r="BO5" s="139" t="str">
        <f>IF( OR(ISBLANK($S5:$S9),ISBLANK($AR5:$AR9), ISBLANK($W5:$W9),ISBLANK($AV5:$AV9)), "·", bdRateHermite($S5:$S9,$W5:$W9, $AR5:$AR9,$AV5:$AV9))</f>
        <v>·</v>
      </c>
      <c r="BQ5" s="137"/>
      <c r="BR5" s="138"/>
      <c r="BS5" s="138"/>
      <c r="BT5" s="139" t="str">
        <f>IF( OR(ISBLANK($S5:$S9),ISBLANK($AR5:$AR9), ISBLANK($AA5:$AA9),ISBLANK($AZ5:$AZ9)), "·", bdRateHermite($S5:$S9,$AA5:$AA9, $AR5:$AR9,$AZ5:$AZ9))</f>
        <v>·</v>
      </c>
      <c r="BV5" s="137"/>
      <c r="BW5" s="138"/>
      <c r="BX5" s="138"/>
      <c r="BY5" s="139" t="str">
        <f>IF(OR(ISBLANK($P5:$P9),ISBLANK($AO5:$AO9),ISBLANK($W5:$W9),ISBLANK($AV5:$AV9)),"·",bdRateHermite($P5:$P9,$W5:$W9,$AO5:$AO9,$AV5:$AV9))</f>
        <v>·</v>
      </c>
      <c r="CA5" s="137"/>
      <c r="CB5" s="138"/>
      <c r="CC5" s="138"/>
      <c r="CD5" s="139" t="str">
        <f>IF( OR(ISBLANK($P5:$P9),ISBLANK($AO5:$AO9), ISBLANK($AA5:$AA9),ISBLANK($AZ5:$AZ9)), "·", bdRateHermite( $P5:$P9,$AA5:$AA9, $AO5:$AO9,$AZ5:$AZ9))</f>
        <v>·</v>
      </c>
    </row>
    <row r="6" spans="1:82" outlineLevel="1">
      <c r="A6" s="13"/>
      <c r="B6" s="291" t="s">
        <v>983</v>
      </c>
      <c r="C6" s="15" t="s">
        <v>132</v>
      </c>
      <c r="D6" s="300">
        <v>9378695</v>
      </c>
      <c r="E6" s="299">
        <v>17</v>
      </c>
      <c r="F6" s="299">
        <v>1</v>
      </c>
      <c r="G6" s="310"/>
      <c r="I6" s="30" t="str">
        <f t="shared" si="0"/>
        <v>·</v>
      </c>
      <c r="J6" s="31">
        <f t="shared" si="1"/>
        <v>20.950519875099893</v>
      </c>
      <c r="K6" s="31">
        <f t="shared" si="2"/>
        <v>15.231585204551379</v>
      </c>
      <c r="L6" s="105"/>
      <c r="M6" s="31">
        <f t="shared" si="3"/>
        <v>5.7188604597974448</v>
      </c>
      <c r="N6" s="31">
        <f t="shared" si="4"/>
        <v>20.950519875099893</v>
      </c>
      <c r="O6" s="521">
        <v>9378695</v>
      </c>
      <c r="P6" s="503">
        <v>196488536</v>
      </c>
      <c r="Q6" s="373">
        <v>142852392</v>
      </c>
      <c r="R6" s="106"/>
      <c r="S6" s="357">
        <v>53635448</v>
      </c>
      <c r="T6" s="105"/>
      <c r="U6" s="106"/>
      <c r="V6" s="106"/>
      <c r="W6" s="358">
        <v>83.005607999999995</v>
      </c>
      <c r="X6" s="105"/>
      <c r="Y6" s="106"/>
      <c r="Z6" s="106"/>
      <c r="AA6" s="515">
        <v>78.267669999999995</v>
      </c>
      <c r="AB6" s="507"/>
      <c r="AC6" s="359"/>
      <c r="AD6" s="573">
        <v>0</v>
      </c>
      <c r="AE6" s="573">
        <v>0</v>
      </c>
      <c r="AF6" s="33"/>
      <c r="AH6" s="30" t="str">
        <f t="shared" si="5"/>
        <v>·</v>
      </c>
      <c r="AI6" s="31" t="str">
        <f t="shared" si="6"/>
        <v>·</v>
      </c>
      <c r="AJ6" s="31" t="str">
        <f t="shared" ref="AJ6:AJ69" si="9">IF(AP6="","·",AP6/D6)</f>
        <v>·</v>
      </c>
      <c r="AK6" s="105" t="str">
        <f t="shared" ref="AK6:AK69" si="10">IF(ISBLANK(AQ6),"·",AQ6/D6)</f>
        <v>·</v>
      </c>
      <c r="AL6" s="31" t="str">
        <f t="shared" ref="AL6:AL69" si="11">IF(ISBLANK(AR6),"·",AR6/D6)</f>
        <v>·</v>
      </c>
      <c r="AM6" s="31" t="str">
        <f t="shared" ref="AM6:AM103" si="12">IF(ISBLANK(AO6),"·",AO6/AN6)</f>
        <v>·</v>
      </c>
      <c r="AN6" s="521"/>
      <c r="AO6" s="503"/>
      <c r="AP6" s="373"/>
      <c r="AQ6" s="106"/>
      <c r="AR6" s="357"/>
      <c r="AS6" s="105"/>
      <c r="AT6" s="106"/>
      <c r="AU6" s="106"/>
      <c r="AV6" s="358"/>
      <c r="AW6" s="105"/>
      <c r="AX6" s="106"/>
      <c r="AY6" s="106"/>
      <c r="AZ6" s="515"/>
      <c r="BA6" s="507"/>
      <c r="BB6" s="359"/>
      <c r="BC6" s="573">
        <v>0</v>
      </c>
      <c r="BD6" s="573">
        <v>0</v>
      </c>
      <c r="BE6" s="33"/>
      <c r="BG6" s="122" t="e">
        <f t="shared" si="7"/>
        <v>#DIV/0!</v>
      </c>
      <c r="BH6" s="123" t="e">
        <f t="shared" si="7"/>
        <v>#DIV/0!</v>
      </c>
      <c r="BI6" s="123" t="e">
        <f t="shared" si="8"/>
        <v>#DIV/0!</v>
      </c>
      <c r="BJ6" s="124"/>
      <c r="BL6" s="105"/>
      <c r="BM6" s="106"/>
      <c r="BN6" s="106"/>
      <c r="BO6" s="107"/>
      <c r="BQ6" s="105"/>
      <c r="BR6" s="106"/>
      <c r="BS6" s="106"/>
      <c r="BT6" s="107"/>
      <c r="BV6" s="105"/>
      <c r="BW6" s="106"/>
      <c r="BX6" s="106"/>
      <c r="BY6" s="107"/>
      <c r="CA6" s="105"/>
      <c r="CB6" s="106"/>
      <c r="CC6" s="106"/>
      <c r="CD6" s="107"/>
    </row>
    <row r="7" spans="1:82" outlineLevel="1">
      <c r="A7" s="13"/>
      <c r="B7" s="291" t="s">
        <v>983</v>
      </c>
      <c r="C7" s="15" t="s">
        <v>133</v>
      </c>
      <c r="D7" s="300">
        <v>9378695</v>
      </c>
      <c r="E7" s="299">
        <v>17</v>
      </c>
      <c r="F7" s="299">
        <v>1</v>
      </c>
      <c r="G7" s="310"/>
      <c r="I7" s="30" t="str">
        <f t="shared" si="0"/>
        <v>·</v>
      </c>
      <c r="J7" s="31">
        <f t="shared" si="1"/>
        <v>22.585188237809206</v>
      </c>
      <c r="K7" s="31">
        <f t="shared" si="2"/>
        <v>15.231585204551379</v>
      </c>
      <c r="L7" s="105"/>
      <c r="M7" s="31">
        <f t="shared" si="3"/>
        <v>7.3535296755038946</v>
      </c>
      <c r="N7" s="31">
        <f t="shared" si="4"/>
        <v>22.585188237809206</v>
      </c>
      <c r="O7" s="521">
        <v>9378695</v>
      </c>
      <c r="P7" s="503">
        <v>211819592</v>
      </c>
      <c r="Q7" s="373">
        <v>142852392</v>
      </c>
      <c r="R7" s="106"/>
      <c r="S7" s="357">
        <v>68966512</v>
      </c>
      <c r="T7" s="105"/>
      <c r="U7" s="106"/>
      <c r="V7" s="106"/>
      <c r="W7" s="358">
        <v>88.925278000000006</v>
      </c>
      <c r="X7" s="105"/>
      <c r="Y7" s="106"/>
      <c r="Z7" s="106"/>
      <c r="AA7" s="515">
        <v>84.288269</v>
      </c>
      <c r="AB7" s="507"/>
      <c r="AC7" s="359"/>
      <c r="AD7" s="573">
        <v>0</v>
      </c>
      <c r="AE7" s="573">
        <v>0</v>
      </c>
      <c r="AF7" s="33"/>
      <c r="AH7" s="30" t="str">
        <f t="shared" si="5"/>
        <v>·</v>
      </c>
      <c r="AI7" s="31" t="str">
        <f t="shared" si="6"/>
        <v>·</v>
      </c>
      <c r="AJ7" s="31" t="str">
        <f t="shared" si="9"/>
        <v>·</v>
      </c>
      <c r="AK7" s="105" t="str">
        <f t="shared" si="10"/>
        <v>·</v>
      </c>
      <c r="AL7" s="31" t="str">
        <f t="shared" si="11"/>
        <v>·</v>
      </c>
      <c r="AM7" s="31" t="str">
        <f t="shared" si="12"/>
        <v>·</v>
      </c>
      <c r="AN7" s="521"/>
      <c r="AO7" s="503"/>
      <c r="AP7" s="373"/>
      <c r="AQ7" s="106"/>
      <c r="AR7" s="357"/>
      <c r="AS7" s="105"/>
      <c r="AT7" s="106"/>
      <c r="AU7" s="106"/>
      <c r="AV7" s="358"/>
      <c r="AW7" s="105"/>
      <c r="AX7" s="106"/>
      <c r="AY7" s="106"/>
      <c r="AZ7" s="515"/>
      <c r="BA7" s="507"/>
      <c r="BB7" s="359"/>
      <c r="BC7" s="573">
        <v>0</v>
      </c>
      <c r="BD7" s="573">
        <v>0</v>
      </c>
      <c r="BE7" s="33"/>
      <c r="BG7" s="122" t="e">
        <f t="shared" si="7"/>
        <v>#DIV/0!</v>
      </c>
      <c r="BH7" s="123" t="e">
        <f t="shared" si="7"/>
        <v>#DIV/0!</v>
      </c>
      <c r="BI7" s="123" t="e">
        <f t="shared" si="8"/>
        <v>#DIV/0!</v>
      </c>
      <c r="BJ7" s="124"/>
      <c r="BL7" s="105"/>
      <c r="BM7" s="106"/>
      <c r="BN7" s="106"/>
      <c r="BO7" s="107"/>
      <c r="BQ7" s="105"/>
      <c r="BR7" s="106"/>
      <c r="BS7" s="106"/>
      <c r="BT7" s="107"/>
      <c r="BV7" s="105"/>
      <c r="BW7" s="106"/>
      <c r="BX7" s="106"/>
      <c r="BY7" s="107"/>
      <c r="CA7" s="105"/>
      <c r="CB7" s="106"/>
      <c r="CC7" s="106"/>
      <c r="CD7" s="107"/>
    </row>
    <row r="8" spans="1:82" outlineLevel="1">
      <c r="A8" s="13"/>
      <c r="B8" s="291" t="s">
        <v>983</v>
      </c>
      <c r="C8" s="15" t="s">
        <v>134</v>
      </c>
      <c r="D8" s="300">
        <v>9378695</v>
      </c>
      <c r="E8" s="299">
        <v>17</v>
      </c>
      <c r="F8" s="299">
        <v>1</v>
      </c>
      <c r="G8" s="310"/>
      <c r="I8" s="30" t="str">
        <f t="shared" si="0"/>
        <v>·</v>
      </c>
      <c r="J8" s="31">
        <f t="shared" si="1"/>
        <v>23.706683285894254</v>
      </c>
      <c r="K8" s="31">
        <f t="shared" si="2"/>
        <v>15.231585204551379</v>
      </c>
      <c r="L8" s="105"/>
      <c r="M8" s="31">
        <f t="shared" si="3"/>
        <v>8.4750247235889429</v>
      </c>
      <c r="N8" s="31">
        <f t="shared" si="4"/>
        <v>23.706683285894254</v>
      </c>
      <c r="O8" s="521">
        <v>9378695</v>
      </c>
      <c r="P8" s="503">
        <v>222337752</v>
      </c>
      <c r="Q8" s="373">
        <v>142852392</v>
      </c>
      <c r="R8" s="106"/>
      <c r="S8" s="357">
        <v>79484672</v>
      </c>
      <c r="T8" s="105"/>
      <c r="U8" s="106"/>
      <c r="V8" s="106"/>
      <c r="W8" s="358">
        <v>94.569305</v>
      </c>
      <c r="X8" s="105"/>
      <c r="Y8" s="106"/>
      <c r="Z8" s="106"/>
      <c r="AA8" s="515">
        <v>90.308868000000004</v>
      </c>
      <c r="AB8" s="507"/>
      <c r="AC8" s="359"/>
      <c r="AD8" s="573">
        <v>0</v>
      </c>
      <c r="AE8" s="573">
        <v>0</v>
      </c>
      <c r="AF8" s="33"/>
      <c r="AH8" s="30" t="str">
        <f t="shared" si="5"/>
        <v>·</v>
      </c>
      <c r="AI8" s="31" t="str">
        <f t="shared" si="6"/>
        <v>·</v>
      </c>
      <c r="AJ8" s="31" t="str">
        <f t="shared" si="9"/>
        <v>·</v>
      </c>
      <c r="AK8" s="105" t="str">
        <f t="shared" si="10"/>
        <v>·</v>
      </c>
      <c r="AL8" s="31" t="str">
        <f t="shared" si="11"/>
        <v>·</v>
      </c>
      <c r="AM8" s="31" t="str">
        <f t="shared" si="12"/>
        <v>·</v>
      </c>
      <c r="AN8" s="521"/>
      <c r="AO8" s="503"/>
      <c r="AP8" s="373"/>
      <c r="AQ8" s="106"/>
      <c r="AR8" s="357"/>
      <c r="AS8" s="105"/>
      <c r="AT8" s="106"/>
      <c r="AU8" s="106"/>
      <c r="AV8" s="358"/>
      <c r="AW8" s="105"/>
      <c r="AX8" s="106"/>
      <c r="AY8" s="106"/>
      <c r="AZ8" s="515"/>
      <c r="BA8" s="507"/>
      <c r="BB8" s="359"/>
      <c r="BC8" s="573">
        <v>0</v>
      </c>
      <c r="BD8" s="573">
        <v>0</v>
      </c>
      <c r="BE8" s="33"/>
      <c r="BG8" s="122" t="e">
        <f t="shared" si="7"/>
        <v>#DIV/0!</v>
      </c>
      <c r="BH8" s="123" t="e">
        <f t="shared" si="7"/>
        <v>#DIV/0!</v>
      </c>
      <c r="BI8" s="123" t="e">
        <f t="shared" si="8"/>
        <v>#DIV/0!</v>
      </c>
      <c r="BJ8" s="124"/>
      <c r="BL8" s="105"/>
      <c r="BM8" s="106"/>
      <c r="BN8" s="106"/>
      <c r="BO8" s="107"/>
      <c r="BQ8" s="105"/>
      <c r="BR8" s="106"/>
      <c r="BS8" s="106"/>
      <c r="BT8" s="107"/>
      <c r="BV8" s="105"/>
      <c r="BW8" s="106"/>
      <c r="BX8" s="106"/>
      <c r="BY8" s="107"/>
      <c r="CA8" s="105"/>
      <c r="CB8" s="106"/>
      <c r="CC8" s="106"/>
      <c r="CD8" s="107"/>
    </row>
    <row r="9" spans="1:82" ht="14.25" outlineLevel="1" thickBot="1">
      <c r="A9" s="13"/>
      <c r="B9" s="292" t="s">
        <v>983</v>
      </c>
      <c r="C9" s="22" t="s">
        <v>135</v>
      </c>
      <c r="D9" s="301">
        <v>9378695</v>
      </c>
      <c r="E9" s="302">
        <v>17</v>
      </c>
      <c r="F9" s="302">
        <v>1</v>
      </c>
      <c r="G9" s="311"/>
      <c r="I9" s="34" t="str">
        <f t="shared" si="0"/>
        <v>·</v>
      </c>
      <c r="J9" s="35">
        <f t="shared" si="1"/>
        <v>24.92800117713605</v>
      </c>
      <c r="K9" s="35">
        <f t="shared" si="2"/>
        <v>15.231585204551379</v>
      </c>
      <c r="L9" s="134"/>
      <c r="M9" s="35">
        <f t="shared" si="3"/>
        <v>9.6963426148307406</v>
      </c>
      <c r="N9" s="35">
        <f t="shared" si="4"/>
        <v>24.92800117713605</v>
      </c>
      <c r="O9" s="522">
        <v>9378695</v>
      </c>
      <c r="P9" s="504">
        <v>233792120</v>
      </c>
      <c r="Q9" s="374">
        <v>142852392</v>
      </c>
      <c r="R9" s="135"/>
      <c r="S9" s="369">
        <v>90939040</v>
      </c>
      <c r="T9" s="134"/>
      <c r="U9" s="135"/>
      <c r="V9" s="135"/>
      <c r="W9" s="370">
        <v>99.340401</v>
      </c>
      <c r="X9" s="134"/>
      <c r="Y9" s="135"/>
      <c r="Z9" s="135"/>
      <c r="AA9" s="516">
        <v>96.329468000000006</v>
      </c>
      <c r="AB9" s="508"/>
      <c r="AC9" s="371"/>
      <c r="AD9" s="574">
        <v>0</v>
      </c>
      <c r="AE9" s="574">
        <v>0</v>
      </c>
      <c r="AF9" s="37"/>
      <c r="AH9" s="38" t="str">
        <f t="shared" si="5"/>
        <v>·</v>
      </c>
      <c r="AI9" s="39" t="str">
        <f t="shared" si="6"/>
        <v>·</v>
      </c>
      <c r="AJ9" s="39" t="str">
        <f t="shared" si="9"/>
        <v>·</v>
      </c>
      <c r="AK9" s="134" t="str">
        <f t="shared" si="10"/>
        <v>·</v>
      </c>
      <c r="AL9" s="39" t="str">
        <f t="shared" si="11"/>
        <v>·</v>
      </c>
      <c r="AM9" s="39" t="str">
        <f t="shared" si="12"/>
        <v>·</v>
      </c>
      <c r="AN9" s="522"/>
      <c r="AO9" s="504"/>
      <c r="AP9" s="374"/>
      <c r="AQ9" s="135"/>
      <c r="AR9" s="369"/>
      <c r="AS9" s="134"/>
      <c r="AT9" s="135"/>
      <c r="AU9" s="135"/>
      <c r="AV9" s="370"/>
      <c r="AW9" s="134"/>
      <c r="AX9" s="135"/>
      <c r="AY9" s="135"/>
      <c r="AZ9" s="516"/>
      <c r="BA9" s="508"/>
      <c r="BB9" s="371"/>
      <c r="BC9" s="574">
        <v>0</v>
      </c>
      <c r="BD9" s="574">
        <v>0</v>
      </c>
      <c r="BE9" s="41"/>
      <c r="BG9" s="128" t="e">
        <f t="shared" si="7"/>
        <v>#DIV/0!</v>
      </c>
      <c r="BH9" s="129" t="e">
        <f t="shared" si="7"/>
        <v>#DIV/0!</v>
      </c>
      <c r="BI9" s="129" t="e">
        <f t="shared" si="8"/>
        <v>#DIV/0!</v>
      </c>
      <c r="BJ9" s="130"/>
      <c r="BL9" s="134"/>
      <c r="BM9" s="135"/>
      <c r="BN9" s="135"/>
      <c r="BO9" s="136"/>
      <c r="BQ9" s="134"/>
      <c r="BR9" s="135"/>
      <c r="BS9" s="135"/>
      <c r="BT9" s="136"/>
      <c r="BV9" s="134"/>
      <c r="BW9" s="135"/>
      <c r="BX9" s="135"/>
      <c r="BY9" s="136"/>
      <c r="CA9" s="134"/>
      <c r="CB9" s="135"/>
      <c r="CC9" s="135"/>
      <c r="CD9" s="136"/>
    </row>
    <row r="10" spans="1:82">
      <c r="A10" s="13"/>
      <c r="B10" s="294" t="s">
        <v>984</v>
      </c>
      <c r="C10" s="28" t="s">
        <v>131</v>
      </c>
      <c r="D10" s="303">
        <v>9477876</v>
      </c>
      <c r="E10" s="304">
        <v>19</v>
      </c>
      <c r="F10" s="304">
        <v>1</v>
      </c>
      <c r="G10" s="309"/>
      <c r="I10" s="42" t="str">
        <f t="shared" si="0"/>
        <v>·</v>
      </c>
      <c r="J10" s="43">
        <f t="shared" si="1"/>
        <v>21.240647588130503</v>
      </c>
      <c r="K10" s="43">
        <f t="shared" si="2"/>
        <v>16.495123590981777</v>
      </c>
      <c r="L10" s="103"/>
      <c r="M10" s="43">
        <f t="shared" si="3"/>
        <v>4.7454454985484089</v>
      </c>
      <c r="N10" s="43">
        <f t="shared" si="4"/>
        <v>21.240647588130503</v>
      </c>
      <c r="O10" s="520">
        <v>9477876</v>
      </c>
      <c r="P10" s="502">
        <v>201316224</v>
      </c>
      <c r="Q10" s="372">
        <v>156338736</v>
      </c>
      <c r="R10" s="104"/>
      <c r="S10" s="353">
        <v>44976744</v>
      </c>
      <c r="T10" s="103"/>
      <c r="U10" s="104"/>
      <c r="V10" s="104"/>
      <c r="W10" s="354">
        <v>77.010093999999995</v>
      </c>
      <c r="X10" s="103"/>
      <c r="Y10" s="104"/>
      <c r="Z10" s="104"/>
      <c r="AA10" s="514">
        <v>72.247062999999997</v>
      </c>
      <c r="AB10" s="506"/>
      <c r="AC10" s="355"/>
      <c r="AD10" s="572">
        <v>0</v>
      </c>
      <c r="AE10" s="572">
        <v>0</v>
      </c>
      <c r="AF10" s="45"/>
      <c r="AH10" s="46" t="str">
        <f t="shared" si="5"/>
        <v>·</v>
      </c>
      <c r="AI10" s="47" t="str">
        <f t="shared" si="6"/>
        <v>·</v>
      </c>
      <c r="AJ10" s="47" t="str">
        <f t="shared" si="9"/>
        <v>·</v>
      </c>
      <c r="AK10" s="103" t="str">
        <f t="shared" si="10"/>
        <v>·</v>
      </c>
      <c r="AL10" s="47" t="str">
        <f t="shared" si="11"/>
        <v>·</v>
      </c>
      <c r="AM10" s="47" t="str">
        <f t="shared" si="12"/>
        <v>·</v>
      </c>
      <c r="AN10" s="520"/>
      <c r="AO10" s="502"/>
      <c r="AP10" s="372"/>
      <c r="AQ10" s="104"/>
      <c r="AR10" s="353"/>
      <c r="AS10" s="103"/>
      <c r="AT10" s="104"/>
      <c r="AU10" s="104"/>
      <c r="AV10" s="354"/>
      <c r="AW10" s="103"/>
      <c r="AX10" s="104"/>
      <c r="AY10" s="104"/>
      <c r="AZ10" s="514"/>
      <c r="BA10" s="506"/>
      <c r="BB10" s="355"/>
      <c r="BC10" s="572">
        <v>0</v>
      </c>
      <c r="BD10" s="572">
        <v>0</v>
      </c>
      <c r="BE10" s="49"/>
      <c r="BG10" s="119" t="e">
        <f t="shared" si="7"/>
        <v>#DIV/0!</v>
      </c>
      <c r="BH10" s="120" t="e">
        <f t="shared" si="7"/>
        <v>#DIV/0!</v>
      </c>
      <c r="BI10" s="120" t="e">
        <f t="shared" si="8"/>
        <v>#DIV/0!</v>
      </c>
      <c r="BJ10" s="121" t="e">
        <f t="array" ref="BJ10">AVERAGE(AP10:AP14/AO10:AO14) - AVERAGE(Q10:Q14/P10:P14)</f>
        <v>#DIV/0!</v>
      </c>
      <c r="BL10" s="103"/>
      <c r="BM10" s="104"/>
      <c r="BN10" s="104"/>
      <c r="BO10" s="139" t="str">
        <f>IF( OR(ISBLANK($S10:$S14),ISBLANK($AR10:$AR14), ISBLANK($W10:$W14),ISBLANK($AV10:$AV14)), "·", bdRateHermite($S10:$S14,$W10:$W14, $AR10:$AR14,$AV10:$AV14))</f>
        <v>·</v>
      </c>
      <c r="BQ10" s="137"/>
      <c r="BR10" s="138"/>
      <c r="BS10" s="138"/>
      <c r="BT10" s="139" t="str">
        <f>IF( OR(ISBLANK($S10:$S14),ISBLANK($AR10:$AR14), ISBLANK($AA10:$AA14),ISBLANK($AZ10:$AZ14)), "·", bdRateHermite($S10:$S14,$AA10:$AA14, $AR10:$AR14,$AZ10:$AZ14))</f>
        <v>·</v>
      </c>
      <c r="BV10" s="137"/>
      <c r="BW10" s="138"/>
      <c r="BX10" s="138"/>
      <c r="BY10" s="139" t="str">
        <f>IF(OR(ISBLANK($P10:$P14),ISBLANK($AO10:$AO14),ISBLANK($W10:$W14),ISBLANK($AV10:$AV14)),"·",bdRateHermite($P10:$P14,$W10:$W14,$AO10:$AO14,$AV10:$AV14))</f>
        <v>·</v>
      </c>
      <c r="CA10" s="137"/>
      <c r="CB10" s="138"/>
      <c r="CC10" s="138"/>
      <c r="CD10" s="139" t="str">
        <f>IF( OR(ISBLANK($P10:$P14),ISBLANK($AO10:$AO14), ISBLANK($AA10:$AA14),ISBLANK($AZ10:$AZ14)), "·", bdRateHermite( $P10:$P14,$AA10:$AA14, $AO10:$AO14,$AZ10:$AZ14))</f>
        <v>·</v>
      </c>
    </row>
    <row r="11" spans="1:82" outlineLevel="1">
      <c r="A11" s="13"/>
      <c r="B11" s="295" t="s">
        <v>984</v>
      </c>
      <c r="C11" s="15" t="s">
        <v>132</v>
      </c>
      <c r="D11" s="300">
        <v>9477876</v>
      </c>
      <c r="E11" s="299">
        <v>19</v>
      </c>
      <c r="F11" s="299">
        <v>1</v>
      </c>
      <c r="G11" s="310"/>
      <c r="I11" s="30" t="str">
        <f t="shared" si="0"/>
        <v>·</v>
      </c>
      <c r="J11" s="31">
        <f t="shared" si="1"/>
        <v>22.703985576515244</v>
      </c>
      <c r="K11" s="31">
        <f t="shared" si="2"/>
        <v>16.495123590981777</v>
      </c>
      <c r="L11" s="105"/>
      <c r="M11" s="31">
        <f t="shared" si="3"/>
        <v>6.2087834869331484</v>
      </c>
      <c r="N11" s="31">
        <f t="shared" si="4"/>
        <v>22.703985576515244</v>
      </c>
      <c r="O11" s="521">
        <v>9477876</v>
      </c>
      <c r="P11" s="503">
        <v>215185560</v>
      </c>
      <c r="Q11" s="373">
        <v>156338736</v>
      </c>
      <c r="R11" s="106"/>
      <c r="S11" s="357">
        <v>58846080</v>
      </c>
      <c r="T11" s="105"/>
      <c r="U11" s="106"/>
      <c r="V11" s="106"/>
      <c r="W11" s="358">
        <v>83.004929000000004</v>
      </c>
      <c r="X11" s="105"/>
      <c r="Y11" s="106"/>
      <c r="Z11" s="106"/>
      <c r="AA11" s="515">
        <v>78.267669999999995</v>
      </c>
      <c r="AB11" s="507"/>
      <c r="AC11" s="359"/>
      <c r="AD11" s="573">
        <v>0</v>
      </c>
      <c r="AE11" s="573">
        <v>0</v>
      </c>
      <c r="AF11" s="33"/>
      <c r="AH11" s="30" t="str">
        <f t="shared" si="5"/>
        <v>·</v>
      </c>
      <c r="AI11" s="31" t="str">
        <f t="shared" si="6"/>
        <v>·</v>
      </c>
      <c r="AJ11" s="31" t="str">
        <f t="shared" si="9"/>
        <v>·</v>
      </c>
      <c r="AK11" s="105" t="str">
        <f t="shared" si="10"/>
        <v>·</v>
      </c>
      <c r="AL11" s="31" t="str">
        <f t="shared" si="11"/>
        <v>·</v>
      </c>
      <c r="AM11" s="31" t="str">
        <f t="shared" si="12"/>
        <v>·</v>
      </c>
      <c r="AN11" s="521"/>
      <c r="AO11" s="503"/>
      <c r="AP11" s="373"/>
      <c r="AQ11" s="106"/>
      <c r="AR11" s="357"/>
      <c r="AS11" s="105"/>
      <c r="AT11" s="106"/>
      <c r="AU11" s="106"/>
      <c r="AV11" s="358"/>
      <c r="AW11" s="105"/>
      <c r="AX11" s="106"/>
      <c r="AY11" s="106"/>
      <c r="AZ11" s="515"/>
      <c r="BA11" s="507"/>
      <c r="BB11" s="359"/>
      <c r="BC11" s="573">
        <v>0</v>
      </c>
      <c r="BD11" s="573">
        <v>0</v>
      </c>
      <c r="BE11" s="33"/>
      <c r="BG11" s="122" t="e">
        <f t="shared" si="7"/>
        <v>#DIV/0!</v>
      </c>
      <c r="BH11" s="123" t="e">
        <f t="shared" si="7"/>
        <v>#DIV/0!</v>
      </c>
      <c r="BI11" s="123" t="e">
        <f t="shared" si="8"/>
        <v>#DIV/0!</v>
      </c>
      <c r="BJ11" s="124"/>
      <c r="BL11" s="105"/>
      <c r="BM11" s="106"/>
      <c r="BN11" s="106"/>
      <c r="BO11" s="107"/>
      <c r="BQ11" s="105"/>
      <c r="BR11" s="106"/>
      <c r="BS11" s="106"/>
      <c r="BT11" s="107"/>
      <c r="BV11" s="105"/>
      <c r="BW11" s="106"/>
      <c r="BX11" s="106"/>
      <c r="BY11" s="107"/>
      <c r="CA11" s="105"/>
      <c r="CB11" s="106"/>
      <c r="CC11" s="106"/>
      <c r="CD11" s="107"/>
    </row>
    <row r="12" spans="1:82" outlineLevel="1">
      <c r="A12" s="13"/>
      <c r="B12" s="295" t="s">
        <v>984</v>
      </c>
      <c r="C12" s="15" t="s">
        <v>133</v>
      </c>
      <c r="D12" s="300">
        <v>9477876</v>
      </c>
      <c r="E12" s="299">
        <v>19</v>
      </c>
      <c r="F12" s="299">
        <v>1</v>
      </c>
      <c r="G12" s="310"/>
      <c r="I12" s="30" t="str">
        <f t="shared" si="0"/>
        <v>·</v>
      </c>
      <c r="J12" s="31">
        <f t="shared" si="1"/>
        <v>24.173980752649644</v>
      </c>
      <c r="K12" s="31">
        <f t="shared" si="2"/>
        <v>16.495123590981777</v>
      </c>
      <c r="L12" s="105"/>
      <c r="M12" s="31">
        <f t="shared" si="3"/>
        <v>7.6787786630675479</v>
      </c>
      <c r="N12" s="31">
        <f t="shared" si="4"/>
        <v>24.173980752649644</v>
      </c>
      <c r="O12" s="521">
        <v>9477876</v>
      </c>
      <c r="P12" s="503">
        <v>229117992</v>
      </c>
      <c r="Q12" s="373">
        <v>156338736</v>
      </c>
      <c r="R12" s="106"/>
      <c r="S12" s="357">
        <v>72778512</v>
      </c>
      <c r="T12" s="105"/>
      <c r="U12" s="106"/>
      <c r="V12" s="106"/>
      <c r="W12" s="358">
        <v>88.927277000000004</v>
      </c>
      <c r="X12" s="105"/>
      <c r="Y12" s="106"/>
      <c r="Z12" s="106"/>
      <c r="AA12" s="515">
        <v>84.288269</v>
      </c>
      <c r="AB12" s="507"/>
      <c r="AC12" s="359"/>
      <c r="AD12" s="573">
        <v>0</v>
      </c>
      <c r="AE12" s="573">
        <v>0</v>
      </c>
      <c r="AF12" s="33"/>
      <c r="AH12" s="30" t="str">
        <f t="shared" si="5"/>
        <v>·</v>
      </c>
      <c r="AI12" s="31" t="str">
        <f t="shared" si="6"/>
        <v>·</v>
      </c>
      <c r="AJ12" s="31" t="str">
        <f t="shared" si="9"/>
        <v>·</v>
      </c>
      <c r="AK12" s="105" t="str">
        <f t="shared" si="10"/>
        <v>·</v>
      </c>
      <c r="AL12" s="31" t="str">
        <f t="shared" si="11"/>
        <v>·</v>
      </c>
      <c r="AM12" s="31" t="str">
        <f t="shared" si="12"/>
        <v>·</v>
      </c>
      <c r="AN12" s="521"/>
      <c r="AO12" s="503"/>
      <c r="AP12" s="373"/>
      <c r="AQ12" s="106"/>
      <c r="AR12" s="357"/>
      <c r="AS12" s="105"/>
      <c r="AT12" s="106"/>
      <c r="AU12" s="106"/>
      <c r="AV12" s="358"/>
      <c r="AW12" s="105"/>
      <c r="AX12" s="106"/>
      <c r="AY12" s="106"/>
      <c r="AZ12" s="515"/>
      <c r="BA12" s="507"/>
      <c r="BB12" s="359"/>
      <c r="BC12" s="573">
        <v>0</v>
      </c>
      <c r="BD12" s="573">
        <v>0</v>
      </c>
      <c r="BE12" s="33"/>
      <c r="BG12" s="122" t="e">
        <f t="shared" si="7"/>
        <v>#DIV/0!</v>
      </c>
      <c r="BH12" s="123" t="e">
        <f t="shared" si="7"/>
        <v>#DIV/0!</v>
      </c>
      <c r="BI12" s="123" t="e">
        <f t="shared" si="8"/>
        <v>#DIV/0!</v>
      </c>
      <c r="BJ12" s="124"/>
      <c r="BL12" s="105"/>
      <c r="BM12" s="106"/>
      <c r="BN12" s="106"/>
      <c r="BO12" s="107"/>
      <c r="BQ12" s="105"/>
      <c r="BR12" s="106"/>
      <c r="BS12" s="106"/>
      <c r="BT12" s="107"/>
      <c r="BV12" s="105"/>
      <c r="BW12" s="106"/>
      <c r="BX12" s="106"/>
      <c r="BY12" s="107"/>
      <c r="CA12" s="105"/>
      <c r="CB12" s="106"/>
      <c r="CC12" s="106"/>
      <c r="CD12" s="107"/>
    </row>
    <row r="13" spans="1:82" outlineLevel="1">
      <c r="A13" s="13"/>
      <c r="B13" s="295" t="s">
        <v>984</v>
      </c>
      <c r="C13" s="15" t="s">
        <v>134</v>
      </c>
      <c r="D13" s="300">
        <v>9477876</v>
      </c>
      <c r="E13" s="299">
        <v>19</v>
      </c>
      <c r="F13" s="299">
        <v>1</v>
      </c>
      <c r="G13" s="310"/>
      <c r="I13" s="30" t="str">
        <f t="shared" si="0"/>
        <v>·</v>
      </c>
      <c r="J13" s="31">
        <f t="shared" si="1"/>
        <v>25.364449165614744</v>
      </c>
      <c r="K13" s="31">
        <f t="shared" si="2"/>
        <v>16.495123590981777</v>
      </c>
      <c r="L13" s="105"/>
      <c r="M13" s="31">
        <f t="shared" si="3"/>
        <v>8.8692470760326465</v>
      </c>
      <c r="N13" s="31">
        <f t="shared" si="4"/>
        <v>25.364449165614744</v>
      </c>
      <c r="O13" s="521">
        <v>9477876</v>
      </c>
      <c r="P13" s="503">
        <v>240401104</v>
      </c>
      <c r="Q13" s="373">
        <v>156338736</v>
      </c>
      <c r="R13" s="106"/>
      <c r="S13" s="357">
        <v>84061624</v>
      </c>
      <c r="T13" s="105"/>
      <c r="U13" s="106"/>
      <c r="V13" s="106"/>
      <c r="W13" s="358">
        <v>94.567565999999999</v>
      </c>
      <c r="X13" s="105"/>
      <c r="Y13" s="106"/>
      <c r="Z13" s="106"/>
      <c r="AA13" s="515">
        <v>90.308868000000004</v>
      </c>
      <c r="AB13" s="507"/>
      <c r="AC13" s="359"/>
      <c r="AD13" s="573">
        <v>0</v>
      </c>
      <c r="AE13" s="573">
        <v>0</v>
      </c>
      <c r="AF13" s="33"/>
      <c r="AH13" s="30" t="str">
        <f t="shared" si="5"/>
        <v>·</v>
      </c>
      <c r="AI13" s="31" t="str">
        <f t="shared" si="6"/>
        <v>·</v>
      </c>
      <c r="AJ13" s="31" t="str">
        <f t="shared" si="9"/>
        <v>·</v>
      </c>
      <c r="AK13" s="105" t="str">
        <f t="shared" si="10"/>
        <v>·</v>
      </c>
      <c r="AL13" s="31" t="str">
        <f t="shared" si="11"/>
        <v>·</v>
      </c>
      <c r="AM13" s="31" t="str">
        <f t="shared" si="12"/>
        <v>·</v>
      </c>
      <c r="AN13" s="521"/>
      <c r="AO13" s="503"/>
      <c r="AP13" s="373"/>
      <c r="AQ13" s="106"/>
      <c r="AR13" s="357"/>
      <c r="AS13" s="105"/>
      <c r="AT13" s="106"/>
      <c r="AU13" s="106"/>
      <c r="AV13" s="358"/>
      <c r="AW13" s="105"/>
      <c r="AX13" s="106"/>
      <c r="AY13" s="106"/>
      <c r="AZ13" s="515"/>
      <c r="BA13" s="507"/>
      <c r="BB13" s="359"/>
      <c r="BC13" s="573">
        <v>0</v>
      </c>
      <c r="BD13" s="573">
        <v>0</v>
      </c>
      <c r="BE13" s="33"/>
      <c r="BG13" s="122" t="e">
        <f t="shared" si="7"/>
        <v>#DIV/0!</v>
      </c>
      <c r="BH13" s="123" t="e">
        <f t="shared" si="7"/>
        <v>#DIV/0!</v>
      </c>
      <c r="BI13" s="123" t="e">
        <f t="shared" si="8"/>
        <v>#DIV/0!</v>
      </c>
      <c r="BJ13" s="124"/>
      <c r="BL13" s="105"/>
      <c r="BM13" s="106"/>
      <c r="BN13" s="106"/>
      <c r="BO13" s="107"/>
      <c r="BQ13" s="105"/>
      <c r="BR13" s="106"/>
      <c r="BS13" s="106"/>
      <c r="BT13" s="107"/>
      <c r="BV13" s="105"/>
      <c r="BW13" s="106"/>
      <c r="BX13" s="106"/>
      <c r="BY13" s="107"/>
      <c r="CA13" s="105"/>
      <c r="CB13" s="106"/>
      <c r="CC13" s="106"/>
      <c r="CD13" s="107"/>
    </row>
    <row r="14" spans="1:82" ht="14.25" outlineLevel="1" thickBot="1">
      <c r="A14" s="13"/>
      <c r="B14" s="296" t="s">
        <v>984</v>
      </c>
      <c r="C14" s="19" t="s">
        <v>135</v>
      </c>
      <c r="D14" s="305">
        <v>9477876</v>
      </c>
      <c r="E14" s="306">
        <v>19</v>
      </c>
      <c r="F14" s="306">
        <v>1</v>
      </c>
      <c r="G14" s="312"/>
      <c r="I14" s="38" t="str">
        <f t="shared" si="0"/>
        <v>·</v>
      </c>
      <c r="J14" s="39">
        <f t="shared" si="1"/>
        <v>26.622548765145272</v>
      </c>
      <c r="K14" s="39">
        <f t="shared" si="2"/>
        <v>16.495123590981777</v>
      </c>
      <c r="L14" s="108"/>
      <c r="M14" s="39">
        <f t="shared" si="3"/>
        <v>10.127347519634146</v>
      </c>
      <c r="N14" s="39">
        <f t="shared" si="4"/>
        <v>26.622548765145272</v>
      </c>
      <c r="O14" s="521">
        <v>9477876</v>
      </c>
      <c r="P14" s="505">
        <v>252325216</v>
      </c>
      <c r="Q14" s="375">
        <v>156338736</v>
      </c>
      <c r="R14" s="109"/>
      <c r="S14" s="361">
        <v>95985744</v>
      </c>
      <c r="T14" s="108"/>
      <c r="U14" s="109"/>
      <c r="V14" s="109"/>
      <c r="W14" s="362">
        <v>99.339759999999998</v>
      </c>
      <c r="X14" s="108"/>
      <c r="Y14" s="109"/>
      <c r="Z14" s="109"/>
      <c r="AA14" s="517">
        <v>96.329468000000006</v>
      </c>
      <c r="AB14" s="509"/>
      <c r="AC14" s="363"/>
      <c r="AD14" s="575">
        <v>0</v>
      </c>
      <c r="AE14" s="575">
        <v>0</v>
      </c>
      <c r="AF14" s="41"/>
      <c r="AH14" s="34" t="str">
        <f t="shared" si="5"/>
        <v>·</v>
      </c>
      <c r="AI14" s="35" t="str">
        <f t="shared" si="6"/>
        <v>·</v>
      </c>
      <c r="AJ14" s="35" t="str">
        <f t="shared" si="9"/>
        <v>·</v>
      </c>
      <c r="AK14" s="108" t="str">
        <f t="shared" si="10"/>
        <v>·</v>
      </c>
      <c r="AL14" s="35" t="str">
        <f t="shared" si="11"/>
        <v>·</v>
      </c>
      <c r="AM14" s="35" t="str">
        <f t="shared" si="12"/>
        <v>·</v>
      </c>
      <c r="AN14" s="521"/>
      <c r="AO14" s="505"/>
      <c r="AP14" s="375"/>
      <c r="AQ14" s="109"/>
      <c r="AR14" s="361"/>
      <c r="AS14" s="108"/>
      <c r="AT14" s="109"/>
      <c r="AU14" s="109"/>
      <c r="AV14" s="362"/>
      <c r="AW14" s="108"/>
      <c r="AX14" s="109"/>
      <c r="AY14" s="109"/>
      <c r="AZ14" s="517"/>
      <c r="BA14" s="509"/>
      <c r="BB14" s="363"/>
      <c r="BC14" s="575">
        <v>0</v>
      </c>
      <c r="BD14" s="575">
        <v>0</v>
      </c>
      <c r="BE14" s="37"/>
      <c r="BG14" s="125" t="e">
        <f t="shared" si="7"/>
        <v>#DIV/0!</v>
      </c>
      <c r="BH14" s="126" t="e">
        <f t="shared" si="7"/>
        <v>#DIV/0!</v>
      </c>
      <c r="BI14" s="126" t="e">
        <f t="shared" si="8"/>
        <v>#DIV/0!</v>
      </c>
      <c r="BJ14" s="127"/>
      <c r="BL14" s="108"/>
      <c r="BM14" s="109"/>
      <c r="BN14" s="109"/>
      <c r="BO14" s="110"/>
      <c r="BQ14" s="108"/>
      <c r="BR14" s="109"/>
      <c r="BS14" s="109"/>
      <c r="BT14" s="110"/>
      <c r="BV14" s="108"/>
      <c r="BW14" s="109"/>
      <c r="BX14" s="109"/>
      <c r="BY14" s="110"/>
      <c r="CA14" s="108"/>
      <c r="CB14" s="109"/>
      <c r="CC14" s="109"/>
      <c r="CD14" s="110"/>
    </row>
    <row r="15" spans="1:82">
      <c r="A15" s="13"/>
      <c r="B15" s="293" t="s">
        <v>985</v>
      </c>
      <c r="C15" s="25" t="s">
        <v>131</v>
      </c>
      <c r="D15" s="300">
        <v>9740660</v>
      </c>
      <c r="E15" s="299">
        <v>20</v>
      </c>
      <c r="F15" s="299">
        <v>1</v>
      </c>
      <c r="G15" s="26"/>
      <c r="I15" s="46" t="str">
        <f t="shared" si="0"/>
        <v>·</v>
      </c>
      <c r="J15" s="47">
        <f t="shared" si="1"/>
        <v>19.397301620218752</v>
      </c>
      <c r="K15" s="47">
        <f t="shared" si="2"/>
        <v>15.062052879373677</v>
      </c>
      <c r="L15" s="137"/>
      <c r="M15" s="47">
        <f t="shared" si="3"/>
        <v>4.3351723599838206</v>
      </c>
      <c r="N15" s="47">
        <f t="shared" si="4"/>
        <v>19.397301620218752</v>
      </c>
      <c r="O15" s="520">
        <v>9740660</v>
      </c>
      <c r="P15" s="519">
        <v>188942520</v>
      </c>
      <c r="Q15" s="376">
        <v>146714336</v>
      </c>
      <c r="R15" s="138"/>
      <c r="S15" s="365">
        <v>42227440</v>
      </c>
      <c r="T15" s="137"/>
      <c r="U15" s="138"/>
      <c r="V15" s="138"/>
      <c r="W15" s="366">
        <v>77.013099999999994</v>
      </c>
      <c r="X15" s="137"/>
      <c r="Y15" s="138"/>
      <c r="Z15" s="138"/>
      <c r="AA15" s="518">
        <v>72.247062999999997</v>
      </c>
      <c r="AB15" s="510"/>
      <c r="AC15" s="367"/>
      <c r="AD15" s="576">
        <v>0</v>
      </c>
      <c r="AE15" s="576">
        <v>0</v>
      </c>
      <c r="AF15" s="49"/>
      <c r="AH15" s="42" t="str">
        <f t="shared" si="5"/>
        <v>·</v>
      </c>
      <c r="AI15" s="43" t="str">
        <f t="shared" si="6"/>
        <v>·</v>
      </c>
      <c r="AJ15" s="43" t="str">
        <f t="shared" si="9"/>
        <v>·</v>
      </c>
      <c r="AK15" s="137" t="str">
        <f t="shared" si="10"/>
        <v>·</v>
      </c>
      <c r="AL15" s="43" t="str">
        <f t="shared" si="11"/>
        <v>·</v>
      </c>
      <c r="AM15" s="43" t="str">
        <f t="shared" si="12"/>
        <v>·</v>
      </c>
      <c r="AN15" s="520"/>
      <c r="AO15" s="519"/>
      <c r="AP15" s="376"/>
      <c r="AQ15" s="138"/>
      <c r="AR15" s="365"/>
      <c r="AS15" s="137"/>
      <c r="AT15" s="138"/>
      <c r="AU15" s="138"/>
      <c r="AV15" s="366"/>
      <c r="AW15" s="137"/>
      <c r="AX15" s="138"/>
      <c r="AY15" s="138"/>
      <c r="AZ15" s="518"/>
      <c r="BA15" s="510"/>
      <c r="BB15" s="367"/>
      <c r="BC15" s="576">
        <v>0</v>
      </c>
      <c r="BD15" s="576">
        <v>0</v>
      </c>
      <c r="BE15" s="45"/>
      <c r="BG15" s="131" t="e">
        <f t="shared" si="7"/>
        <v>#DIV/0!</v>
      </c>
      <c r="BH15" s="132" t="e">
        <f t="shared" si="7"/>
        <v>#DIV/0!</v>
      </c>
      <c r="BI15" s="132" t="e">
        <f t="shared" si="8"/>
        <v>#DIV/0!</v>
      </c>
      <c r="BJ15" s="133" t="e">
        <f t="array" ref="BJ15">AVERAGE(AP15:AP19/AO15:AO19) - AVERAGE(Q15:Q19/P15:P19)</f>
        <v>#DIV/0!</v>
      </c>
      <c r="BL15" s="137"/>
      <c r="BM15" s="138"/>
      <c r="BN15" s="138"/>
      <c r="BO15" s="139" t="str">
        <f>IF( OR(ISBLANK($S15:$S19),ISBLANK($AR15:$AR19), ISBLANK($W15:$W19),ISBLANK($AV15:$AV19)), "·", bdRateHermite($S15:$S19,$W15:$W19, $AR15:$AR19,$AV15:$AV19))</f>
        <v>·</v>
      </c>
      <c r="BQ15" s="137"/>
      <c r="BR15" s="138"/>
      <c r="BS15" s="138"/>
      <c r="BT15" s="139" t="str">
        <f>IF( OR(ISBLANK($S15:$S19),ISBLANK($AR15:$AR19), ISBLANK($AA15:$AA19),ISBLANK($AZ15:$AZ19)), "·", bdRateHermite($S15:$S19,$AA15:$AA19, $AR15:$AR19,$AZ15:$AZ19))</f>
        <v>·</v>
      </c>
      <c r="BV15" s="137"/>
      <c r="BW15" s="138"/>
      <c r="BX15" s="138"/>
      <c r="BY15" s="139" t="str">
        <f>IF(OR(ISBLANK($P15:$P19),ISBLANK($AO15:$AO19),ISBLANK($W15:$W19),ISBLANK($AV15:$AV19)),"·",bdRateHermite($P15:$P19,$W15:$W19,$AO15:$AO19,$AV15:$AV19))</f>
        <v>·</v>
      </c>
      <c r="CA15" s="137"/>
      <c r="CB15" s="138"/>
      <c r="CC15" s="138"/>
      <c r="CD15" s="139" t="str">
        <f>IF( OR(ISBLANK($P15:$P19),ISBLANK($AO15:$AO19), ISBLANK($AA15:$AA19),ISBLANK($AZ15:$AZ19)), "·", bdRateHermite( $P15:$P19,$AA15:$AA19, $AO15:$AO19,$AZ15:$AZ19))</f>
        <v>·</v>
      </c>
    </row>
    <row r="16" spans="1:82" outlineLevel="1">
      <c r="A16" s="13"/>
      <c r="B16" s="291" t="s">
        <v>985</v>
      </c>
      <c r="C16" s="15" t="s">
        <v>132</v>
      </c>
      <c r="D16" s="300">
        <v>9740660</v>
      </c>
      <c r="E16" s="299">
        <v>20</v>
      </c>
      <c r="F16" s="299">
        <v>1</v>
      </c>
      <c r="G16" s="16"/>
      <c r="I16" s="30" t="str">
        <f t="shared" si="0"/>
        <v>·</v>
      </c>
      <c r="J16" s="31">
        <f t="shared" si="1"/>
        <v>20.785150903532205</v>
      </c>
      <c r="K16" s="31">
        <f t="shared" si="2"/>
        <v>15.062052879373677</v>
      </c>
      <c r="L16" s="105"/>
      <c r="M16" s="31">
        <f t="shared" si="3"/>
        <v>5.7230216432972716</v>
      </c>
      <c r="N16" s="31">
        <f t="shared" si="4"/>
        <v>20.785150903532205</v>
      </c>
      <c r="O16" s="523">
        <v>9740660</v>
      </c>
      <c r="P16" s="503">
        <v>202461088</v>
      </c>
      <c r="Q16" s="373">
        <v>146714336</v>
      </c>
      <c r="R16" s="106"/>
      <c r="S16" s="357">
        <v>55746008</v>
      </c>
      <c r="T16" s="105"/>
      <c r="U16" s="106"/>
      <c r="V16" s="106"/>
      <c r="W16" s="358">
        <v>83.004752999999994</v>
      </c>
      <c r="X16" s="105"/>
      <c r="Y16" s="106"/>
      <c r="Z16" s="106"/>
      <c r="AA16" s="515">
        <v>78.267669999999995</v>
      </c>
      <c r="AB16" s="507"/>
      <c r="AC16" s="359"/>
      <c r="AD16" s="573">
        <v>0</v>
      </c>
      <c r="AE16" s="573">
        <v>0</v>
      </c>
      <c r="AF16" s="33"/>
      <c r="AH16" s="30" t="str">
        <f t="shared" si="5"/>
        <v>·</v>
      </c>
      <c r="AI16" s="31" t="str">
        <f t="shared" si="6"/>
        <v>·</v>
      </c>
      <c r="AJ16" s="31" t="str">
        <f t="shared" si="9"/>
        <v>·</v>
      </c>
      <c r="AK16" s="105" t="str">
        <f t="shared" si="10"/>
        <v>·</v>
      </c>
      <c r="AL16" s="31" t="str">
        <f t="shared" si="11"/>
        <v>·</v>
      </c>
      <c r="AM16" s="31" t="str">
        <f t="shared" si="12"/>
        <v>·</v>
      </c>
      <c r="AN16" s="523"/>
      <c r="AO16" s="503"/>
      <c r="AP16" s="373"/>
      <c r="AQ16" s="106"/>
      <c r="AR16" s="357"/>
      <c r="AS16" s="105"/>
      <c r="AT16" s="106"/>
      <c r="AU16" s="106"/>
      <c r="AV16" s="358"/>
      <c r="AW16" s="105"/>
      <c r="AX16" s="106"/>
      <c r="AY16" s="106"/>
      <c r="AZ16" s="515"/>
      <c r="BA16" s="507"/>
      <c r="BB16" s="359"/>
      <c r="BC16" s="573">
        <v>0</v>
      </c>
      <c r="BD16" s="573">
        <v>0</v>
      </c>
      <c r="BE16" s="33"/>
      <c r="BG16" s="122" t="e">
        <f t="shared" si="7"/>
        <v>#DIV/0!</v>
      </c>
      <c r="BH16" s="123" t="e">
        <f t="shared" si="7"/>
        <v>#DIV/0!</v>
      </c>
      <c r="BI16" s="123" t="e">
        <f t="shared" si="8"/>
        <v>#DIV/0!</v>
      </c>
      <c r="BJ16" s="124"/>
      <c r="BL16" s="105"/>
      <c r="BM16" s="106"/>
      <c r="BN16" s="106"/>
      <c r="BO16" s="107"/>
      <c r="BQ16" s="105"/>
      <c r="BR16" s="106"/>
      <c r="BS16" s="106"/>
      <c r="BT16" s="107"/>
      <c r="BV16" s="105"/>
      <c r="BW16" s="106"/>
      <c r="BX16" s="106"/>
      <c r="BY16" s="107"/>
      <c r="CA16" s="105"/>
      <c r="CB16" s="106"/>
      <c r="CC16" s="106"/>
      <c r="CD16" s="107"/>
    </row>
    <row r="17" spans="1:82" outlineLevel="1">
      <c r="A17" s="13"/>
      <c r="B17" s="291" t="s">
        <v>985</v>
      </c>
      <c r="C17" s="15" t="s">
        <v>133</v>
      </c>
      <c r="D17" s="300">
        <v>9740660</v>
      </c>
      <c r="E17" s="299">
        <v>20</v>
      </c>
      <c r="F17" s="299">
        <v>1</v>
      </c>
      <c r="G17" s="16"/>
      <c r="I17" s="30" t="str">
        <f t="shared" si="0"/>
        <v>·</v>
      </c>
      <c r="J17" s="31">
        <f t="shared" si="1"/>
        <v>22.328898452466259</v>
      </c>
      <c r="K17" s="31">
        <f t="shared" si="2"/>
        <v>15.062052879373677</v>
      </c>
      <c r="L17" s="105"/>
      <c r="M17" s="31">
        <f t="shared" si="3"/>
        <v>7.2667691922313269</v>
      </c>
      <c r="N17" s="31">
        <f t="shared" si="4"/>
        <v>22.328898452466259</v>
      </c>
      <c r="O17" s="523">
        <v>9740660</v>
      </c>
      <c r="P17" s="503">
        <v>217498208</v>
      </c>
      <c r="Q17" s="373">
        <v>146714336</v>
      </c>
      <c r="R17" s="106"/>
      <c r="S17" s="357">
        <v>70783128</v>
      </c>
      <c r="T17" s="105"/>
      <c r="U17" s="106"/>
      <c r="V17" s="106"/>
      <c r="W17" s="358">
        <v>88.926154999999994</v>
      </c>
      <c r="X17" s="105"/>
      <c r="Y17" s="106"/>
      <c r="Z17" s="106"/>
      <c r="AA17" s="515">
        <v>84.288269</v>
      </c>
      <c r="AB17" s="507"/>
      <c r="AC17" s="359"/>
      <c r="AD17" s="573">
        <v>0</v>
      </c>
      <c r="AE17" s="573">
        <v>0</v>
      </c>
      <c r="AF17" s="33"/>
      <c r="AH17" s="30" t="str">
        <f t="shared" si="5"/>
        <v>·</v>
      </c>
      <c r="AI17" s="31" t="str">
        <f t="shared" si="6"/>
        <v>·</v>
      </c>
      <c r="AJ17" s="31" t="str">
        <f t="shared" si="9"/>
        <v>·</v>
      </c>
      <c r="AK17" s="105" t="str">
        <f t="shared" si="10"/>
        <v>·</v>
      </c>
      <c r="AL17" s="31" t="str">
        <f t="shared" si="11"/>
        <v>·</v>
      </c>
      <c r="AM17" s="31" t="str">
        <f t="shared" si="12"/>
        <v>·</v>
      </c>
      <c r="AN17" s="523"/>
      <c r="AO17" s="503"/>
      <c r="AP17" s="373"/>
      <c r="AQ17" s="106"/>
      <c r="AR17" s="357"/>
      <c r="AS17" s="105"/>
      <c r="AT17" s="106"/>
      <c r="AU17" s="106"/>
      <c r="AV17" s="358"/>
      <c r="AW17" s="105"/>
      <c r="AX17" s="106"/>
      <c r="AY17" s="106"/>
      <c r="AZ17" s="515"/>
      <c r="BA17" s="507"/>
      <c r="BB17" s="359"/>
      <c r="BC17" s="573">
        <v>0</v>
      </c>
      <c r="BD17" s="573">
        <v>0</v>
      </c>
      <c r="BE17" s="33"/>
      <c r="BG17" s="122" t="e">
        <f t="shared" si="7"/>
        <v>#DIV/0!</v>
      </c>
      <c r="BH17" s="123" t="e">
        <f t="shared" si="7"/>
        <v>#DIV/0!</v>
      </c>
      <c r="BI17" s="123" t="e">
        <f t="shared" si="8"/>
        <v>#DIV/0!</v>
      </c>
      <c r="BJ17" s="124"/>
      <c r="BL17" s="105"/>
      <c r="BM17" s="106"/>
      <c r="BN17" s="106"/>
      <c r="BO17" s="107"/>
      <c r="BQ17" s="105"/>
      <c r="BR17" s="106"/>
      <c r="BS17" s="106"/>
      <c r="BT17" s="107"/>
      <c r="BV17" s="105"/>
      <c r="BW17" s="106"/>
      <c r="BX17" s="106"/>
      <c r="BY17" s="107"/>
      <c r="CA17" s="105"/>
      <c r="CB17" s="106"/>
      <c r="CC17" s="106"/>
      <c r="CD17" s="107"/>
    </row>
    <row r="18" spans="1:82" outlineLevel="1">
      <c r="A18" s="13"/>
      <c r="B18" s="291" t="s">
        <v>985</v>
      </c>
      <c r="C18" s="15" t="s">
        <v>134</v>
      </c>
      <c r="D18" s="300">
        <v>9740660</v>
      </c>
      <c r="E18" s="299">
        <v>20</v>
      </c>
      <c r="F18" s="299">
        <v>1</v>
      </c>
      <c r="G18" s="16"/>
      <c r="I18" s="30" t="str">
        <f t="shared" si="0"/>
        <v>·</v>
      </c>
      <c r="J18" s="31">
        <f t="shared" si="1"/>
        <v>23.47235444004821</v>
      </c>
      <c r="K18" s="31">
        <f t="shared" si="2"/>
        <v>15.062052879373677</v>
      </c>
      <c r="L18" s="105"/>
      <c r="M18" s="31">
        <f t="shared" si="3"/>
        <v>8.4102251798132777</v>
      </c>
      <c r="N18" s="31">
        <f t="shared" si="4"/>
        <v>23.47235444004821</v>
      </c>
      <c r="O18" s="523">
        <v>9740660</v>
      </c>
      <c r="P18" s="503">
        <v>228636224</v>
      </c>
      <c r="Q18" s="373">
        <v>146714336</v>
      </c>
      <c r="R18" s="106"/>
      <c r="S18" s="357">
        <v>81921144</v>
      </c>
      <c r="T18" s="105"/>
      <c r="U18" s="106"/>
      <c r="V18" s="106"/>
      <c r="W18" s="358">
        <v>94.569327999999999</v>
      </c>
      <c r="X18" s="105"/>
      <c r="Y18" s="106"/>
      <c r="Z18" s="106"/>
      <c r="AA18" s="515">
        <v>90.308868000000004</v>
      </c>
      <c r="AB18" s="507"/>
      <c r="AC18" s="359"/>
      <c r="AD18" s="573">
        <v>0</v>
      </c>
      <c r="AE18" s="573">
        <v>0</v>
      </c>
      <c r="AF18" s="33"/>
      <c r="AH18" s="30" t="str">
        <f t="shared" si="5"/>
        <v>·</v>
      </c>
      <c r="AI18" s="31" t="str">
        <f t="shared" si="6"/>
        <v>·</v>
      </c>
      <c r="AJ18" s="31" t="str">
        <f t="shared" si="9"/>
        <v>·</v>
      </c>
      <c r="AK18" s="105" t="str">
        <f t="shared" si="10"/>
        <v>·</v>
      </c>
      <c r="AL18" s="31" t="str">
        <f t="shared" si="11"/>
        <v>·</v>
      </c>
      <c r="AM18" s="31" t="str">
        <f t="shared" si="12"/>
        <v>·</v>
      </c>
      <c r="AN18" s="523"/>
      <c r="AO18" s="503"/>
      <c r="AP18" s="373"/>
      <c r="AQ18" s="106"/>
      <c r="AR18" s="357"/>
      <c r="AS18" s="105"/>
      <c r="AT18" s="106"/>
      <c r="AU18" s="106"/>
      <c r="AV18" s="358"/>
      <c r="AW18" s="105"/>
      <c r="AX18" s="106"/>
      <c r="AY18" s="106"/>
      <c r="AZ18" s="515"/>
      <c r="BA18" s="507"/>
      <c r="BB18" s="359"/>
      <c r="BC18" s="573">
        <v>0</v>
      </c>
      <c r="BD18" s="573">
        <v>0</v>
      </c>
      <c r="BE18" s="33"/>
      <c r="BG18" s="122" t="e">
        <f t="shared" si="7"/>
        <v>#DIV/0!</v>
      </c>
      <c r="BH18" s="123" t="e">
        <f t="shared" si="7"/>
        <v>#DIV/0!</v>
      </c>
      <c r="BI18" s="123" t="e">
        <f t="shared" si="8"/>
        <v>#DIV/0!</v>
      </c>
      <c r="BJ18" s="124"/>
      <c r="BL18" s="105"/>
      <c r="BM18" s="106"/>
      <c r="BN18" s="106"/>
      <c r="BO18" s="107"/>
      <c r="BQ18" s="105"/>
      <c r="BR18" s="106"/>
      <c r="BS18" s="106"/>
      <c r="BT18" s="107"/>
      <c r="BV18" s="105"/>
      <c r="BW18" s="106"/>
      <c r="BX18" s="106"/>
      <c r="BY18" s="107"/>
      <c r="CA18" s="105"/>
      <c r="CB18" s="106"/>
      <c r="CC18" s="106"/>
      <c r="CD18" s="107"/>
    </row>
    <row r="19" spans="1:82" ht="14.25" outlineLevel="1" thickBot="1">
      <c r="A19" s="13"/>
      <c r="B19" s="292" t="s">
        <v>985</v>
      </c>
      <c r="C19" s="19" t="s">
        <v>135</v>
      </c>
      <c r="D19" s="301">
        <v>9740660</v>
      </c>
      <c r="E19" s="302">
        <v>20</v>
      </c>
      <c r="F19" s="302">
        <v>1</v>
      </c>
      <c r="G19" s="20"/>
      <c r="I19" s="34" t="str">
        <f t="shared" si="0"/>
        <v>·</v>
      </c>
      <c r="J19" s="35">
        <f t="shared" si="1"/>
        <v>24.686453689996366</v>
      </c>
      <c r="K19" s="35">
        <f t="shared" si="2"/>
        <v>15.062052879373677</v>
      </c>
      <c r="L19" s="108"/>
      <c r="M19" s="35">
        <f t="shared" si="3"/>
        <v>9.6243244297614332</v>
      </c>
      <c r="N19" s="35">
        <f t="shared" si="4"/>
        <v>24.686453689996366</v>
      </c>
      <c r="O19" s="524">
        <v>9740660</v>
      </c>
      <c r="P19" s="505">
        <v>240462352</v>
      </c>
      <c r="Q19" s="375">
        <v>146714336</v>
      </c>
      <c r="R19" s="109"/>
      <c r="S19" s="361">
        <v>93747272</v>
      </c>
      <c r="T19" s="108"/>
      <c r="U19" s="109"/>
      <c r="V19" s="109"/>
      <c r="W19" s="362">
        <v>99.341812000000004</v>
      </c>
      <c r="X19" s="108"/>
      <c r="Y19" s="109"/>
      <c r="Z19" s="109"/>
      <c r="AA19" s="517">
        <v>96.329468000000006</v>
      </c>
      <c r="AB19" s="509"/>
      <c r="AC19" s="363"/>
      <c r="AD19" s="575">
        <v>0</v>
      </c>
      <c r="AE19" s="575">
        <v>0</v>
      </c>
      <c r="AF19" s="37"/>
      <c r="AH19" s="34" t="str">
        <f t="shared" si="5"/>
        <v>·</v>
      </c>
      <c r="AI19" s="35" t="str">
        <f t="shared" si="6"/>
        <v>·</v>
      </c>
      <c r="AJ19" s="35" t="str">
        <f t="shared" si="9"/>
        <v>·</v>
      </c>
      <c r="AK19" s="108" t="str">
        <f t="shared" si="10"/>
        <v>·</v>
      </c>
      <c r="AL19" s="35" t="str">
        <f t="shared" si="11"/>
        <v>·</v>
      </c>
      <c r="AM19" s="35" t="str">
        <f t="shared" si="12"/>
        <v>·</v>
      </c>
      <c r="AN19" s="524"/>
      <c r="AO19" s="505"/>
      <c r="AP19" s="375"/>
      <c r="AQ19" s="109"/>
      <c r="AR19" s="361"/>
      <c r="AS19" s="108"/>
      <c r="AT19" s="109"/>
      <c r="AU19" s="109"/>
      <c r="AV19" s="362"/>
      <c r="AW19" s="108"/>
      <c r="AX19" s="109"/>
      <c r="AY19" s="109"/>
      <c r="AZ19" s="517"/>
      <c r="BA19" s="509"/>
      <c r="BB19" s="363"/>
      <c r="BC19" s="575">
        <v>0</v>
      </c>
      <c r="BD19" s="575">
        <v>0</v>
      </c>
      <c r="BE19" s="37"/>
      <c r="BG19" s="125" t="e">
        <f t="shared" si="7"/>
        <v>#DIV/0!</v>
      </c>
      <c r="BH19" s="126" t="e">
        <f t="shared" si="7"/>
        <v>#DIV/0!</v>
      </c>
      <c r="BI19" s="126" t="e">
        <f t="shared" si="8"/>
        <v>#DIV/0!</v>
      </c>
      <c r="BJ19" s="127"/>
      <c r="BL19" s="108"/>
      <c r="BM19" s="109"/>
      <c r="BN19" s="109"/>
      <c r="BO19" s="110"/>
      <c r="BQ19" s="108"/>
      <c r="BR19" s="109"/>
      <c r="BS19" s="109"/>
      <c r="BT19" s="110"/>
      <c r="BV19" s="108"/>
      <c r="BW19" s="109"/>
      <c r="BX19" s="109"/>
      <c r="BY19" s="110"/>
      <c r="CA19" s="108"/>
      <c r="CB19" s="109"/>
      <c r="CC19" s="109"/>
      <c r="CD19" s="110"/>
    </row>
    <row r="20" spans="1:82">
      <c r="A20" s="13"/>
      <c r="B20" s="294" t="s">
        <v>986</v>
      </c>
      <c r="C20" s="28" t="s">
        <v>131</v>
      </c>
      <c r="D20" s="303">
        <v>5865647</v>
      </c>
      <c r="E20" s="304">
        <v>19</v>
      </c>
      <c r="F20" s="304">
        <v>1</v>
      </c>
      <c r="G20" s="29"/>
      <c r="I20" s="46" t="str">
        <f t="shared" si="0"/>
        <v>·</v>
      </c>
      <c r="J20" s="47">
        <f t="shared" si="1"/>
        <v>19.673144326619042</v>
      </c>
      <c r="K20" s="47">
        <f t="shared" si="2"/>
        <v>15.243402134495989</v>
      </c>
      <c r="L20" s="103"/>
      <c r="M20" s="47">
        <f t="shared" si="3"/>
        <v>4.429623535136022</v>
      </c>
      <c r="N20" s="47">
        <f t="shared" si="4"/>
        <v>19.673144326619042</v>
      </c>
      <c r="O20" s="521">
        <v>5865647</v>
      </c>
      <c r="P20" s="502">
        <v>115395720</v>
      </c>
      <c r="Q20" s="372">
        <v>89412416</v>
      </c>
      <c r="R20" s="104"/>
      <c r="S20" s="353">
        <v>25982608</v>
      </c>
      <c r="T20" s="103"/>
      <c r="U20" s="104"/>
      <c r="V20" s="104"/>
      <c r="W20" s="354">
        <v>77.010231000000005</v>
      </c>
      <c r="X20" s="103"/>
      <c r="Y20" s="104"/>
      <c r="Z20" s="104"/>
      <c r="AA20" s="514">
        <v>72.247062999999997</v>
      </c>
      <c r="AB20" s="506"/>
      <c r="AC20" s="355"/>
      <c r="AD20" s="572">
        <v>0</v>
      </c>
      <c r="AE20" s="572">
        <v>0</v>
      </c>
      <c r="AF20" s="49"/>
      <c r="AH20" s="46" t="str">
        <f t="shared" si="5"/>
        <v>·</v>
      </c>
      <c r="AI20" s="47" t="str">
        <f t="shared" si="6"/>
        <v>·</v>
      </c>
      <c r="AJ20" s="47" t="str">
        <f t="shared" si="9"/>
        <v>·</v>
      </c>
      <c r="AK20" s="103" t="str">
        <f t="shared" si="10"/>
        <v>·</v>
      </c>
      <c r="AL20" s="47" t="str">
        <f t="shared" si="11"/>
        <v>·</v>
      </c>
      <c r="AM20" s="47" t="str">
        <f t="shared" si="12"/>
        <v>·</v>
      </c>
      <c r="AN20" s="521"/>
      <c r="AO20" s="502"/>
      <c r="AP20" s="372"/>
      <c r="AQ20" s="104"/>
      <c r="AR20" s="353"/>
      <c r="AS20" s="103"/>
      <c r="AT20" s="104"/>
      <c r="AU20" s="104"/>
      <c r="AV20" s="354"/>
      <c r="AW20" s="103"/>
      <c r="AX20" s="104"/>
      <c r="AY20" s="104"/>
      <c r="AZ20" s="514"/>
      <c r="BA20" s="506"/>
      <c r="BB20" s="355"/>
      <c r="BC20" s="572">
        <v>0</v>
      </c>
      <c r="BD20" s="572">
        <v>0</v>
      </c>
      <c r="BE20" s="49"/>
      <c r="BG20" s="119" t="e">
        <f t="shared" si="7"/>
        <v>#DIV/0!</v>
      </c>
      <c r="BH20" s="120" t="e">
        <f t="shared" si="7"/>
        <v>#DIV/0!</v>
      </c>
      <c r="BI20" s="120" t="e">
        <f t="shared" si="8"/>
        <v>#DIV/0!</v>
      </c>
      <c r="BJ20" s="121" t="e">
        <f t="array" ref="BJ20">AVERAGE(AP20:AP24/AO20:AO24) - AVERAGE(Q20:Q24/P20:P24)</f>
        <v>#DIV/0!</v>
      </c>
      <c r="BL20" s="103"/>
      <c r="BM20" s="104"/>
      <c r="BN20" s="104"/>
      <c r="BO20" s="139" t="str">
        <f>IF( OR(ISBLANK($S20:$S24),ISBLANK($AR20:$AR24), ISBLANK($W20:$W24),ISBLANK($AV20:$AV24)), "·", bdRateHermite($S20:$S24,$W20:$W24, $AR20:$AR24,$AV20:$AV24))</f>
        <v>·</v>
      </c>
      <c r="BQ20" s="137"/>
      <c r="BR20" s="138"/>
      <c r="BS20" s="138"/>
      <c r="BT20" s="139" t="str">
        <f>IF( OR(ISBLANK($S20:$S24),ISBLANK($AR20:$AR24), ISBLANK($AA20:$AA24),ISBLANK($AZ20:$AZ24)), "·", bdRateHermite($S20:$S24,$AA20:$AA24, $AR20:$AR24,$AZ20:$AZ24))</f>
        <v>·</v>
      </c>
      <c r="BV20" s="137"/>
      <c r="BW20" s="138"/>
      <c r="BX20" s="138"/>
      <c r="BY20" s="139" t="str">
        <f>IF(OR(ISBLANK($P20:$P24),ISBLANK($AO20:$AO24),ISBLANK($W20:$W24),ISBLANK($AV20:$AV24)),"·",bdRateHermite($P20:$P24,$W20:$W24,$AO20:$AO24,$AV20:$AV24))</f>
        <v>·</v>
      </c>
      <c r="CA20" s="137"/>
      <c r="CB20" s="138"/>
      <c r="CC20" s="138"/>
      <c r="CD20" s="139" t="str">
        <f>IF( OR(ISBLANK($P20:$P24),ISBLANK($AO20:$AO24), ISBLANK($AA20:$AA24),ISBLANK($AZ20:$AZ24)), "·", bdRateHermite( $P20:$P24,$AA20:$AA24, $AO20:$AO24,$AZ20:$AZ24))</f>
        <v>·</v>
      </c>
    </row>
    <row r="21" spans="1:82" outlineLevel="1">
      <c r="A21" s="13"/>
      <c r="B21" s="295" t="s">
        <v>986</v>
      </c>
      <c r="C21" s="15" t="s">
        <v>132</v>
      </c>
      <c r="D21" s="300">
        <v>5865647</v>
      </c>
      <c r="E21" s="299">
        <v>19</v>
      </c>
      <c r="F21" s="299">
        <v>1</v>
      </c>
      <c r="G21" s="16"/>
      <c r="I21" s="30" t="str">
        <f t="shared" si="0"/>
        <v>·</v>
      </c>
      <c r="J21" s="31">
        <f t="shared" si="1"/>
        <v>21.079490122743493</v>
      </c>
      <c r="K21" s="31">
        <f t="shared" si="2"/>
        <v>15.243402134495989</v>
      </c>
      <c r="L21" s="105"/>
      <c r="M21" s="31">
        <f t="shared" si="3"/>
        <v>5.8359693312604728</v>
      </c>
      <c r="N21" s="31">
        <f t="shared" si="4"/>
        <v>21.079490122743493</v>
      </c>
      <c r="O21" s="521">
        <v>5865647</v>
      </c>
      <c r="P21" s="503">
        <v>123644848</v>
      </c>
      <c r="Q21" s="373">
        <v>89412416</v>
      </c>
      <c r="R21" s="106"/>
      <c r="S21" s="357">
        <v>34231736</v>
      </c>
      <c r="T21" s="105"/>
      <c r="U21" s="106"/>
      <c r="V21" s="106"/>
      <c r="W21" s="358">
        <v>83.005736999999996</v>
      </c>
      <c r="X21" s="105"/>
      <c r="Y21" s="106"/>
      <c r="Z21" s="106"/>
      <c r="AA21" s="515">
        <v>78.267669999999995</v>
      </c>
      <c r="AB21" s="507"/>
      <c r="AC21" s="359"/>
      <c r="AD21" s="573">
        <v>0</v>
      </c>
      <c r="AE21" s="573">
        <v>0</v>
      </c>
      <c r="AF21" s="33"/>
      <c r="AH21" s="30" t="str">
        <f t="shared" si="5"/>
        <v>·</v>
      </c>
      <c r="AI21" s="31" t="str">
        <f t="shared" si="6"/>
        <v>·</v>
      </c>
      <c r="AJ21" s="31" t="str">
        <f t="shared" si="9"/>
        <v>·</v>
      </c>
      <c r="AK21" s="105" t="str">
        <f t="shared" si="10"/>
        <v>·</v>
      </c>
      <c r="AL21" s="31" t="str">
        <f t="shared" si="11"/>
        <v>·</v>
      </c>
      <c r="AM21" s="31" t="str">
        <f t="shared" si="12"/>
        <v>·</v>
      </c>
      <c r="AN21" s="521"/>
      <c r="AO21" s="503"/>
      <c r="AP21" s="373"/>
      <c r="AQ21" s="106"/>
      <c r="AR21" s="357"/>
      <c r="AS21" s="105"/>
      <c r="AT21" s="106"/>
      <c r="AU21" s="106"/>
      <c r="AV21" s="358"/>
      <c r="AW21" s="105"/>
      <c r="AX21" s="106"/>
      <c r="AY21" s="106"/>
      <c r="AZ21" s="515"/>
      <c r="BA21" s="507"/>
      <c r="BB21" s="359"/>
      <c r="BC21" s="573">
        <v>0</v>
      </c>
      <c r="BD21" s="573">
        <v>0</v>
      </c>
      <c r="BE21" s="33"/>
      <c r="BG21" s="122" t="e">
        <f t="shared" ref="BG21:BH71" si="13">BC21/AD21</f>
        <v>#DIV/0!</v>
      </c>
      <c r="BH21" s="123" t="e">
        <f t="shared" si="13"/>
        <v>#DIV/0!</v>
      </c>
      <c r="BI21" s="123" t="e">
        <f t="shared" si="8"/>
        <v>#DIV/0!</v>
      </c>
      <c r="BJ21" s="124"/>
      <c r="BL21" s="105"/>
      <c r="BM21" s="106"/>
      <c r="BN21" s="106"/>
      <c r="BO21" s="107"/>
      <c r="BQ21" s="105"/>
      <c r="BR21" s="106"/>
      <c r="BS21" s="106"/>
      <c r="BT21" s="107"/>
      <c r="BV21" s="105"/>
      <c r="BW21" s="106"/>
      <c r="BX21" s="106"/>
      <c r="BY21" s="107"/>
      <c r="CA21" s="105"/>
      <c r="CB21" s="106"/>
      <c r="CC21" s="106"/>
      <c r="CD21" s="107"/>
    </row>
    <row r="22" spans="1:82" outlineLevel="1">
      <c r="A22" s="13"/>
      <c r="B22" s="295" t="s">
        <v>986</v>
      </c>
      <c r="C22" s="15" t="s">
        <v>133</v>
      </c>
      <c r="D22" s="300">
        <v>5865647</v>
      </c>
      <c r="E22" s="299">
        <v>19</v>
      </c>
      <c r="F22" s="299">
        <v>1</v>
      </c>
      <c r="G22" s="16"/>
      <c r="I22" s="30" t="str">
        <f t="shared" si="0"/>
        <v>·</v>
      </c>
      <c r="J22" s="31">
        <f t="shared" si="1"/>
        <v>22.750843342601421</v>
      </c>
      <c r="K22" s="31">
        <f t="shared" si="2"/>
        <v>15.243402134495989</v>
      </c>
      <c r="L22" s="105"/>
      <c r="M22" s="31">
        <f t="shared" si="3"/>
        <v>7.5073239149918161</v>
      </c>
      <c r="N22" s="31">
        <f t="shared" si="4"/>
        <v>22.750843342601421</v>
      </c>
      <c r="O22" s="521">
        <v>5865647</v>
      </c>
      <c r="P22" s="503">
        <v>133448416</v>
      </c>
      <c r="Q22" s="373">
        <v>89412416</v>
      </c>
      <c r="R22" s="106"/>
      <c r="S22" s="357">
        <v>44035312</v>
      </c>
      <c r="T22" s="105"/>
      <c r="U22" s="106"/>
      <c r="V22" s="106"/>
      <c r="W22" s="358">
        <v>88.927398999999994</v>
      </c>
      <c r="X22" s="105"/>
      <c r="Y22" s="106"/>
      <c r="Z22" s="106"/>
      <c r="AA22" s="515">
        <v>84.288269</v>
      </c>
      <c r="AB22" s="507"/>
      <c r="AC22" s="359"/>
      <c r="AD22" s="573">
        <v>0</v>
      </c>
      <c r="AE22" s="573">
        <v>0</v>
      </c>
      <c r="AF22" s="33"/>
      <c r="AH22" s="30" t="str">
        <f t="shared" si="5"/>
        <v>·</v>
      </c>
      <c r="AI22" s="31" t="str">
        <f t="shared" si="6"/>
        <v>·</v>
      </c>
      <c r="AJ22" s="31" t="str">
        <f t="shared" si="9"/>
        <v>·</v>
      </c>
      <c r="AK22" s="105" t="str">
        <f t="shared" si="10"/>
        <v>·</v>
      </c>
      <c r="AL22" s="31" t="str">
        <f t="shared" si="11"/>
        <v>·</v>
      </c>
      <c r="AM22" s="31" t="str">
        <f t="shared" si="12"/>
        <v>·</v>
      </c>
      <c r="AN22" s="521"/>
      <c r="AO22" s="503"/>
      <c r="AP22" s="373"/>
      <c r="AQ22" s="106"/>
      <c r="AR22" s="357"/>
      <c r="AS22" s="105"/>
      <c r="AT22" s="106"/>
      <c r="AU22" s="106"/>
      <c r="AV22" s="358"/>
      <c r="AW22" s="105"/>
      <c r="AX22" s="106"/>
      <c r="AY22" s="106"/>
      <c r="AZ22" s="515"/>
      <c r="BA22" s="507"/>
      <c r="BB22" s="359"/>
      <c r="BC22" s="573">
        <v>0</v>
      </c>
      <c r="BD22" s="573">
        <v>0</v>
      </c>
      <c r="BE22" s="33"/>
      <c r="BG22" s="122" t="e">
        <f t="shared" si="13"/>
        <v>#DIV/0!</v>
      </c>
      <c r="BH22" s="123" t="e">
        <f t="shared" si="13"/>
        <v>#DIV/0!</v>
      </c>
      <c r="BI22" s="123" t="e">
        <f t="shared" si="8"/>
        <v>#DIV/0!</v>
      </c>
      <c r="BJ22" s="124"/>
      <c r="BL22" s="105"/>
      <c r="BM22" s="106"/>
      <c r="BN22" s="106"/>
      <c r="BO22" s="107"/>
      <c r="BQ22" s="105"/>
      <c r="BR22" s="106"/>
      <c r="BS22" s="106"/>
      <c r="BT22" s="107"/>
      <c r="BV22" s="105"/>
      <c r="BW22" s="106"/>
      <c r="BX22" s="106"/>
      <c r="BY22" s="107"/>
      <c r="CA22" s="105"/>
      <c r="CB22" s="106"/>
      <c r="CC22" s="106"/>
      <c r="CD22" s="107"/>
    </row>
    <row r="23" spans="1:82" outlineLevel="1">
      <c r="A23" s="13"/>
      <c r="B23" s="295" t="s">
        <v>986</v>
      </c>
      <c r="C23" s="15" t="s">
        <v>134</v>
      </c>
      <c r="D23" s="300">
        <v>5865647</v>
      </c>
      <c r="E23" s="299">
        <v>19</v>
      </c>
      <c r="F23" s="299">
        <v>1</v>
      </c>
      <c r="G23" s="16"/>
      <c r="I23" s="30" t="str">
        <f t="shared" si="0"/>
        <v>·</v>
      </c>
      <c r="J23" s="31">
        <f t="shared" si="1"/>
        <v>23.931409442129741</v>
      </c>
      <c r="K23" s="31">
        <f t="shared" si="2"/>
        <v>15.243402134495989</v>
      </c>
      <c r="L23" s="105"/>
      <c r="M23" s="31">
        <f t="shared" si="3"/>
        <v>8.6878900145201374</v>
      </c>
      <c r="N23" s="31">
        <f t="shared" si="4"/>
        <v>23.931409442129741</v>
      </c>
      <c r="O23" s="521">
        <v>5865647</v>
      </c>
      <c r="P23" s="503">
        <v>140373200</v>
      </c>
      <c r="Q23" s="373">
        <v>89412416</v>
      </c>
      <c r="R23" s="106"/>
      <c r="S23" s="357">
        <v>50960096</v>
      </c>
      <c r="T23" s="105"/>
      <c r="U23" s="106"/>
      <c r="V23" s="106"/>
      <c r="W23" s="358">
        <v>94.568511999999998</v>
      </c>
      <c r="X23" s="105"/>
      <c r="Y23" s="106"/>
      <c r="Z23" s="106"/>
      <c r="AA23" s="515">
        <v>90.308868000000004</v>
      </c>
      <c r="AB23" s="507"/>
      <c r="AC23" s="359"/>
      <c r="AD23" s="573">
        <v>0</v>
      </c>
      <c r="AE23" s="573">
        <v>0</v>
      </c>
      <c r="AF23" s="33"/>
      <c r="AH23" s="30" t="str">
        <f t="shared" si="5"/>
        <v>·</v>
      </c>
      <c r="AI23" s="31" t="str">
        <f t="shared" si="6"/>
        <v>·</v>
      </c>
      <c r="AJ23" s="31" t="str">
        <f t="shared" si="9"/>
        <v>·</v>
      </c>
      <c r="AK23" s="105" t="str">
        <f t="shared" si="10"/>
        <v>·</v>
      </c>
      <c r="AL23" s="31" t="str">
        <f t="shared" si="11"/>
        <v>·</v>
      </c>
      <c r="AM23" s="31" t="str">
        <f t="shared" si="12"/>
        <v>·</v>
      </c>
      <c r="AN23" s="521"/>
      <c r="AO23" s="503"/>
      <c r="AP23" s="373"/>
      <c r="AQ23" s="106"/>
      <c r="AR23" s="357"/>
      <c r="AS23" s="105"/>
      <c r="AT23" s="106"/>
      <c r="AU23" s="106"/>
      <c r="AV23" s="358"/>
      <c r="AW23" s="105"/>
      <c r="AX23" s="106"/>
      <c r="AY23" s="106"/>
      <c r="AZ23" s="515"/>
      <c r="BA23" s="507"/>
      <c r="BB23" s="359"/>
      <c r="BC23" s="573">
        <v>0</v>
      </c>
      <c r="BD23" s="573">
        <v>0</v>
      </c>
      <c r="BE23" s="33"/>
      <c r="BG23" s="122" t="e">
        <f t="shared" si="13"/>
        <v>#DIV/0!</v>
      </c>
      <c r="BH23" s="123" t="e">
        <f t="shared" si="13"/>
        <v>#DIV/0!</v>
      </c>
      <c r="BI23" s="123" t="e">
        <f t="shared" si="8"/>
        <v>#DIV/0!</v>
      </c>
      <c r="BJ23" s="124"/>
      <c r="BL23" s="105"/>
      <c r="BM23" s="106"/>
      <c r="BN23" s="106"/>
      <c r="BO23" s="107"/>
      <c r="BQ23" s="105"/>
      <c r="BR23" s="106"/>
      <c r="BS23" s="106"/>
      <c r="BT23" s="107"/>
      <c r="BV23" s="105"/>
      <c r="BW23" s="106"/>
      <c r="BX23" s="106"/>
      <c r="BY23" s="107"/>
      <c r="CA23" s="105"/>
      <c r="CB23" s="106"/>
      <c r="CC23" s="106"/>
      <c r="CD23" s="107"/>
    </row>
    <row r="24" spans="1:82" ht="14.25" outlineLevel="1" thickBot="1">
      <c r="A24" s="13"/>
      <c r="B24" s="296" t="s">
        <v>986</v>
      </c>
      <c r="C24" s="22" t="s">
        <v>135</v>
      </c>
      <c r="D24" s="305">
        <v>5865647</v>
      </c>
      <c r="E24" s="306">
        <v>19</v>
      </c>
      <c r="F24" s="306">
        <v>1</v>
      </c>
      <c r="G24" s="23"/>
      <c r="I24" s="34" t="str">
        <f t="shared" si="0"/>
        <v>·</v>
      </c>
      <c r="J24" s="35">
        <f t="shared" si="1"/>
        <v>25.164125969394341</v>
      </c>
      <c r="K24" s="35">
        <f t="shared" si="2"/>
        <v>15.243402134495989</v>
      </c>
      <c r="L24" s="134"/>
      <c r="M24" s="35">
        <f t="shared" si="3"/>
        <v>9.9206065417847338</v>
      </c>
      <c r="N24" s="35">
        <f t="shared" si="4"/>
        <v>25.164125969394341</v>
      </c>
      <c r="O24" s="522">
        <v>5865647</v>
      </c>
      <c r="P24" s="504">
        <v>147603880</v>
      </c>
      <c r="Q24" s="374">
        <v>89412416</v>
      </c>
      <c r="R24" s="135"/>
      <c r="S24" s="369">
        <v>58190776</v>
      </c>
      <c r="T24" s="134"/>
      <c r="U24" s="135"/>
      <c r="V24" s="135"/>
      <c r="W24" s="370">
        <v>99.340819999999994</v>
      </c>
      <c r="X24" s="134"/>
      <c r="Y24" s="135"/>
      <c r="Z24" s="135"/>
      <c r="AA24" s="516">
        <v>96.329468000000006</v>
      </c>
      <c r="AB24" s="508"/>
      <c r="AC24" s="371"/>
      <c r="AD24" s="574">
        <v>0</v>
      </c>
      <c r="AE24" s="574">
        <v>0</v>
      </c>
      <c r="AF24" s="37"/>
      <c r="AH24" s="38" t="str">
        <f t="shared" si="5"/>
        <v>·</v>
      </c>
      <c r="AI24" s="39" t="str">
        <f t="shared" si="6"/>
        <v>·</v>
      </c>
      <c r="AJ24" s="39" t="str">
        <f t="shared" si="9"/>
        <v>·</v>
      </c>
      <c r="AK24" s="134" t="str">
        <f t="shared" si="10"/>
        <v>·</v>
      </c>
      <c r="AL24" s="39" t="str">
        <f t="shared" si="11"/>
        <v>·</v>
      </c>
      <c r="AM24" s="39" t="str">
        <f t="shared" si="12"/>
        <v>·</v>
      </c>
      <c r="AN24" s="522"/>
      <c r="AO24" s="504"/>
      <c r="AP24" s="374"/>
      <c r="AQ24" s="135"/>
      <c r="AR24" s="369"/>
      <c r="AS24" s="134"/>
      <c r="AT24" s="135"/>
      <c r="AU24" s="135"/>
      <c r="AV24" s="370"/>
      <c r="AW24" s="134"/>
      <c r="AX24" s="135"/>
      <c r="AY24" s="135"/>
      <c r="AZ24" s="516"/>
      <c r="BA24" s="508"/>
      <c r="BB24" s="371"/>
      <c r="BC24" s="574">
        <v>0</v>
      </c>
      <c r="BD24" s="574">
        <v>0</v>
      </c>
      <c r="BE24" s="41"/>
      <c r="BG24" s="128" t="e">
        <f t="shared" si="13"/>
        <v>#DIV/0!</v>
      </c>
      <c r="BH24" s="129" t="e">
        <f t="shared" si="13"/>
        <v>#DIV/0!</v>
      </c>
      <c r="BI24" s="129" t="e">
        <f t="shared" si="8"/>
        <v>#DIV/0!</v>
      </c>
      <c r="BJ24" s="130"/>
      <c r="BL24" s="134"/>
      <c r="BM24" s="135"/>
      <c r="BN24" s="135"/>
      <c r="BO24" s="136"/>
      <c r="BQ24" s="134"/>
      <c r="BR24" s="135"/>
      <c r="BS24" s="135"/>
      <c r="BT24" s="136"/>
      <c r="BV24" s="134"/>
      <c r="BW24" s="135"/>
      <c r="BX24" s="135"/>
      <c r="BY24" s="136"/>
      <c r="CA24" s="134"/>
      <c r="CB24" s="135"/>
      <c r="CC24" s="135"/>
      <c r="CD24" s="136"/>
    </row>
    <row r="25" spans="1:82">
      <c r="A25" s="13"/>
      <c r="B25" s="293" t="s">
        <v>987</v>
      </c>
      <c r="C25" s="28" t="s">
        <v>131</v>
      </c>
      <c r="D25" s="307">
        <v>5538380</v>
      </c>
      <c r="E25" s="308">
        <v>19</v>
      </c>
      <c r="F25" s="308">
        <v>1</v>
      </c>
      <c r="G25" s="29"/>
      <c r="I25" s="42" t="str">
        <f t="shared" si="0"/>
        <v>·</v>
      </c>
      <c r="J25" s="43">
        <f t="shared" si="1"/>
        <v>21.610495487850237</v>
      </c>
      <c r="K25" s="43">
        <f t="shared" si="2"/>
        <v>16.990158132883622</v>
      </c>
      <c r="L25" s="103"/>
      <c r="M25" s="43">
        <f t="shared" si="3"/>
        <v>4.6202044641212776</v>
      </c>
      <c r="N25" s="43">
        <f t="shared" si="4"/>
        <v>21.610495487850237</v>
      </c>
      <c r="O25" s="520">
        <v>5538380</v>
      </c>
      <c r="P25" s="502">
        <v>119687136</v>
      </c>
      <c r="Q25" s="372">
        <v>94097952</v>
      </c>
      <c r="R25" s="104"/>
      <c r="S25" s="353">
        <v>25588448</v>
      </c>
      <c r="T25" s="103"/>
      <c r="U25" s="104"/>
      <c r="V25" s="104"/>
      <c r="W25" s="354">
        <v>77.010695999999996</v>
      </c>
      <c r="X25" s="103"/>
      <c r="Y25" s="104"/>
      <c r="Z25" s="104"/>
      <c r="AA25" s="514">
        <v>72.247062999999997</v>
      </c>
      <c r="AB25" s="506"/>
      <c r="AC25" s="355"/>
      <c r="AD25" s="572">
        <v>0</v>
      </c>
      <c r="AE25" s="572">
        <v>0</v>
      </c>
      <c r="AF25" s="45"/>
      <c r="AH25" s="46" t="str">
        <f t="shared" si="5"/>
        <v>·</v>
      </c>
      <c r="AI25" s="47" t="str">
        <f t="shared" si="6"/>
        <v>·</v>
      </c>
      <c r="AJ25" s="47" t="str">
        <f t="shared" si="9"/>
        <v>·</v>
      </c>
      <c r="AK25" s="103" t="str">
        <f t="shared" si="10"/>
        <v>·</v>
      </c>
      <c r="AL25" s="47" t="str">
        <f t="shared" si="11"/>
        <v>·</v>
      </c>
      <c r="AM25" s="47" t="str">
        <f t="shared" si="12"/>
        <v>·</v>
      </c>
      <c r="AN25" s="520"/>
      <c r="AO25" s="502"/>
      <c r="AP25" s="372"/>
      <c r="AQ25" s="104"/>
      <c r="AR25" s="353"/>
      <c r="AS25" s="103"/>
      <c r="AT25" s="104"/>
      <c r="AU25" s="104"/>
      <c r="AV25" s="354"/>
      <c r="AW25" s="103"/>
      <c r="AX25" s="104"/>
      <c r="AY25" s="104"/>
      <c r="AZ25" s="514"/>
      <c r="BA25" s="506"/>
      <c r="BB25" s="355"/>
      <c r="BC25" s="572">
        <v>0</v>
      </c>
      <c r="BD25" s="572">
        <v>0</v>
      </c>
      <c r="BE25" s="49"/>
      <c r="BG25" s="119" t="e">
        <f t="shared" si="13"/>
        <v>#DIV/0!</v>
      </c>
      <c r="BH25" s="120" t="e">
        <f t="shared" si="13"/>
        <v>#DIV/0!</v>
      </c>
      <c r="BI25" s="120" t="e">
        <f t="shared" si="8"/>
        <v>#DIV/0!</v>
      </c>
      <c r="BJ25" s="121" t="e">
        <f t="array" ref="BJ25">AVERAGE(AP25:AP29/AO25:AO29) - AVERAGE(Q25:Q29/P25:P29)</f>
        <v>#DIV/0!</v>
      </c>
      <c r="BL25" s="103"/>
      <c r="BM25" s="104"/>
      <c r="BN25" s="104"/>
      <c r="BO25" s="139" t="str">
        <f>IF( OR(ISBLANK($S25:$S29),ISBLANK($AR25:$AR29), ISBLANK($W25:$W29),ISBLANK($AV25:$AV29)), "·", bdRateHermite($S25:$S29,$W25:$W29, $AR25:$AR29,$AV25:$AV29))</f>
        <v>·</v>
      </c>
      <c r="BQ25" s="137"/>
      <c r="BR25" s="138"/>
      <c r="BS25" s="138"/>
      <c r="BT25" s="139" t="str">
        <f>IF( OR(ISBLANK($S25:$S29),ISBLANK($AR25:$AR29), ISBLANK($AA25:$AA29),ISBLANK($AZ25:$AZ29)), "·", bdRateHermite($S25:$S29,$AA25:$AA29, $AR25:$AR29,$AZ25:$AZ29))</f>
        <v>·</v>
      </c>
      <c r="BV25" s="137"/>
      <c r="BW25" s="138"/>
      <c r="BX25" s="138"/>
      <c r="BY25" s="139" t="str">
        <f>IF(OR(ISBLANK($P25:$P29),ISBLANK($AO25:$AO29),ISBLANK($W25:$W29),ISBLANK($AV25:$AV29)),"·",bdRateHermite($P25:$P29,$W25:$W29,$AO25:$AO29,$AV25:$AV29))</f>
        <v>·</v>
      </c>
      <c r="CA25" s="137"/>
      <c r="CB25" s="138"/>
      <c r="CC25" s="138"/>
      <c r="CD25" s="139" t="str">
        <f>IF( OR(ISBLANK($P25:$P29),ISBLANK($AO25:$AO29), ISBLANK($AA25:$AA29),ISBLANK($AZ25:$AZ29)), "·", bdRateHermite( $P25:$P29,$AA25:$AA29, $AO25:$AO29,$AZ25:$AZ29))</f>
        <v>·</v>
      </c>
    </row>
    <row r="26" spans="1:82" outlineLevel="1">
      <c r="A26" s="13"/>
      <c r="B26" s="291" t="s">
        <v>987</v>
      </c>
      <c r="C26" s="15" t="s">
        <v>132</v>
      </c>
      <c r="D26" s="300">
        <v>5538380</v>
      </c>
      <c r="E26" s="299">
        <v>19</v>
      </c>
      <c r="F26" s="299">
        <v>1</v>
      </c>
      <c r="G26" s="16"/>
      <c r="I26" s="30" t="str">
        <f t="shared" si="0"/>
        <v>·</v>
      </c>
      <c r="J26" s="31">
        <f t="shared" si="1"/>
        <v>23.026693004091449</v>
      </c>
      <c r="K26" s="31">
        <f t="shared" si="2"/>
        <v>16.990158132883622</v>
      </c>
      <c r="L26" s="105"/>
      <c r="M26" s="31">
        <f t="shared" si="3"/>
        <v>6.0364019803624887</v>
      </c>
      <c r="N26" s="31">
        <f t="shared" si="4"/>
        <v>23.026693004091449</v>
      </c>
      <c r="O26" s="521">
        <v>5538380</v>
      </c>
      <c r="P26" s="503">
        <v>127530576</v>
      </c>
      <c r="Q26" s="373">
        <v>94097952</v>
      </c>
      <c r="R26" s="106"/>
      <c r="S26" s="357">
        <v>33431888</v>
      </c>
      <c r="T26" s="105"/>
      <c r="U26" s="106"/>
      <c r="V26" s="106"/>
      <c r="W26" s="358">
        <v>83.002930000000006</v>
      </c>
      <c r="X26" s="105"/>
      <c r="Y26" s="106"/>
      <c r="Z26" s="106"/>
      <c r="AA26" s="515">
        <v>78.267669999999995</v>
      </c>
      <c r="AB26" s="507"/>
      <c r="AC26" s="359"/>
      <c r="AD26" s="573">
        <v>0</v>
      </c>
      <c r="AE26" s="573">
        <v>0</v>
      </c>
      <c r="AF26" s="33"/>
      <c r="AH26" s="30" t="str">
        <f t="shared" si="5"/>
        <v>·</v>
      </c>
      <c r="AI26" s="31" t="str">
        <f t="shared" si="6"/>
        <v>·</v>
      </c>
      <c r="AJ26" s="31" t="str">
        <f t="shared" si="9"/>
        <v>·</v>
      </c>
      <c r="AK26" s="105" t="str">
        <f t="shared" si="10"/>
        <v>·</v>
      </c>
      <c r="AL26" s="31" t="str">
        <f t="shared" si="11"/>
        <v>·</v>
      </c>
      <c r="AM26" s="31" t="str">
        <f t="shared" si="12"/>
        <v>·</v>
      </c>
      <c r="AN26" s="521"/>
      <c r="AO26" s="503"/>
      <c r="AP26" s="373"/>
      <c r="AQ26" s="106"/>
      <c r="AR26" s="357"/>
      <c r="AS26" s="105"/>
      <c r="AT26" s="106"/>
      <c r="AU26" s="106"/>
      <c r="AV26" s="358"/>
      <c r="AW26" s="105"/>
      <c r="AX26" s="106"/>
      <c r="AY26" s="106"/>
      <c r="AZ26" s="515"/>
      <c r="BA26" s="507"/>
      <c r="BB26" s="359"/>
      <c r="BC26" s="573">
        <v>0</v>
      </c>
      <c r="BD26" s="573">
        <v>0</v>
      </c>
      <c r="BE26" s="33"/>
      <c r="BG26" s="122" t="e">
        <f t="shared" si="13"/>
        <v>#DIV/0!</v>
      </c>
      <c r="BH26" s="123" t="e">
        <f t="shared" si="13"/>
        <v>#DIV/0!</v>
      </c>
      <c r="BI26" s="123" t="e">
        <f t="shared" si="8"/>
        <v>#DIV/0!</v>
      </c>
      <c r="BJ26" s="124"/>
      <c r="BL26" s="105"/>
      <c r="BM26" s="106"/>
      <c r="BN26" s="106"/>
      <c r="BO26" s="107"/>
      <c r="BQ26" s="105"/>
      <c r="BR26" s="106"/>
      <c r="BS26" s="106"/>
      <c r="BT26" s="107"/>
      <c r="BV26" s="105"/>
      <c r="BW26" s="106"/>
      <c r="BX26" s="106"/>
      <c r="BY26" s="107"/>
      <c r="CA26" s="105"/>
      <c r="CB26" s="106"/>
      <c r="CC26" s="106"/>
      <c r="CD26" s="107"/>
    </row>
    <row r="27" spans="1:82" outlineLevel="1">
      <c r="A27" s="13"/>
      <c r="B27" s="291" t="s">
        <v>987</v>
      </c>
      <c r="C27" s="15" t="s">
        <v>133</v>
      </c>
      <c r="D27" s="300">
        <v>5538380</v>
      </c>
      <c r="E27" s="299">
        <v>19</v>
      </c>
      <c r="F27" s="299">
        <v>1</v>
      </c>
      <c r="G27" s="16"/>
      <c r="I27" s="30" t="str">
        <f t="shared" si="0"/>
        <v>·</v>
      </c>
      <c r="J27" s="31">
        <f t="shared" si="1"/>
        <v>24.56331273765975</v>
      </c>
      <c r="K27" s="31">
        <f t="shared" si="2"/>
        <v>16.990158132883622</v>
      </c>
      <c r="L27" s="105"/>
      <c r="M27" s="31">
        <f t="shared" si="3"/>
        <v>7.573021713930788</v>
      </c>
      <c r="N27" s="31">
        <f t="shared" si="4"/>
        <v>24.56331273765975</v>
      </c>
      <c r="O27" s="521">
        <v>5538380</v>
      </c>
      <c r="P27" s="503">
        <v>136040960</v>
      </c>
      <c r="Q27" s="373">
        <v>94097952</v>
      </c>
      <c r="R27" s="106"/>
      <c r="S27" s="357">
        <v>41942272</v>
      </c>
      <c r="T27" s="105"/>
      <c r="U27" s="106"/>
      <c r="V27" s="106"/>
      <c r="W27" s="358">
        <v>88.928229999999999</v>
      </c>
      <c r="X27" s="105"/>
      <c r="Y27" s="106"/>
      <c r="Z27" s="106"/>
      <c r="AA27" s="515">
        <v>84.288269</v>
      </c>
      <c r="AB27" s="507"/>
      <c r="AC27" s="359"/>
      <c r="AD27" s="573">
        <v>0</v>
      </c>
      <c r="AE27" s="573">
        <v>0</v>
      </c>
      <c r="AF27" s="33"/>
      <c r="AH27" s="30" t="str">
        <f t="shared" si="5"/>
        <v>·</v>
      </c>
      <c r="AI27" s="31" t="str">
        <f t="shared" si="6"/>
        <v>·</v>
      </c>
      <c r="AJ27" s="31" t="str">
        <f t="shared" si="9"/>
        <v>·</v>
      </c>
      <c r="AK27" s="105" t="str">
        <f t="shared" si="10"/>
        <v>·</v>
      </c>
      <c r="AL27" s="31" t="str">
        <f t="shared" si="11"/>
        <v>·</v>
      </c>
      <c r="AM27" s="31" t="str">
        <f t="shared" si="12"/>
        <v>·</v>
      </c>
      <c r="AN27" s="521"/>
      <c r="AO27" s="503"/>
      <c r="AP27" s="373"/>
      <c r="AQ27" s="106"/>
      <c r="AR27" s="357"/>
      <c r="AS27" s="105"/>
      <c r="AT27" s="106"/>
      <c r="AU27" s="106"/>
      <c r="AV27" s="358"/>
      <c r="AW27" s="105"/>
      <c r="AX27" s="106"/>
      <c r="AY27" s="106"/>
      <c r="AZ27" s="515"/>
      <c r="BA27" s="507"/>
      <c r="BB27" s="359"/>
      <c r="BC27" s="573">
        <v>0</v>
      </c>
      <c r="BD27" s="573">
        <v>0</v>
      </c>
      <c r="BE27" s="33"/>
      <c r="BG27" s="122" t="e">
        <f t="shared" si="13"/>
        <v>#DIV/0!</v>
      </c>
      <c r="BH27" s="123" t="e">
        <f t="shared" si="13"/>
        <v>#DIV/0!</v>
      </c>
      <c r="BI27" s="123" t="e">
        <f t="shared" si="8"/>
        <v>#DIV/0!</v>
      </c>
      <c r="BJ27" s="124"/>
      <c r="BL27" s="105"/>
      <c r="BM27" s="106"/>
      <c r="BN27" s="106"/>
      <c r="BO27" s="107"/>
      <c r="BQ27" s="105"/>
      <c r="BR27" s="106"/>
      <c r="BS27" s="106"/>
      <c r="BT27" s="107"/>
      <c r="BV27" s="105"/>
      <c r="BW27" s="106"/>
      <c r="BX27" s="106"/>
      <c r="BY27" s="107"/>
      <c r="CA27" s="105"/>
      <c r="CB27" s="106"/>
      <c r="CC27" s="106"/>
      <c r="CD27" s="107"/>
    </row>
    <row r="28" spans="1:82" outlineLevel="1">
      <c r="A28" s="13"/>
      <c r="B28" s="291" t="s">
        <v>987</v>
      </c>
      <c r="C28" s="15" t="s">
        <v>134</v>
      </c>
      <c r="D28" s="300">
        <v>5538380</v>
      </c>
      <c r="E28" s="299">
        <v>19</v>
      </c>
      <c r="F28" s="299">
        <v>1</v>
      </c>
      <c r="G28" s="16"/>
      <c r="I28" s="30" t="str">
        <f t="shared" si="0"/>
        <v>·</v>
      </c>
      <c r="J28" s="31">
        <f t="shared" si="1"/>
        <v>25.730085692928256</v>
      </c>
      <c r="K28" s="31">
        <f t="shared" si="2"/>
        <v>16.990158132883622</v>
      </c>
      <c r="L28" s="105"/>
      <c r="M28" s="31">
        <f t="shared" si="3"/>
        <v>8.7397946691992967</v>
      </c>
      <c r="N28" s="31">
        <f t="shared" si="4"/>
        <v>25.730085692928256</v>
      </c>
      <c r="O28" s="521">
        <v>5538380</v>
      </c>
      <c r="P28" s="503">
        <v>142502992</v>
      </c>
      <c r="Q28" s="373">
        <v>94097952</v>
      </c>
      <c r="R28" s="106"/>
      <c r="S28" s="357">
        <v>48404304</v>
      </c>
      <c r="T28" s="105"/>
      <c r="U28" s="106"/>
      <c r="V28" s="106"/>
      <c r="W28" s="358">
        <v>94.569457999999997</v>
      </c>
      <c r="X28" s="105"/>
      <c r="Y28" s="106"/>
      <c r="Z28" s="106"/>
      <c r="AA28" s="515">
        <v>90.308868000000004</v>
      </c>
      <c r="AB28" s="507"/>
      <c r="AC28" s="359"/>
      <c r="AD28" s="573">
        <v>0</v>
      </c>
      <c r="AE28" s="573">
        <v>0</v>
      </c>
      <c r="AF28" s="33"/>
      <c r="AH28" s="30" t="str">
        <f t="shared" si="5"/>
        <v>·</v>
      </c>
      <c r="AI28" s="31" t="str">
        <f t="shared" si="6"/>
        <v>·</v>
      </c>
      <c r="AJ28" s="31" t="str">
        <f t="shared" si="9"/>
        <v>·</v>
      </c>
      <c r="AK28" s="105" t="str">
        <f t="shared" si="10"/>
        <v>·</v>
      </c>
      <c r="AL28" s="31" t="str">
        <f t="shared" si="11"/>
        <v>·</v>
      </c>
      <c r="AM28" s="31" t="str">
        <f t="shared" si="12"/>
        <v>·</v>
      </c>
      <c r="AN28" s="521"/>
      <c r="AO28" s="503"/>
      <c r="AP28" s="373"/>
      <c r="AQ28" s="106"/>
      <c r="AR28" s="357"/>
      <c r="AS28" s="105"/>
      <c r="AT28" s="106"/>
      <c r="AU28" s="106"/>
      <c r="AV28" s="358"/>
      <c r="AW28" s="105"/>
      <c r="AX28" s="106"/>
      <c r="AY28" s="106"/>
      <c r="AZ28" s="515"/>
      <c r="BA28" s="507"/>
      <c r="BB28" s="359"/>
      <c r="BC28" s="573">
        <v>0</v>
      </c>
      <c r="BD28" s="573">
        <v>0</v>
      </c>
      <c r="BE28" s="33"/>
      <c r="BG28" s="122" t="e">
        <f t="shared" si="13"/>
        <v>#DIV/0!</v>
      </c>
      <c r="BH28" s="123" t="e">
        <f t="shared" si="13"/>
        <v>#DIV/0!</v>
      </c>
      <c r="BI28" s="123" t="e">
        <f t="shared" si="8"/>
        <v>#DIV/0!</v>
      </c>
      <c r="BJ28" s="124"/>
      <c r="BL28" s="105"/>
      <c r="BM28" s="106"/>
      <c r="BN28" s="106"/>
      <c r="BO28" s="107"/>
      <c r="BQ28" s="105"/>
      <c r="BR28" s="106"/>
      <c r="BS28" s="106"/>
      <c r="BT28" s="107"/>
      <c r="BV28" s="105"/>
      <c r="BW28" s="106"/>
      <c r="BX28" s="106"/>
      <c r="BY28" s="107"/>
      <c r="CA28" s="105"/>
      <c r="CB28" s="106"/>
      <c r="CC28" s="106"/>
      <c r="CD28" s="107"/>
    </row>
    <row r="29" spans="1:82" ht="14.25" outlineLevel="1" thickBot="1">
      <c r="A29" s="13"/>
      <c r="B29" s="292" t="s">
        <v>987</v>
      </c>
      <c r="C29" s="19" t="s">
        <v>135</v>
      </c>
      <c r="D29" s="301">
        <v>5538380</v>
      </c>
      <c r="E29" s="302">
        <v>19</v>
      </c>
      <c r="F29" s="302">
        <v>1</v>
      </c>
      <c r="G29" s="20"/>
      <c r="I29" s="38" t="str">
        <f t="shared" si="0"/>
        <v>·</v>
      </c>
      <c r="J29" s="39">
        <f t="shared" si="1"/>
        <v>26.980260653837405</v>
      </c>
      <c r="K29" s="39">
        <f t="shared" si="2"/>
        <v>16.990158132883622</v>
      </c>
      <c r="L29" s="108"/>
      <c r="M29" s="39">
        <f t="shared" si="3"/>
        <v>9.9899710745741537</v>
      </c>
      <c r="N29" s="39">
        <f t="shared" si="4"/>
        <v>26.980260653837405</v>
      </c>
      <c r="O29" s="521">
        <v>5538380</v>
      </c>
      <c r="P29" s="505">
        <v>149426936</v>
      </c>
      <c r="Q29" s="375">
        <v>94097952</v>
      </c>
      <c r="R29" s="109"/>
      <c r="S29" s="361">
        <v>55328256</v>
      </c>
      <c r="T29" s="108"/>
      <c r="U29" s="109"/>
      <c r="V29" s="109"/>
      <c r="W29" s="362">
        <v>99.339989000000003</v>
      </c>
      <c r="X29" s="108"/>
      <c r="Y29" s="109"/>
      <c r="Z29" s="109"/>
      <c r="AA29" s="517">
        <v>96.329468000000006</v>
      </c>
      <c r="AB29" s="509"/>
      <c r="AC29" s="363"/>
      <c r="AD29" s="575">
        <v>0</v>
      </c>
      <c r="AE29" s="575">
        <v>0</v>
      </c>
      <c r="AF29" s="41"/>
      <c r="AH29" s="34" t="str">
        <f t="shared" si="5"/>
        <v>·</v>
      </c>
      <c r="AI29" s="35" t="str">
        <f t="shared" si="6"/>
        <v>·</v>
      </c>
      <c r="AJ29" s="35" t="str">
        <f t="shared" si="9"/>
        <v>·</v>
      </c>
      <c r="AK29" s="108" t="str">
        <f t="shared" si="10"/>
        <v>·</v>
      </c>
      <c r="AL29" s="35" t="str">
        <f t="shared" si="11"/>
        <v>·</v>
      </c>
      <c r="AM29" s="35" t="str">
        <f t="shared" si="12"/>
        <v>·</v>
      </c>
      <c r="AN29" s="521"/>
      <c r="AO29" s="505"/>
      <c r="AP29" s="375"/>
      <c r="AQ29" s="109"/>
      <c r="AR29" s="361"/>
      <c r="AS29" s="108"/>
      <c r="AT29" s="109"/>
      <c r="AU29" s="109"/>
      <c r="AV29" s="362"/>
      <c r="AW29" s="108"/>
      <c r="AX29" s="109"/>
      <c r="AY29" s="109"/>
      <c r="AZ29" s="517"/>
      <c r="BA29" s="509"/>
      <c r="BB29" s="363"/>
      <c r="BC29" s="575">
        <v>0</v>
      </c>
      <c r="BD29" s="575">
        <v>0</v>
      </c>
      <c r="BE29" s="37"/>
      <c r="BG29" s="125" t="e">
        <f t="shared" si="13"/>
        <v>#DIV/0!</v>
      </c>
      <c r="BH29" s="126" t="e">
        <f t="shared" si="13"/>
        <v>#DIV/0!</v>
      </c>
      <c r="BI29" s="126" t="e">
        <f t="shared" si="8"/>
        <v>#DIV/0!</v>
      </c>
      <c r="BJ29" s="127"/>
      <c r="BL29" s="108"/>
      <c r="BM29" s="109"/>
      <c r="BN29" s="109"/>
      <c r="BO29" s="110"/>
      <c r="BQ29" s="108"/>
      <c r="BR29" s="109"/>
      <c r="BS29" s="109"/>
      <c r="BT29" s="110"/>
      <c r="BV29" s="108"/>
      <c r="BW29" s="109"/>
      <c r="BX29" s="109"/>
      <c r="BY29" s="110"/>
      <c r="CA29" s="108"/>
      <c r="CB29" s="109"/>
      <c r="CC29" s="109"/>
      <c r="CD29" s="110"/>
    </row>
    <row r="30" spans="1:82">
      <c r="A30" s="13"/>
      <c r="B30" s="294" t="s">
        <v>988</v>
      </c>
      <c r="C30" s="25" t="s">
        <v>131</v>
      </c>
      <c r="D30" s="303">
        <v>7740280</v>
      </c>
      <c r="E30" s="304">
        <v>19</v>
      </c>
      <c r="F30" s="304">
        <v>1</v>
      </c>
      <c r="G30" s="26"/>
      <c r="I30" s="46" t="str">
        <f t="shared" si="0"/>
        <v>·</v>
      </c>
      <c r="J30" s="47">
        <f t="shared" si="1"/>
        <v>20.003616406641619</v>
      </c>
      <c r="K30" s="47">
        <f t="shared" si="2"/>
        <v>15.461782777884004</v>
      </c>
      <c r="L30" s="137"/>
      <c r="M30" s="47">
        <f t="shared" si="3"/>
        <v>4.5417395753125209</v>
      </c>
      <c r="N30" s="47">
        <f t="shared" si="4"/>
        <v>20.003616406641619</v>
      </c>
      <c r="O30" s="520">
        <v>7740280</v>
      </c>
      <c r="P30" s="519">
        <v>154833592</v>
      </c>
      <c r="Q30" s="376">
        <v>119678528</v>
      </c>
      <c r="R30" s="138"/>
      <c r="S30" s="365">
        <v>35154336</v>
      </c>
      <c r="T30" s="137"/>
      <c r="U30" s="138"/>
      <c r="V30" s="138"/>
      <c r="W30" s="366">
        <v>77.010315000000006</v>
      </c>
      <c r="X30" s="137"/>
      <c r="Y30" s="138"/>
      <c r="Z30" s="138"/>
      <c r="AA30" s="518">
        <v>72.247062999999997</v>
      </c>
      <c r="AB30" s="510"/>
      <c r="AC30" s="367"/>
      <c r="AD30" s="576">
        <v>0</v>
      </c>
      <c r="AE30" s="576">
        <v>0</v>
      </c>
      <c r="AF30" s="49"/>
      <c r="AH30" s="42" t="str">
        <f t="shared" si="5"/>
        <v>·</v>
      </c>
      <c r="AI30" s="43" t="str">
        <f t="shared" si="6"/>
        <v>·</v>
      </c>
      <c r="AJ30" s="43" t="str">
        <f t="shared" si="9"/>
        <v>·</v>
      </c>
      <c r="AK30" s="137" t="str">
        <f t="shared" si="10"/>
        <v>·</v>
      </c>
      <c r="AL30" s="43" t="str">
        <f t="shared" si="11"/>
        <v>·</v>
      </c>
      <c r="AM30" s="43" t="str">
        <f t="shared" si="12"/>
        <v>·</v>
      </c>
      <c r="AN30" s="520"/>
      <c r="AO30" s="519"/>
      <c r="AP30" s="376"/>
      <c r="AQ30" s="138"/>
      <c r="AR30" s="365"/>
      <c r="AS30" s="137"/>
      <c r="AT30" s="138"/>
      <c r="AU30" s="138"/>
      <c r="AV30" s="366"/>
      <c r="AW30" s="137"/>
      <c r="AX30" s="138"/>
      <c r="AY30" s="138"/>
      <c r="AZ30" s="518"/>
      <c r="BA30" s="510"/>
      <c r="BB30" s="367"/>
      <c r="BC30" s="576">
        <v>0</v>
      </c>
      <c r="BD30" s="576">
        <v>0</v>
      </c>
      <c r="BE30" s="45"/>
      <c r="BG30" s="131" t="e">
        <f t="shared" si="13"/>
        <v>#DIV/0!</v>
      </c>
      <c r="BH30" s="132" t="e">
        <f t="shared" si="13"/>
        <v>#DIV/0!</v>
      </c>
      <c r="BI30" s="132" t="e">
        <f t="shared" si="8"/>
        <v>#DIV/0!</v>
      </c>
      <c r="BJ30" s="133" t="e">
        <f t="array" ref="BJ30">AVERAGE(AP30:AP34/AO30:AO34) - AVERAGE(Q30:Q34/P30:P34)</f>
        <v>#DIV/0!</v>
      </c>
      <c r="BL30" s="137"/>
      <c r="BM30" s="138"/>
      <c r="BN30" s="138"/>
      <c r="BO30" s="139" t="str">
        <f>IF( OR(ISBLANK($S30:$S34),ISBLANK($AR30:$AR34), ISBLANK($W30:$W34),ISBLANK($AV30:$AV34)), "·", bdRateHermite($S30:$S34,$W30:$W34, $AR30:$AR34,$AV30:$AV34))</f>
        <v>·</v>
      </c>
      <c r="BQ30" s="137"/>
      <c r="BR30" s="138"/>
      <c r="BS30" s="138"/>
      <c r="BT30" s="139" t="str">
        <f>IF( OR(ISBLANK($S30:$S34),ISBLANK($AR30:$AR34), ISBLANK($AA30:$AA34),ISBLANK($AZ30:$AZ34)), "·", bdRateHermite($S30:$S34,$AA30:$AA34, $AR30:$AR34,$AZ30:$AZ34))</f>
        <v>·</v>
      </c>
      <c r="BV30" s="137"/>
      <c r="BW30" s="138"/>
      <c r="BX30" s="138"/>
      <c r="BY30" s="139" t="str">
        <f>IF(OR(ISBLANK($P30:$P34),ISBLANK($AO30:$AO34),ISBLANK($W30:$W34),ISBLANK($AV30:$AV34)),"·",bdRateHermite($P30:$P34,$W30:$W34,$AO30:$AO34,$AV30:$AV34))</f>
        <v>·</v>
      </c>
      <c r="CA30" s="137"/>
      <c r="CB30" s="138"/>
      <c r="CC30" s="138"/>
      <c r="CD30" s="139" t="str">
        <f>IF( OR(ISBLANK($P30:$P34),ISBLANK($AO30:$AO34), ISBLANK($AA30:$AA34),ISBLANK($AZ30:$AZ34)), "·", bdRateHermite( $P30:$P34,$AA30:$AA34, $AO30:$AO34,$AZ30:$AZ34))</f>
        <v>·</v>
      </c>
    </row>
    <row r="31" spans="1:82" outlineLevel="1">
      <c r="A31" s="13"/>
      <c r="B31" s="291" t="s">
        <v>988</v>
      </c>
      <c r="C31" s="15" t="s">
        <v>132</v>
      </c>
      <c r="D31" s="300">
        <v>7740280</v>
      </c>
      <c r="E31" s="299">
        <v>19</v>
      </c>
      <c r="F31" s="299">
        <v>1</v>
      </c>
      <c r="G31" s="16"/>
      <c r="I31" s="30" t="str">
        <f t="shared" si="0"/>
        <v>·</v>
      </c>
      <c r="J31" s="31">
        <f t="shared" si="1"/>
        <v>21.431001462479394</v>
      </c>
      <c r="K31" s="31">
        <f t="shared" si="2"/>
        <v>15.461782777884004</v>
      </c>
      <c r="L31" s="105"/>
      <c r="M31" s="31">
        <f t="shared" si="3"/>
        <v>5.9691246311502946</v>
      </c>
      <c r="N31" s="31">
        <f t="shared" si="4"/>
        <v>21.431001462479394</v>
      </c>
      <c r="O31" s="523">
        <v>7740280</v>
      </c>
      <c r="P31" s="503">
        <v>165881952</v>
      </c>
      <c r="Q31" s="373">
        <v>119678528</v>
      </c>
      <c r="R31" s="106"/>
      <c r="S31" s="357">
        <v>46202696</v>
      </c>
      <c r="T31" s="105"/>
      <c r="U31" s="106"/>
      <c r="V31" s="106"/>
      <c r="W31" s="358">
        <v>83.003403000000006</v>
      </c>
      <c r="X31" s="105"/>
      <c r="Y31" s="106"/>
      <c r="Z31" s="106"/>
      <c r="AA31" s="515">
        <v>78.267669999999995</v>
      </c>
      <c r="AB31" s="507"/>
      <c r="AC31" s="359"/>
      <c r="AD31" s="573">
        <v>0</v>
      </c>
      <c r="AE31" s="573">
        <v>0</v>
      </c>
      <c r="AF31" s="33"/>
      <c r="AH31" s="30" t="str">
        <f t="shared" si="5"/>
        <v>·</v>
      </c>
      <c r="AI31" s="31" t="str">
        <f t="shared" si="6"/>
        <v>·</v>
      </c>
      <c r="AJ31" s="31" t="str">
        <f t="shared" si="9"/>
        <v>·</v>
      </c>
      <c r="AK31" s="105" t="str">
        <f t="shared" si="10"/>
        <v>·</v>
      </c>
      <c r="AL31" s="31" t="str">
        <f t="shared" si="11"/>
        <v>·</v>
      </c>
      <c r="AM31" s="31" t="str">
        <f t="shared" si="12"/>
        <v>·</v>
      </c>
      <c r="AN31" s="523"/>
      <c r="AO31" s="503"/>
      <c r="AP31" s="373"/>
      <c r="AQ31" s="106"/>
      <c r="AR31" s="357"/>
      <c r="AS31" s="105"/>
      <c r="AT31" s="106"/>
      <c r="AU31" s="106"/>
      <c r="AV31" s="358"/>
      <c r="AW31" s="105"/>
      <c r="AX31" s="106"/>
      <c r="AY31" s="106"/>
      <c r="AZ31" s="515"/>
      <c r="BA31" s="507"/>
      <c r="BB31" s="359"/>
      <c r="BC31" s="573">
        <v>0</v>
      </c>
      <c r="BD31" s="573">
        <v>0</v>
      </c>
      <c r="BE31" s="33"/>
      <c r="BG31" s="122" t="e">
        <f t="shared" si="13"/>
        <v>#DIV/0!</v>
      </c>
      <c r="BH31" s="123" t="e">
        <f t="shared" si="13"/>
        <v>#DIV/0!</v>
      </c>
      <c r="BI31" s="123" t="e">
        <f t="shared" si="8"/>
        <v>#DIV/0!</v>
      </c>
      <c r="BJ31" s="124"/>
      <c r="BL31" s="105"/>
      <c r="BM31" s="106"/>
      <c r="BN31" s="106"/>
      <c r="BO31" s="107"/>
      <c r="BQ31" s="105"/>
      <c r="BR31" s="106"/>
      <c r="BS31" s="106"/>
      <c r="BT31" s="107"/>
      <c r="BV31" s="105"/>
      <c r="BW31" s="106"/>
      <c r="BX31" s="106"/>
      <c r="BY31" s="107"/>
      <c r="CA31" s="105"/>
      <c r="CB31" s="106"/>
      <c r="CC31" s="106"/>
      <c r="CD31" s="107"/>
    </row>
    <row r="32" spans="1:82" outlineLevel="1">
      <c r="A32" s="13"/>
      <c r="B32" s="291" t="s">
        <v>988</v>
      </c>
      <c r="C32" s="15" t="s">
        <v>133</v>
      </c>
      <c r="D32" s="300">
        <v>7740280</v>
      </c>
      <c r="E32" s="299">
        <v>19</v>
      </c>
      <c r="F32" s="299">
        <v>1</v>
      </c>
      <c r="G32" s="16"/>
      <c r="I32" s="30" t="str">
        <f t="shared" si="0"/>
        <v>·</v>
      </c>
      <c r="J32" s="31">
        <f t="shared" si="1"/>
        <v>22.858840248673175</v>
      </c>
      <c r="K32" s="31">
        <f t="shared" si="2"/>
        <v>15.461782777884004</v>
      </c>
      <c r="L32" s="105"/>
      <c r="M32" s="31">
        <f t="shared" si="3"/>
        <v>7.3969644508984169</v>
      </c>
      <c r="N32" s="31">
        <f t="shared" si="4"/>
        <v>22.858840248673175</v>
      </c>
      <c r="O32" s="523">
        <v>7740280</v>
      </c>
      <c r="P32" s="503">
        <v>176933824</v>
      </c>
      <c r="Q32" s="373">
        <v>119678528</v>
      </c>
      <c r="R32" s="106"/>
      <c r="S32" s="357">
        <v>57254576</v>
      </c>
      <c r="T32" s="105"/>
      <c r="U32" s="106"/>
      <c r="V32" s="106"/>
      <c r="W32" s="358">
        <v>88.926743000000002</v>
      </c>
      <c r="X32" s="105"/>
      <c r="Y32" s="106"/>
      <c r="Z32" s="106"/>
      <c r="AA32" s="515">
        <v>84.288269</v>
      </c>
      <c r="AB32" s="507"/>
      <c r="AC32" s="359"/>
      <c r="AD32" s="573">
        <v>0</v>
      </c>
      <c r="AE32" s="573">
        <v>0</v>
      </c>
      <c r="AF32" s="33"/>
      <c r="AH32" s="30" t="str">
        <f t="shared" si="5"/>
        <v>·</v>
      </c>
      <c r="AI32" s="31" t="str">
        <f t="shared" si="6"/>
        <v>·</v>
      </c>
      <c r="AJ32" s="31" t="str">
        <f t="shared" si="9"/>
        <v>·</v>
      </c>
      <c r="AK32" s="105" t="str">
        <f t="shared" si="10"/>
        <v>·</v>
      </c>
      <c r="AL32" s="31" t="str">
        <f t="shared" si="11"/>
        <v>·</v>
      </c>
      <c r="AM32" s="31" t="str">
        <f t="shared" si="12"/>
        <v>·</v>
      </c>
      <c r="AN32" s="523"/>
      <c r="AO32" s="503"/>
      <c r="AP32" s="373"/>
      <c r="AQ32" s="106"/>
      <c r="AR32" s="357"/>
      <c r="AS32" s="105"/>
      <c r="AT32" s="106"/>
      <c r="AU32" s="106"/>
      <c r="AV32" s="358"/>
      <c r="AW32" s="105"/>
      <c r="AX32" s="106"/>
      <c r="AY32" s="106"/>
      <c r="AZ32" s="515"/>
      <c r="BA32" s="507"/>
      <c r="BB32" s="359"/>
      <c r="BC32" s="573">
        <v>0</v>
      </c>
      <c r="BD32" s="573">
        <v>0</v>
      </c>
      <c r="BE32" s="33"/>
      <c r="BG32" s="122" t="e">
        <f t="shared" si="13"/>
        <v>#DIV/0!</v>
      </c>
      <c r="BH32" s="123" t="e">
        <f t="shared" si="13"/>
        <v>#DIV/0!</v>
      </c>
      <c r="BI32" s="123" t="e">
        <f t="shared" si="8"/>
        <v>#DIV/0!</v>
      </c>
      <c r="BJ32" s="124"/>
      <c r="BL32" s="105"/>
      <c r="BM32" s="106"/>
      <c r="BN32" s="106"/>
      <c r="BO32" s="107"/>
      <c r="BQ32" s="105"/>
      <c r="BR32" s="106"/>
      <c r="BS32" s="106"/>
      <c r="BT32" s="107"/>
      <c r="BV32" s="105"/>
      <c r="BW32" s="106"/>
      <c r="BX32" s="106"/>
      <c r="BY32" s="107"/>
      <c r="CA32" s="105"/>
      <c r="CB32" s="106"/>
      <c r="CC32" s="106"/>
      <c r="CD32" s="107"/>
    </row>
    <row r="33" spans="1:82" outlineLevel="1">
      <c r="A33" s="13"/>
      <c r="B33" s="291" t="s">
        <v>988</v>
      </c>
      <c r="C33" s="15" t="s">
        <v>134</v>
      </c>
      <c r="D33" s="300">
        <v>7740280</v>
      </c>
      <c r="E33" s="299">
        <v>19</v>
      </c>
      <c r="F33" s="299">
        <v>1</v>
      </c>
      <c r="G33" s="16"/>
      <c r="I33" s="30" t="str">
        <f t="shared" si="0"/>
        <v>·</v>
      </c>
      <c r="J33" s="31">
        <f t="shared" si="1"/>
        <v>24.018128543153477</v>
      </c>
      <c r="K33" s="31">
        <f t="shared" si="2"/>
        <v>15.461782777884004</v>
      </c>
      <c r="L33" s="105"/>
      <c r="M33" s="31">
        <f t="shared" si="3"/>
        <v>8.5562527453787194</v>
      </c>
      <c r="N33" s="31">
        <f t="shared" si="4"/>
        <v>24.018128543153477</v>
      </c>
      <c r="O33" s="523">
        <v>7740280</v>
      </c>
      <c r="P33" s="503">
        <v>185907040</v>
      </c>
      <c r="Q33" s="373">
        <v>119678528</v>
      </c>
      <c r="R33" s="106"/>
      <c r="S33" s="357">
        <v>66227792</v>
      </c>
      <c r="T33" s="105"/>
      <c r="U33" s="106"/>
      <c r="V33" s="106"/>
      <c r="W33" s="358">
        <v>94.570785999999998</v>
      </c>
      <c r="X33" s="105"/>
      <c r="Y33" s="106"/>
      <c r="Z33" s="106"/>
      <c r="AA33" s="515">
        <v>90.308868000000004</v>
      </c>
      <c r="AB33" s="507"/>
      <c r="AC33" s="359"/>
      <c r="AD33" s="573">
        <v>0</v>
      </c>
      <c r="AE33" s="573">
        <v>0</v>
      </c>
      <c r="AF33" s="33"/>
      <c r="AH33" s="30" t="str">
        <f t="shared" si="5"/>
        <v>·</v>
      </c>
      <c r="AI33" s="31" t="str">
        <f t="shared" si="6"/>
        <v>·</v>
      </c>
      <c r="AJ33" s="31" t="str">
        <f t="shared" si="9"/>
        <v>·</v>
      </c>
      <c r="AK33" s="105" t="str">
        <f t="shared" si="10"/>
        <v>·</v>
      </c>
      <c r="AL33" s="31" t="str">
        <f t="shared" si="11"/>
        <v>·</v>
      </c>
      <c r="AM33" s="31" t="str">
        <f t="shared" si="12"/>
        <v>·</v>
      </c>
      <c r="AN33" s="523"/>
      <c r="AO33" s="503"/>
      <c r="AP33" s="373"/>
      <c r="AQ33" s="106"/>
      <c r="AR33" s="357"/>
      <c r="AS33" s="105"/>
      <c r="AT33" s="106"/>
      <c r="AU33" s="106"/>
      <c r="AV33" s="358"/>
      <c r="AW33" s="105"/>
      <c r="AX33" s="106"/>
      <c r="AY33" s="106"/>
      <c r="AZ33" s="515"/>
      <c r="BA33" s="507"/>
      <c r="BB33" s="359"/>
      <c r="BC33" s="573">
        <v>0</v>
      </c>
      <c r="BD33" s="573">
        <v>0</v>
      </c>
      <c r="BE33" s="33"/>
      <c r="BG33" s="122" t="e">
        <f t="shared" si="13"/>
        <v>#DIV/0!</v>
      </c>
      <c r="BH33" s="123" t="e">
        <f t="shared" si="13"/>
        <v>#DIV/0!</v>
      </c>
      <c r="BI33" s="123" t="e">
        <f t="shared" si="8"/>
        <v>#DIV/0!</v>
      </c>
      <c r="BJ33" s="124"/>
      <c r="BL33" s="105"/>
      <c r="BM33" s="106"/>
      <c r="BN33" s="106"/>
      <c r="BO33" s="107"/>
      <c r="BQ33" s="105"/>
      <c r="BR33" s="106"/>
      <c r="BS33" s="106"/>
      <c r="BT33" s="107"/>
      <c r="BV33" s="105"/>
      <c r="BW33" s="106"/>
      <c r="BX33" s="106"/>
      <c r="BY33" s="107"/>
      <c r="CA33" s="105"/>
      <c r="CB33" s="106"/>
      <c r="CC33" s="106"/>
      <c r="CD33" s="107"/>
    </row>
    <row r="34" spans="1:82" ht="14.25" outlineLevel="1" thickBot="1">
      <c r="A34" s="215"/>
      <c r="B34" s="292" t="s">
        <v>988</v>
      </c>
      <c r="C34" s="22" t="s">
        <v>135</v>
      </c>
      <c r="D34" s="301">
        <v>7740280</v>
      </c>
      <c r="E34" s="302">
        <v>19</v>
      </c>
      <c r="F34" s="302">
        <v>1</v>
      </c>
      <c r="G34" s="23"/>
      <c r="I34" s="38" t="str">
        <f t="shared" si="0"/>
        <v>·</v>
      </c>
      <c r="J34" s="39">
        <f t="shared" si="1"/>
        <v>25.248634933103194</v>
      </c>
      <c r="K34" s="39">
        <f t="shared" si="2"/>
        <v>15.461782777884004</v>
      </c>
      <c r="L34" s="134"/>
      <c r="M34" s="35">
        <f t="shared" si="3"/>
        <v>9.7867591353284382</v>
      </c>
      <c r="N34" s="35">
        <f t="shared" si="4"/>
        <v>25.248634933103194</v>
      </c>
      <c r="O34" s="524">
        <v>7740280</v>
      </c>
      <c r="P34" s="505">
        <v>195431504</v>
      </c>
      <c r="Q34" s="375">
        <v>119678528</v>
      </c>
      <c r="R34" s="109"/>
      <c r="S34" s="361">
        <v>75752256</v>
      </c>
      <c r="T34" s="108"/>
      <c r="U34" s="109"/>
      <c r="V34" s="109"/>
      <c r="W34" s="362">
        <v>99.342346000000006</v>
      </c>
      <c r="X34" s="108"/>
      <c r="Y34" s="109"/>
      <c r="Z34" s="109"/>
      <c r="AA34" s="517">
        <v>96.329468000000006</v>
      </c>
      <c r="AB34" s="509"/>
      <c r="AC34" s="363"/>
      <c r="AD34" s="575">
        <v>0</v>
      </c>
      <c r="AE34" s="575">
        <v>0</v>
      </c>
      <c r="AF34" s="37"/>
      <c r="AH34" s="34" t="str">
        <f t="shared" si="5"/>
        <v>·</v>
      </c>
      <c r="AI34" s="35" t="str">
        <f t="shared" si="6"/>
        <v>·</v>
      </c>
      <c r="AJ34" s="35" t="str">
        <f t="shared" si="9"/>
        <v>·</v>
      </c>
      <c r="AK34" s="108" t="str">
        <f t="shared" si="10"/>
        <v>·</v>
      </c>
      <c r="AL34" s="35" t="str">
        <f t="shared" si="11"/>
        <v>·</v>
      </c>
      <c r="AM34" s="35" t="str">
        <f t="shared" si="12"/>
        <v>·</v>
      </c>
      <c r="AN34" s="524"/>
      <c r="AO34" s="505"/>
      <c r="AP34" s="375"/>
      <c r="AQ34" s="109"/>
      <c r="AR34" s="361"/>
      <c r="AS34" s="108"/>
      <c r="AT34" s="109"/>
      <c r="AU34" s="109"/>
      <c r="AV34" s="362"/>
      <c r="AW34" s="108"/>
      <c r="AX34" s="109"/>
      <c r="AY34" s="109"/>
      <c r="AZ34" s="517"/>
      <c r="BA34" s="509"/>
      <c r="BB34" s="363"/>
      <c r="BC34" s="575">
        <v>0</v>
      </c>
      <c r="BD34" s="575">
        <v>0</v>
      </c>
      <c r="BE34" s="37"/>
      <c r="BG34" s="125" t="e">
        <f t="shared" si="13"/>
        <v>#DIV/0!</v>
      </c>
      <c r="BH34" s="126" t="e">
        <f t="shared" si="13"/>
        <v>#DIV/0!</v>
      </c>
      <c r="BI34" s="126" t="e">
        <f t="shared" si="8"/>
        <v>#DIV/0!</v>
      </c>
      <c r="BJ34" s="127"/>
      <c r="BL34" s="108"/>
      <c r="BM34" s="109"/>
      <c r="BN34" s="109"/>
      <c r="BO34" s="110"/>
      <c r="BQ34" s="108"/>
      <c r="BR34" s="109"/>
      <c r="BS34" s="109"/>
      <c r="BT34" s="110"/>
      <c r="BV34" s="108"/>
      <c r="BW34" s="109"/>
      <c r="BX34" s="109"/>
      <c r="BY34" s="110"/>
      <c r="CA34" s="108"/>
      <c r="CB34" s="109"/>
      <c r="CC34" s="109"/>
      <c r="CD34" s="110"/>
    </row>
    <row r="35" spans="1:82">
      <c r="A35" s="96" t="s">
        <v>1141</v>
      </c>
      <c r="B35" s="27" t="s">
        <v>1116</v>
      </c>
      <c r="C35" s="28" t="s">
        <v>131</v>
      </c>
      <c r="D35" s="478">
        <v>47062018</v>
      </c>
      <c r="E35" s="28">
        <v>20</v>
      </c>
      <c r="F35" s="28">
        <v>1</v>
      </c>
      <c r="G35" s="29"/>
      <c r="H35" s="492"/>
      <c r="I35" s="46" t="str">
        <f>IF(OR(ISBLANK(P35),ISBLANK(G35)),"·",P35/F35/1000000)</f>
        <v>·</v>
      </c>
      <c r="J35" s="47">
        <f t="shared" si="1"/>
        <v>26.82490444842378</v>
      </c>
      <c r="K35" s="47">
        <f t="shared" si="2"/>
        <v>24.375181191762749</v>
      </c>
      <c r="L35" s="47">
        <f>IF(ISBLANK(R35),"·",R35/D35)</f>
        <v>2.4497113574687766</v>
      </c>
      <c r="M35" s="104"/>
      <c r="N35" s="47">
        <f t="shared" si="4"/>
        <v>26.82490444842378</v>
      </c>
      <c r="O35" s="523">
        <v>47062018</v>
      </c>
      <c r="P35" s="502">
        <v>1262434136</v>
      </c>
      <c r="Q35" s="353">
        <v>1147145216</v>
      </c>
      <c r="R35" s="372">
        <v>115288360</v>
      </c>
      <c r="S35" s="257"/>
      <c r="T35" s="502">
        <v>30.671241999999999</v>
      </c>
      <c r="U35" s="353">
        <v>32.485298</v>
      </c>
      <c r="V35" s="372">
        <v>33.604484999999997</v>
      </c>
      <c r="W35" s="257"/>
      <c r="X35" s="353">
        <v>24.048404999999999</v>
      </c>
      <c r="Y35" s="353">
        <v>24.048404999999999</v>
      </c>
      <c r="Z35" s="372">
        <v>24.048404999999999</v>
      </c>
      <c r="AA35" s="257">
        <v>0</v>
      </c>
      <c r="AB35" s="506"/>
      <c r="AC35" s="355"/>
      <c r="AD35" s="572">
        <v>0</v>
      </c>
      <c r="AE35" s="572">
        <v>0</v>
      </c>
      <c r="AF35" s="49"/>
      <c r="AH35" s="46" t="str">
        <f t="shared" si="5"/>
        <v>·</v>
      </c>
      <c r="AI35" s="47" t="str">
        <f t="shared" si="6"/>
        <v>·</v>
      </c>
      <c r="AJ35" s="269" t="str">
        <f t="shared" si="9"/>
        <v>·</v>
      </c>
      <c r="AK35" s="274" t="str">
        <f t="shared" si="10"/>
        <v>·</v>
      </c>
      <c r="AL35" s="266" t="str">
        <f t="shared" si="11"/>
        <v>·</v>
      </c>
      <c r="AM35" s="47" t="str">
        <f t="shared" si="12"/>
        <v>·</v>
      </c>
      <c r="AN35" s="523"/>
      <c r="AO35" s="502"/>
      <c r="AP35" s="353"/>
      <c r="AQ35" s="372"/>
      <c r="AR35" s="257"/>
      <c r="AS35" s="502"/>
      <c r="AT35" s="353"/>
      <c r="AU35" s="372"/>
      <c r="AV35" s="257"/>
      <c r="AW35" s="353"/>
      <c r="AX35" s="353"/>
      <c r="AY35" s="372"/>
      <c r="AZ35" s="257"/>
      <c r="BA35" s="506"/>
      <c r="BB35" s="355"/>
      <c r="BC35" s="572">
        <v>0</v>
      </c>
      <c r="BD35" s="572">
        <v>0</v>
      </c>
      <c r="BE35" s="49"/>
      <c r="BG35" s="119" t="e">
        <f t="shared" si="13"/>
        <v>#DIV/0!</v>
      </c>
      <c r="BH35" s="120" t="e">
        <f t="shared" si="13"/>
        <v>#DIV/0!</v>
      </c>
      <c r="BI35" s="120" t="e">
        <f t="shared" si="8"/>
        <v>#DIV/0!</v>
      </c>
      <c r="BJ35" s="121" t="e">
        <f t="array" ref="BJ35">AVERAGE(AP35:AP39/AO35:AO39) - AVERAGE(Q35:Q39/P35:P39)</f>
        <v>#DIV/0!</v>
      </c>
      <c r="BL35" s="279" t="str">
        <f>IF( OR(ISBLANK($R35:$R39),ISBLANK($AQ35:$AQ39), ISBLANK(T35:T39),ISBLANK(AS35:AS39)), "·", bdRateHermite($R35:$R39,T35:T39, $AQ35:$AQ39,AS35:AS39))</f>
        <v>·</v>
      </c>
      <c r="BM35" s="279" t="str">
        <f>IF( OR(ISBLANK($R35:$R39),ISBLANK($AQ35:$AQ39), ISBLANK(U35:U39),ISBLANK(AT35:AT39)), "·", bdRateHermite($R35:$R39,U35:U39, $AQ35:$AQ39,AT35:AT39))</f>
        <v>·</v>
      </c>
      <c r="BN35" s="279" t="str">
        <f>IF( OR(ISBLANK($R35:$R39),ISBLANK($AQ35:$AQ39), ISBLANK(V35:V39),ISBLANK(AU35:AU39)), "·", bdRateHermite($R35:$R39,V35:V39, $AQ35:$AQ39,AU35:AU39))</f>
        <v>·</v>
      </c>
      <c r="BO35" s="104"/>
      <c r="BQ35" s="173" t="str">
        <f>IF( OR(ISBLANK($R35:$R39),ISBLANK($AQ35:$AQ39), ISBLANK(X35:X39),ISBLANK(AW35:AW39)), "·", bdRateHermite($R35:$R39,X35:X39, $AQ35:$AQ39,AW35:AW39))</f>
        <v>·</v>
      </c>
      <c r="BR35" s="173" t="str">
        <f>IF( OR(ISBLANK($R35:$R39),ISBLANK($AQ35:$AQ39), ISBLANK(Y35:Y39),ISBLANK(AX35:AX39)), "·", bdRateHermite($R35:$R39,Y35:Y39, $AQ35:$AQ39,AX35:AX39))</f>
        <v>·</v>
      </c>
      <c r="BS35" s="173" t="str">
        <f>IF( OR(ISBLANK($R35:$R39),ISBLANK($AQ35:$AQ39), ISBLANK(Z35:Z39),ISBLANK(AY35:AY39)), "·", bdRateHermite($R35:$R39,Z35:Z39, $AQ35:$AQ39,AY35:AY39))</f>
        <v>·</v>
      </c>
      <c r="BT35" s="138"/>
      <c r="BV35" s="173" t="str">
        <f>IF(OR(ISBLANK($P35:$P39),ISBLANK($AO35:$AO39),ISBLANK(T35:T39),ISBLANK(AS35:AS39)),"·",bdRateHermite($P35:$P39,T35:T39,$AO35:$AO39,AS35:AS39))</f>
        <v>·</v>
      </c>
      <c r="BW35" s="173" t="str">
        <f>IF(OR(ISBLANK($P35:$P39),ISBLANK($AO35:$AO39),ISBLANK(U35:U39),ISBLANK(AT35:AT39)),"·",bdRateHermite($P35:$P39,U35:U39,$AO35:$AO39,AT35:AT39))</f>
        <v>·</v>
      </c>
      <c r="BX35" s="173" t="str">
        <f>IF(OR(ISBLANK($P35:$P39),ISBLANK($AO35:$AO39),ISBLANK(V35:V39),ISBLANK(AU35:AU39)),"·",bdRateHermite($P35:$P39,V35:V39,$AO35:$AO39,AU35:AU39))</f>
        <v>·</v>
      </c>
      <c r="BY35" s="138"/>
      <c r="CA35" s="173" t="str">
        <f>IF( OR(ISBLANK($P35:$P39),ISBLANK($AO35:$AO39), ISBLANK(X35:X39),ISBLANK(AW35:AW39)), "·", bdRateHermite( $P35:$P39,X35:X39, $AO35:$AO39,AW35:AW39))</f>
        <v>·</v>
      </c>
      <c r="CB35" s="173" t="str">
        <f>IF( OR(ISBLANK($P35:$P39),ISBLANK($AO35:$AO39), ISBLANK(Y35:Y39),ISBLANK(AX35:AX39)), "·", bdRateHermite( $P35:$P39,Y35:Y39, $AO35:$AO39,AX35:AX39))</f>
        <v>·</v>
      </c>
      <c r="CC35" s="173" t="str">
        <f>IF( OR(ISBLANK($P35:$P39),ISBLANK($AO35:$AO39), ISBLANK(Z35:Z39),ISBLANK(AY35:AY39)), "·", bdRateHermite( $P35:$P39,Z35:Z39, $AO35:$AO39,AY35:AY39))</f>
        <v>·</v>
      </c>
      <c r="CD35" s="138"/>
    </row>
    <row r="36" spans="1:82" outlineLevel="1">
      <c r="A36" s="13"/>
      <c r="B36" s="14" t="s">
        <v>1116</v>
      </c>
      <c r="C36" s="15" t="s">
        <v>132</v>
      </c>
      <c r="D36" s="479">
        <v>47062018</v>
      </c>
      <c r="E36" s="15">
        <v>20</v>
      </c>
      <c r="F36" s="15">
        <v>1</v>
      </c>
      <c r="G36" s="16"/>
      <c r="H36" s="492"/>
      <c r="I36" s="30" t="str">
        <f t="shared" ref="I36:I99" si="14">IF(OR(ISBLANK(P36),ISBLANK(G36)),"·",P36*G36/F36/1000000)</f>
        <v>·</v>
      </c>
      <c r="J36" s="31">
        <f>IF(ISBLANK(P36),"·",P36/D36)</f>
        <v>28.056450278014001</v>
      </c>
      <c r="K36" s="31">
        <f t="shared" si="2"/>
        <v>24.375181191762749</v>
      </c>
      <c r="L36" s="31">
        <f>IF(ISBLANK(R36),"·",R36/D36)</f>
        <v>3.6812571870589994</v>
      </c>
      <c r="M36" s="106"/>
      <c r="N36" s="31">
        <f t="shared" si="4"/>
        <v>28.056450278014001</v>
      </c>
      <c r="O36" s="521">
        <v>47062018</v>
      </c>
      <c r="P36" s="503">
        <v>1320393168</v>
      </c>
      <c r="Q36" s="357">
        <v>1147145216</v>
      </c>
      <c r="R36" s="373">
        <v>173247392</v>
      </c>
      <c r="S36" s="258"/>
      <c r="T36" s="503">
        <v>36.99371</v>
      </c>
      <c r="U36" s="357">
        <v>38.379944000000002</v>
      </c>
      <c r="V36" s="373">
        <v>38.42107</v>
      </c>
      <c r="W36" s="258"/>
      <c r="X36" s="357">
        <v>30.069004</v>
      </c>
      <c r="Y36" s="357">
        <v>30.069004</v>
      </c>
      <c r="Z36" s="373">
        <v>30.069004</v>
      </c>
      <c r="AA36" s="258">
        <v>0</v>
      </c>
      <c r="AB36" s="507"/>
      <c r="AC36" s="359"/>
      <c r="AD36" s="573">
        <v>0</v>
      </c>
      <c r="AE36" s="573">
        <v>0</v>
      </c>
      <c r="AF36" s="33"/>
      <c r="AH36" s="30" t="str">
        <f t="shared" si="5"/>
        <v>·</v>
      </c>
      <c r="AI36" s="31" t="str">
        <f t="shared" si="6"/>
        <v>·</v>
      </c>
      <c r="AJ36" s="270" t="str">
        <f t="shared" si="9"/>
        <v>·</v>
      </c>
      <c r="AK36" s="275" t="str">
        <f t="shared" si="10"/>
        <v>·</v>
      </c>
      <c r="AL36" s="267" t="str">
        <f t="shared" si="11"/>
        <v>·</v>
      </c>
      <c r="AM36" s="31" t="str">
        <f t="shared" si="12"/>
        <v>·</v>
      </c>
      <c r="AN36" s="521"/>
      <c r="AO36" s="503"/>
      <c r="AP36" s="357"/>
      <c r="AQ36" s="373"/>
      <c r="AR36" s="258"/>
      <c r="AS36" s="503"/>
      <c r="AT36" s="357"/>
      <c r="AU36" s="373"/>
      <c r="AV36" s="258"/>
      <c r="AW36" s="357"/>
      <c r="AX36" s="357"/>
      <c r="AY36" s="373"/>
      <c r="AZ36" s="258"/>
      <c r="BA36" s="507"/>
      <c r="BB36" s="359"/>
      <c r="BC36" s="573">
        <v>0</v>
      </c>
      <c r="BD36" s="573">
        <v>0</v>
      </c>
      <c r="BE36" s="33"/>
      <c r="BG36" s="122" t="e">
        <f t="shared" si="13"/>
        <v>#DIV/0!</v>
      </c>
      <c r="BH36" s="123" t="e">
        <f t="shared" si="13"/>
        <v>#DIV/0!</v>
      </c>
      <c r="BI36" s="123" t="e">
        <f t="shared" si="8"/>
        <v>#DIV/0!</v>
      </c>
      <c r="BJ36" s="124"/>
      <c r="BL36" s="107"/>
      <c r="BM36" s="107"/>
      <c r="BN36" s="107"/>
      <c r="BO36" s="106"/>
      <c r="BQ36" s="177"/>
      <c r="BR36" s="177"/>
      <c r="BS36" s="177"/>
      <c r="BT36" s="106"/>
      <c r="BV36" s="177"/>
      <c r="BW36" s="177"/>
      <c r="BX36" s="177"/>
      <c r="BY36" s="106"/>
      <c r="CA36" s="177"/>
      <c r="CB36" s="177"/>
      <c r="CC36" s="177"/>
      <c r="CD36" s="106"/>
    </row>
    <row r="37" spans="1:82" outlineLevel="1">
      <c r="A37" s="13"/>
      <c r="B37" s="14" t="s">
        <v>1116</v>
      </c>
      <c r="C37" s="15" t="s">
        <v>133</v>
      </c>
      <c r="D37" s="479">
        <v>47062018</v>
      </c>
      <c r="E37" s="15">
        <v>20</v>
      </c>
      <c r="F37" s="15">
        <v>1</v>
      </c>
      <c r="G37" s="16"/>
      <c r="H37" s="492"/>
      <c r="I37" s="30" t="str">
        <f t="shared" si="14"/>
        <v>·</v>
      </c>
      <c r="J37" s="31">
        <f t="shared" ref="J37:J100" si="15">IF(ISBLANK(P37),"·",P37/D37)</f>
        <v>29.608479942360312</v>
      </c>
      <c r="K37" s="31">
        <f t="shared" si="2"/>
        <v>24.375181191762749</v>
      </c>
      <c r="L37" s="31">
        <f t="shared" ref="L37:L40" si="16">IF(ISBLANK(R37),"·",R37/D37)</f>
        <v>5.2332870213937701</v>
      </c>
      <c r="M37" s="106"/>
      <c r="N37" s="31">
        <f t="shared" si="4"/>
        <v>29.608479942360312</v>
      </c>
      <c r="O37" s="521">
        <v>47062018</v>
      </c>
      <c r="P37" s="503">
        <v>1393434816</v>
      </c>
      <c r="Q37" s="357">
        <v>1147145216</v>
      </c>
      <c r="R37" s="373">
        <v>246289048</v>
      </c>
      <c r="S37" s="258"/>
      <c r="T37" s="503">
        <v>43.300491000000001</v>
      </c>
      <c r="U37" s="357">
        <v>43.986018999999999</v>
      </c>
      <c r="V37" s="373">
        <v>43.551544</v>
      </c>
      <c r="W37" s="258"/>
      <c r="X37" s="357">
        <v>36.089602999999997</v>
      </c>
      <c r="Y37" s="357">
        <v>36.089602999999997</v>
      </c>
      <c r="Z37" s="373">
        <v>36.089602999999997</v>
      </c>
      <c r="AA37" s="258">
        <v>0</v>
      </c>
      <c r="AB37" s="507"/>
      <c r="AC37" s="359"/>
      <c r="AD37" s="573">
        <v>0</v>
      </c>
      <c r="AE37" s="573">
        <v>0</v>
      </c>
      <c r="AF37" s="33"/>
      <c r="AH37" s="30" t="str">
        <f t="shared" si="5"/>
        <v>·</v>
      </c>
      <c r="AI37" s="31" t="str">
        <f t="shared" si="6"/>
        <v>·</v>
      </c>
      <c r="AJ37" s="270" t="str">
        <f t="shared" si="9"/>
        <v>·</v>
      </c>
      <c r="AK37" s="275" t="str">
        <f t="shared" si="10"/>
        <v>·</v>
      </c>
      <c r="AL37" s="267" t="str">
        <f t="shared" si="11"/>
        <v>·</v>
      </c>
      <c r="AM37" s="31" t="str">
        <f t="shared" si="12"/>
        <v>·</v>
      </c>
      <c r="AN37" s="521"/>
      <c r="AO37" s="503"/>
      <c r="AP37" s="357"/>
      <c r="AQ37" s="373"/>
      <c r="AR37" s="258"/>
      <c r="AS37" s="503"/>
      <c r="AT37" s="357"/>
      <c r="AU37" s="373"/>
      <c r="AV37" s="258"/>
      <c r="AW37" s="357"/>
      <c r="AX37" s="357"/>
      <c r="AY37" s="373"/>
      <c r="AZ37" s="258"/>
      <c r="BA37" s="507"/>
      <c r="BB37" s="359"/>
      <c r="BC37" s="573">
        <v>0</v>
      </c>
      <c r="BD37" s="573">
        <v>0</v>
      </c>
      <c r="BE37" s="33"/>
      <c r="BG37" s="122" t="e">
        <f t="shared" si="13"/>
        <v>#DIV/0!</v>
      </c>
      <c r="BH37" s="123" t="e">
        <f t="shared" si="13"/>
        <v>#DIV/0!</v>
      </c>
      <c r="BI37" s="123" t="e">
        <f t="shared" si="8"/>
        <v>#DIV/0!</v>
      </c>
      <c r="BJ37" s="124"/>
      <c r="BL37" s="107"/>
      <c r="BM37" s="107"/>
      <c r="BN37" s="107"/>
      <c r="BO37" s="106"/>
      <c r="BQ37" s="177"/>
      <c r="BR37" s="177"/>
      <c r="BS37" s="177"/>
      <c r="BT37" s="106"/>
      <c r="BV37" s="177"/>
      <c r="BW37" s="177"/>
      <c r="BX37" s="177"/>
      <c r="BY37" s="106"/>
      <c r="CA37" s="177"/>
      <c r="CB37" s="177"/>
      <c r="CC37" s="177"/>
      <c r="CD37" s="106"/>
    </row>
    <row r="38" spans="1:82" outlineLevel="1">
      <c r="A38" s="13"/>
      <c r="B38" s="14" t="s">
        <v>1116</v>
      </c>
      <c r="C38" s="15" t="s">
        <v>134</v>
      </c>
      <c r="D38" s="479">
        <v>47062018</v>
      </c>
      <c r="E38" s="15">
        <v>20</v>
      </c>
      <c r="F38" s="15">
        <v>1</v>
      </c>
      <c r="G38" s="16"/>
      <c r="H38" s="492"/>
      <c r="I38" s="30" t="str">
        <f t="shared" si="14"/>
        <v>·</v>
      </c>
      <c r="J38" s="31">
        <f t="shared" si="15"/>
        <v>31.495841593533026</v>
      </c>
      <c r="K38" s="31">
        <f t="shared" si="2"/>
        <v>24.375181191762749</v>
      </c>
      <c r="L38" s="31">
        <f t="shared" si="16"/>
        <v>7.1206486725664844</v>
      </c>
      <c r="M38" s="106"/>
      <c r="N38" s="31">
        <f t="shared" si="4"/>
        <v>31.495841593533026</v>
      </c>
      <c r="O38" s="521">
        <v>47062018</v>
      </c>
      <c r="P38" s="503">
        <v>1482257864</v>
      </c>
      <c r="Q38" s="357">
        <v>1147145216</v>
      </c>
      <c r="R38" s="373">
        <v>335112096</v>
      </c>
      <c r="S38" s="258"/>
      <c r="T38" s="503">
        <v>48.601654000000003</v>
      </c>
      <c r="U38" s="357">
        <v>48.715836000000003</v>
      </c>
      <c r="V38" s="373">
        <v>48.364899000000001</v>
      </c>
      <c r="W38" s="258"/>
      <c r="X38" s="357">
        <v>42.110202999999998</v>
      </c>
      <c r="Y38" s="357">
        <v>42.110202999999998</v>
      </c>
      <c r="Z38" s="373">
        <v>42.110202999999998</v>
      </c>
      <c r="AA38" s="258">
        <v>0</v>
      </c>
      <c r="AB38" s="507"/>
      <c r="AC38" s="359"/>
      <c r="AD38" s="573">
        <v>0</v>
      </c>
      <c r="AE38" s="573">
        <v>0</v>
      </c>
      <c r="AF38" s="33"/>
      <c r="AH38" s="30" t="str">
        <f t="shared" si="5"/>
        <v>·</v>
      </c>
      <c r="AI38" s="31" t="str">
        <f t="shared" si="6"/>
        <v>·</v>
      </c>
      <c r="AJ38" s="270" t="str">
        <f t="shared" si="9"/>
        <v>·</v>
      </c>
      <c r="AK38" s="275" t="str">
        <f t="shared" si="10"/>
        <v>·</v>
      </c>
      <c r="AL38" s="267" t="str">
        <f t="shared" si="11"/>
        <v>·</v>
      </c>
      <c r="AM38" s="31" t="str">
        <f t="shared" si="12"/>
        <v>·</v>
      </c>
      <c r="AN38" s="521"/>
      <c r="AO38" s="503"/>
      <c r="AP38" s="357"/>
      <c r="AQ38" s="373"/>
      <c r="AR38" s="258"/>
      <c r="AS38" s="503"/>
      <c r="AT38" s="357"/>
      <c r="AU38" s="373"/>
      <c r="AV38" s="258"/>
      <c r="AW38" s="357"/>
      <c r="AX38" s="357"/>
      <c r="AY38" s="373"/>
      <c r="AZ38" s="258"/>
      <c r="BA38" s="507"/>
      <c r="BB38" s="359"/>
      <c r="BC38" s="573">
        <v>0</v>
      </c>
      <c r="BD38" s="573">
        <v>0</v>
      </c>
      <c r="BE38" s="33"/>
      <c r="BG38" s="122" t="e">
        <f t="shared" si="13"/>
        <v>#DIV/0!</v>
      </c>
      <c r="BH38" s="123" t="e">
        <f t="shared" si="13"/>
        <v>#DIV/0!</v>
      </c>
      <c r="BI38" s="123" t="e">
        <f t="shared" si="8"/>
        <v>#DIV/0!</v>
      </c>
      <c r="BJ38" s="124"/>
      <c r="BL38" s="107"/>
      <c r="BM38" s="107"/>
      <c r="BN38" s="107"/>
      <c r="BO38" s="106"/>
      <c r="BQ38" s="177"/>
      <c r="BR38" s="177"/>
      <c r="BS38" s="177"/>
      <c r="BT38" s="106"/>
      <c r="BV38" s="177"/>
      <c r="BW38" s="177"/>
      <c r="BX38" s="177"/>
      <c r="BY38" s="106"/>
      <c r="CA38" s="177"/>
      <c r="CB38" s="177"/>
      <c r="CC38" s="177"/>
      <c r="CD38" s="106"/>
    </row>
    <row r="39" spans="1:82" ht="14.25" outlineLevel="1" thickBot="1">
      <c r="A39" s="13"/>
      <c r="B39" s="18" t="s">
        <v>1116</v>
      </c>
      <c r="C39" s="19" t="s">
        <v>884</v>
      </c>
      <c r="D39" s="480">
        <v>47062018</v>
      </c>
      <c r="E39" s="19">
        <v>20</v>
      </c>
      <c r="F39" s="19">
        <v>1</v>
      </c>
      <c r="G39" s="20"/>
      <c r="H39" s="492"/>
      <c r="I39" s="34" t="str">
        <f t="shared" si="14"/>
        <v>·</v>
      </c>
      <c r="J39" s="35">
        <f t="shared" si="15"/>
        <v>33.82662035444379</v>
      </c>
      <c r="K39" s="35">
        <f t="shared" si="2"/>
        <v>24.375181191762749</v>
      </c>
      <c r="L39" s="35">
        <f t="shared" si="16"/>
        <v>9.4514274334772477</v>
      </c>
      <c r="M39" s="135"/>
      <c r="N39" s="35">
        <f t="shared" si="4"/>
        <v>33.82662035444379</v>
      </c>
      <c r="O39" s="522">
        <v>47062018</v>
      </c>
      <c r="P39" s="504">
        <v>1591949016</v>
      </c>
      <c r="Q39" s="369">
        <v>1147145216</v>
      </c>
      <c r="R39" s="374">
        <v>444803248</v>
      </c>
      <c r="S39" s="277"/>
      <c r="T39" s="504">
        <v>52.424309000000001</v>
      </c>
      <c r="U39" s="369">
        <v>51.983241999999997</v>
      </c>
      <c r="V39" s="374">
        <v>51.628593000000002</v>
      </c>
      <c r="W39" s="277"/>
      <c r="X39" s="369">
        <v>48.130802000000003</v>
      </c>
      <c r="Y39" s="369">
        <v>48.130802000000003</v>
      </c>
      <c r="Z39" s="374">
        <v>48.130802000000003</v>
      </c>
      <c r="AA39" s="277">
        <v>0</v>
      </c>
      <c r="AB39" s="508"/>
      <c r="AC39" s="371"/>
      <c r="AD39" s="574">
        <v>0</v>
      </c>
      <c r="AE39" s="574">
        <v>0</v>
      </c>
      <c r="AF39" s="37"/>
      <c r="AH39" s="38" t="str">
        <f t="shared" si="5"/>
        <v>·</v>
      </c>
      <c r="AI39" s="39" t="str">
        <f t="shared" si="6"/>
        <v>·</v>
      </c>
      <c r="AJ39" s="273" t="str">
        <f t="shared" si="9"/>
        <v>·</v>
      </c>
      <c r="AK39" s="276" t="str">
        <f t="shared" si="10"/>
        <v>·</v>
      </c>
      <c r="AL39" s="268" t="str">
        <f t="shared" si="11"/>
        <v>·</v>
      </c>
      <c r="AM39" s="39" t="str">
        <f t="shared" si="12"/>
        <v>·</v>
      </c>
      <c r="AN39" s="522"/>
      <c r="AO39" s="504"/>
      <c r="AP39" s="369"/>
      <c r="AQ39" s="374"/>
      <c r="AR39" s="277"/>
      <c r="AS39" s="504"/>
      <c r="AT39" s="369"/>
      <c r="AU39" s="374"/>
      <c r="AV39" s="277"/>
      <c r="AW39" s="369"/>
      <c r="AX39" s="369"/>
      <c r="AY39" s="374"/>
      <c r="AZ39" s="277"/>
      <c r="BA39" s="508"/>
      <c r="BB39" s="371"/>
      <c r="BC39" s="574">
        <v>0</v>
      </c>
      <c r="BD39" s="574">
        <v>0</v>
      </c>
      <c r="BE39" s="41"/>
      <c r="BG39" s="128" t="e">
        <f t="shared" si="13"/>
        <v>#DIV/0!</v>
      </c>
      <c r="BH39" s="129" t="e">
        <f t="shared" si="13"/>
        <v>#DIV/0!</v>
      </c>
      <c r="BI39" s="129" t="e">
        <f t="shared" si="8"/>
        <v>#DIV/0!</v>
      </c>
      <c r="BJ39" s="130"/>
      <c r="BL39" s="110"/>
      <c r="BM39" s="110"/>
      <c r="BN39" s="110"/>
      <c r="BO39" s="109"/>
      <c r="BQ39" s="181"/>
      <c r="BR39" s="181"/>
      <c r="BS39" s="181"/>
      <c r="BT39" s="109"/>
      <c r="BV39" s="181"/>
      <c r="BW39" s="181"/>
      <c r="BX39" s="181"/>
      <c r="BY39" s="109"/>
      <c r="CA39" s="181"/>
      <c r="CB39" s="181"/>
      <c r="CC39" s="181"/>
      <c r="CD39" s="109"/>
    </row>
    <row r="40" spans="1:82">
      <c r="A40" s="91"/>
      <c r="B40" s="27" t="s">
        <v>1117</v>
      </c>
      <c r="C40" s="28" t="s">
        <v>131</v>
      </c>
      <c r="D40" s="478">
        <v>43399207</v>
      </c>
      <c r="E40" s="28">
        <v>20</v>
      </c>
      <c r="F40" s="28">
        <v>1</v>
      </c>
      <c r="G40" s="29"/>
      <c r="H40" s="492"/>
      <c r="I40" s="46" t="str">
        <f t="shared" si="14"/>
        <v>·</v>
      </c>
      <c r="J40" s="47">
        <f t="shared" si="15"/>
        <v>28.062193670958088</v>
      </c>
      <c r="K40" s="47">
        <f t="shared" si="2"/>
        <v>25.480300043270375</v>
      </c>
      <c r="L40" s="47">
        <f t="shared" si="16"/>
        <v>2.5818803555558056</v>
      </c>
      <c r="M40" s="104"/>
      <c r="N40" s="47">
        <f t="shared" si="4"/>
        <v>28.062193670958088</v>
      </c>
      <c r="O40" s="520">
        <v>43399207</v>
      </c>
      <c r="P40" s="502">
        <v>1217876952</v>
      </c>
      <c r="Q40" s="353">
        <v>1105824816</v>
      </c>
      <c r="R40" s="372">
        <v>112051560</v>
      </c>
      <c r="S40" s="257"/>
      <c r="T40" s="502">
        <v>30.730812</v>
      </c>
      <c r="U40" s="353">
        <v>32.400554999999997</v>
      </c>
      <c r="V40" s="372">
        <v>33.523121000000003</v>
      </c>
      <c r="W40" s="257"/>
      <c r="X40" s="353">
        <v>24.048404999999999</v>
      </c>
      <c r="Y40" s="353">
        <v>24.048404999999999</v>
      </c>
      <c r="Z40" s="372">
        <v>24.048404999999999</v>
      </c>
      <c r="AA40" s="257">
        <v>0</v>
      </c>
      <c r="AB40" s="506"/>
      <c r="AC40" s="355"/>
      <c r="AD40" s="572">
        <v>0</v>
      </c>
      <c r="AE40" s="572">
        <v>0</v>
      </c>
      <c r="AF40" s="49"/>
      <c r="AH40" s="46" t="str">
        <f t="shared" si="5"/>
        <v>·</v>
      </c>
      <c r="AI40" s="47" t="str">
        <f t="shared" si="6"/>
        <v>·</v>
      </c>
      <c r="AJ40" s="269" t="str">
        <f t="shared" si="9"/>
        <v>·</v>
      </c>
      <c r="AK40" s="274" t="str">
        <f t="shared" si="10"/>
        <v>·</v>
      </c>
      <c r="AL40" s="266" t="str">
        <f t="shared" si="11"/>
        <v>·</v>
      </c>
      <c r="AM40" s="47" t="str">
        <f t="shared" si="12"/>
        <v>·</v>
      </c>
      <c r="AN40" s="520"/>
      <c r="AO40" s="502"/>
      <c r="AP40" s="353"/>
      <c r="AQ40" s="372"/>
      <c r="AR40" s="257"/>
      <c r="AS40" s="502"/>
      <c r="AT40" s="353"/>
      <c r="AU40" s="372"/>
      <c r="AV40" s="257"/>
      <c r="AW40" s="353"/>
      <c r="AX40" s="353"/>
      <c r="AY40" s="372"/>
      <c r="AZ40" s="257"/>
      <c r="BA40" s="506"/>
      <c r="BB40" s="355"/>
      <c r="BC40" s="572">
        <v>0</v>
      </c>
      <c r="BD40" s="572">
        <v>0</v>
      </c>
      <c r="BE40" s="49"/>
      <c r="BG40" s="119" t="e">
        <f t="shared" si="13"/>
        <v>#DIV/0!</v>
      </c>
      <c r="BH40" s="120" t="e">
        <f t="shared" si="13"/>
        <v>#DIV/0!</v>
      </c>
      <c r="BI40" s="120" t="e">
        <f t="shared" si="8"/>
        <v>#DIV/0!</v>
      </c>
      <c r="BJ40" s="121" t="e">
        <f t="array" ref="BJ40">AVERAGE(AP40:AP44/AO40:AO44) - AVERAGE(Q40:Q44/P40:P44)</f>
        <v>#DIV/0!</v>
      </c>
      <c r="BL40" s="279" t="str">
        <f>IF( OR(ISBLANK($R40:$R44),ISBLANK($AQ40:$AQ44), ISBLANK(T40:T44),ISBLANK(AS40:AS44)), "·", bdRateHermite($R40:$R44,T40:T44, $AQ40:$AQ44,AS40:AS44))</f>
        <v>·</v>
      </c>
      <c r="BM40" s="279" t="str">
        <f>IF( OR(ISBLANK($R40:$R44),ISBLANK($AQ40:$AQ44), ISBLANK(U40:U44),ISBLANK(AT40:AT44)), "·", bdRateHermite($R40:$R44,U40:U44, $AQ40:$AQ44,AT40:AT44))</f>
        <v>·</v>
      </c>
      <c r="BN40" s="279" t="str">
        <f>IF( OR(ISBLANK($R40:$R44),ISBLANK($AQ40:$AQ44), ISBLANK(V40:V44),ISBLANK(AU40:AU44)), "·", bdRateHermite($R40:$R44,V40:V44, $AQ40:$AQ44,AU40:AU44))</f>
        <v>·</v>
      </c>
      <c r="BO40" s="104"/>
      <c r="BQ40" s="173" t="str">
        <f>IF( OR(ISBLANK($R40:$R44),ISBLANK($AQ40:$AQ44), ISBLANK(X40:X44),ISBLANK(AW40:AW44)), "·", bdRateHermite($R40:$R44,X40:X44, $AQ40:$AQ44,AW40:AW44))</f>
        <v>·</v>
      </c>
      <c r="BR40" s="173" t="str">
        <f>IF( OR(ISBLANK($R40:$R44),ISBLANK($AQ40:$AQ44), ISBLANK(Y40:Y44),ISBLANK(AX40:AX44)), "·", bdRateHermite($R40:$R44,Y40:Y44, $AQ40:$AQ44,AX40:AX44))</f>
        <v>·</v>
      </c>
      <c r="BS40" s="173" t="str">
        <f>IF( OR(ISBLANK($R40:$R44),ISBLANK($AQ40:$AQ44), ISBLANK(Z40:Z44),ISBLANK(AY40:AY44)), "·", bdRateHermite($R40:$R44,Z40:Z44, $AQ40:$AQ44,AY40:AY44))</f>
        <v>·</v>
      </c>
      <c r="BT40" s="138"/>
      <c r="BV40" s="173" t="str">
        <f>IF(OR(ISBLANK($P40:$P44),ISBLANK($AO40:$AO44),ISBLANK(T40:T44),ISBLANK(AS40:AS44)),"·",bdRateHermite($P40:$P44,T40:T44,$AO40:$AO44,AS40:AS44))</f>
        <v>·</v>
      </c>
      <c r="BW40" s="173" t="str">
        <f>IF(OR(ISBLANK($P40:$P44),ISBLANK($AO40:$AO44),ISBLANK(U40:U44),ISBLANK(AT40:AT44)),"·",bdRateHermite($P40:$P44,U40:U44,$AO40:$AO44,AT40:AT44))</f>
        <v>·</v>
      </c>
      <c r="BX40" s="173" t="str">
        <f>IF(OR(ISBLANK($P40:$P44),ISBLANK($AO40:$AO44),ISBLANK(V40:V44),ISBLANK(AU40:AU44)),"·",bdRateHermite($P40:$P44,V40:V44,$AO40:$AO44,AU40:AU44))</f>
        <v>·</v>
      </c>
      <c r="BY40" s="138"/>
      <c r="CA40" s="173" t="str">
        <f>IF( OR(ISBLANK($P40:$P44),ISBLANK($AO40:$AO44), ISBLANK(X40:X44),ISBLANK(AW40:AW44)), "·", bdRateHermite( $P40:$P44,X40:X44, $AO40:$AO44,AW40:AW44))</f>
        <v>·</v>
      </c>
      <c r="CB40" s="173" t="str">
        <f>IF( OR(ISBLANK($P40:$P44),ISBLANK($AO40:$AO44), ISBLANK(Y40:Y44),ISBLANK(AX40:AX44)), "·", bdRateHermite( $P40:$P44,Y40:Y44, $AO40:$AO44,AX40:AX44))</f>
        <v>·</v>
      </c>
      <c r="CC40" s="173" t="str">
        <f>IF( OR(ISBLANK($P40:$P44),ISBLANK($AO40:$AO44), ISBLANK(Z40:Z44),ISBLANK(AY40:AY44)), "·", bdRateHermite( $P40:$P44,Z40:Z44, $AO40:$AO44,AY40:AY44))</f>
        <v>·</v>
      </c>
      <c r="CD40" s="138"/>
    </row>
    <row r="41" spans="1:82" outlineLevel="1">
      <c r="A41" s="13"/>
      <c r="B41" s="14" t="s">
        <v>1117</v>
      </c>
      <c r="C41" s="15" t="s">
        <v>132</v>
      </c>
      <c r="D41" s="479">
        <v>43399207</v>
      </c>
      <c r="E41" s="15">
        <v>20</v>
      </c>
      <c r="F41" s="15">
        <v>1</v>
      </c>
      <c r="G41" s="16"/>
      <c r="H41" s="492"/>
      <c r="I41" s="30" t="str">
        <f t="shared" si="14"/>
        <v>·</v>
      </c>
      <c r="J41" s="31">
        <f t="shared" si="15"/>
        <v>29.341615389424049</v>
      </c>
      <c r="K41" s="31">
        <f t="shared" si="2"/>
        <v>25.480300043270375</v>
      </c>
      <c r="L41" s="31">
        <f>IF(ISBLANK(R41),"·",R41/D41)</f>
        <v>3.8613020740217672</v>
      </c>
      <c r="M41" s="106"/>
      <c r="N41" s="31">
        <f t="shared" si="4"/>
        <v>29.341615389424049</v>
      </c>
      <c r="O41" s="521">
        <v>43399207</v>
      </c>
      <c r="P41" s="503">
        <v>1273402840</v>
      </c>
      <c r="Q41" s="357">
        <v>1105824816</v>
      </c>
      <c r="R41" s="373">
        <v>167577448</v>
      </c>
      <c r="S41" s="258"/>
      <c r="T41" s="503">
        <v>37.075352000000002</v>
      </c>
      <c r="U41" s="357">
        <v>38.441223000000001</v>
      </c>
      <c r="V41" s="373">
        <v>38.320492000000002</v>
      </c>
      <c r="W41" s="258"/>
      <c r="X41" s="357">
        <v>30.069004</v>
      </c>
      <c r="Y41" s="357">
        <v>30.069004</v>
      </c>
      <c r="Z41" s="373">
        <v>30.069004</v>
      </c>
      <c r="AA41" s="258">
        <v>0</v>
      </c>
      <c r="AB41" s="507"/>
      <c r="AC41" s="359"/>
      <c r="AD41" s="573">
        <v>0</v>
      </c>
      <c r="AE41" s="573">
        <v>0</v>
      </c>
      <c r="AF41" s="33"/>
      <c r="AH41" s="30" t="str">
        <f t="shared" si="5"/>
        <v>·</v>
      </c>
      <c r="AI41" s="31" t="str">
        <f t="shared" si="6"/>
        <v>·</v>
      </c>
      <c r="AJ41" s="270" t="str">
        <f t="shared" si="9"/>
        <v>·</v>
      </c>
      <c r="AK41" s="275" t="str">
        <f t="shared" si="10"/>
        <v>·</v>
      </c>
      <c r="AL41" s="267" t="str">
        <f t="shared" si="11"/>
        <v>·</v>
      </c>
      <c r="AM41" s="31" t="str">
        <f t="shared" si="12"/>
        <v>·</v>
      </c>
      <c r="AN41" s="521"/>
      <c r="AO41" s="503"/>
      <c r="AP41" s="357"/>
      <c r="AQ41" s="373"/>
      <c r="AR41" s="258"/>
      <c r="AS41" s="503"/>
      <c r="AT41" s="357"/>
      <c r="AU41" s="373"/>
      <c r="AV41" s="258"/>
      <c r="AW41" s="357"/>
      <c r="AX41" s="357"/>
      <c r="AY41" s="373"/>
      <c r="AZ41" s="258"/>
      <c r="BA41" s="507"/>
      <c r="BB41" s="359"/>
      <c r="BC41" s="573">
        <v>0</v>
      </c>
      <c r="BD41" s="573">
        <v>0</v>
      </c>
      <c r="BE41" s="33"/>
      <c r="BG41" s="122" t="e">
        <f t="shared" si="13"/>
        <v>#DIV/0!</v>
      </c>
      <c r="BH41" s="123" t="e">
        <f t="shared" si="13"/>
        <v>#DIV/0!</v>
      </c>
      <c r="BI41" s="123" t="e">
        <f t="shared" si="8"/>
        <v>#DIV/0!</v>
      </c>
      <c r="BJ41" s="124"/>
      <c r="BL41" s="107"/>
      <c r="BM41" s="107"/>
      <c r="BN41" s="107"/>
      <c r="BO41" s="106"/>
      <c r="BQ41" s="177"/>
      <c r="BR41" s="177"/>
      <c r="BS41" s="177"/>
      <c r="BT41" s="106"/>
      <c r="BV41" s="177"/>
      <c r="BW41" s="177"/>
      <c r="BX41" s="177"/>
      <c r="BY41" s="106"/>
      <c r="CA41" s="177"/>
      <c r="CB41" s="177"/>
      <c r="CC41" s="177"/>
      <c r="CD41" s="106"/>
    </row>
    <row r="42" spans="1:82" outlineLevel="1">
      <c r="A42" s="13"/>
      <c r="B42" s="14" t="s">
        <v>1117</v>
      </c>
      <c r="C42" s="15" t="s">
        <v>133</v>
      </c>
      <c r="D42" s="479">
        <v>43399207</v>
      </c>
      <c r="E42" s="15">
        <v>20</v>
      </c>
      <c r="F42" s="15">
        <v>1</v>
      </c>
      <c r="G42" s="16"/>
      <c r="H42" s="492"/>
      <c r="I42" s="30" t="str">
        <f t="shared" si="14"/>
        <v>·</v>
      </c>
      <c r="J42" s="31">
        <f t="shared" si="15"/>
        <v>30.934993259208632</v>
      </c>
      <c r="K42" s="31">
        <f t="shared" si="2"/>
        <v>25.480300043270375</v>
      </c>
      <c r="L42" s="31">
        <f t="shared" ref="L42:L69" si="17">IF(ISBLANK(R42),"·",R42/D42)</f>
        <v>5.4546799438063465</v>
      </c>
      <c r="M42" s="106"/>
      <c r="N42" s="31">
        <f t="shared" si="4"/>
        <v>30.934993259208632</v>
      </c>
      <c r="O42" s="521">
        <v>43399207</v>
      </c>
      <c r="P42" s="503">
        <v>1342554176</v>
      </c>
      <c r="Q42" s="357">
        <v>1105824816</v>
      </c>
      <c r="R42" s="373">
        <v>236728784</v>
      </c>
      <c r="S42" s="258"/>
      <c r="T42" s="503">
        <v>43.248919999999998</v>
      </c>
      <c r="U42" s="357">
        <v>44.024658000000002</v>
      </c>
      <c r="V42" s="373">
        <v>43.572333999999998</v>
      </c>
      <c r="W42" s="258"/>
      <c r="X42" s="357">
        <v>36.089602999999997</v>
      </c>
      <c r="Y42" s="357">
        <v>36.089602999999997</v>
      </c>
      <c r="Z42" s="373">
        <v>36.089602999999997</v>
      </c>
      <c r="AA42" s="258">
        <v>0</v>
      </c>
      <c r="AB42" s="507"/>
      <c r="AC42" s="359"/>
      <c r="AD42" s="573">
        <v>0</v>
      </c>
      <c r="AE42" s="573">
        <v>0</v>
      </c>
      <c r="AF42" s="33"/>
      <c r="AH42" s="30" t="str">
        <f t="shared" si="5"/>
        <v>·</v>
      </c>
      <c r="AI42" s="31" t="str">
        <f t="shared" si="6"/>
        <v>·</v>
      </c>
      <c r="AJ42" s="270" t="str">
        <f t="shared" si="9"/>
        <v>·</v>
      </c>
      <c r="AK42" s="275" t="str">
        <f t="shared" si="10"/>
        <v>·</v>
      </c>
      <c r="AL42" s="267" t="str">
        <f t="shared" si="11"/>
        <v>·</v>
      </c>
      <c r="AM42" s="31" t="str">
        <f t="shared" si="12"/>
        <v>·</v>
      </c>
      <c r="AN42" s="521"/>
      <c r="AO42" s="503"/>
      <c r="AP42" s="357"/>
      <c r="AQ42" s="373"/>
      <c r="AR42" s="258"/>
      <c r="AS42" s="503"/>
      <c r="AT42" s="357"/>
      <c r="AU42" s="373"/>
      <c r="AV42" s="258"/>
      <c r="AW42" s="357"/>
      <c r="AX42" s="357"/>
      <c r="AY42" s="373"/>
      <c r="AZ42" s="258"/>
      <c r="BA42" s="507"/>
      <c r="BB42" s="359"/>
      <c r="BC42" s="573">
        <v>0</v>
      </c>
      <c r="BD42" s="573">
        <v>0</v>
      </c>
      <c r="BE42" s="33"/>
      <c r="BG42" s="122" t="e">
        <f t="shared" si="13"/>
        <v>#DIV/0!</v>
      </c>
      <c r="BH42" s="123" t="e">
        <f t="shared" si="13"/>
        <v>#DIV/0!</v>
      </c>
      <c r="BI42" s="123" t="e">
        <f t="shared" si="8"/>
        <v>#DIV/0!</v>
      </c>
      <c r="BJ42" s="124"/>
      <c r="BL42" s="107"/>
      <c r="BM42" s="107"/>
      <c r="BN42" s="107"/>
      <c r="BO42" s="106"/>
      <c r="BQ42" s="177"/>
      <c r="BR42" s="177"/>
      <c r="BS42" s="177"/>
      <c r="BT42" s="106"/>
      <c r="BV42" s="177"/>
      <c r="BW42" s="177"/>
      <c r="BX42" s="177"/>
      <c r="BY42" s="106"/>
      <c r="CA42" s="177"/>
      <c r="CB42" s="177"/>
      <c r="CC42" s="177"/>
      <c r="CD42" s="106"/>
    </row>
    <row r="43" spans="1:82" outlineLevel="1">
      <c r="A43" s="13"/>
      <c r="B43" s="14" t="s">
        <v>1117</v>
      </c>
      <c r="C43" s="15" t="s">
        <v>134</v>
      </c>
      <c r="D43" s="479">
        <v>43399207</v>
      </c>
      <c r="E43" s="15">
        <v>20</v>
      </c>
      <c r="F43" s="15">
        <v>1</v>
      </c>
      <c r="G43" s="16"/>
      <c r="H43" s="492"/>
      <c r="I43" s="30" t="str">
        <f t="shared" si="14"/>
        <v>·</v>
      </c>
      <c r="J43" s="31">
        <f t="shared" si="15"/>
        <v>32.884428879080673</v>
      </c>
      <c r="K43" s="31">
        <f t="shared" si="2"/>
        <v>25.480300043270375</v>
      </c>
      <c r="L43" s="31">
        <f t="shared" si="17"/>
        <v>7.4041155636783866</v>
      </c>
      <c r="M43" s="106"/>
      <c r="N43" s="31">
        <f t="shared" si="4"/>
        <v>32.884428879080673</v>
      </c>
      <c r="O43" s="521">
        <v>43399207</v>
      </c>
      <c r="P43" s="503">
        <v>1427158136</v>
      </c>
      <c r="Q43" s="357">
        <v>1105824816</v>
      </c>
      <c r="R43" s="373">
        <v>321332744</v>
      </c>
      <c r="S43" s="258"/>
      <c r="T43" s="503">
        <v>48.546405999999998</v>
      </c>
      <c r="U43" s="357">
        <v>48.818644999999997</v>
      </c>
      <c r="V43" s="373">
        <v>48.390048999999998</v>
      </c>
      <c r="W43" s="258"/>
      <c r="X43" s="357">
        <v>42.110202999999998</v>
      </c>
      <c r="Y43" s="357">
        <v>42.110202999999998</v>
      </c>
      <c r="Z43" s="373">
        <v>42.110202999999998</v>
      </c>
      <c r="AA43" s="258">
        <v>0</v>
      </c>
      <c r="AB43" s="507"/>
      <c r="AC43" s="359"/>
      <c r="AD43" s="573">
        <v>0</v>
      </c>
      <c r="AE43" s="573">
        <v>0</v>
      </c>
      <c r="AF43" s="33"/>
      <c r="AH43" s="30" t="str">
        <f t="shared" si="5"/>
        <v>·</v>
      </c>
      <c r="AI43" s="31" t="str">
        <f t="shared" si="6"/>
        <v>·</v>
      </c>
      <c r="AJ43" s="270" t="str">
        <f t="shared" si="9"/>
        <v>·</v>
      </c>
      <c r="AK43" s="275" t="str">
        <f t="shared" si="10"/>
        <v>·</v>
      </c>
      <c r="AL43" s="267" t="str">
        <f t="shared" si="11"/>
        <v>·</v>
      </c>
      <c r="AM43" s="31" t="str">
        <f t="shared" si="12"/>
        <v>·</v>
      </c>
      <c r="AN43" s="521"/>
      <c r="AO43" s="503"/>
      <c r="AP43" s="357"/>
      <c r="AQ43" s="373"/>
      <c r="AR43" s="258"/>
      <c r="AS43" s="503"/>
      <c r="AT43" s="357"/>
      <c r="AU43" s="373"/>
      <c r="AV43" s="258"/>
      <c r="AW43" s="357"/>
      <c r="AX43" s="357"/>
      <c r="AY43" s="373"/>
      <c r="AZ43" s="258"/>
      <c r="BA43" s="507"/>
      <c r="BB43" s="359"/>
      <c r="BC43" s="573">
        <v>0</v>
      </c>
      <c r="BD43" s="573">
        <v>0</v>
      </c>
      <c r="BE43" s="33"/>
      <c r="BG43" s="122" t="e">
        <f t="shared" si="13"/>
        <v>#DIV/0!</v>
      </c>
      <c r="BH43" s="123" t="e">
        <f t="shared" si="13"/>
        <v>#DIV/0!</v>
      </c>
      <c r="BI43" s="123" t="e">
        <f t="shared" si="8"/>
        <v>#DIV/0!</v>
      </c>
      <c r="BJ43" s="124"/>
      <c r="BL43" s="107"/>
      <c r="BM43" s="107"/>
      <c r="BN43" s="107"/>
      <c r="BO43" s="106"/>
      <c r="BQ43" s="177"/>
      <c r="BR43" s="177"/>
      <c r="BS43" s="177"/>
      <c r="BT43" s="106"/>
      <c r="BV43" s="177"/>
      <c r="BW43" s="177"/>
      <c r="BX43" s="177"/>
      <c r="BY43" s="106"/>
      <c r="CA43" s="177"/>
      <c r="CB43" s="177"/>
      <c r="CC43" s="177"/>
      <c r="CD43" s="106"/>
    </row>
    <row r="44" spans="1:82" ht="14.25" outlineLevel="1" thickBot="1">
      <c r="A44" s="13"/>
      <c r="B44" s="18" t="s">
        <v>1117</v>
      </c>
      <c r="C44" s="19" t="s">
        <v>884</v>
      </c>
      <c r="D44" s="480">
        <v>43399207</v>
      </c>
      <c r="E44" s="19">
        <v>20</v>
      </c>
      <c r="F44" s="19">
        <v>1</v>
      </c>
      <c r="G44" s="20"/>
      <c r="H44" s="492"/>
      <c r="I44" s="34" t="str">
        <f t="shared" si="14"/>
        <v>·</v>
      </c>
      <c r="J44" s="35">
        <f t="shared" si="15"/>
        <v>35.28020131796417</v>
      </c>
      <c r="K44" s="35">
        <f t="shared" si="2"/>
        <v>25.480300043270375</v>
      </c>
      <c r="L44" s="35">
        <f t="shared" si="17"/>
        <v>9.7998880025618895</v>
      </c>
      <c r="M44" s="135"/>
      <c r="N44" s="35">
        <f t="shared" si="4"/>
        <v>35.28020131796417</v>
      </c>
      <c r="O44" s="525">
        <v>43399207</v>
      </c>
      <c r="P44" s="505">
        <v>1531132760</v>
      </c>
      <c r="Q44" s="361">
        <v>1105824816</v>
      </c>
      <c r="R44" s="375">
        <v>425307368</v>
      </c>
      <c r="S44" s="259"/>
      <c r="T44" s="505">
        <v>52.418227999999999</v>
      </c>
      <c r="U44" s="361">
        <v>51.996898999999999</v>
      </c>
      <c r="V44" s="375">
        <v>51.657893999999999</v>
      </c>
      <c r="W44" s="259"/>
      <c r="X44" s="361">
        <v>48.130802000000003</v>
      </c>
      <c r="Y44" s="361">
        <v>48.130802000000003</v>
      </c>
      <c r="Z44" s="375">
        <v>48.130802000000003</v>
      </c>
      <c r="AA44" s="259">
        <v>0</v>
      </c>
      <c r="AB44" s="509"/>
      <c r="AC44" s="363"/>
      <c r="AD44" s="574">
        <v>0</v>
      </c>
      <c r="AE44" s="574">
        <v>0</v>
      </c>
      <c r="AF44" s="37"/>
      <c r="AH44" s="38" t="str">
        <f t="shared" si="5"/>
        <v>·</v>
      </c>
      <c r="AI44" s="39" t="str">
        <f t="shared" si="6"/>
        <v>·</v>
      </c>
      <c r="AJ44" s="273" t="str">
        <f t="shared" si="9"/>
        <v>·</v>
      </c>
      <c r="AK44" s="276" t="str">
        <f t="shared" si="10"/>
        <v>·</v>
      </c>
      <c r="AL44" s="268" t="str">
        <f t="shared" si="11"/>
        <v>·</v>
      </c>
      <c r="AM44" s="39" t="str">
        <f t="shared" si="12"/>
        <v>·</v>
      </c>
      <c r="AN44" s="525"/>
      <c r="AO44" s="505"/>
      <c r="AP44" s="361"/>
      <c r="AQ44" s="375"/>
      <c r="AR44" s="259"/>
      <c r="AS44" s="505"/>
      <c r="AT44" s="361"/>
      <c r="AU44" s="375"/>
      <c r="AV44" s="259"/>
      <c r="AW44" s="361"/>
      <c r="AX44" s="361"/>
      <c r="AY44" s="375"/>
      <c r="AZ44" s="259"/>
      <c r="BA44" s="509"/>
      <c r="BB44" s="363"/>
      <c r="BC44" s="574">
        <v>0</v>
      </c>
      <c r="BD44" s="574">
        <v>0</v>
      </c>
      <c r="BE44" s="41"/>
      <c r="BG44" s="128" t="e">
        <f t="shared" si="13"/>
        <v>#DIV/0!</v>
      </c>
      <c r="BH44" s="129" t="e">
        <f t="shared" si="13"/>
        <v>#DIV/0!</v>
      </c>
      <c r="BI44" s="129" t="e">
        <f t="shared" si="8"/>
        <v>#DIV/0!</v>
      </c>
      <c r="BJ44" s="130"/>
      <c r="BL44" s="110"/>
      <c r="BM44" s="110"/>
      <c r="BN44" s="110"/>
      <c r="BO44" s="109"/>
      <c r="BQ44" s="181"/>
      <c r="BR44" s="181"/>
      <c r="BS44" s="181"/>
      <c r="BT44" s="109"/>
      <c r="BV44" s="181"/>
      <c r="BW44" s="181"/>
      <c r="BX44" s="181"/>
      <c r="BY44" s="109"/>
      <c r="CA44" s="181"/>
      <c r="CB44" s="181"/>
      <c r="CC44" s="181"/>
      <c r="CD44" s="109"/>
    </row>
    <row r="45" spans="1:82">
      <c r="A45" s="13"/>
      <c r="B45" s="27" t="s">
        <v>1118</v>
      </c>
      <c r="C45" s="28" t="s">
        <v>131</v>
      </c>
      <c r="D45" s="478">
        <v>67599953</v>
      </c>
      <c r="E45" s="28">
        <v>16</v>
      </c>
      <c r="F45" s="28">
        <v>1</v>
      </c>
      <c r="G45" s="29"/>
      <c r="H45" s="492"/>
      <c r="I45" s="46" t="str">
        <f t="shared" si="14"/>
        <v>·</v>
      </c>
      <c r="J45" s="47">
        <f t="shared" si="15"/>
        <v>13.730592741684303</v>
      </c>
      <c r="K45" s="47">
        <f t="shared" si="2"/>
        <v>10.797644785344747</v>
      </c>
      <c r="L45" s="47">
        <f t="shared" si="17"/>
        <v>2.9329364770416335</v>
      </c>
      <c r="M45" s="104"/>
      <c r="N45" s="43">
        <f t="shared" si="4"/>
        <v>13.730592741684303</v>
      </c>
      <c r="O45" s="520">
        <v>67599953</v>
      </c>
      <c r="P45" s="502">
        <v>928187424</v>
      </c>
      <c r="Q45" s="353">
        <v>729920280</v>
      </c>
      <c r="R45" s="372">
        <v>198266368</v>
      </c>
      <c r="S45" s="257"/>
      <c r="T45" s="502">
        <v>31.755932000000001</v>
      </c>
      <c r="U45" s="353">
        <v>32.925860999999998</v>
      </c>
      <c r="V45" s="372">
        <v>32.930126000000001</v>
      </c>
      <c r="W45" s="257"/>
      <c r="X45" s="353">
        <v>24.048404999999999</v>
      </c>
      <c r="Y45" s="353">
        <v>24.048404999999999</v>
      </c>
      <c r="Z45" s="372">
        <v>24.048404999999999</v>
      </c>
      <c r="AA45" s="257">
        <v>0</v>
      </c>
      <c r="AB45" s="506"/>
      <c r="AC45" s="355"/>
      <c r="AD45" s="572">
        <v>0</v>
      </c>
      <c r="AE45" s="572">
        <v>0</v>
      </c>
      <c r="AF45" s="45"/>
      <c r="AH45" s="46" t="str">
        <f t="shared" si="5"/>
        <v>·</v>
      </c>
      <c r="AI45" s="31" t="str">
        <f t="shared" si="6"/>
        <v>·</v>
      </c>
      <c r="AJ45" s="270" t="str">
        <f t="shared" si="9"/>
        <v>·</v>
      </c>
      <c r="AK45" s="275" t="str">
        <f t="shared" si="10"/>
        <v>·</v>
      </c>
      <c r="AL45" s="266" t="str">
        <f t="shared" si="11"/>
        <v>·</v>
      </c>
      <c r="AM45" s="47" t="str">
        <f t="shared" si="12"/>
        <v>·</v>
      </c>
      <c r="AN45" s="520"/>
      <c r="AO45" s="502"/>
      <c r="AP45" s="353"/>
      <c r="AQ45" s="372"/>
      <c r="AR45" s="257"/>
      <c r="AS45" s="502"/>
      <c r="AT45" s="353"/>
      <c r="AU45" s="372"/>
      <c r="AV45" s="257"/>
      <c r="AW45" s="353"/>
      <c r="AX45" s="353"/>
      <c r="AY45" s="372"/>
      <c r="AZ45" s="257"/>
      <c r="BA45" s="506"/>
      <c r="BB45" s="355"/>
      <c r="BC45" s="572">
        <v>0</v>
      </c>
      <c r="BD45" s="572">
        <v>0</v>
      </c>
      <c r="BE45" s="49"/>
      <c r="BG45" s="119" t="e">
        <f t="shared" si="13"/>
        <v>#DIV/0!</v>
      </c>
      <c r="BH45" s="120" t="e">
        <f t="shared" si="13"/>
        <v>#DIV/0!</v>
      </c>
      <c r="BI45" s="120" t="e">
        <f t="shared" si="8"/>
        <v>#DIV/0!</v>
      </c>
      <c r="BJ45" s="121" t="e">
        <f t="array" ref="BJ45">AVERAGE(AP45:AP49/AO45:AO49) - AVERAGE(Q45:Q49/P45:P49)</f>
        <v>#DIV/0!</v>
      </c>
      <c r="BL45" s="279" t="str">
        <f>IF( OR(ISBLANK($R45:$R49),ISBLANK($AQ45:$AQ49), ISBLANK(T45:T49),ISBLANK(AS45:AS49)), "·", bdRateHermite($R45:$R49,T45:T49, $AQ45:$AQ49,AS45:AS49))</f>
        <v>·</v>
      </c>
      <c r="BM45" s="279" t="str">
        <f>IF( OR(ISBLANK($R45:$R49),ISBLANK($AQ45:$AQ49), ISBLANK(U45:U49),ISBLANK(AT45:AT49)), "·", bdRateHermite($R45:$R49,U45:U49, $AQ45:$AQ49,AT45:AT49))</f>
        <v>·</v>
      </c>
      <c r="BN45" s="279" t="str">
        <f>IF( OR(ISBLANK($R45:$R49),ISBLANK($AQ45:$AQ49), ISBLANK(V45:V49),ISBLANK(AU45:AU49)), "·", bdRateHermite($R45:$R49,V45:V49, $AQ45:$AQ49,AU45:AU49))</f>
        <v>·</v>
      </c>
      <c r="BO45" s="104"/>
      <c r="BQ45" s="173" t="str">
        <f>IF( OR(ISBLANK($R45:$R49),ISBLANK($AQ45:$AQ49), ISBLANK(X45:X49),ISBLANK(AW45:AW49)), "·", bdRateHermite($R45:$R49,X45:X49, $AQ45:$AQ49,AW45:AW49))</f>
        <v>·</v>
      </c>
      <c r="BR45" s="173" t="str">
        <f>IF( OR(ISBLANK($R45:$R49),ISBLANK($AQ45:$AQ49), ISBLANK(Y45:Y49),ISBLANK(AX45:AX49)), "·", bdRateHermite($R45:$R49,Y45:Y49, $AQ45:$AQ49,AX45:AX49))</f>
        <v>·</v>
      </c>
      <c r="BS45" s="173" t="str">
        <f>IF( OR(ISBLANK($R45:$R49),ISBLANK($AQ45:$AQ49), ISBLANK(Z45:Z49),ISBLANK(AY45:AY49)), "·", bdRateHermite($R45:$R49,Z45:Z49, $AQ45:$AQ49,AY45:AY49))</f>
        <v>·</v>
      </c>
      <c r="BT45" s="138"/>
      <c r="BV45" s="173" t="str">
        <f>IF(OR(ISBLANK($P45:$P49),ISBLANK($AO45:$AO49),ISBLANK(T45:T49),ISBLANK(AS45:AS49)),"·",bdRateHermite($P45:$P49,T45:T49,$AO45:$AO49,AS45:AS49))</f>
        <v>·</v>
      </c>
      <c r="BW45" s="173" t="str">
        <f>IF(OR(ISBLANK($P45:$P49),ISBLANK($AO45:$AO49),ISBLANK(U45:U49),ISBLANK(AT45:AT49)),"·",bdRateHermite($P45:$P49,U45:U49,$AO45:$AO49,AT45:AT49))</f>
        <v>·</v>
      </c>
      <c r="BX45" s="173" t="str">
        <f>IF(OR(ISBLANK($P45:$P49),ISBLANK($AO45:$AO49),ISBLANK(V45:V49),ISBLANK(AU45:AU49)),"·",bdRateHermite($P45:$P49,V45:V49,$AO45:$AO49,AU45:AU49))</f>
        <v>·</v>
      </c>
      <c r="BY45" s="138"/>
      <c r="CA45" s="173" t="str">
        <f>IF( OR(ISBLANK($P45:$P49),ISBLANK($AO45:$AO49), ISBLANK(X45:X49),ISBLANK(AW45:AW49)), "·", bdRateHermite( $P45:$P49,X45:X49, $AO45:$AO49,AW45:AW49))</f>
        <v>·</v>
      </c>
      <c r="CB45" s="173" t="str">
        <f>IF( OR(ISBLANK($P45:$P49),ISBLANK($AO45:$AO49), ISBLANK(Y45:Y49),ISBLANK(AX45:AX49)), "·", bdRateHermite( $P45:$P49,Y45:Y49, $AO45:$AO49,AX45:AX49))</f>
        <v>·</v>
      </c>
      <c r="CC45" s="173" t="str">
        <f>IF( OR(ISBLANK($P45:$P49),ISBLANK($AO45:$AO49), ISBLANK(Z45:Z49),ISBLANK(AY45:AY49)), "·", bdRateHermite( $P45:$P49,Z45:Z49, $AO45:$AO49,AY45:AY49))</f>
        <v>·</v>
      </c>
      <c r="CD45" s="138"/>
    </row>
    <row r="46" spans="1:82" outlineLevel="1">
      <c r="A46" s="13"/>
      <c r="B46" s="14" t="s">
        <v>1118</v>
      </c>
      <c r="C46" s="15" t="s">
        <v>132</v>
      </c>
      <c r="D46" s="479">
        <v>67599953</v>
      </c>
      <c r="E46" s="15">
        <v>16</v>
      </c>
      <c r="F46" s="15">
        <v>1</v>
      </c>
      <c r="G46" s="16"/>
      <c r="H46" s="492"/>
      <c r="I46" s="30" t="str">
        <f t="shared" si="14"/>
        <v>·</v>
      </c>
      <c r="J46" s="31">
        <f t="shared" si="15"/>
        <v>15.188645116365688</v>
      </c>
      <c r="K46" s="31">
        <f t="shared" si="2"/>
        <v>10.797644785344747</v>
      </c>
      <c r="L46" s="31">
        <f t="shared" si="17"/>
        <v>4.3909888517230184</v>
      </c>
      <c r="M46" s="106"/>
      <c r="N46" s="31">
        <f t="shared" si="4"/>
        <v>15.188645116365688</v>
      </c>
      <c r="O46" s="521">
        <v>67599953</v>
      </c>
      <c r="P46" s="503">
        <v>1026751696</v>
      </c>
      <c r="Q46" s="357">
        <v>729920280</v>
      </c>
      <c r="R46" s="373">
        <v>296830640</v>
      </c>
      <c r="S46" s="258"/>
      <c r="T46" s="503">
        <v>37.662056</v>
      </c>
      <c r="U46" s="357">
        <v>38.831470000000003</v>
      </c>
      <c r="V46" s="373">
        <v>38.558467999999998</v>
      </c>
      <c r="W46" s="258"/>
      <c r="X46" s="357">
        <v>30.069004</v>
      </c>
      <c r="Y46" s="357">
        <v>30.069004</v>
      </c>
      <c r="Z46" s="373">
        <v>30.069004</v>
      </c>
      <c r="AA46" s="258">
        <v>0</v>
      </c>
      <c r="AB46" s="507"/>
      <c r="AC46" s="359"/>
      <c r="AD46" s="573">
        <v>0</v>
      </c>
      <c r="AE46" s="573">
        <v>0</v>
      </c>
      <c r="AF46" s="33"/>
      <c r="AH46" s="30" t="str">
        <f t="shared" si="5"/>
        <v>·</v>
      </c>
      <c r="AI46" s="31" t="str">
        <f t="shared" si="6"/>
        <v>·</v>
      </c>
      <c r="AJ46" s="31" t="str">
        <f t="shared" si="9"/>
        <v>·</v>
      </c>
      <c r="AK46" s="275" t="str">
        <f t="shared" si="10"/>
        <v>·</v>
      </c>
      <c r="AL46" s="267" t="str">
        <f t="shared" si="11"/>
        <v>·</v>
      </c>
      <c r="AM46" s="31" t="str">
        <f t="shared" si="12"/>
        <v>·</v>
      </c>
      <c r="AN46" s="521"/>
      <c r="AO46" s="503"/>
      <c r="AP46" s="357"/>
      <c r="AQ46" s="373"/>
      <c r="AR46" s="258"/>
      <c r="AS46" s="503"/>
      <c r="AT46" s="357"/>
      <c r="AU46" s="373"/>
      <c r="AV46" s="258"/>
      <c r="AW46" s="357"/>
      <c r="AX46" s="357"/>
      <c r="AY46" s="373"/>
      <c r="AZ46" s="258"/>
      <c r="BA46" s="507"/>
      <c r="BB46" s="359"/>
      <c r="BC46" s="573">
        <v>0</v>
      </c>
      <c r="BD46" s="573">
        <v>0</v>
      </c>
      <c r="BE46" s="33"/>
      <c r="BG46" s="122" t="e">
        <f t="shared" si="13"/>
        <v>#DIV/0!</v>
      </c>
      <c r="BH46" s="123" t="e">
        <f t="shared" si="13"/>
        <v>#DIV/0!</v>
      </c>
      <c r="BI46" s="123" t="e">
        <f t="shared" si="8"/>
        <v>#DIV/0!</v>
      </c>
      <c r="BJ46" s="124"/>
      <c r="BL46" s="107"/>
      <c r="BM46" s="107"/>
      <c r="BN46" s="107"/>
      <c r="BO46" s="106"/>
      <c r="BQ46" s="177"/>
      <c r="BR46" s="177"/>
      <c r="BS46" s="177"/>
      <c r="BT46" s="106"/>
      <c r="BV46" s="177"/>
      <c r="BW46" s="177"/>
      <c r="BX46" s="177"/>
      <c r="BY46" s="106"/>
      <c r="CA46" s="177"/>
      <c r="CB46" s="177"/>
      <c r="CC46" s="177"/>
      <c r="CD46" s="106"/>
    </row>
    <row r="47" spans="1:82" outlineLevel="1">
      <c r="A47" s="13"/>
      <c r="B47" s="14" t="s">
        <v>1118</v>
      </c>
      <c r="C47" s="15" t="s">
        <v>133</v>
      </c>
      <c r="D47" s="479">
        <v>67599953</v>
      </c>
      <c r="E47" s="15">
        <v>16</v>
      </c>
      <c r="F47" s="15">
        <v>1</v>
      </c>
      <c r="G47" s="16"/>
      <c r="H47" s="492"/>
      <c r="I47" s="30" t="str">
        <f t="shared" si="14"/>
        <v>·</v>
      </c>
      <c r="J47" s="31">
        <f t="shared" si="15"/>
        <v>17.159927078647524</v>
      </c>
      <c r="K47" s="31">
        <f t="shared" si="2"/>
        <v>10.797644785344747</v>
      </c>
      <c r="L47" s="31">
        <f t="shared" si="17"/>
        <v>6.3622708140048561</v>
      </c>
      <c r="M47" s="106"/>
      <c r="N47" s="31">
        <f t="shared" si="4"/>
        <v>17.159927078647524</v>
      </c>
      <c r="O47" s="521">
        <v>67599953</v>
      </c>
      <c r="P47" s="503">
        <v>1160010264</v>
      </c>
      <c r="Q47" s="357">
        <v>729920280</v>
      </c>
      <c r="R47" s="373">
        <v>430089208</v>
      </c>
      <c r="S47" s="258"/>
      <c r="T47" s="503">
        <v>43.415610999999998</v>
      </c>
      <c r="U47" s="357">
        <v>44.368107000000002</v>
      </c>
      <c r="V47" s="373">
        <v>44.001060000000003</v>
      </c>
      <c r="W47" s="258"/>
      <c r="X47" s="357">
        <v>36.089602999999997</v>
      </c>
      <c r="Y47" s="357">
        <v>36.089602999999997</v>
      </c>
      <c r="Z47" s="373">
        <v>36.089602999999997</v>
      </c>
      <c r="AA47" s="258">
        <v>0</v>
      </c>
      <c r="AB47" s="507"/>
      <c r="AC47" s="359"/>
      <c r="AD47" s="573">
        <v>0</v>
      </c>
      <c r="AE47" s="573">
        <v>0</v>
      </c>
      <c r="AF47" s="33"/>
      <c r="AH47" s="30" t="str">
        <f t="shared" si="5"/>
        <v>·</v>
      </c>
      <c r="AI47" s="31" t="str">
        <f t="shared" si="6"/>
        <v>·</v>
      </c>
      <c r="AJ47" s="31" t="str">
        <f t="shared" si="9"/>
        <v>·</v>
      </c>
      <c r="AK47" s="275" t="str">
        <f t="shared" si="10"/>
        <v>·</v>
      </c>
      <c r="AL47" s="267" t="str">
        <f t="shared" si="11"/>
        <v>·</v>
      </c>
      <c r="AM47" s="31" t="str">
        <f t="shared" si="12"/>
        <v>·</v>
      </c>
      <c r="AN47" s="521"/>
      <c r="AO47" s="503"/>
      <c r="AP47" s="357"/>
      <c r="AQ47" s="373"/>
      <c r="AR47" s="258"/>
      <c r="AS47" s="503"/>
      <c r="AT47" s="357"/>
      <c r="AU47" s="373"/>
      <c r="AV47" s="258"/>
      <c r="AW47" s="357"/>
      <c r="AX47" s="357"/>
      <c r="AY47" s="373"/>
      <c r="AZ47" s="258"/>
      <c r="BA47" s="507"/>
      <c r="BB47" s="359"/>
      <c r="BC47" s="573">
        <v>0</v>
      </c>
      <c r="BD47" s="573">
        <v>0</v>
      </c>
      <c r="BE47" s="33"/>
      <c r="BG47" s="122" t="e">
        <f t="shared" si="13"/>
        <v>#DIV/0!</v>
      </c>
      <c r="BH47" s="123" t="e">
        <f t="shared" si="13"/>
        <v>#DIV/0!</v>
      </c>
      <c r="BI47" s="123" t="e">
        <f t="shared" si="8"/>
        <v>#DIV/0!</v>
      </c>
      <c r="BJ47" s="124"/>
      <c r="BL47" s="107"/>
      <c r="BM47" s="107"/>
      <c r="BN47" s="107"/>
      <c r="BO47" s="106"/>
      <c r="BQ47" s="177"/>
      <c r="BR47" s="177"/>
      <c r="BS47" s="177"/>
      <c r="BT47" s="106"/>
      <c r="BV47" s="177"/>
      <c r="BW47" s="177"/>
      <c r="BX47" s="177"/>
      <c r="BY47" s="106"/>
      <c r="CA47" s="177"/>
      <c r="CB47" s="177"/>
      <c r="CC47" s="177"/>
      <c r="CD47" s="106"/>
    </row>
    <row r="48" spans="1:82" outlineLevel="1">
      <c r="A48" s="13"/>
      <c r="B48" s="14" t="s">
        <v>1118</v>
      </c>
      <c r="C48" s="15" t="s">
        <v>134</v>
      </c>
      <c r="D48" s="479">
        <v>67599953</v>
      </c>
      <c r="E48" s="15">
        <v>16</v>
      </c>
      <c r="F48" s="15">
        <v>1</v>
      </c>
      <c r="G48" s="16"/>
      <c r="H48" s="492"/>
      <c r="I48" s="30" t="str">
        <f t="shared" si="14"/>
        <v>·</v>
      </c>
      <c r="J48" s="31">
        <f t="shared" si="15"/>
        <v>19.674880543186177</v>
      </c>
      <c r="K48" s="31">
        <f t="shared" si="2"/>
        <v>10.797644785344747</v>
      </c>
      <c r="L48" s="31">
        <f t="shared" si="17"/>
        <v>8.8772242785435065</v>
      </c>
      <c r="M48" s="106"/>
      <c r="N48" s="31">
        <f t="shared" si="4"/>
        <v>19.674880543186177</v>
      </c>
      <c r="O48" s="521">
        <v>67599953</v>
      </c>
      <c r="P48" s="503">
        <v>1330021000</v>
      </c>
      <c r="Q48" s="357">
        <v>729920280</v>
      </c>
      <c r="R48" s="373">
        <v>600099944</v>
      </c>
      <c r="S48" s="258"/>
      <c r="T48" s="503">
        <v>48.488360999999998</v>
      </c>
      <c r="U48" s="357">
        <v>49.095492999999998</v>
      </c>
      <c r="V48" s="373">
        <v>48.706245000000003</v>
      </c>
      <c r="W48" s="258"/>
      <c r="X48" s="357">
        <v>42.110202999999998</v>
      </c>
      <c r="Y48" s="357">
        <v>42.110202999999998</v>
      </c>
      <c r="Z48" s="373">
        <v>42.110202999999998</v>
      </c>
      <c r="AA48" s="258">
        <v>0</v>
      </c>
      <c r="AB48" s="507"/>
      <c r="AC48" s="359"/>
      <c r="AD48" s="573">
        <v>0</v>
      </c>
      <c r="AE48" s="573">
        <v>0</v>
      </c>
      <c r="AF48" s="33"/>
      <c r="AH48" s="30" t="str">
        <f t="shared" si="5"/>
        <v>·</v>
      </c>
      <c r="AI48" s="31" t="str">
        <f t="shared" si="6"/>
        <v>·</v>
      </c>
      <c r="AJ48" s="31" t="str">
        <f t="shared" si="9"/>
        <v>·</v>
      </c>
      <c r="AK48" s="275" t="str">
        <f t="shared" si="10"/>
        <v>·</v>
      </c>
      <c r="AL48" s="267" t="str">
        <f t="shared" si="11"/>
        <v>·</v>
      </c>
      <c r="AM48" s="31" t="str">
        <f t="shared" si="12"/>
        <v>·</v>
      </c>
      <c r="AN48" s="521"/>
      <c r="AO48" s="503"/>
      <c r="AP48" s="357"/>
      <c r="AQ48" s="373"/>
      <c r="AR48" s="258"/>
      <c r="AS48" s="503"/>
      <c r="AT48" s="357"/>
      <c r="AU48" s="373"/>
      <c r="AV48" s="258"/>
      <c r="AW48" s="357"/>
      <c r="AX48" s="357"/>
      <c r="AY48" s="373"/>
      <c r="AZ48" s="258"/>
      <c r="BA48" s="507"/>
      <c r="BB48" s="359"/>
      <c r="BC48" s="573">
        <v>0</v>
      </c>
      <c r="BD48" s="573">
        <v>0</v>
      </c>
      <c r="BE48" s="33"/>
      <c r="BG48" s="122" t="e">
        <f t="shared" si="13"/>
        <v>#DIV/0!</v>
      </c>
      <c r="BH48" s="123" t="e">
        <f t="shared" si="13"/>
        <v>#DIV/0!</v>
      </c>
      <c r="BI48" s="123" t="e">
        <f t="shared" si="8"/>
        <v>#DIV/0!</v>
      </c>
      <c r="BJ48" s="124"/>
      <c r="BL48" s="107"/>
      <c r="BM48" s="107"/>
      <c r="BN48" s="107"/>
      <c r="BO48" s="106"/>
      <c r="BQ48" s="177"/>
      <c r="BR48" s="177"/>
      <c r="BS48" s="177"/>
      <c r="BT48" s="106"/>
      <c r="BV48" s="177"/>
      <c r="BW48" s="177"/>
      <c r="BX48" s="177"/>
      <c r="BY48" s="106"/>
      <c r="CA48" s="177"/>
      <c r="CB48" s="177"/>
      <c r="CC48" s="177"/>
      <c r="CD48" s="106"/>
    </row>
    <row r="49" spans="1:82" ht="14.25" outlineLevel="1" thickBot="1">
      <c r="A49" s="13"/>
      <c r="B49" s="18" t="s">
        <v>1118</v>
      </c>
      <c r="C49" s="19" t="s">
        <v>884</v>
      </c>
      <c r="D49" s="480">
        <v>67599953</v>
      </c>
      <c r="E49" s="19">
        <v>16</v>
      </c>
      <c r="F49" s="19">
        <v>1</v>
      </c>
      <c r="G49" s="20"/>
      <c r="H49" s="492"/>
      <c r="I49" s="34" t="str">
        <f t="shared" si="14"/>
        <v>·</v>
      </c>
      <c r="J49" s="35">
        <f t="shared" si="15"/>
        <v>22.840974460440822</v>
      </c>
      <c r="K49" s="35">
        <f t="shared" si="2"/>
        <v>10.797644785344747</v>
      </c>
      <c r="L49" s="35">
        <f t="shared" si="17"/>
        <v>12.043318195798154</v>
      </c>
      <c r="M49" s="109"/>
      <c r="N49" s="39">
        <f t="shared" si="4"/>
        <v>22.840974460440822</v>
      </c>
      <c r="O49" s="525">
        <v>67599953</v>
      </c>
      <c r="P49" s="505">
        <v>1544048800</v>
      </c>
      <c r="Q49" s="361">
        <v>729920280</v>
      </c>
      <c r="R49" s="375">
        <v>814127744</v>
      </c>
      <c r="S49" s="259"/>
      <c r="T49" s="505">
        <v>52.512264000000002</v>
      </c>
      <c r="U49" s="361">
        <v>52.081909000000003</v>
      </c>
      <c r="V49" s="375">
        <v>51.619545000000002</v>
      </c>
      <c r="W49" s="259"/>
      <c r="X49" s="361">
        <v>48.130802000000003</v>
      </c>
      <c r="Y49" s="361">
        <v>48.130802000000003</v>
      </c>
      <c r="Z49" s="375">
        <v>48.130802000000003</v>
      </c>
      <c r="AA49" s="259">
        <v>0</v>
      </c>
      <c r="AB49" s="509"/>
      <c r="AC49" s="363"/>
      <c r="AD49" s="575">
        <v>0</v>
      </c>
      <c r="AE49" s="575">
        <v>0</v>
      </c>
      <c r="AF49" s="41"/>
      <c r="AH49" s="34" t="str">
        <f t="shared" si="5"/>
        <v>·</v>
      </c>
      <c r="AI49" s="35" t="str">
        <f t="shared" si="6"/>
        <v>·</v>
      </c>
      <c r="AJ49" s="35" t="str">
        <f t="shared" si="9"/>
        <v>·</v>
      </c>
      <c r="AK49" s="276" t="str">
        <f t="shared" si="10"/>
        <v>·</v>
      </c>
      <c r="AL49" s="268" t="str">
        <f t="shared" si="11"/>
        <v>·</v>
      </c>
      <c r="AM49" s="35" t="str">
        <f t="shared" si="12"/>
        <v>·</v>
      </c>
      <c r="AN49" s="525"/>
      <c r="AO49" s="505"/>
      <c r="AP49" s="361"/>
      <c r="AQ49" s="375"/>
      <c r="AR49" s="259"/>
      <c r="AS49" s="505"/>
      <c r="AT49" s="361"/>
      <c r="AU49" s="375"/>
      <c r="AV49" s="259"/>
      <c r="AW49" s="361"/>
      <c r="AX49" s="361"/>
      <c r="AY49" s="375"/>
      <c r="AZ49" s="259"/>
      <c r="BA49" s="509"/>
      <c r="BB49" s="363"/>
      <c r="BC49" s="575">
        <v>0</v>
      </c>
      <c r="BD49" s="575">
        <v>0</v>
      </c>
      <c r="BE49" s="37"/>
      <c r="BG49" s="125" t="e">
        <f t="shared" si="13"/>
        <v>#DIV/0!</v>
      </c>
      <c r="BH49" s="126" t="e">
        <f t="shared" si="13"/>
        <v>#DIV/0!</v>
      </c>
      <c r="BI49" s="126" t="e">
        <f t="shared" si="8"/>
        <v>#DIV/0!</v>
      </c>
      <c r="BJ49" s="127"/>
      <c r="BL49" s="110"/>
      <c r="BM49" s="110"/>
      <c r="BN49" s="110"/>
      <c r="BO49" s="109"/>
      <c r="BQ49" s="181"/>
      <c r="BR49" s="181"/>
      <c r="BS49" s="181"/>
      <c r="BT49" s="109"/>
      <c r="BV49" s="181"/>
      <c r="BW49" s="181"/>
      <c r="BX49" s="181"/>
      <c r="BY49" s="109"/>
      <c r="CA49" s="181"/>
      <c r="CB49" s="181"/>
      <c r="CC49" s="181"/>
      <c r="CD49" s="109"/>
    </row>
    <row r="50" spans="1:82">
      <c r="A50" s="13"/>
      <c r="B50" s="27" t="s">
        <v>1119</v>
      </c>
      <c r="C50" s="28" t="s">
        <v>131</v>
      </c>
      <c r="D50" s="478">
        <v>59136574</v>
      </c>
      <c r="E50" s="28">
        <v>16</v>
      </c>
      <c r="F50" s="28">
        <v>1</v>
      </c>
      <c r="G50" s="29"/>
      <c r="H50" s="492"/>
      <c r="I50" s="46" t="str">
        <f t="shared" si="14"/>
        <v>·</v>
      </c>
      <c r="J50" s="47">
        <f t="shared" si="15"/>
        <v>14.570059198897791</v>
      </c>
      <c r="K50" s="47">
        <f t="shared" si="2"/>
        <v>11.745490159778278</v>
      </c>
      <c r="L50" s="47">
        <f t="shared" si="17"/>
        <v>2.8245565933528716</v>
      </c>
      <c r="M50" s="138"/>
      <c r="N50" s="47">
        <f t="shared" si="4"/>
        <v>14.570059198897791</v>
      </c>
      <c r="O50" s="520">
        <v>59136574</v>
      </c>
      <c r="P50" s="502">
        <v>861623384</v>
      </c>
      <c r="Q50" s="353">
        <v>694588048</v>
      </c>
      <c r="R50" s="372">
        <v>167034600</v>
      </c>
      <c r="S50" s="257"/>
      <c r="T50" s="502">
        <v>31.475573000000001</v>
      </c>
      <c r="U50" s="353">
        <v>32.596831999999999</v>
      </c>
      <c r="V50" s="372">
        <v>32.072296000000001</v>
      </c>
      <c r="W50" s="257"/>
      <c r="X50" s="353">
        <v>24.048404999999999</v>
      </c>
      <c r="Y50" s="353">
        <v>24.048404999999999</v>
      </c>
      <c r="Z50" s="372">
        <v>24.048404999999999</v>
      </c>
      <c r="AA50" s="257">
        <v>0</v>
      </c>
      <c r="AB50" s="506"/>
      <c r="AC50" s="355"/>
      <c r="AD50" s="576">
        <v>0</v>
      </c>
      <c r="AE50" s="576">
        <v>0</v>
      </c>
      <c r="AF50" s="49"/>
      <c r="AH50" s="42" t="str">
        <f t="shared" si="5"/>
        <v>·</v>
      </c>
      <c r="AI50" s="31" t="str">
        <f t="shared" si="6"/>
        <v>·</v>
      </c>
      <c r="AJ50" s="31" t="str">
        <f t="shared" si="9"/>
        <v>·</v>
      </c>
      <c r="AK50" s="275" t="str">
        <f t="shared" si="10"/>
        <v>·</v>
      </c>
      <c r="AL50" s="266" t="str">
        <f t="shared" si="11"/>
        <v>·</v>
      </c>
      <c r="AM50" s="43" t="str">
        <f t="shared" si="12"/>
        <v>·</v>
      </c>
      <c r="AN50" s="520"/>
      <c r="AO50" s="502"/>
      <c r="AP50" s="353"/>
      <c r="AQ50" s="372"/>
      <c r="AR50" s="257"/>
      <c r="AS50" s="502"/>
      <c r="AT50" s="353"/>
      <c r="AU50" s="372"/>
      <c r="AV50" s="257"/>
      <c r="AW50" s="353"/>
      <c r="AX50" s="353"/>
      <c r="AY50" s="372"/>
      <c r="AZ50" s="257"/>
      <c r="BA50" s="506"/>
      <c r="BB50" s="355"/>
      <c r="BC50" s="576">
        <v>0</v>
      </c>
      <c r="BD50" s="576">
        <v>0</v>
      </c>
      <c r="BE50" s="45"/>
      <c r="BG50" s="131" t="e">
        <f t="shared" si="13"/>
        <v>#DIV/0!</v>
      </c>
      <c r="BH50" s="132" t="e">
        <f t="shared" si="13"/>
        <v>#DIV/0!</v>
      </c>
      <c r="BI50" s="132" t="e">
        <f t="shared" si="8"/>
        <v>#DIV/0!</v>
      </c>
      <c r="BJ50" s="133" t="e">
        <f t="array" ref="BJ50">AVERAGE(AP50:AP54/AO50:AO54) - AVERAGE(Q50:Q54/P50:P54)</f>
        <v>#DIV/0!</v>
      </c>
      <c r="BL50" s="279" t="str">
        <f>IF( OR(ISBLANK($R50:$R54),ISBLANK($AQ50:$AQ54), ISBLANK(T50:T54),ISBLANK(AS50:AS54)), "·", bdRateHermite($R50:$R54,T50:T54, $AQ50:$AQ54,AS50:AS54))</f>
        <v>·</v>
      </c>
      <c r="BM50" s="279" t="str">
        <f>IF( OR(ISBLANK($R50:$R54),ISBLANK($AQ50:$AQ54), ISBLANK(U50:U54),ISBLANK(AT50:AT54)), "·", bdRateHermite($R50:$R54,U50:U54, $AQ50:$AQ54,AT50:AT54))</f>
        <v>·</v>
      </c>
      <c r="BN50" s="279" t="str">
        <f>IF( OR(ISBLANK($R50:$R54),ISBLANK($AQ50:$AQ54), ISBLANK(V50:V54),ISBLANK(AU50:AU54)), "·", bdRateHermite($R50:$R54,V50:V54, $AQ50:$AQ54,AU50:AU54))</f>
        <v>·</v>
      </c>
      <c r="BO50" s="104"/>
      <c r="BQ50" s="173" t="str">
        <f>IF( OR(ISBLANK($R50:$R54),ISBLANK($AQ50:$AQ54), ISBLANK(X50:X54),ISBLANK(AW50:AW54)), "·", bdRateHermite($R50:$R54,X50:X54, $AQ50:$AQ54,AW50:AW54))</f>
        <v>·</v>
      </c>
      <c r="BR50" s="173" t="str">
        <f>IF( OR(ISBLANK($R50:$R54),ISBLANK($AQ50:$AQ54), ISBLANK(Y50:Y54),ISBLANK(AX50:AX54)), "·", bdRateHermite($R50:$R54,Y50:Y54, $AQ50:$AQ54,AX50:AX54))</f>
        <v>·</v>
      </c>
      <c r="BS50" s="173" t="str">
        <f>IF( OR(ISBLANK($R50:$R54),ISBLANK($AQ50:$AQ54), ISBLANK(Z50:Z54),ISBLANK(AY50:AY54)), "·", bdRateHermite($R50:$R54,Z50:Z54, $AQ50:$AQ54,AY50:AY54))</f>
        <v>·</v>
      </c>
      <c r="BT50" s="138"/>
      <c r="BV50" s="173" t="str">
        <f>IF(OR(ISBLANK($P50:$P54),ISBLANK($AO50:$AO54),ISBLANK(T50:T54),ISBLANK(AS50:AS54)),"·",bdRateHermite($P50:$P54,T50:T54,$AO50:$AO54,AS50:AS54))</f>
        <v>·</v>
      </c>
      <c r="BW50" s="173" t="str">
        <f>IF(OR(ISBLANK($P50:$P54),ISBLANK($AO50:$AO54),ISBLANK(U50:U54),ISBLANK(AT50:AT54)),"·",bdRateHermite($P50:$P54,U50:U54,$AO50:$AO54,AT50:AT54))</f>
        <v>·</v>
      </c>
      <c r="BX50" s="173" t="str">
        <f>IF(OR(ISBLANK($P50:$P54),ISBLANK($AO50:$AO54),ISBLANK(V50:V54),ISBLANK(AU50:AU54)),"·",bdRateHermite($P50:$P54,V50:V54,$AO50:$AO54,AU50:AU54))</f>
        <v>·</v>
      </c>
      <c r="BY50" s="138"/>
      <c r="CA50" s="173" t="str">
        <f>IF( OR(ISBLANK($P50:$P54),ISBLANK($AO50:$AO54), ISBLANK(X50:X54),ISBLANK(AW50:AW54)), "·", bdRateHermite( $P50:$P54,X50:X54, $AO50:$AO54,AW50:AW54))</f>
        <v>·</v>
      </c>
      <c r="CB50" s="173" t="str">
        <f>IF( OR(ISBLANK($P50:$P54),ISBLANK($AO50:$AO54), ISBLANK(Y50:Y54),ISBLANK(AX50:AX54)), "·", bdRateHermite( $P50:$P54,Y50:Y54, $AO50:$AO54,AX50:AX54))</f>
        <v>·</v>
      </c>
      <c r="CC50" s="173" t="str">
        <f>IF( OR(ISBLANK($P50:$P54),ISBLANK($AO50:$AO54), ISBLANK(Z50:Z54),ISBLANK(AY50:AY54)), "·", bdRateHermite( $P50:$P54,Z50:Z54, $AO50:$AO54,AY50:AY54))</f>
        <v>·</v>
      </c>
      <c r="CD50" s="138"/>
    </row>
    <row r="51" spans="1:82" outlineLevel="1">
      <c r="A51" s="13"/>
      <c r="B51" s="14" t="s">
        <v>1119</v>
      </c>
      <c r="C51" s="15" t="s">
        <v>132</v>
      </c>
      <c r="D51" s="479">
        <v>59136574</v>
      </c>
      <c r="E51" s="15">
        <v>16</v>
      </c>
      <c r="F51" s="15">
        <v>1</v>
      </c>
      <c r="G51" s="16"/>
      <c r="H51" s="492"/>
      <c r="I51" s="30" t="str">
        <f t="shared" si="14"/>
        <v>·</v>
      </c>
      <c r="J51" s="31">
        <f t="shared" si="15"/>
        <v>15.907572055154903</v>
      </c>
      <c r="K51" s="31">
        <f t="shared" si="2"/>
        <v>11.745490159778278</v>
      </c>
      <c r="L51" s="31">
        <f t="shared" si="17"/>
        <v>4.1620694496099828</v>
      </c>
      <c r="M51" s="106"/>
      <c r="N51" s="31">
        <f t="shared" si="4"/>
        <v>15.907572055154903</v>
      </c>
      <c r="O51" s="521">
        <v>59136574</v>
      </c>
      <c r="P51" s="503">
        <v>940719312</v>
      </c>
      <c r="Q51" s="357">
        <v>694588048</v>
      </c>
      <c r="R51" s="373">
        <v>246130528</v>
      </c>
      <c r="S51" s="258"/>
      <c r="T51" s="503">
        <v>37.327067999999997</v>
      </c>
      <c r="U51" s="357">
        <v>38.516475999999997</v>
      </c>
      <c r="V51" s="373">
        <v>38.029860999999997</v>
      </c>
      <c r="W51" s="258"/>
      <c r="X51" s="357">
        <v>30.069004</v>
      </c>
      <c r="Y51" s="357">
        <v>30.069004</v>
      </c>
      <c r="Z51" s="373">
        <v>30.069004</v>
      </c>
      <c r="AA51" s="258">
        <v>0</v>
      </c>
      <c r="AB51" s="507"/>
      <c r="AC51" s="359"/>
      <c r="AD51" s="573">
        <v>0</v>
      </c>
      <c r="AE51" s="573">
        <v>0</v>
      </c>
      <c r="AF51" s="33"/>
      <c r="AH51" s="30" t="str">
        <f t="shared" si="5"/>
        <v>·</v>
      </c>
      <c r="AI51" s="31" t="str">
        <f t="shared" si="6"/>
        <v>·</v>
      </c>
      <c r="AJ51" s="31" t="str">
        <f t="shared" si="9"/>
        <v>·</v>
      </c>
      <c r="AK51" s="275" t="str">
        <f t="shared" si="10"/>
        <v>·</v>
      </c>
      <c r="AL51" s="267" t="str">
        <f t="shared" si="11"/>
        <v>·</v>
      </c>
      <c r="AM51" s="31" t="str">
        <f t="shared" si="12"/>
        <v>·</v>
      </c>
      <c r="AN51" s="521"/>
      <c r="AO51" s="503"/>
      <c r="AP51" s="357"/>
      <c r="AQ51" s="373"/>
      <c r="AR51" s="258"/>
      <c r="AS51" s="503"/>
      <c r="AT51" s="357"/>
      <c r="AU51" s="373"/>
      <c r="AV51" s="258"/>
      <c r="AW51" s="357"/>
      <c r="AX51" s="357"/>
      <c r="AY51" s="373"/>
      <c r="AZ51" s="258"/>
      <c r="BA51" s="507"/>
      <c r="BB51" s="359"/>
      <c r="BC51" s="573">
        <v>0</v>
      </c>
      <c r="BD51" s="573">
        <v>0</v>
      </c>
      <c r="BE51" s="33"/>
      <c r="BG51" s="122" t="e">
        <f t="shared" si="13"/>
        <v>#DIV/0!</v>
      </c>
      <c r="BH51" s="123" t="e">
        <f t="shared" si="13"/>
        <v>#DIV/0!</v>
      </c>
      <c r="BI51" s="123" t="e">
        <f t="shared" si="8"/>
        <v>#DIV/0!</v>
      </c>
      <c r="BJ51" s="124"/>
      <c r="BL51" s="107"/>
      <c r="BM51" s="107"/>
      <c r="BN51" s="107"/>
      <c r="BO51" s="106"/>
      <c r="BQ51" s="177"/>
      <c r="BR51" s="177"/>
      <c r="BS51" s="177"/>
      <c r="BT51" s="106"/>
      <c r="BV51" s="177"/>
      <c r="BW51" s="177"/>
      <c r="BX51" s="177"/>
      <c r="BY51" s="106"/>
      <c r="CA51" s="177"/>
      <c r="CB51" s="177"/>
      <c r="CC51" s="177"/>
      <c r="CD51" s="106"/>
    </row>
    <row r="52" spans="1:82" outlineLevel="1">
      <c r="A52" s="13"/>
      <c r="B52" s="14" t="s">
        <v>1119</v>
      </c>
      <c r="C52" s="15" t="s">
        <v>133</v>
      </c>
      <c r="D52" s="479">
        <v>59136574</v>
      </c>
      <c r="E52" s="15">
        <v>16</v>
      </c>
      <c r="F52" s="15">
        <v>1</v>
      </c>
      <c r="G52" s="16"/>
      <c r="H52" s="492"/>
      <c r="I52" s="30" t="str">
        <f t="shared" si="14"/>
        <v>·</v>
      </c>
      <c r="J52" s="31">
        <f t="shared" si="15"/>
        <v>17.674520813464778</v>
      </c>
      <c r="K52" s="31">
        <f t="shared" si="2"/>
        <v>11.745490159778278</v>
      </c>
      <c r="L52" s="31">
        <f t="shared" si="17"/>
        <v>5.9290182079198566</v>
      </c>
      <c r="M52" s="106"/>
      <c r="N52" s="31">
        <f t="shared" si="4"/>
        <v>17.674520813464778</v>
      </c>
      <c r="O52" s="521">
        <v>59136574</v>
      </c>
      <c r="P52" s="503">
        <v>1045210608</v>
      </c>
      <c r="Q52" s="357">
        <v>694588048</v>
      </c>
      <c r="R52" s="373">
        <v>350621824</v>
      </c>
      <c r="S52" s="258"/>
      <c r="T52" s="503">
        <v>43.292991999999998</v>
      </c>
      <c r="U52" s="357">
        <v>44.137805999999998</v>
      </c>
      <c r="V52" s="373">
        <v>43.637062</v>
      </c>
      <c r="W52" s="258"/>
      <c r="X52" s="357">
        <v>36.089602999999997</v>
      </c>
      <c r="Y52" s="357">
        <v>36.089602999999997</v>
      </c>
      <c r="Z52" s="373">
        <v>36.089602999999997</v>
      </c>
      <c r="AA52" s="258">
        <v>0</v>
      </c>
      <c r="AB52" s="507"/>
      <c r="AC52" s="359"/>
      <c r="AD52" s="573">
        <v>0</v>
      </c>
      <c r="AE52" s="573">
        <v>0</v>
      </c>
      <c r="AF52" s="33"/>
      <c r="AH52" s="30" t="str">
        <f t="shared" si="5"/>
        <v>·</v>
      </c>
      <c r="AI52" s="31" t="str">
        <f t="shared" si="6"/>
        <v>·</v>
      </c>
      <c r="AJ52" s="31" t="str">
        <f t="shared" si="9"/>
        <v>·</v>
      </c>
      <c r="AK52" s="275" t="str">
        <f t="shared" si="10"/>
        <v>·</v>
      </c>
      <c r="AL52" s="267" t="str">
        <f t="shared" si="11"/>
        <v>·</v>
      </c>
      <c r="AM52" s="31" t="str">
        <f t="shared" si="12"/>
        <v>·</v>
      </c>
      <c r="AN52" s="521"/>
      <c r="AO52" s="503"/>
      <c r="AP52" s="357"/>
      <c r="AQ52" s="373"/>
      <c r="AR52" s="258"/>
      <c r="AS52" s="503"/>
      <c r="AT52" s="357"/>
      <c r="AU52" s="373"/>
      <c r="AV52" s="258"/>
      <c r="AW52" s="357"/>
      <c r="AX52" s="357"/>
      <c r="AY52" s="373"/>
      <c r="AZ52" s="258"/>
      <c r="BA52" s="507"/>
      <c r="BB52" s="359"/>
      <c r="BC52" s="573">
        <v>0</v>
      </c>
      <c r="BD52" s="573">
        <v>0</v>
      </c>
      <c r="BE52" s="33"/>
      <c r="BG52" s="122" t="e">
        <f t="shared" si="13"/>
        <v>#DIV/0!</v>
      </c>
      <c r="BH52" s="123" t="e">
        <f t="shared" si="13"/>
        <v>#DIV/0!</v>
      </c>
      <c r="BI52" s="123" t="e">
        <f t="shared" si="8"/>
        <v>#DIV/0!</v>
      </c>
      <c r="BJ52" s="124"/>
      <c r="BL52" s="107"/>
      <c r="BM52" s="107"/>
      <c r="BN52" s="107"/>
      <c r="BO52" s="106"/>
      <c r="BQ52" s="177"/>
      <c r="BR52" s="177"/>
      <c r="BS52" s="177"/>
      <c r="BT52" s="106"/>
      <c r="BV52" s="177"/>
      <c r="BW52" s="177"/>
      <c r="BX52" s="177"/>
      <c r="BY52" s="106"/>
      <c r="CA52" s="177"/>
      <c r="CB52" s="177"/>
      <c r="CC52" s="177"/>
      <c r="CD52" s="106"/>
    </row>
    <row r="53" spans="1:82" outlineLevel="1">
      <c r="A53" s="13"/>
      <c r="B53" s="14" t="s">
        <v>1119</v>
      </c>
      <c r="C53" s="15" t="s">
        <v>134</v>
      </c>
      <c r="D53" s="479">
        <v>59136574</v>
      </c>
      <c r="E53" s="15">
        <v>16</v>
      </c>
      <c r="F53" s="15">
        <v>1</v>
      </c>
      <c r="G53" s="16"/>
      <c r="H53" s="492"/>
      <c r="I53" s="30" t="str">
        <f t="shared" si="14"/>
        <v>·</v>
      </c>
      <c r="J53" s="31">
        <f t="shared" si="15"/>
        <v>19.996767347394862</v>
      </c>
      <c r="K53" s="31">
        <f t="shared" si="2"/>
        <v>11.745490159778278</v>
      </c>
      <c r="L53" s="31">
        <f t="shared" si="17"/>
        <v>8.2512647418499423</v>
      </c>
      <c r="M53" s="106"/>
      <c r="N53" s="31">
        <f t="shared" si="4"/>
        <v>19.996767347394862</v>
      </c>
      <c r="O53" s="521">
        <v>59136574</v>
      </c>
      <c r="P53" s="503">
        <v>1182540312</v>
      </c>
      <c r="Q53" s="357">
        <v>694588048</v>
      </c>
      <c r="R53" s="373">
        <v>487951528</v>
      </c>
      <c r="S53" s="258"/>
      <c r="T53" s="503">
        <v>48.508938000000001</v>
      </c>
      <c r="U53" s="357">
        <v>48.918323999999998</v>
      </c>
      <c r="V53" s="373">
        <v>48.469172999999998</v>
      </c>
      <c r="W53" s="258"/>
      <c r="X53" s="357">
        <v>42.110202999999998</v>
      </c>
      <c r="Y53" s="357">
        <v>42.110202999999998</v>
      </c>
      <c r="Z53" s="373">
        <v>42.110202999999998</v>
      </c>
      <c r="AA53" s="258">
        <v>0</v>
      </c>
      <c r="AB53" s="507"/>
      <c r="AC53" s="359"/>
      <c r="AD53" s="573">
        <v>0</v>
      </c>
      <c r="AE53" s="573">
        <v>0</v>
      </c>
      <c r="AF53" s="33"/>
      <c r="AH53" s="30" t="str">
        <f t="shared" si="5"/>
        <v>·</v>
      </c>
      <c r="AI53" s="31" t="str">
        <f t="shared" si="6"/>
        <v>·</v>
      </c>
      <c r="AJ53" s="31" t="str">
        <f t="shared" si="9"/>
        <v>·</v>
      </c>
      <c r="AK53" s="275" t="str">
        <f t="shared" si="10"/>
        <v>·</v>
      </c>
      <c r="AL53" s="267" t="str">
        <f t="shared" si="11"/>
        <v>·</v>
      </c>
      <c r="AM53" s="31" t="str">
        <f t="shared" si="12"/>
        <v>·</v>
      </c>
      <c r="AN53" s="521"/>
      <c r="AO53" s="503"/>
      <c r="AP53" s="357"/>
      <c r="AQ53" s="373"/>
      <c r="AR53" s="258"/>
      <c r="AS53" s="503"/>
      <c r="AT53" s="357"/>
      <c r="AU53" s="373"/>
      <c r="AV53" s="258"/>
      <c r="AW53" s="357"/>
      <c r="AX53" s="357"/>
      <c r="AY53" s="373"/>
      <c r="AZ53" s="258"/>
      <c r="BA53" s="507"/>
      <c r="BB53" s="359"/>
      <c r="BC53" s="573">
        <v>0</v>
      </c>
      <c r="BD53" s="573">
        <v>0</v>
      </c>
      <c r="BE53" s="33"/>
      <c r="BG53" s="122" t="e">
        <f t="shared" si="13"/>
        <v>#DIV/0!</v>
      </c>
      <c r="BH53" s="123" t="e">
        <f t="shared" si="13"/>
        <v>#DIV/0!</v>
      </c>
      <c r="BI53" s="123" t="e">
        <f t="shared" si="8"/>
        <v>#DIV/0!</v>
      </c>
      <c r="BJ53" s="124"/>
      <c r="BL53" s="107"/>
      <c r="BM53" s="107"/>
      <c r="BN53" s="107"/>
      <c r="BO53" s="106"/>
      <c r="BQ53" s="177"/>
      <c r="BR53" s="177"/>
      <c r="BS53" s="177"/>
      <c r="BT53" s="106"/>
      <c r="BV53" s="177"/>
      <c r="BW53" s="177"/>
      <c r="BX53" s="177"/>
      <c r="BY53" s="106"/>
      <c r="CA53" s="177"/>
      <c r="CB53" s="177"/>
      <c r="CC53" s="177"/>
      <c r="CD53" s="106"/>
    </row>
    <row r="54" spans="1:82" ht="14.25" outlineLevel="1" thickBot="1">
      <c r="A54" s="215"/>
      <c r="B54" s="18" t="s">
        <v>1119</v>
      </c>
      <c r="C54" s="19" t="s">
        <v>884</v>
      </c>
      <c r="D54" s="480">
        <v>59136574</v>
      </c>
      <c r="E54" s="19">
        <v>16</v>
      </c>
      <c r="F54" s="19">
        <v>1</v>
      </c>
      <c r="G54" s="20"/>
      <c r="H54" s="492"/>
      <c r="I54" s="34" t="str">
        <f t="shared" si="14"/>
        <v>·</v>
      </c>
      <c r="J54" s="35">
        <f t="shared" si="15"/>
        <v>22.847294603167239</v>
      </c>
      <c r="K54" s="35">
        <f t="shared" si="2"/>
        <v>11.745490159778278</v>
      </c>
      <c r="L54" s="35">
        <f t="shared" si="17"/>
        <v>11.101791997622318</v>
      </c>
      <c r="M54" s="109"/>
      <c r="N54" s="35">
        <f t="shared" si="4"/>
        <v>22.847294603167239</v>
      </c>
      <c r="O54" s="525">
        <v>59136574</v>
      </c>
      <c r="P54" s="505">
        <v>1351110728</v>
      </c>
      <c r="Q54" s="361">
        <v>694588048</v>
      </c>
      <c r="R54" s="375">
        <v>656521944</v>
      </c>
      <c r="S54" s="259"/>
      <c r="T54" s="505">
        <v>52.382919000000001</v>
      </c>
      <c r="U54" s="361">
        <v>52.185946999999999</v>
      </c>
      <c r="V54" s="375">
        <v>51.787399000000001</v>
      </c>
      <c r="W54" s="259"/>
      <c r="X54" s="361">
        <v>48.130802000000003</v>
      </c>
      <c r="Y54" s="361">
        <v>48.130802000000003</v>
      </c>
      <c r="Z54" s="375">
        <v>48.130802000000003</v>
      </c>
      <c r="AA54" s="259">
        <v>0</v>
      </c>
      <c r="AB54" s="509"/>
      <c r="AC54" s="363"/>
      <c r="AD54" s="575">
        <v>0</v>
      </c>
      <c r="AE54" s="575">
        <v>0</v>
      </c>
      <c r="AF54" s="37"/>
      <c r="AH54" s="34" t="str">
        <f t="shared" si="5"/>
        <v>·</v>
      </c>
      <c r="AI54" s="35" t="str">
        <f t="shared" si="6"/>
        <v>·</v>
      </c>
      <c r="AJ54" s="35" t="str">
        <f t="shared" si="9"/>
        <v>·</v>
      </c>
      <c r="AK54" s="276" t="str">
        <f t="shared" si="10"/>
        <v>·</v>
      </c>
      <c r="AL54" s="268" t="str">
        <f t="shared" si="11"/>
        <v>·</v>
      </c>
      <c r="AM54" s="35" t="str">
        <f t="shared" si="12"/>
        <v>·</v>
      </c>
      <c r="AN54" s="525"/>
      <c r="AO54" s="505"/>
      <c r="AP54" s="361"/>
      <c r="AQ54" s="375"/>
      <c r="AR54" s="259"/>
      <c r="AS54" s="505"/>
      <c r="AT54" s="361"/>
      <c r="AU54" s="375"/>
      <c r="AV54" s="259"/>
      <c r="AW54" s="361"/>
      <c r="AX54" s="361"/>
      <c r="AY54" s="375"/>
      <c r="AZ54" s="259"/>
      <c r="BA54" s="509"/>
      <c r="BB54" s="363"/>
      <c r="BC54" s="575">
        <v>0</v>
      </c>
      <c r="BD54" s="575">
        <v>0</v>
      </c>
      <c r="BE54" s="37"/>
      <c r="BG54" s="125" t="e">
        <f t="shared" si="13"/>
        <v>#DIV/0!</v>
      </c>
      <c r="BH54" s="126" t="e">
        <f t="shared" si="13"/>
        <v>#DIV/0!</v>
      </c>
      <c r="BI54" s="126" t="e">
        <f t="shared" si="8"/>
        <v>#DIV/0!</v>
      </c>
      <c r="BJ54" s="127"/>
      <c r="BL54" s="110"/>
      <c r="BM54" s="110"/>
      <c r="BN54" s="110"/>
      <c r="BO54" s="109"/>
      <c r="BQ54" s="181"/>
      <c r="BR54" s="181"/>
      <c r="BS54" s="181"/>
      <c r="BT54" s="109"/>
      <c r="BV54" s="181"/>
      <c r="BW54" s="181"/>
      <c r="BX54" s="181"/>
      <c r="BY54" s="109"/>
      <c r="CA54" s="181"/>
      <c r="CB54" s="181"/>
      <c r="CC54" s="181"/>
      <c r="CD54" s="109"/>
    </row>
    <row r="55" spans="1:82">
      <c r="A55" s="13"/>
      <c r="B55" s="27" t="s">
        <v>1120</v>
      </c>
      <c r="C55" s="28" t="s">
        <v>131</v>
      </c>
      <c r="D55" s="478">
        <v>4649702</v>
      </c>
      <c r="E55" s="28">
        <v>11</v>
      </c>
      <c r="F55" s="28">
        <v>1</v>
      </c>
      <c r="G55" s="29"/>
      <c r="I55" s="46" t="str">
        <f t="shared" si="14"/>
        <v>·</v>
      </c>
      <c r="J55" s="47">
        <f t="shared" si="15"/>
        <v>5.5993317421202473</v>
      </c>
      <c r="K55" s="47">
        <f t="shared" si="2"/>
        <v>3.0196911544008627</v>
      </c>
      <c r="L55" s="47">
        <f t="shared" si="17"/>
        <v>2.579521870433847</v>
      </c>
      <c r="M55" s="104"/>
      <c r="N55" s="43">
        <f t="shared" si="4"/>
        <v>5.5993317421202473</v>
      </c>
      <c r="O55" s="520">
        <v>4649702</v>
      </c>
      <c r="P55" s="502">
        <v>26035224</v>
      </c>
      <c r="Q55" s="353">
        <v>14040664</v>
      </c>
      <c r="R55" s="372">
        <v>11994008</v>
      </c>
      <c r="S55" s="257"/>
      <c r="T55" s="502">
        <v>31.956579000000001</v>
      </c>
      <c r="U55" s="353">
        <v>34.077770000000001</v>
      </c>
      <c r="V55" s="372">
        <v>33.812221999999998</v>
      </c>
      <c r="W55" s="257"/>
      <c r="X55" s="353">
        <v>24.048404999999999</v>
      </c>
      <c r="Y55" s="353">
        <v>24.048404999999999</v>
      </c>
      <c r="Z55" s="372">
        <v>24.048404999999999</v>
      </c>
      <c r="AA55" s="257">
        <v>0</v>
      </c>
      <c r="AB55" s="506"/>
      <c r="AC55" s="355"/>
      <c r="AD55" s="572">
        <v>0</v>
      </c>
      <c r="AE55" s="572">
        <v>0</v>
      </c>
      <c r="AF55" s="45"/>
      <c r="AH55" s="46" t="str">
        <f t="shared" si="5"/>
        <v>·</v>
      </c>
      <c r="AI55" s="31" t="str">
        <f t="shared" si="6"/>
        <v>·</v>
      </c>
      <c r="AJ55" s="31" t="str">
        <f t="shared" si="9"/>
        <v>·</v>
      </c>
      <c r="AK55" s="275" t="str">
        <f t="shared" si="10"/>
        <v>·</v>
      </c>
      <c r="AL55" s="266" t="str">
        <f t="shared" si="11"/>
        <v>·</v>
      </c>
      <c r="AM55" s="47" t="str">
        <f t="shared" si="12"/>
        <v>·</v>
      </c>
      <c r="AN55" s="520"/>
      <c r="AO55" s="502"/>
      <c r="AP55" s="353"/>
      <c r="AQ55" s="372"/>
      <c r="AR55" s="257"/>
      <c r="AS55" s="502"/>
      <c r="AT55" s="353"/>
      <c r="AU55" s="372"/>
      <c r="AV55" s="257"/>
      <c r="AW55" s="353"/>
      <c r="AX55" s="353"/>
      <c r="AY55" s="372"/>
      <c r="AZ55" s="257"/>
      <c r="BA55" s="506"/>
      <c r="BB55" s="355"/>
      <c r="BC55" s="572">
        <v>0</v>
      </c>
      <c r="BD55" s="572">
        <v>0</v>
      </c>
      <c r="BE55" s="49"/>
      <c r="BG55" s="119" t="e">
        <f t="shared" si="13"/>
        <v>#DIV/0!</v>
      </c>
      <c r="BH55" s="120" t="e">
        <f t="shared" si="13"/>
        <v>#DIV/0!</v>
      </c>
      <c r="BI55" s="120" t="e">
        <f t="shared" si="8"/>
        <v>#DIV/0!</v>
      </c>
      <c r="BJ55" s="121" t="e">
        <f t="array" ref="BJ55">AVERAGE(AP55:AP59/AO55:AO59) - AVERAGE(Q55:Q59/P55:P59)</f>
        <v>#DIV/0!</v>
      </c>
      <c r="BL55" s="279" t="str">
        <f>IF( OR(ISBLANK($R55:$R59),ISBLANK($AQ55:$AQ59), ISBLANK(T55:T59),ISBLANK(AS55:AS59)), "·", bdRateHermite($R55:$R59,T55:T59, $AQ55:$AQ59,AS55:AS59))</f>
        <v>·</v>
      </c>
      <c r="BM55" s="279" t="str">
        <f>IF( OR(ISBLANK($R55:$R59),ISBLANK($AQ55:$AQ59), ISBLANK(U55:U59),ISBLANK(AT55:AT59)), "·", bdRateHermite($R55:$R59,U55:U59, $AQ55:$AQ59,AT55:AT59))</f>
        <v>·</v>
      </c>
      <c r="BN55" s="279" t="str">
        <f>IF( OR(ISBLANK($R55:$R59),ISBLANK($AQ55:$AQ59), ISBLANK(V55:V59),ISBLANK(AU55:AU59)), "·", bdRateHermite($R55:$R59,V55:V59, $AQ55:$AQ59,AU55:AU59))</f>
        <v>·</v>
      </c>
      <c r="BO55" s="104"/>
      <c r="BQ55" s="173" t="str">
        <f>IF( OR(ISBLANK($R55:$R59),ISBLANK($AQ55:$AQ59), ISBLANK(X55:X59),ISBLANK(AW55:AW59)), "·", bdRateHermite($R55:$R59,X55:X59, $AQ55:$AQ59,AW55:AW59))</f>
        <v>·</v>
      </c>
      <c r="BR55" s="173" t="str">
        <f>IF( OR(ISBLANK($R55:$R59),ISBLANK($AQ55:$AQ59), ISBLANK(Y55:Y59),ISBLANK(AX55:AX59)), "·", bdRateHermite($R55:$R59,Y55:Y59, $AQ55:$AQ59,AX55:AX59))</f>
        <v>·</v>
      </c>
      <c r="BS55" s="173" t="str">
        <f>IF( OR(ISBLANK($R55:$R59),ISBLANK($AQ55:$AQ59), ISBLANK(Z55:Z59),ISBLANK(AY55:AY59)), "·", bdRateHermite($R55:$R59,Z55:Z59, $AQ55:$AQ59,AY55:AY59))</f>
        <v>·</v>
      </c>
      <c r="BT55" s="138"/>
      <c r="BV55" s="173" t="str">
        <f>IF(OR(ISBLANK($P55:$P59),ISBLANK($AO55:$AO59),ISBLANK(T55:T59),ISBLANK(AS55:AS59)),"·",bdRateHermite($P55:$P59,T55:T59,$AO55:$AO59,AS55:AS59))</f>
        <v>·</v>
      </c>
      <c r="BW55" s="173" t="str">
        <f>IF(OR(ISBLANK($P55:$P59),ISBLANK($AO55:$AO59),ISBLANK(U55:U59),ISBLANK(AT55:AT59)),"·",bdRateHermite($P55:$P59,U55:U59,$AO55:$AO59,AT55:AT59))</f>
        <v>·</v>
      </c>
      <c r="BX55" s="173" t="str">
        <f>IF(OR(ISBLANK($P55:$P59),ISBLANK($AO55:$AO59),ISBLANK(V55:V59),ISBLANK(AU55:AU59)),"·",bdRateHermite($P55:$P59,V55:V59,$AO55:$AO59,AU55:AU59))</f>
        <v>·</v>
      </c>
      <c r="BY55" s="138"/>
      <c r="CA55" s="173" t="str">
        <f>IF( OR(ISBLANK($P55:$P59),ISBLANK($AO55:$AO59), ISBLANK(X55:X59),ISBLANK(AW55:AW59)), "·", bdRateHermite( $P55:$P59,X55:X59, $AO55:$AO59,AW55:AW59))</f>
        <v>·</v>
      </c>
      <c r="CB55" s="173" t="str">
        <f>IF( OR(ISBLANK($P55:$P59),ISBLANK($AO55:$AO59), ISBLANK(Y55:Y59),ISBLANK(AX55:AX59)), "·", bdRateHermite( $P55:$P59,Y55:Y59, $AO55:$AO59,AX55:AX59))</f>
        <v>·</v>
      </c>
      <c r="CC55" s="173" t="str">
        <f>IF( OR(ISBLANK($P55:$P59),ISBLANK($AO55:$AO59), ISBLANK(Z55:Z59),ISBLANK(AY55:AY59)), "·", bdRateHermite( $P55:$P59,Z55:Z59, $AO55:$AO59,AY55:AY59))</f>
        <v>·</v>
      </c>
      <c r="CD55" s="138"/>
    </row>
    <row r="56" spans="1:82" outlineLevel="1">
      <c r="A56" s="13"/>
      <c r="B56" s="14" t="s">
        <v>1120</v>
      </c>
      <c r="C56" s="15" t="s">
        <v>132</v>
      </c>
      <c r="D56" s="479">
        <v>4649702</v>
      </c>
      <c r="E56" s="15">
        <v>11</v>
      </c>
      <c r="F56" s="15">
        <v>1</v>
      </c>
      <c r="G56" s="16"/>
      <c r="I56" s="30" t="str">
        <f t="shared" si="14"/>
        <v>·</v>
      </c>
      <c r="J56" s="31">
        <f t="shared" si="15"/>
        <v>7.3078627404508936</v>
      </c>
      <c r="K56" s="31">
        <f t="shared" si="2"/>
        <v>3.0196911544008627</v>
      </c>
      <c r="L56" s="31">
        <f t="shared" si="17"/>
        <v>4.2880528687644928</v>
      </c>
      <c r="M56" s="106"/>
      <c r="N56" s="31">
        <f t="shared" si="4"/>
        <v>7.3078627404508936</v>
      </c>
      <c r="O56" s="521">
        <v>4649702</v>
      </c>
      <c r="P56" s="503">
        <v>33979384</v>
      </c>
      <c r="Q56" s="357">
        <v>14040664</v>
      </c>
      <c r="R56" s="373">
        <v>19938168</v>
      </c>
      <c r="S56" s="258"/>
      <c r="T56" s="503">
        <v>37.62191</v>
      </c>
      <c r="U56" s="357">
        <v>38.957732999999998</v>
      </c>
      <c r="V56" s="373">
        <v>38.657974000000003</v>
      </c>
      <c r="W56" s="258"/>
      <c r="X56" s="357">
        <v>30.069004</v>
      </c>
      <c r="Y56" s="357">
        <v>30.069004</v>
      </c>
      <c r="Z56" s="373">
        <v>30.069004</v>
      </c>
      <c r="AA56" s="258">
        <v>0</v>
      </c>
      <c r="AB56" s="507"/>
      <c r="AC56" s="359"/>
      <c r="AD56" s="573">
        <v>0</v>
      </c>
      <c r="AE56" s="573">
        <v>0</v>
      </c>
      <c r="AF56" s="33"/>
      <c r="AH56" s="30" t="str">
        <f t="shared" si="5"/>
        <v>·</v>
      </c>
      <c r="AI56" s="31" t="str">
        <f t="shared" si="6"/>
        <v>·</v>
      </c>
      <c r="AJ56" s="31" t="str">
        <f t="shared" si="9"/>
        <v>·</v>
      </c>
      <c r="AK56" s="275" t="str">
        <f t="shared" si="10"/>
        <v>·</v>
      </c>
      <c r="AL56" s="267" t="str">
        <f t="shared" si="11"/>
        <v>·</v>
      </c>
      <c r="AM56" s="31" t="str">
        <f t="shared" si="12"/>
        <v>·</v>
      </c>
      <c r="AN56" s="521"/>
      <c r="AO56" s="503"/>
      <c r="AP56" s="357"/>
      <c r="AQ56" s="373"/>
      <c r="AR56" s="258"/>
      <c r="AS56" s="503"/>
      <c r="AT56" s="357"/>
      <c r="AU56" s="373"/>
      <c r="AV56" s="258"/>
      <c r="AW56" s="357"/>
      <c r="AX56" s="357"/>
      <c r="AY56" s="373"/>
      <c r="AZ56" s="258"/>
      <c r="BA56" s="507"/>
      <c r="BB56" s="359"/>
      <c r="BC56" s="573">
        <v>0</v>
      </c>
      <c r="BD56" s="573">
        <v>0</v>
      </c>
      <c r="BE56" s="33"/>
      <c r="BG56" s="122" t="e">
        <f t="shared" si="13"/>
        <v>#DIV/0!</v>
      </c>
      <c r="BH56" s="123" t="e">
        <f t="shared" si="13"/>
        <v>#DIV/0!</v>
      </c>
      <c r="BI56" s="123" t="e">
        <f t="shared" si="8"/>
        <v>#DIV/0!</v>
      </c>
      <c r="BJ56" s="124"/>
      <c r="BL56" s="107"/>
      <c r="BM56" s="107"/>
      <c r="BN56" s="107"/>
      <c r="BO56" s="106"/>
      <c r="BQ56" s="177"/>
      <c r="BR56" s="177"/>
      <c r="BS56" s="177"/>
      <c r="BT56" s="106"/>
      <c r="BV56" s="177"/>
      <c r="BW56" s="177"/>
      <c r="BX56" s="177"/>
      <c r="BY56" s="106"/>
      <c r="CA56" s="177"/>
      <c r="CB56" s="177"/>
      <c r="CC56" s="177"/>
      <c r="CD56" s="106"/>
    </row>
    <row r="57" spans="1:82" outlineLevel="1">
      <c r="A57" s="13"/>
      <c r="B57" s="14" t="s">
        <v>1120</v>
      </c>
      <c r="C57" s="15" t="s">
        <v>133</v>
      </c>
      <c r="D57" s="479">
        <v>4649702</v>
      </c>
      <c r="E57" s="15">
        <v>11</v>
      </c>
      <c r="F57" s="15">
        <v>1</v>
      </c>
      <c r="G57" s="16"/>
      <c r="I57" s="30" t="str">
        <f t="shared" si="14"/>
        <v>·</v>
      </c>
      <c r="J57" s="31">
        <f t="shared" si="15"/>
        <v>9.356871472623407</v>
      </c>
      <c r="K57" s="31">
        <f t="shared" si="2"/>
        <v>3.0196911544008627</v>
      </c>
      <c r="L57" s="31">
        <f t="shared" si="17"/>
        <v>6.3370616009370062</v>
      </c>
      <c r="M57" s="106"/>
      <c r="N57" s="31">
        <f t="shared" si="4"/>
        <v>9.356871472623407</v>
      </c>
      <c r="O57" s="521">
        <v>4649702</v>
      </c>
      <c r="P57" s="503">
        <v>43506664</v>
      </c>
      <c r="Q57" s="357">
        <v>14040664</v>
      </c>
      <c r="R57" s="373">
        <v>29465448</v>
      </c>
      <c r="S57" s="258"/>
      <c r="T57" s="503">
        <v>43.422134</v>
      </c>
      <c r="U57" s="357">
        <v>44.282649999999997</v>
      </c>
      <c r="V57" s="373">
        <v>43.960692999999999</v>
      </c>
      <c r="W57" s="258"/>
      <c r="X57" s="357">
        <v>36.089602999999997</v>
      </c>
      <c r="Y57" s="357">
        <v>36.089602999999997</v>
      </c>
      <c r="Z57" s="373">
        <v>36.089602999999997</v>
      </c>
      <c r="AA57" s="258">
        <v>0</v>
      </c>
      <c r="AB57" s="507"/>
      <c r="AC57" s="359"/>
      <c r="AD57" s="573">
        <v>0</v>
      </c>
      <c r="AE57" s="573">
        <v>0</v>
      </c>
      <c r="AF57" s="33"/>
      <c r="AH57" s="30" t="str">
        <f t="shared" si="5"/>
        <v>·</v>
      </c>
      <c r="AI57" s="31" t="str">
        <f t="shared" si="6"/>
        <v>·</v>
      </c>
      <c r="AJ57" s="31" t="str">
        <f t="shared" si="9"/>
        <v>·</v>
      </c>
      <c r="AK57" s="275" t="str">
        <f t="shared" si="10"/>
        <v>·</v>
      </c>
      <c r="AL57" s="267" t="str">
        <f t="shared" si="11"/>
        <v>·</v>
      </c>
      <c r="AM57" s="31" t="str">
        <f t="shared" si="12"/>
        <v>·</v>
      </c>
      <c r="AN57" s="521"/>
      <c r="AO57" s="503"/>
      <c r="AP57" s="357"/>
      <c r="AQ57" s="373"/>
      <c r="AR57" s="258"/>
      <c r="AS57" s="503"/>
      <c r="AT57" s="357"/>
      <c r="AU57" s="373"/>
      <c r="AV57" s="258"/>
      <c r="AW57" s="357"/>
      <c r="AX57" s="357"/>
      <c r="AY57" s="373"/>
      <c r="AZ57" s="258"/>
      <c r="BA57" s="507"/>
      <c r="BB57" s="359"/>
      <c r="BC57" s="573">
        <v>0</v>
      </c>
      <c r="BD57" s="573">
        <v>0</v>
      </c>
      <c r="BE57" s="33"/>
      <c r="BG57" s="122" t="e">
        <f t="shared" si="13"/>
        <v>#DIV/0!</v>
      </c>
      <c r="BH57" s="123" t="e">
        <f t="shared" si="13"/>
        <v>#DIV/0!</v>
      </c>
      <c r="BI57" s="123" t="e">
        <f t="shared" si="8"/>
        <v>#DIV/0!</v>
      </c>
      <c r="BJ57" s="124"/>
      <c r="BL57" s="107"/>
      <c r="BM57" s="107"/>
      <c r="BN57" s="107"/>
      <c r="BO57" s="106"/>
      <c r="BQ57" s="177"/>
      <c r="BR57" s="177"/>
      <c r="BS57" s="177"/>
      <c r="BT57" s="106"/>
      <c r="BV57" s="177"/>
      <c r="BW57" s="177"/>
      <c r="BX57" s="177"/>
      <c r="BY57" s="106"/>
      <c r="CA57" s="177"/>
      <c r="CB57" s="177"/>
      <c r="CC57" s="177"/>
      <c r="CD57" s="106"/>
    </row>
    <row r="58" spans="1:82" outlineLevel="1">
      <c r="A58" s="13"/>
      <c r="B58" s="14" t="s">
        <v>1120</v>
      </c>
      <c r="C58" s="15" t="s">
        <v>134</v>
      </c>
      <c r="D58" s="479">
        <v>4649702</v>
      </c>
      <c r="E58" s="15">
        <v>11</v>
      </c>
      <c r="F58" s="15">
        <v>1</v>
      </c>
      <c r="G58" s="16"/>
      <c r="I58" s="30" t="str">
        <f t="shared" si="14"/>
        <v>·</v>
      </c>
      <c r="J58" s="31">
        <f t="shared" si="15"/>
        <v>11.988647874637987</v>
      </c>
      <c r="K58" s="31">
        <f t="shared" si="2"/>
        <v>3.0196911544008627</v>
      </c>
      <c r="L58" s="31">
        <f t="shared" si="17"/>
        <v>8.9688380029515873</v>
      </c>
      <c r="M58" s="106"/>
      <c r="N58" s="31">
        <f t="shared" si="4"/>
        <v>11.988647874637987</v>
      </c>
      <c r="O58" s="521">
        <v>4649702</v>
      </c>
      <c r="P58" s="503">
        <v>55743640</v>
      </c>
      <c r="Q58" s="357">
        <v>14040664</v>
      </c>
      <c r="R58" s="373">
        <v>41702424</v>
      </c>
      <c r="S58" s="258"/>
      <c r="T58" s="503">
        <v>48.574795000000002</v>
      </c>
      <c r="U58" s="357">
        <v>49.088562000000003</v>
      </c>
      <c r="V58" s="373">
        <v>48.767502</v>
      </c>
      <c r="W58" s="258"/>
      <c r="X58" s="357">
        <v>42.110202999999998</v>
      </c>
      <c r="Y58" s="357">
        <v>42.110202999999998</v>
      </c>
      <c r="Z58" s="373">
        <v>42.110202999999998</v>
      </c>
      <c r="AA58" s="258">
        <v>0</v>
      </c>
      <c r="AB58" s="507"/>
      <c r="AC58" s="359"/>
      <c r="AD58" s="573">
        <v>0</v>
      </c>
      <c r="AE58" s="573">
        <v>0</v>
      </c>
      <c r="AF58" s="33"/>
      <c r="AH58" s="30" t="str">
        <f t="shared" si="5"/>
        <v>·</v>
      </c>
      <c r="AI58" s="31" t="str">
        <f t="shared" si="6"/>
        <v>·</v>
      </c>
      <c r="AJ58" s="31" t="str">
        <f t="shared" si="9"/>
        <v>·</v>
      </c>
      <c r="AK58" s="275" t="str">
        <f t="shared" si="10"/>
        <v>·</v>
      </c>
      <c r="AL58" s="267" t="str">
        <f t="shared" si="11"/>
        <v>·</v>
      </c>
      <c r="AM58" s="31" t="str">
        <f t="shared" si="12"/>
        <v>·</v>
      </c>
      <c r="AN58" s="521"/>
      <c r="AO58" s="503"/>
      <c r="AP58" s="357"/>
      <c r="AQ58" s="373"/>
      <c r="AR58" s="258"/>
      <c r="AS58" s="503"/>
      <c r="AT58" s="357"/>
      <c r="AU58" s="373"/>
      <c r="AV58" s="258"/>
      <c r="AW58" s="357"/>
      <c r="AX58" s="357"/>
      <c r="AY58" s="373"/>
      <c r="AZ58" s="258"/>
      <c r="BA58" s="507"/>
      <c r="BB58" s="359"/>
      <c r="BC58" s="573">
        <v>0</v>
      </c>
      <c r="BD58" s="573">
        <v>0</v>
      </c>
      <c r="BE58" s="33"/>
      <c r="BG58" s="122" t="e">
        <f t="shared" si="13"/>
        <v>#DIV/0!</v>
      </c>
      <c r="BH58" s="123" t="e">
        <f t="shared" si="13"/>
        <v>#DIV/0!</v>
      </c>
      <c r="BI58" s="123" t="e">
        <f t="shared" si="8"/>
        <v>#DIV/0!</v>
      </c>
      <c r="BJ58" s="124"/>
      <c r="BL58" s="107"/>
      <c r="BM58" s="107"/>
      <c r="BN58" s="107"/>
      <c r="BO58" s="106"/>
      <c r="BQ58" s="177"/>
      <c r="BR58" s="177"/>
      <c r="BS58" s="177"/>
      <c r="BT58" s="106"/>
      <c r="BV58" s="177"/>
      <c r="BW58" s="177"/>
      <c r="BX58" s="177"/>
      <c r="BY58" s="106"/>
      <c r="CA58" s="177"/>
      <c r="CB58" s="177"/>
      <c r="CC58" s="177"/>
      <c r="CD58" s="106"/>
    </row>
    <row r="59" spans="1:82" ht="14.25" outlineLevel="1" thickBot="1">
      <c r="A59" s="13"/>
      <c r="B59" s="18" t="s">
        <v>1120</v>
      </c>
      <c r="C59" s="19" t="s">
        <v>884</v>
      </c>
      <c r="D59" s="480">
        <v>4649702</v>
      </c>
      <c r="E59" s="19">
        <v>11</v>
      </c>
      <c r="F59" s="19">
        <v>1</v>
      </c>
      <c r="G59" s="20"/>
      <c r="I59" s="34" t="str">
        <f t="shared" si="14"/>
        <v>·</v>
      </c>
      <c r="J59" s="35">
        <f t="shared" si="15"/>
        <v>15.137634196772181</v>
      </c>
      <c r="K59" s="35">
        <f t="shared" si="2"/>
        <v>3.0196911544008627</v>
      </c>
      <c r="L59" s="35">
        <f t="shared" si="17"/>
        <v>12.117826045626149</v>
      </c>
      <c r="M59" s="109"/>
      <c r="N59" s="39">
        <f t="shared" si="4"/>
        <v>15.137634196772181</v>
      </c>
      <c r="O59" s="525">
        <v>4649702</v>
      </c>
      <c r="P59" s="505">
        <v>70385488</v>
      </c>
      <c r="Q59" s="361">
        <v>14040664</v>
      </c>
      <c r="R59" s="375">
        <v>56344280</v>
      </c>
      <c r="S59" s="259"/>
      <c r="T59" s="505">
        <v>52.337752999999999</v>
      </c>
      <c r="U59" s="361">
        <v>52.381241000000003</v>
      </c>
      <c r="V59" s="375">
        <v>52.101996999999997</v>
      </c>
      <c r="W59" s="259"/>
      <c r="X59" s="361">
        <v>48.130802000000003</v>
      </c>
      <c r="Y59" s="361">
        <v>48.130802000000003</v>
      </c>
      <c r="Z59" s="375">
        <v>48.130802000000003</v>
      </c>
      <c r="AA59" s="259">
        <v>0</v>
      </c>
      <c r="AB59" s="509"/>
      <c r="AC59" s="363"/>
      <c r="AD59" s="575">
        <v>0</v>
      </c>
      <c r="AE59" s="575">
        <v>0</v>
      </c>
      <c r="AF59" s="41"/>
      <c r="AH59" s="34" t="str">
        <f t="shared" si="5"/>
        <v>·</v>
      </c>
      <c r="AI59" s="35" t="str">
        <f t="shared" si="6"/>
        <v>·</v>
      </c>
      <c r="AJ59" s="35" t="str">
        <f t="shared" si="9"/>
        <v>·</v>
      </c>
      <c r="AK59" s="276" t="str">
        <f t="shared" si="10"/>
        <v>·</v>
      </c>
      <c r="AL59" s="268" t="str">
        <f t="shared" si="11"/>
        <v>·</v>
      </c>
      <c r="AM59" s="35" t="str">
        <f t="shared" si="12"/>
        <v>·</v>
      </c>
      <c r="AN59" s="525"/>
      <c r="AO59" s="505"/>
      <c r="AP59" s="361"/>
      <c r="AQ59" s="375"/>
      <c r="AR59" s="259"/>
      <c r="AS59" s="505"/>
      <c r="AT59" s="361"/>
      <c r="AU59" s="375"/>
      <c r="AV59" s="259"/>
      <c r="AW59" s="361"/>
      <c r="AX59" s="361"/>
      <c r="AY59" s="375"/>
      <c r="AZ59" s="259"/>
      <c r="BA59" s="509"/>
      <c r="BB59" s="363"/>
      <c r="BC59" s="575">
        <v>0</v>
      </c>
      <c r="BD59" s="575">
        <v>0</v>
      </c>
      <c r="BE59" s="37"/>
      <c r="BG59" s="125" t="e">
        <f t="shared" si="13"/>
        <v>#DIV/0!</v>
      </c>
      <c r="BH59" s="126" t="e">
        <f t="shared" si="13"/>
        <v>#DIV/0!</v>
      </c>
      <c r="BI59" s="126" t="e">
        <f t="shared" si="8"/>
        <v>#DIV/0!</v>
      </c>
      <c r="BJ59" s="127"/>
      <c r="BL59" s="110"/>
      <c r="BM59" s="110"/>
      <c r="BN59" s="110"/>
      <c r="BO59" s="109"/>
      <c r="BQ59" s="181"/>
      <c r="BR59" s="181"/>
      <c r="BS59" s="181"/>
      <c r="BT59" s="109"/>
      <c r="BV59" s="181"/>
      <c r="BW59" s="181"/>
      <c r="BX59" s="181"/>
      <c r="BY59" s="109"/>
      <c r="CA59" s="181"/>
      <c r="CB59" s="181"/>
      <c r="CC59" s="181"/>
      <c r="CD59" s="109"/>
    </row>
    <row r="60" spans="1:82">
      <c r="A60" s="13"/>
      <c r="B60" s="27" t="s">
        <v>1121</v>
      </c>
      <c r="C60" s="28" t="s">
        <v>131</v>
      </c>
      <c r="D60" s="478">
        <v>2096385</v>
      </c>
      <c r="E60" s="28">
        <v>15</v>
      </c>
      <c r="F60" s="28">
        <v>1</v>
      </c>
      <c r="G60" s="29"/>
      <c r="H60" s="492"/>
      <c r="I60" s="46" t="str">
        <f t="shared" si="14"/>
        <v>·</v>
      </c>
      <c r="J60" s="47">
        <f t="shared" si="15"/>
        <v>17.928279395244672</v>
      </c>
      <c r="K60" s="47">
        <f t="shared" si="2"/>
        <v>16.30251695180036</v>
      </c>
      <c r="L60" s="47">
        <f t="shared" si="17"/>
        <v>1.6253960985219795</v>
      </c>
      <c r="M60" s="138"/>
      <c r="N60" s="47">
        <f t="shared" si="4"/>
        <v>17.928279395244672</v>
      </c>
      <c r="O60" s="520">
        <v>2096385</v>
      </c>
      <c r="P60" s="502">
        <v>37584576</v>
      </c>
      <c r="Q60" s="353">
        <v>34176352</v>
      </c>
      <c r="R60" s="372">
        <v>3407456</v>
      </c>
      <c r="S60" s="257"/>
      <c r="T60" s="502">
        <v>31.627514000000001</v>
      </c>
      <c r="U60" s="353">
        <v>32.914501000000001</v>
      </c>
      <c r="V60" s="372">
        <v>31.993120000000001</v>
      </c>
      <c r="W60" s="257"/>
      <c r="X60" s="353">
        <v>24.048404999999999</v>
      </c>
      <c r="Y60" s="353">
        <v>24.048404999999999</v>
      </c>
      <c r="Z60" s="372">
        <v>24.048404999999999</v>
      </c>
      <c r="AA60" s="257">
        <v>0</v>
      </c>
      <c r="AB60" s="506"/>
      <c r="AC60" s="355"/>
      <c r="AD60" s="576">
        <v>0</v>
      </c>
      <c r="AE60" s="576">
        <v>0</v>
      </c>
      <c r="AF60" s="49"/>
      <c r="AH60" s="42" t="str">
        <f t="shared" si="5"/>
        <v>·</v>
      </c>
      <c r="AI60" s="31" t="str">
        <f t="shared" si="6"/>
        <v>·</v>
      </c>
      <c r="AJ60" s="31" t="str">
        <f t="shared" si="9"/>
        <v>·</v>
      </c>
      <c r="AK60" s="275" t="str">
        <f t="shared" si="10"/>
        <v>·</v>
      </c>
      <c r="AL60" s="266" t="str">
        <f t="shared" si="11"/>
        <v>·</v>
      </c>
      <c r="AM60" s="43" t="str">
        <f t="shared" si="12"/>
        <v>·</v>
      </c>
      <c r="AN60" s="520"/>
      <c r="AO60" s="502"/>
      <c r="AP60" s="353"/>
      <c r="AQ60" s="372"/>
      <c r="AR60" s="257"/>
      <c r="AS60" s="502"/>
      <c r="AT60" s="353"/>
      <c r="AU60" s="372"/>
      <c r="AV60" s="257"/>
      <c r="AW60" s="353"/>
      <c r="AX60" s="353"/>
      <c r="AY60" s="372"/>
      <c r="AZ60" s="257"/>
      <c r="BA60" s="506"/>
      <c r="BB60" s="355"/>
      <c r="BC60" s="576">
        <v>0</v>
      </c>
      <c r="BD60" s="576">
        <v>0</v>
      </c>
      <c r="BE60" s="45"/>
      <c r="BG60" s="131" t="e">
        <f t="shared" si="13"/>
        <v>#DIV/0!</v>
      </c>
      <c r="BH60" s="132" t="e">
        <f t="shared" si="13"/>
        <v>#DIV/0!</v>
      </c>
      <c r="BI60" s="132" t="e">
        <f t="shared" si="8"/>
        <v>#DIV/0!</v>
      </c>
      <c r="BJ60" s="133" t="e">
        <f t="array" ref="BJ60">AVERAGE(AP60:AP64/AO60:AO64) - AVERAGE(Q60:Q64/P60:P64)</f>
        <v>#DIV/0!</v>
      </c>
      <c r="BL60" s="279" t="str">
        <f>IF( OR(ISBLANK($R60:$R64),ISBLANK($AQ60:$AQ64), ISBLANK(T60:T64),ISBLANK(AS60:AS64)), "·", bdRateHermite($R60:$R64,T60:T64, $AQ60:$AQ64,AS60:AS64))</f>
        <v>·</v>
      </c>
      <c r="BM60" s="279" t="str">
        <f>IF( OR(ISBLANK($R60:$R64),ISBLANK($AQ60:$AQ64), ISBLANK(U60:U64),ISBLANK(AT60:AT64)), "·", bdRateHermite($R60:$R64,U60:U64, $AQ60:$AQ64,AT60:AT64))</f>
        <v>·</v>
      </c>
      <c r="BN60" s="279" t="str">
        <f>IF( OR(ISBLANK($R60:$R64),ISBLANK($AQ60:$AQ64), ISBLANK(V60:V64),ISBLANK(AU60:AU64)), "·", bdRateHermite($R60:$R64,V60:V64, $AQ60:$AQ64,AU60:AU64))</f>
        <v>·</v>
      </c>
      <c r="BO60" s="104"/>
      <c r="BQ60" s="173" t="str">
        <f>IF( OR(ISBLANK($R60:$R64),ISBLANK($AQ60:$AQ64), ISBLANK(X60:X64),ISBLANK(AW60:AW64)), "·", bdRateHermite($R60:$R64,X60:X64, $AQ60:$AQ64,AW60:AW64))</f>
        <v>·</v>
      </c>
      <c r="BR60" s="173" t="str">
        <f>IF( OR(ISBLANK($R60:$R64),ISBLANK($AQ60:$AQ64), ISBLANK(Y60:Y64),ISBLANK(AX60:AX64)), "·", bdRateHermite($R60:$R64,Y60:Y64, $AQ60:$AQ64,AX60:AX64))</f>
        <v>·</v>
      </c>
      <c r="BS60" s="173" t="str">
        <f>IF( OR(ISBLANK($R60:$R64),ISBLANK($AQ60:$AQ64), ISBLANK(Z60:Z64),ISBLANK(AY60:AY64)), "·", bdRateHermite($R60:$R64,Z60:Z64, $AQ60:$AQ64,AY60:AY64))</f>
        <v>·</v>
      </c>
      <c r="BT60" s="138"/>
      <c r="BV60" s="173" t="str">
        <f>IF(OR(ISBLANK($P60:$P64),ISBLANK($AO60:$AO64),ISBLANK(T60:T64),ISBLANK(AS60:AS64)),"·",bdRateHermite($P60:$P64,T60:T64,$AO60:$AO64,AS60:AS64))</f>
        <v>·</v>
      </c>
      <c r="BW60" s="173" t="str">
        <f>IF(OR(ISBLANK($P60:$P64),ISBLANK($AO60:$AO64),ISBLANK(U60:U64),ISBLANK(AT60:AT64)),"·",bdRateHermite($P60:$P64,U60:U64,$AO60:$AO64,AT60:AT64))</f>
        <v>·</v>
      </c>
      <c r="BX60" s="173" t="str">
        <f>IF(OR(ISBLANK($P60:$P64),ISBLANK($AO60:$AO64),ISBLANK(V60:V64),ISBLANK(AU60:AU64)),"·",bdRateHermite($P60:$P64,V60:V64,$AO60:$AO64,AU60:AU64))</f>
        <v>·</v>
      </c>
      <c r="BY60" s="138"/>
      <c r="CA60" s="173" t="str">
        <f>IF( OR(ISBLANK($P60:$P64),ISBLANK($AO60:$AO64), ISBLANK(X60:X64),ISBLANK(AW60:AW64)), "·", bdRateHermite( $P60:$P64,X60:X64, $AO60:$AO64,AW60:AW64))</f>
        <v>·</v>
      </c>
      <c r="CB60" s="173" t="str">
        <f>IF( OR(ISBLANK($P60:$P64),ISBLANK($AO60:$AO64), ISBLANK(Y60:Y64),ISBLANK(AX60:AX64)), "·", bdRateHermite( $P60:$P64,Y60:Y64, $AO60:$AO64,AX60:AX64))</f>
        <v>·</v>
      </c>
      <c r="CC60" s="173" t="str">
        <f>IF( OR(ISBLANK($P60:$P64),ISBLANK($AO60:$AO64), ISBLANK(Z60:Z64),ISBLANK(AY60:AY64)), "·", bdRateHermite( $P60:$P64,Z60:Z64, $AO60:$AO64,AY60:AY64))</f>
        <v>·</v>
      </c>
      <c r="CD60" s="138"/>
    </row>
    <row r="61" spans="1:82" outlineLevel="1">
      <c r="A61" s="13"/>
      <c r="B61" s="14" t="s">
        <v>1121</v>
      </c>
      <c r="C61" s="15" t="s">
        <v>132</v>
      </c>
      <c r="D61" s="479">
        <v>2096385</v>
      </c>
      <c r="E61" s="15">
        <v>15</v>
      </c>
      <c r="F61" s="15">
        <v>1</v>
      </c>
      <c r="G61" s="16"/>
      <c r="H61" s="492"/>
      <c r="I61" s="30" t="str">
        <f t="shared" si="14"/>
        <v>·</v>
      </c>
      <c r="J61" s="31">
        <f t="shared" si="15"/>
        <v>19.721236318710542</v>
      </c>
      <c r="K61" s="31">
        <f t="shared" si="2"/>
        <v>16.30251695180036</v>
      </c>
      <c r="L61" s="31">
        <f t="shared" si="17"/>
        <v>3.4183530219878504</v>
      </c>
      <c r="M61" s="106"/>
      <c r="N61" s="31">
        <f t="shared" si="4"/>
        <v>19.721236318710542</v>
      </c>
      <c r="O61" s="521">
        <v>2096385</v>
      </c>
      <c r="P61" s="503">
        <v>41343304</v>
      </c>
      <c r="Q61" s="357">
        <v>34176352</v>
      </c>
      <c r="R61" s="373">
        <v>7166184</v>
      </c>
      <c r="S61" s="258"/>
      <c r="T61" s="503">
        <v>37.181624999999997</v>
      </c>
      <c r="U61" s="357">
        <v>37.753723000000001</v>
      </c>
      <c r="V61" s="373">
        <v>37.566471</v>
      </c>
      <c r="W61" s="258"/>
      <c r="X61" s="357">
        <v>30.069004</v>
      </c>
      <c r="Y61" s="357">
        <v>30.069004</v>
      </c>
      <c r="Z61" s="373">
        <v>30.069004</v>
      </c>
      <c r="AA61" s="258">
        <v>0</v>
      </c>
      <c r="AB61" s="507"/>
      <c r="AC61" s="359"/>
      <c r="AD61" s="573">
        <v>0</v>
      </c>
      <c r="AE61" s="573">
        <v>0</v>
      </c>
      <c r="AF61" s="33"/>
      <c r="AH61" s="30" t="str">
        <f t="shared" si="5"/>
        <v>·</v>
      </c>
      <c r="AI61" s="31" t="str">
        <f t="shared" si="6"/>
        <v>·</v>
      </c>
      <c r="AJ61" s="31" t="str">
        <f t="shared" si="9"/>
        <v>·</v>
      </c>
      <c r="AK61" s="275" t="str">
        <f t="shared" si="10"/>
        <v>·</v>
      </c>
      <c r="AL61" s="267" t="str">
        <f t="shared" si="11"/>
        <v>·</v>
      </c>
      <c r="AM61" s="31" t="str">
        <f t="shared" si="12"/>
        <v>·</v>
      </c>
      <c r="AN61" s="521"/>
      <c r="AO61" s="503"/>
      <c r="AP61" s="357"/>
      <c r="AQ61" s="373"/>
      <c r="AR61" s="258"/>
      <c r="AS61" s="503"/>
      <c r="AT61" s="357"/>
      <c r="AU61" s="373"/>
      <c r="AV61" s="258"/>
      <c r="AW61" s="357"/>
      <c r="AX61" s="357"/>
      <c r="AY61" s="373"/>
      <c r="AZ61" s="258"/>
      <c r="BA61" s="507"/>
      <c r="BB61" s="359"/>
      <c r="BC61" s="573">
        <v>0</v>
      </c>
      <c r="BD61" s="573">
        <v>0</v>
      </c>
      <c r="BE61" s="33"/>
      <c r="BG61" s="122" t="e">
        <f t="shared" si="13"/>
        <v>#DIV/0!</v>
      </c>
      <c r="BH61" s="123" t="e">
        <f t="shared" si="13"/>
        <v>#DIV/0!</v>
      </c>
      <c r="BI61" s="123" t="e">
        <f t="shared" si="8"/>
        <v>#DIV/0!</v>
      </c>
      <c r="BJ61" s="124"/>
      <c r="BL61" s="107"/>
      <c r="BM61" s="107"/>
      <c r="BN61" s="107"/>
      <c r="BO61" s="106"/>
      <c r="BQ61" s="177"/>
      <c r="BR61" s="177"/>
      <c r="BS61" s="177"/>
      <c r="BT61" s="106"/>
      <c r="BV61" s="177"/>
      <c r="BW61" s="177"/>
      <c r="BX61" s="177"/>
      <c r="BY61" s="106"/>
      <c r="CA61" s="177"/>
      <c r="CB61" s="177"/>
      <c r="CC61" s="177"/>
      <c r="CD61" s="106"/>
    </row>
    <row r="62" spans="1:82" outlineLevel="1">
      <c r="A62" s="13"/>
      <c r="B62" s="14" t="s">
        <v>1121</v>
      </c>
      <c r="C62" s="15" t="s">
        <v>133</v>
      </c>
      <c r="D62" s="479">
        <v>2096385</v>
      </c>
      <c r="E62" s="15">
        <v>15</v>
      </c>
      <c r="F62" s="15">
        <v>1</v>
      </c>
      <c r="G62" s="16"/>
      <c r="H62" s="492"/>
      <c r="I62" s="30" t="str">
        <f t="shared" si="14"/>
        <v>·</v>
      </c>
      <c r="J62" s="31">
        <f t="shared" si="15"/>
        <v>20.521803008512272</v>
      </c>
      <c r="K62" s="31">
        <f t="shared" si="2"/>
        <v>16.30251695180036</v>
      </c>
      <c r="L62" s="31">
        <f t="shared" si="17"/>
        <v>4.2189235278825219</v>
      </c>
      <c r="M62" s="106"/>
      <c r="N62" s="31">
        <f t="shared" si="4"/>
        <v>20.521803008512272</v>
      </c>
      <c r="O62" s="521">
        <v>2096385</v>
      </c>
      <c r="P62" s="503">
        <v>43021600</v>
      </c>
      <c r="Q62" s="357">
        <v>34176352</v>
      </c>
      <c r="R62" s="373">
        <v>8844488</v>
      </c>
      <c r="S62" s="258"/>
      <c r="T62" s="503">
        <v>43.355773999999997</v>
      </c>
      <c r="U62" s="357">
        <v>44.076889000000001</v>
      </c>
      <c r="V62" s="373">
        <v>43.590473000000003</v>
      </c>
      <c r="W62" s="258"/>
      <c r="X62" s="357">
        <v>36.089602999999997</v>
      </c>
      <c r="Y62" s="357">
        <v>36.089602999999997</v>
      </c>
      <c r="Z62" s="373">
        <v>36.089602999999997</v>
      </c>
      <c r="AA62" s="258">
        <v>0</v>
      </c>
      <c r="AB62" s="507"/>
      <c r="AC62" s="359"/>
      <c r="AD62" s="573">
        <v>0</v>
      </c>
      <c r="AE62" s="573">
        <v>0</v>
      </c>
      <c r="AF62" s="33"/>
      <c r="AH62" s="30" t="str">
        <f t="shared" si="5"/>
        <v>·</v>
      </c>
      <c r="AI62" s="31" t="str">
        <f t="shared" si="6"/>
        <v>·</v>
      </c>
      <c r="AJ62" s="31" t="str">
        <f t="shared" si="9"/>
        <v>·</v>
      </c>
      <c r="AK62" s="275" t="str">
        <f t="shared" si="10"/>
        <v>·</v>
      </c>
      <c r="AL62" s="267" t="str">
        <f t="shared" si="11"/>
        <v>·</v>
      </c>
      <c r="AM62" s="31" t="str">
        <f t="shared" si="12"/>
        <v>·</v>
      </c>
      <c r="AN62" s="521"/>
      <c r="AO62" s="503"/>
      <c r="AP62" s="357"/>
      <c r="AQ62" s="373"/>
      <c r="AR62" s="258"/>
      <c r="AS62" s="503"/>
      <c r="AT62" s="357"/>
      <c r="AU62" s="373"/>
      <c r="AV62" s="258"/>
      <c r="AW62" s="357"/>
      <c r="AX62" s="357"/>
      <c r="AY62" s="373"/>
      <c r="AZ62" s="258"/>
      <c r="BA62" s="507"/>
      <c r="BB62" s="359"/>
      <c r="BC62" s="573">
        <v>0</v>
      </c>
      <c r="BD62" s="573">
        <v>0</v>
      </c>
      <c r="BE62" s="33"/>
      <c r="BG62" s="122" t="e">
        <f t="shared" si="13"/>
        <v>#DIV/0!</v>
      </c>
      <c r="BH62" s="123" t="e">
        <f t="shared" si="13"/>
        <v>#DIV/0!</v>
      </c>
      <c r="BI62" s="123" t="e">
        <f t="shared" si="8"/>
        <v>#DIV/0!</v>
      </c>
      <c r="BJ62" s="124"/>
      <c r="BL62" s="107"/>
      <c r="BM62" s="107"/>
      <c r="BN62" s="107"/>
      <c r="BO62" s="106"/>
      <c r="BQ62" s="177"/>
      <c r="BR62" s="177"/>
      <c r="BS62" s="177"/>
      <c r="BT62" s="106"/>
      <c r="BV62" s="177"/>
      <c r="BW62" s="177"/>
      <c r="BX62" s="177"/>
      <c r="BY62" s="106"/>
      <c r="CA62" s="177"/>
      <c r="CB62" s="177"/>
      <c r="CC62" s="177"/>
      <c r="CD62" s="106"/>
    </row>
    <row r="63" spans="1:82" outlineLevel="1">
      <c r="A63" s="13"/>
      <c r="B63" s="14" t="s">
        <v>1121</v>
      </c>
      <c r="C63" s="15" t="s">
        <v>134</v>
      </c>
      <c r="D63" s="479">
        <v>2096385</v>
      </c>
      <c r="E63" s="15">
        <v>15</v>
      </c>
      <c r="F63" s="15">
        <v>1</v>
      </c>
      <c r="G63" s="16"/>
      <c r="H63" s="492"/>
      <c r="I63" s="30" t="str">
        <f t="shared" si="14"/>
        <v>·</v>
      </c>
      <c r="J63" s="31">
        <f t="shared" si="15"/>
        <v>22.07977637695366</v>
      </c>
      <c r="K63" s="31">
        <f t="shared" si="2"/>
        <v>16.30251695180036</v>
      </c>
      <c r="L63" s="31">
        <f t="shared" si="17"/>
        <v>5.77689689632391</v>
      </c>
      <c r="M63" s="106"/>
      <c r="N63" s="31">
        <f t="shared" si="4"/>
        <v>22.07977637695366</v>
      </c>
      <c r="O63" s="521">
        <v>2096385</v>
      </c>
      <c r="P63" s="503">
        <v>46287712</v>
      </c>
      <c r="Q63" s="357">
        <v>34176352</v>
      </c>
      <c r="R63" s="373">
        <v>12110600</v>
      </c>
      <c r="S63" s="258"/>
      <c r="T63" s="503">
        <v>48.322032999999998</v>
      </c>
      <c r="U63" s="357">
        <v>49.115611999999999</v>
      </c>
      <c r="V63" s="373">
        <v>48.392014000000003</v>
      </c>
      <c r="W63" s="258"/>
      <c r="X63" s="357">
        <v>42.110202999999998</v>
      </c>
      <c r="Y63" s="357">
        <v>42.110202999999998</v>
      </c>
      <c r="Z63" s="373">
        <v>42.110202999999998</v>
      </c>
      <c r="AA63" s="258">
        <v>0</v>
      </c>
      <c r="AB63" s="507"/>
      <c r="AC63" s="359"/>
      <c r="AD63" s="573">
        <v>0</v>
      </c>
      <c r="AE63" s="573">
        <v>0</v>
      </c>
      <c r="AF63" s="33"/>
      <c r="AH63" s="30" t="str">
        <f t="shared" si="5"/>
        <v>·</v>
      </c>
      <c r="AI63" s="31" t="str">
        <f t="shared" si="6"/>
        <v>·</v>
      </c>
      <c r="AJ63" s="31" t="str">
        <f t="shared" si="9"/>
        <v>·</v>
      </c>
      <c r="AK63" s="275" t="str">
        <f t="shared" si="10"/>
        <v>·</v>
      </c>
      <c r="AL63" s="267" t="str">
        <f t="shared" si="11"/>
        <v>·</v>
      </c>
      <c r="AM63" s="31" t="str">
        <f t="shared" si="12"/>
        <v>·</v>
      </c>
      <c r="AN63" s="521"/>
      <c r="AO63" s="503"/>
      <c r="AP63" s="357"/>
      <c r="AQ63" s="373"/>
      <c r="AR63" s="258"/>
      <c r="AS63" s="503"/>
      <c r="AT63" s="357"/>
      <c r="AU63" s="373"/>
      <c r="AV63" s="258"/>
      <c r="AW63" s="357"/>
      <c r="AX63" s="357"/>
      <c r="AY63" s="373"/>
      <c r="AZ63" s="258"/>
      <c r="BA63" s="507"/>
      <c r="BB63" s="359"/>
      <c r="BC63" s="573">
        <v>0</v>
      </c>
      <c r="BD63" s="573">
        <v>0</v>
      </c>
      <c r="BE63" s="33"/>
      <c r="BG63" s="122" t="e">
        <f t="shared" si="13"/>
        <v>#DIV/0!</v>
      </c>
      <c r="BH63" s="123" t="e">
        <f t="shared" si="13"/>
        <v>#DIV/0!</v>
      </c>
      <c r="BI63" s="123" t="e">
        <f t="shared" si="8"/>
        <v>#DIV/0!</v>
      </c>
      <c r="BJ63" s="124"/>
      <c r="BL63" s="107"/>
      <c r="BM63" s="107"/>
      <c r="BN63" s="107"/>
      <c r="BO63" s="106"/>
      <c r="BQ63" s="177"/>
      <c r="BR63" s="177"/>
      <c r="BS63" s="177"/>
      <c r="BT63" s="106"/>
      <c r="BV63" s="177"/>
      <c r="BW63" s="177"/>
      <c r="BX63" s="177"/>
      <c r="BY63" s="106"/>
      <c r="CA63" s="177"/>
      <c r="CB63" s="177"/>
      <c r="CC63" s="177"/>
      <c r="CD63" s="106"/>
    </row>
    <row r="64" spans="1:82" ht="14.25" outlineLevel="1" thickBot="1">
      <c r="A64" s="215"/>
      <c r="B64" s="18" t="s">
        <v>1121</v>
      </c>
      <c r="C64" s="19" t="s">
        <v>884</v>
      </c>
      <c r="D64" s="480">
        <v>2096385</v>
      </c>
      <c r="E64" s="19">
        <v>15</v>
      </c>
      <c r="F64" s="19">
        <v>1</v>
      </c>
      <c r="G64" s="20"/>
      <c r="H64" s="492"/>
      <c r="I64" s="34" t="str">
        <f t="shared" si="14"/>
        <v>·</v>
      </c>
      <c r="J64" s="35">
        <f t="shared" si="15"/>
        <v>23.964189783842187</v>
      </c>
      <c r="K64" s="35">
        <f t="shared" si="2"/>
        <v>16.30251695180036</v>
      </c>
      <c r="L64" s="35">
        <f t="shared" si="17"/>
        <v>7.661310303212435</v>
      </c>
      <c r="M64" s="109"/>
      <c r="N64" s="35">
        <f t="shared" si="4"/>
        <v>23.964189783842187</v>
      </c>
      <c r="O64" s="525">
        <v>2096385</v>
      </c>
      <c r="P64" s="505">
        <v>50238168</v>
      </c>
      <c r="Q64" s="361">
        <v>34176352</v>
      </c>
      <c r="R64" s="375">
        <v>16061056</v>
      </c>
      <c r="S64" s="259"/>
      <c r="T64" s="505">
        <v>52.214171999999998</v>
      </c>
      <c r="U64" s="361">
        <v>52.004330000000003</v>
      </c>
      <c r="V64" s="375">
        <v>51.793339000000003</v>
      </c>
      <c r="W64" s="259"/>
      <c r="X64" s="361">
        <v>48.130802000000003</v>
      </c>
      <c r="Y64" s="361">
        <v>48.130802000000003</v>
      </c>
      <c r="Z64" s="375">
        <v>48.130802000000003</v>
      </c>
      <c r="AA64" s="259">
        <v>0</v>
      </c>
      <c r="AB64" s="509"/>
      <c r="AC64" s="363"/>
      <c r="AD64" s="575">
        <v>0</v>
      </c>
      <c r="AE64" s="575">
        <v>0</v>
      </c>
      <c r="AF64" s="37"/>
      <c r="AH64" s="34" t="str">
        <f t="shared" si="5"/>
        <v>·</v>
      </c>
      <c r="AI64" s="35" t="str">
        <f t="shared" si="6"/>
        <v>·</v>
      </c>
      <c r="AJ64" s="35" t="str">
        <f t="shared" si="9"/>
        <v>·</v>
      </c>
      <c r="AK64" s="276" t="str">
        <f t="shared" si="10"/>
        <v>·</v>
      </c>
      <c r="AL64" s="268" t="str">
        <f t="shared" si="11"/>
        <v>·</v>
      </c>
      <c r="AM64" s="35" t="str">
        <f t="shared" si="12"/>
        <v>·</v>
      </c>
      <c r="AN64" s="525"/>
      <c r="AO64" s="505"/>
      <c r="AP64" s="361"/>
      <c r="AQ64" s="375"/>
      <c r="AR64" s="259"/>
      <c r="AS64" s="505"/>
      <c r="AT64" s="361"/>
      <c r="AU64" s="375"/>
      <c r="AV64" s="259"/>
      <c r="AW64" s="361"/>
      <c r="AX64" s="361"/>
      <c r="AY64" s="375"/>
      <c r="AZ64" s="259"/>
      <c r="BA64" s="509"/>
      <c r="BB64" s="363"/>
      <c r="BC64" s="575">
        <v>0</v>
      </c>
      <c r="BD64" s="575">
        <v>0</v>
      </c>
      <c r="BE64" s="37"/>
      <c r="BG64" s="125" t="e">
        <f t="shared" si="13"/>
        <v>#DIV/0!</v>
      </c>
      <c r="BH64" s="126" t="e">
        <f t="shared" si="13"/>
        <v>#DIV/0!</v>
      </c>
      <c r="BI64" s="126" t="e">
        <f t="shared" si="8"/>
        <v>#DIV/0!</v>
      </c>
      <c r="BJ64" s="127"/>
      <c r="BL64" s="110"/>
      <c r="BM64" s="110"/>
      <c r="BN64" s="110"/>
      <c r="BO64" s="109"/>
      <c r="BQ64" s="181"/>
      <c r="BR64" s="181"/>
      <c r="BS64" s="181"/>
      <c r="BT64" s="109"/>
      <c r="BV64" s="181"/>
      <c r="BW64" s="181"/>
      <c r="BX64" s="181"/>
      <c r="BY64" s="109"/>
      <c r="CA64" s="181"/>
      <c r="CB64" s="181"/>
      <c r="CC64" s="181"/>
      <c r="CD64" s="109"/>
    </row>
    <row r="65" spans="1:82">
      <c r="A65" s="13"/>
      <c r="B65" s="27" t="s">
        <v>1122</v>
      </c>
      <c r="C65" s="28" t="s">
        <v>131</v>
      </c>
      <c r="D65" s="478">
        <v>8046105</v>
      </c>
      <c r="E65" s="28">
        <v>15</v>
      </c>
      <c r="F65" s="28">
        <v>1</v>
      </c>
      <c r="G65" s="29"/>
      <c r="H65" s="492"/>
      <c r="I65" s="46" t="str">
        <f t="shared" si="14"/>
        <v>·</v>
      </c>
      <c r="J65" s="47">
        <f t="shared" si="15"/>
        <v>11.451094908654561</v>
      </c>
      <c r="K65" s="47">
        <f t="shared" si="2"/>
        <v>7.3923609000876818</v>
      </c>
      <c r="L65" s="47">
        <f t="shared" si="17"/>
        <v>4.0586395529265404</v>
      </c>
      <c r="M65" s="104"/>
      <c r="N65" s="47">
        <f t="shared" si="4"/>
        <v>11.451094908654561</v>
      </c>
      <c r="O65" s="520">
        <v>8046105</v>
      </c>
      <c r="P65" s="502">
        <v>92136712</v>
      </c>
      <c r="Q65" s="353">
        <v>59479712</v>
      </c>
      <c r="R65" s="372">
        <v>32656240</v>
      </c>
      <c r="S65" s="257"/>
      <c r="T65" s="502">
        <v>31.34656</v>
      </c>
      <c r="U65" s="353">
        <v>32.804962000000003</v>
      </c>
      <c r="V65" s="372">
        <v>32.324451000000003</v>
      </c>
      <c r="W65" s="257"/>
      <c r="X65" s="353">
        <v>24.048404999999999</v>
      </c>
      <c r="Y65" s="353">
        <v>24.048404999999999</v>
      </c>
      <c r="Z65" s="372">
        <v>24.048404999999999</v>
      </c>
      <c r="AA65" s="257">
        <v>0</v>
      </c>
      <c r="AB65" s="511"/>
      <c r="AC65" s="499"/>
      <c r="AD65" s="572">
        <v>0</v>
      </c>
      <c r="AE65" s="572">
        <v>0</v>
      </c>
      <c r="AF65" s="49"/>
      <c r="AH65" s="46" t="str">
        <f t="shared" si="5"/>
        <v>·</v>
      </c>
      <c r="AI65" s="31" t="str">
        <f t="shared" si="6"/>
        <v>·</v>
      </c>
      <c r="AJ65" s="31" t="str">
        <f t="shared" si="9"/>
        <v>·</v>
      </c>
      <c r="AK65" s="275" t="str">
        <f t="shared" si="10"/>
        <v>·</v>
      </c>
      <c r="AL65" s="266" t="str">
        <f t="shared" si="11"/>
        <v>·</v>
      </c>
      <c r="AM65" s="47" t="str">
        <f t="shared" si="12"/>
        <v>·</v>
      </c>
      <c r="AN65" s="520"/>
      <c r="AO65" s="502"/>
      <c r="AP65" s="353"/>
      <c r="AQ65" s="372"/>
      <c r="AR65" s="257"/>
      <c r="AS65" s="502"/>
      <c r="AT65" s="353"/>
      <c r="AU65" s="372"/>
      <c r="AV65" s="257"/>
      <c r="AW65" s="353"/>
      <c r="AX65" s="353"/>
      <c r="AY65" s="372"/>
      <c r="AZ65" s="257"/>
      <c r="BA65" s="511"/>
      <c r="BB65" s="499"/>
      <c r="BC65" s="572">
        <v>0</v>
      </c>
      <c r="BD65" s="572">
        <v>0</v>
      </c>
      <c r="BE65" s="49"/>
      <c r="BG65" s="119" t="e">
        <f t="shared" si="13"/>
        <v>#DIV/0!</v>
      </c>
      <c r="BH65" s="120" t="e">
        <f t="shared" si="13"/>
        <v>#DIV/0!</v>
      </c>
      <c r="BI65" s="120" t="e">
        <f t="shared" si="8"/>
        <v>#DIV/0!</v>
      </c>
      <c r="BJ65" s="121" t="e">
        <f t="array" ref="BJ65">AVERAGE(AP65:AP69/AO65:AO69) - AVERAGE(Q65:Q69/P65:P69)</f>
        <v>#DIV/0!</v>
      </c>
      <c r="BL65" s="279" t="str">
        <f>IF( OR(ISBLANK($R65:$R69),ISBLANK($AQ65:$AQ69), ISBLANK(T65:T69),ISBLANK(AS65:AS69)), "·", bdRateHermite($R65:$R69,T65:T69, $AQ65:$AQ69,AS65:AS69))</f>
        <v>·</v>
      </c>
      <c r="BM65" s="279" t="str">
        <f>IF( OR(ISBLANK($R65:$R69),ISBLANK($AQ65:$AQ69), ISBLANK(U65:U69),ISBLANK(AT65:AT69)), "·", bdRateHermite($R65:$R69,U65:U69, $AQ65:$AQ69,AT65:AT69))</f>
        <v>·</v>
      </c>
      <c r="BN65" s="279" t="str">
        <f>IF( OR(ISBLANK($R65:$R69),ISBLANK($AQ65:$AQ69), ISBLANK(V65:V69),ISBLANK(AU65:AU69)), "·", bdRateHermite($R65:$R69,V65:V69, $AQ65:$AQ69,AU65:AU69))</f>
        <v>·</v>
      </c>
      <c r="BO65" s="104"/>
      <c r="BQ65" s="173" t="str">
        <f>IF( OR(ISBLANK($R65:$R69),ISBLANK($AQ65:$AQ69), ISBLANK(X65:X69),ISBLANK(AW65:AW69)), "·", bdRateHermite($R65:$R69,X65:X69, $AQ65:$AQ69,AW65:AW69))</f>
        <v>·</v>
      </c>
      <c r="BR65" s="173" t="str">
        <f>IF( OR(ISBLANK($R65:$R69),ISBLANK($AQ65:$AQ69), ISBLANK(Y65:Y69),ISBLANK(AX65:AX69)), "·", bdRateHermite($R65:$R69,Y65:Y69, $AQ65:$AQ69,AX65:AX69))</f>
        <v>·</v>
      </c>
      <c r="BS65" s="173" t="str">
        <f>IF( OR(ISBLANK($R65:$R69),ISBLANK($AQ65:$AQ69), ISBLANK(Z65:Z69),ISBLANK(AY65:AY69)), "·", bdRateHermite($R65:$R69,Z65:Z69, $AQ65:$AQ69,AY65:AY69))</f>
        <v>·</v>
      </c>
      <c r="BT65" s="138"/>
      <c r="BV65" s="173" t="str">
        <f>IF(OR(ISBLANK($P65:$P69),ISBLANK($AO65:$AO69),ISBLANK(T65:T69),ISBLANK(AS65:AS69)),"·",bdRateHermite($P65:$P69,T65:T69,$AO65:$AO69,AS65:AS69))</f>
        <v>·</v>
      </c>
      <c r="BW65" s="173" t="str">
        <f>IF(OR(ISBLANK($P65:$P69),ISBLANK($AO65:$AO69),ISBLANK(U65:U69),ISBLANK(AT65:AT69)),"·",bdRateHermite($P65:$P69,U65:U69,$AO65:$AO69,AT65:AT69))</f>
        <v>·</v>
      </c>
      <c r="BX65" s="173" t="str">
        <f>IF(OR(ISBLANK($P65:$P69),ISBLANK($AO65:$AO69),ISBLANK(V65:V69),ISBLANK(AU65:AU69)),"·",bdRateHermite($P65:$P69,V65:V69,$AO65:$AO69,AU65:AU69))</f>
        <v>·</v>
      </c>
      <c r="BY65" s="138"/>
      <c r="CA65" s="173" t="str">
        <f>IF( OR(ISBLANK($P65:$P69),ISBLANK($AO65:$AO69), ISBLANK(X65:X69),ISBLANK(AW65:AW69)), "·", bdRateHermite( $P65:$P69,X65:X69, $AO65:$AO69,AW65:AW69))</f>
        <v>·</v>
      </c>
      <c r="CB65" s="173" t="str">
        <f>IF( OR(ISBLANK($P65:$P69),ISBLANK($AO65:$AO69), ISBLANK(Y65:Y69),ISBLANK(AX65:AX69)), "·", bdRateHermite( $P65:$P69,Y65:Y69, $AO65:$AO69,AX65:AX69))</f>
        <v>·</v>
      </c>
      <c r="CC65" s="173" t="str">
        <f>IF( OR(ISBLANK($P65:$P69),ISBLANK($AO65:$AO69), ISBLANK(Z65:Z69),ISBLANK(AY65:AY69)), "·", bdRateHermite( $P65:$P69,Z65:Z69, $AO65:$AO69,AY65:AY69))</f>
        <v>·</v>
      </c>
      <c r="CD65" s="138"/>
    </row>
    <row r="66" spans="1:82" outlineLevel="1">
      <c r="A66" s="13"/>
      <c r="B66" s="14" t="s">
        <v>1122</v>
      </c>
      <c r="C66" s="15" t="s">
        <v>132</v>
      </c>
      <c r="D66" s="479">
        <v>8046105</v>
      </c>
      <c r="E66" s="15">
        <v>15</v>
      </c>
      <c r="F66" s="15">
        <v>1</v>
      </c>
      <c r="G66" s="16"/>
      <c r="H66" s="492"/>
      <c r="I66" s="30" t="str">
        <f t="shared" si="14"/>
        <v>·</v>
      </c>
      <c r="J66" s="31">
        <f t="shared" si="15"/>
        <v>13.209203707881018</v>
      </c>
      <c r="K66" s="31">
        <f t="shared" si="2"/>
        <v>7.3923609000876818</v>
      </c>
      <c r="L66" s="31">
        <f t="shared" si="17"/>
        <v>5.8167483521529979</v>
      </c>
      <c r="M66" s="106"/>
      <c r="N66" s="31">
        <f t="shared" si="4"/>
        <v>13.209203707881018</v>
      </c>
      <c r="O66" s="521">
        <v>8046105</v>
      </c>
      <c r="P66" s="503">
        <v>106282640</v>
      </c>
      <c r="Q66" s="357">
        <v>59479712</v>
      </c>
      <c r="R66" s="373">
        <v>46802168</v>
      </c>
      <c r="S66" s="258"/>
      <c r="T66" s="503">
        <v>37.361099000000003</v>
      </c>
      <c r="U66" s="357">
        <v>38.486213999999997</v>
      </c>
      <c r="V66" s="373">
        <v>38.003590000000003</v>
      </c>
      <c r="W66" s="258"/>
      <c r="X66" s="357">
        <v>30.069004</v>
      </c>
      <c r="Y66" s="357">
        <v>30.069004</v>
      </c>
      <c r="Z66" s="373">
        <v>30.069004</v>
      </c>
      <c r="AA66" s="258">
        <v>0</v>
      </c>
      <c r="AB66" s="512"/>
      <c r="AC66" s="500"/>
      <c r="AD66" s="573">
        <v>0</v>
      </c>
      <c r="AE66" s="573">
        <v>0</v>
      </c>
      <c r="AF66" s="33"/>
      <c r="AH66" s="30" t="str">
        <f t="shared" si="5"/>
        <v>·</v>
      </c>
      <c r="AI66" s="31" t="str">
        <f t="shared" si="6"/>
        <v>·</v>
      </c>
      <c r="AJ66" s="31" t="str">
        <f t="shared" si="9"/>
        <v>·</v>
      </c>
      <c r="AK66" s="275" t="str">
        <f t="shared" si="10"/>
        <v>·</v>
      </c>
      <c r="AL66" s="267" t="str">
        <f t="shared" si="11"/>
        <v>·</v>
      </c>
      <c r="AM66" s="31" t="str">
        <f t="shared" si="12"/>
        <v>·</v>
      </c>
      <c r="AN66" s="521"/>
      <c r="AO66" s="503"/>
      <c r="AP66" s="357"/>
      <c r="AQ66" s="373"/>
      <c r="AR66" s="258"/>
      <c r="AS66" s="503"/>
      <c r="AT66" s="357"/>
      <c r="AU66" s="373"/>
      <c r="AV66" s="258"/>
      <c r="AW66" s="357"/>
      <c r="AX66" s="357"/>
      <c r="AY66" s="373"/>
      <c r="AZ66" s="258"/>
      <c r="BA66" s="512"/>
      <c r="BB66" s="500"/>
      <c r="BC66" s="573">
        <v>0</v>
      </c>
      <c r="BD66" s="573">
        <v>0</v>
      </c>
      <c r="BE66" s="33"/>
      <c r="BG66" s="122" t="e">
        <f t="shared" si="13"/>
        <v>#DIV/0!</v>
      </c>
      <c r="BH66" s="123" t="e">
        <f t="shared" si="13"/>
        <v>#DIV/0!</v>
      </c>
      <c r="BI66" s="123" t="e">
        <f t="shared" si="8"/>
        <v>#DIV/0!</v>
      </c>
      <c r="BJ66" s="124"/>
      <c r="BL66" s="107"/>
      <c r="BM66" s="107"/>
      <c r="BN66" s="107"/>
      <c r="BO66" s="106"/>
      <c r="BQ66" s="177"/>
      <c r="BR66" s="177"/>
      <c r="BS66" s="177"/>
      <c r="BT66" s="106"/>
      <c r="BV66" s="177"/>
      <c r="BW66" s="177"/>
      <c r="BX66" s="177"/>
      <c r="BY66" s="106"/>
      <c r="CA66" s="177"/>
      <c r="CB66" s="177"/>
      <c r="CC66" s="177"/>
      <c r="CD66" s="106"/>
    </row>
    <row r="67" spans="1:82" outlineLevel="1">
      <c r="A67" s="13"/>
      <c r="B67" s="14" t="s">
        <v>1122</v>
      </c>
      <c r="C67" s="15" t="s">
        <v>133</v>
      </c>
      <c r="D67" s="479">
        <v>8046105</v>
      </c>
      <c r="E67" s="15">
        <v>15</v>
      </c>
      <c r="F67" s="15">
        <v>1</v>
      </c>
      <c r="G67" s="16"/>
      <c r="H67" s="492"/>
      <c r="I67" s="30" t="str">
        <f t="shared" si="14"/>
        <v>·</v>
      </c>
      <c r="J67" s="31">
        <f t="shared" si="15"/>
        <v>15.459830066846008</v>
      </c>
      <c r="K67" s="31">
        <f t="shared" si="2"/>
        <v>7.3923609000876818</v>
      </c>
      <c r="L67" s="31">
        <f t="shared" si="17"/>
        <v>8.0673747111179885</v>
      </c>
      <c r="M67" s="106"/>
      <c r="N67" s="31">
        <f t="shared" si="4"/>
        <v>15.459830066846008</v>
      </c>
      <c r="O67" s="521">
        <v>8046105</v>
      </c>
      <c r="P67" s="503">
        <v>124391416</v>
      </c>
      <c r="Q67" s="357">
        <v>59479712</v>
      </c>
      <c r="R67" s="373">
        <v>64910944</v>
      </c>
      <c r="S67" s="258"/>
      <c r="T67" s="503">
        <v>43.223919000000002</v>
      </c>
      <c r="U67" s="357">
        <v>44.120795999999999</v>
      </c>
      <c r="V67" s="373">
        <v>43.615684999999999</v>
      </c>
      <c r="W67" s="258"/>
      <c r="X67" s="357">
        <v>36.089602999999997</v>
      </c>
      <c r="Y67" s="357">
        <v>36.089602999999997</v>
      </c>
      <c r="Z67" s="373">
        <v>36.089602999999997</v>
      </c>
      <c r="AA67" s="258">
        <v>0</v>
      </c>
      <c r="AB67" s="512"/>
      <c r="AC67" s="500"/>
      <c r="AD67" s="573">
        <v>0</v>
      </c>
      <c r="AE67" s="573">
        <v>0</v>
      </c>
      <c r="AF67" s="33"/>
      <c r="AH67" s="30" t="str">
        <f t="shared" si="5"/>
        <v>·</v>
      </c>
      <c r="AI67" s="31" t="str">
        <f t="shared" si="6"/>
        <v>·</v>
      </c>
      <c r="AJ67" s="31" t="str">
        <f t="shared" si="9"/>
        <v>·</v>
      </c>
      <c r="AK67" s="275" t="str">
        <f t="shared" si="10"/>
        <v>·</v>
      </c>
      <c r="AL67" s="267" t="str">
        <f t="shared" si="11"/>
        <v>·</v>
      </c>
      <c r="AM67" s="31" t="str">
        <f t="shared" si="12"/>
        <v>·</v>
      </c>
      <c r="AN67" s="521"/>
      <c r="AO67" s="503"/>
      <c r="AP67" s="357"/>
      <c r="AQ67" s="373"/>
      <c r="AR67" s="258"/>
      <c r="AS67" s="503"/>
      <c r="AT67" s="357"/>
      <c r="AU67" s="373"/>
      <c r="AV67" s="258"/>
      <c r="AW67" s="357"/>
      <c r="AX67" s="357"/>
      <c r="AY67" s="373"/>
      <c r="AZ67" s="258"/>
      <c r="BA67" s="512"/>
      <c r="BB67" s="500"/>
      <c r="BC67" s="573">
        <v>0</v>
      </c>
      <c r="BD67" s="573">
        <v>0</v>
      </c>
      <c r="BE67" s="33"/>
      <c r="BG67" s="122" t="e">
        <f t="shared" si="13"/>
        <v>#DIV/0!</v>
      </c>
      <c r="BH67" s="123" t="e">
        <f t="shared" si="13"/>
        <v>#DIV/0!</v>
      </c>
      <c r="BI67" s="123" t="e">
        <f t="shared" si="8"/>
        <v>#DIV/0!</v>
      </c>
      <c r="BJ67" s="124"/>
      <c r="BL67" s="107"/>
      <c r="BM67" s="107"/>
      <c r="BN67" s="107"/>
      <c r="BO67" s="106"/>
      <c r="BQ67" s="177"/>
      <c r="BR67" s="177"/>
      <c r="BS67" s="177"/>
      <c r="BT67" s="106"/>
      <c r="BV67" s="177"/>
      <c r="BW67" s="177"/>
      <c r="BX67" s="177"/>
      <c r="BY67" s="106"/>
      <c r="CA67" s="177"/>
      <c r="CB67" s="177"/>
      <c r="CC67" s="177"/>
      <c r="CD67" s="106"/>
    </row>
    <row r="68" spans="1:82" outlineLevel="1">
      <c r="A68" s="13"/>
      <c r="B68" s="14" t="s">
        <v>1122</v>
      </c>
      <c r="C68" s="15" t="s">
        <v>134</v>
      </c>
      <c r="D68" s="479">
        <v>8046105</v>
      </c>
      <c r="E68" s="15">
        <v>15</v>
      </c>
      <c r="F68" s="15">
        <v>1</v>
      </c>
      <c r="G68" s="16"/>
      <c r="H68" s="492"/>
      <c r="I68" s="30" t="str">
        <f t="shared" si="14"/>
        <v>·</v>
      </c>
      <c r="J68" s="31">
        <f t="shared" si="15"/>
        <v>18.302709199047239</v>
      </c>
      <c r="K68" s="31">
        <f t="shared" si="2"/>
        <v>7.3923609000876818</v>
      </c>
      <c r="L68" s="31">
        <f t="shared" si="17"/>
        <v>10.910253843319222</v>
      </c>
      <c r="M68" s="106"/>
      <c r="N68" s="31">
        <f t="shared" si="4"/>
        <v>18.302709199047239</v>
      </c>
      <c r="O68" s="521">
        <v>8046105</v>
      </c>
      <c r="P68" s="503">
        <v>147265520</v>
      </c>
      <c r="Q68" s="357">
        <v>59479712</v>
      </c>
      <c r="R68" s="373">
        <v>87785048</v>
      </c>
      <c r="S68" s="258"/>
      <c r="T68" s="503">
        <v>48.444285999999998</v>
      </c>
      <c r="U68" s="357">
        <v>49.025677000000002</v>
      </c>
      <c r="V68" s="373">
        <v>48.522300999999999</v>
      </c>
      <c r="W68" s="258"/>
      <c r="X68" s="357">
        <v>42.110202999999998</v>
      </c>
      <c r="Y68" s="357">
        <v>42.110202999999998</v>
      </c>
      <c r="Z68" s="373">
        <v>42.110202999999998</v>
      </c>
      <c r="AA68" s="258">
        <v>0</v>
      </c>
      <c r="AB68" s="512"/>
      <c r="AC68" s="500"/>
      <c r="AD68" s="573">
        <v>0</v>
      </c>
      <c r="AE68" s="573">
        <v>0</v>
      </c>
      <c r="AF68" s="33"/>
      <c r="AH68" s="30" t="str">
        <f t="shared" si="5"/>
        <v>·</v>
      </c>
      <c r="AI68" s="31" t="str">
        <f t="shared" si="6"/>
        <v>·</v>
      </c>
      <c r="AJ68" s="31" t="str">
        <f t="shared" si="9"/>
        <v>·</v>
      </c>
      <c r="AK68" s="275" t="str">
        <f t="shared" si="10"/>
        <v>·</v>
      </c>
      <c r="AL68" s="267" t="str">
        <f t="shared" si="11"/>
        <v>·</v>
      </c>
      <c r="AM68" s="31" t="str">
        <f t="shared" si="12"/>
        <v>·</v>
      </c>
      <c r="AN68" s="521"/>
      <c r="AO68" s="503"/>
      <c r="AP68" s="357"/>
      <c r="AQ68" s="373"/>
      <c r="AR68" s="258"/>
      <c r="AS68" s="503"/>
      <c r="AT68" s="357"/>
      <c r="AU68" s="373"/>
      <c r="AV68" s="258"/>
      <c r="AW68" s="357"/>
      <c r="AX68" s="357"/>
      <c r="AY68" s="373"/>
      <c r="AZ68" s="258"/>
      <c r="BA68" s="512"/>
      <c r="BB68" s="500"/>
      <c r="BC68" s="573">
        <v>0</v>
      </c>
      <c r="BD68" s="573">
        <v>0</v>
      </c>
      <c r="BE68" s="33"/>
      <c r="BG68" s="122" t="e">
        <f t="shared" si="13"/>
        <v>#DIV/0!</v>
      </c>
      <c r="BH68" s="123" t="e">
        <f t="shared" si="13"/>
        <v>#DIV/0!</v>
      </c>
      <c r="BI68" s="123" t="e">
        <f t="shared" si="8"/>
        <v>#DIV/0!</v>
      </c>
      <c r="BJ68" s="124"/>
      <c r="BL68" s="107"/>
      <c r="BM68" s="107"/>
      <c r="BN68" s="107"/>
      <c r="BO68" s="106"/>
      <c r="BQ68" s="177"/>
      <c r="BR68" s="177"/>
      <c r="BS68" s="177"/>
      <c r="BT68" s="106"/>
      <c r="BV68" s="177"/>
      <c r="BW68" s="177"/>
      <c r="BX68" s="177"/>
      <c r="BY68" s="106"/>
      <c r="CA68" s="177"/>
      <c r="CB68" s="177"/>
      <c r="CC68" s="177"/>
      <c r="CD68" s="106"/>
    </row>
    <row r="69" spans="1:82" ht="14.25" outlineLevel="1" thickBot="1">
      <c r="A69" s="17"/>
      <c r="B69" s="18" t="s">
        <v>1122</v>
      </c>
      <c r="C69" s="19" t="s">
        <v>135</v>
      </c>
      <c r="D69" s="480">
        <v>8046105</v>
      </c>
      <c r="E69" s="19">
        <v>15</v>
      </c>
      <c r="F69" s="19">
        <v>1</v>
      </c>
      <c r="G69" s="20"/>
      <c r="H69" s="492"/>
      <c r="I69" s="34" t="str">
        <f t="shared" si="14"/>
        <v>·</v>
      </c>
      <c r="J69" s="35">
        <f t="shared" si="15"/>
        <v>21.685347630934469</v>
      </c>
      <c r="K69" s="35">
        <f t="shared" si="2"/>
        <v>7.3923609000876818</v>
      </c>
      <c r="L69" s="35">
        <f t="shared" si="17"/>
        <v>14.29289326947635</v>
      </c>
      <c r="M69" s="109"/>
      <c r="N69" s="35">
        <f t="shared" si="4"/>
        <v>21.685347630934469</v>
      </c>
      <c r="O69" s="525">
        <v>8046105</v>
      </c>
      <c r="P69" s="505">
        <v>174482584</v>
      </c>
      <c r="Q69" s="361">
        <v>59479712</v>
      </c>
      <c r="R69" s="375">
        <v>115002120</v>
      </c>
      <c r="S69" s="259"/>
      <c r="T69" s="505">
        <v>52.276336999999998</v>
      </c>
      <c r="U69" s="361">
        <v>52.379855999999997</v>
      </c>
      <c r="V69" s="375">
        <v>51.831328999999997</v>
      </c>
      <c r="W69" s="259"/>
      <c r="X69" s="361">
        <v>48.130802000000003</v>
      </c>
      <c r="Y69" s="361">
        <v>48.130802000000003</v>
      </c>
      <c r="Z69" s="375">
        <v>48.130802000000003</v>
      </c>
      <c r="AA69" s="259">
        <v>0</v>
      </c>
      <c r="AB69" s="513"/>
      <c r="AC69" s="501"/>
      <c r="AD69" s="575">
        <v>0</v>
      </c>
      <c r="AE69" s="575">
        <v>0</v>
      </c>
      <c r="AF69" s="37"/>
      <c r="AH69" s="34" t="str">
        <f t="shared" si="5"/>
        <v>·</v>
      </c>
      <c r="AI69" s="35" t="str">
        <f t="shared" ref="AI69:AI114" si="18">IF(ISBLANK(AO69),"·",AO69/D69)</f>
        <v>·</v>
      </c>
      <c r="AJ69" s="35" t="str">
        <f t="shared" si="9"/>
        <v>·</v>
      </c>
      <c r="AK69" s="276" t="str">
        <f t="shared" si="10"/>
        <v>·</v>
      </c>
      <c r="AL69" s="109" t="str">
        <f t="shared" si="11"/>
        <v>·</v>
      </c>
      <c r="AM69" s="35" t="str">
        <f t="shared" si="12"/>
        <v>·</v>
      </c>
      <c r="AN69" s="525"/>
      <c r="AO69" s="505"/>
      <c r="AP69" s="361"/>
      <c r="AQ69" s="375"/>
      <c r="AR69" s="259"/>
      <c r="AS69" s="505"/>
      <c r="AT69" s="361"/>
      <c r="AU69" s="375"/>
      <c r="AV69" s="259"/>
      <c r="AW69" s="361"/>
      <c r="AX69" s="361"/>
      <c r="AY69" s="375"/>
      <c r="AZ69" s="259"/>
      <c r="BA69" s="513"/>
      <c r="BB69" s="501"/>
      <c r="BC69" s="575">
        <v>0</v>
      </c>
      <c r="BD69" s="575">
        <v>0</v>
      </c>
      <c r="BE69" s="37"/>
      <c r="BG69" s="125" t="e">
        <f t="shared" si="13"/>
        <v>#DIV/0!</v>
      </c>
      <c r="BH69" s="126" t="e">
        <f t="shared" si="13"/>
        <v>#DIV/0!</v>
      </c>
      <c r="BI69" s="126" t="e">
        <f t="shared" si="8"/>
        <v>#DIV/0!</v>
      </c>
      <c r="BJ69" s="127"/>
      <c r="BL69" s="110"/>
      <c r="BM69" s="110"/>
      <c r="BN69" s="110"/>
      <c r="BO69" s="109"/>
      <c r="BQ69" s="181"/>
      <c r="BR69" s="181"/>
      <c r="BS69" s="181"/>
      <c r="BT69" s="109"/>
      <c r="BV69" s="181"/>
      <c r="BW69" s="181"/>
      <c r="BX69" s="181"/>
      <c r="BY69" s="109"/>
      <c r="CA69" s="181"/>
      <c r="CB69" s="181"/>
      <c r="CC69" s="181"/>
      <c r="CD69" s="109"/>
    </row>
    <row r="70" spans="1:82">
      <c r="A70" s="96" t="s">
        <v>178</v>
      </c>
      <c r="B70" s="24" t="s">
        <v>471</v>
      </c>
      <c r="C70" s="25" t="s">
        <v>131</v>
      </c>
      <c r="D70" s="24">
        <v>59931072</v>
      </c>
      <c r="E70" s="25">
        <v>18</v>
      </c>
      <c r="F70" s="25">
        <v>600</v>
      </c>
      <c r="G70" s="26">
        <v>10</v>
      </c>
      <c r="I70" s="42">
        <f t="shared" si="14"/>
        <v>19.441900799999999</v>
      </c>
      <c r="J70" s="43">
        <f t="shared" si="15"/>
        <v>19.464261343431335</v>
      </c>
      <c r="K70" s="43">
        <f t="shared" si="2"/>
        <v>18.604441182029916</v>
      </c>
      <c r="L70" s="137"/>
      <c r="M70" s="47">
        <f t="shared" ref="M70:M94" si="19">IF(ISBLANK(Q70),"·",S70/D70)</f>
        <v>0.85237507515300248</v>
      </c>
      <c r="N70" s="47">
        <f t="shared" si="4"/>
        <v>19.464261343431335</v>
      </c>
      <c r="O70" s="521">
        <v>59931072</v>
      </c>
      <c r="P70" s="502">
        <v>1166514048</v>
      </c>
      <c r="Q70" s="372">
        <v>1114984104</v>
      </c>
      <c r="R70" s="104"/>
      <c r="S70" s="353">
        <v>51083752</v>
      </c>
      <c r="T70" s="103"/>
      <c r="U70" s="104"/>
      <c r="V70" s="104"/>
      <c r="W70" s="354">
        <v>78.009567000000004</v>
      </c>
      <c r="X70" s="103"/>
      <c r="Y70" s="104"/>
      <c r="Z70" s="104"/>
      <c r="AA70" s="514">
        <v>72.246467999999993</v>
      </c>
      <c r="AB70" s="506"/>
      <c r="AC70" s="355"/>
      <c r="AD70" s="572">
        <v>0</v>
      </c>
      <c r="AE70" s="572">
        <v>0</v>
      </c>
      <c r="AF70" s="49"/>
      <c r="AH70" s="46" t="str">
        <f>IF(OR(ISBLANK(AO70),ISBLANK(G70)),"·",AO70*G70/F70/1000000)</f>
        <v>·</v>
      </c>
      <c r="AI70" s="47" t="str">
        <f t="shared" si="18"/>
        <v>·</v>
      </c>
      <c r="AJ70" s="47" t="str">
        <f t="shared" ref="AJ70:AJ114" si="20">IF(AP70="","·",AP70/D70)</f>
        <v>·</v>
      </c>
      <c r="AK70" s="103" t="str">
        <f t="shared" ref="AK70:AK114" si="21">IF(ISBLANK(AQ70),"·",AQ70/D70)</f>
        <v>·</v>
      </c>
      <c r="AL70" s="47" t="str">
        <f t="shared" ref="AL70:AL114" si="22">IF(ISBLANK(AR70),"·",AR70/D70)</f>
        <v>·</v>
      </c>
      <c r="AM70" s="47" t="str">
        <f t="shared" si="12"/>
        <v>·</v>
      </c>
      <c r="AN70" s="521"/>
      <c r="AO70" s="502"/>
      <c r="AP70" s="372"/>
      <c r="AQ70" s="104"/>
      <c r="AR70" s="353"/>
      <c r="AS70" s="103"/>
      <c r="AT70" s="104"/>
      <c r="AU70" s="104"/>
      <c r="AV70" s="354"/>
      <c r="AW70" s="103"/>
      <c r="AX70" s="104"/>
      <c r="AY70" s="104"/>
      <c r="AZ70" s="514"/>
      <c r="BA70" s="506"/>
      <c r="BB70" s="355"/>
      <c r="BC70" s="572">
        <v>0</v>
      </c>
      <c r="BD70" s="572">
        <v>0</v>
      </c>
      <c r="BE70" s="49"/>
      <c r="BG70" s="119" t="e">
        <f t="shared" si="13"/>
        <v>#DIV/0!</v>
      </c>
      <c r="BH70" s="120" t="e">
        <f t="shared" si="13"/>
        <v>#DIV/0!</v>
      </c>
      <c r="BI70" s="120" t="e">
        <f t="shared" si="8"/>
        <v>#DIV/0!</v>
      </c>
      <c r="BJ70" s="121" t="e">
        <f t="array" ref="BJ70">AVERAGE(AP70:AP74/AO70:AO74) - AVERAGE(Q70:Q74/P70:P74)</f>
        <v>#DIV/0!</v>
      </c>
      <c r="BL70" s="103"/>
      <c r="BM70" s="104"/>
      <c r="BN70" s="104"/>
      <c r="BO70" s="139" t="str">
        <f>IF( OR(ISBLANK($S70:$S74),ISBLANK($AR70:$AR74), ISBLANK($W70:$W74),ISBLANK($AV70:$AV74)), "·", bdRateHermite($S70:$S74,$W70:$W74, $AR70:$AR74,$AV70:$AV74))</f>
        <v>·</v>
      </c>
      <c r="BQ70" s="137"/>
      <c r="BR70" s="138"/>
      <c r="BS70" s="138"/>
      <c r="BT70" s="139" t="str">
        <f>IF( OR(ISBLANK($S70:$S74),ISBLANK($AR70:$AR74), ISBLANK($AA70:$AA74),ISBLANK($AZ70:$AZ74)), "·", bdRateHermite($S70:$S74,$AA70:$AA74, $AR70:$AR74,$AZ70:$AZ74))</f>
        <v>·</v>
      </c>
      <c r="BV70" s="137"/>
      <c r="BW70" s="138"/>
      <c r="BX70" s="138"/>
      <c r="BY70" s="139" t="str">
        <f>IF(OR(ISBLANK($P70:$P74),ISBLANK($AO70:$AO74),ISBLANK($W70:$W74),ISBLANK($AV70:$AV74)),"·",bdRateHermite($P70:$P74,$W70:$W74,$AO70:$AO74,$AV70:$AV74))</f>
        <v>·</v>
      </c>
      <c r="CA70" s="137"/>
      <c r="CB70" s="138"/>
      <c r="CC70" s="138"/>
      <c r="CD70" s="139" t="str">
        <f>IF( OR(ISBLANK($P70:$P74),ISBLANK($AO70:$AO74), ISBLANK($AA70:$AA74),ISBLANK($AZ70:$AZ74)), "·", bdRateHermite( $P70:$P74,$AA70:$AA74, $AO70:$AO74,$AZ70:$AZ74))</f>
        <v>·</v>
      </c>
    </row>
    <row r="71" spans="1:82" outlineLevel="1">
      <c r="A71" s="13"/>
      <c r="B71" s="14" t="s">
        <v>471</v>
      </c>
      <c r="C71" s="15" t="s">
        <v>132</v>
      </c>
      <c r="D71" s="14">
        <v>59931072</v>
      </c>
      <c r="E71" s="15">
        <v>18</v>
      </c>
      <c r="F71" s="15">
        <v>600</v>
      </c>
      <c r="G71" s="16">
        <v>10</v>
      </c>
      <c r="I71" s="30">
        <f t="shared" si="14"/>
        <v>19.9895152</v>
      </c>
      <c r="J71" s="31">
        <f t="shared" si="15"/>
        <v>20.012505566394672</v>
      </c>
      <c r="K71" s="31">
        <f t="shared" si="2"/>
        <v>18.604441182029916</v>
      </c>
      <c r="L71" s="105"/>
      <c r="M71" s="31">
        <f t="shared" si="19"/>
        <v>1.4006192981163428</v>
      </c>
      <c r="N71" s="31">
        <f t="shared" si="4"/>
        <v>20.012505566394672</v>
      </c>
      <c r="O71" s="521">
        <v>59931072</v>
      </c>
      <c r="P71" s="503">
        <v>1199370912</v>
      </c>
      <c r="Q71" s="373">
        <v>1114984104</v>
      </c>
      <c r="R71" s="106"/>
      <c r="S71" s="357">
        <v>83940616</v>
      </c>
      <c r="T71" s="105"/>
      <c r="U71" s="106"/>
      <c r="V71" s="106"/>
      <c r="W71" s="358">
        <v>83.685317999999995</v>
      </c>
      <c r="X71" s="105"/>
      <c r="Y71" s="106"/>
      <c r="Z71" s="106"/>
      <c r="AA71" s="515">
        <v>78.268180999999998</v>
      </c>
      <c r="AB71" s="507"/>
      <c r="AC71" s="359"/>
      <c r="AD71" s="573">
        <v>0</v>
      </c>
      <c r="AE71" s="573">
        <v>0</v>
      </c>
      <c r="AF71" s="33"/>
      <c r="AH71" s="30" t="str">
        <f t="shared" ref="AH71:AH114" si="23">IF(OR(ISBLANK(AO71),ISBLANK(G71)),"·",AO71*G71/F71/1000000)</f>
        <v>·</v>
      </c>
      <c r="AI71" s="31" t="str">
        <f t="shared" si="18"/>
        <v>·</v>
      </c>
      <c r="AJ71" s="31" t="str">
        <f t="shared" si="20"/>
        <v>·</v>
      </c>
      <c r="AK71" s="105" t="str">
        <f t="shared" si="21"/>
        <v>·</v>
      </c>
      <c r="AL71" s="31" t="str">
        <f t="shared" si="22"/>
        <v>·</v>
      </c>
      <c r="AM71" s="31" t="str">
        <f t="shared" si="12"/>
        <v>·</v>
      </c>
      <c r="AN71" s="521"/>
      <c r="AO71" s="503"/>
      <c r="AP71" s="373"/>
      <c r="AQ71" s="106"/>
      <c r="AR71" s="357"/>
      <c r="AS71" s="105"/>
      <c r="AT71" s="106"/>
      <c r="AU71" s="106"/>
      <c r="AV71" s="358"/>
      <c r="AW71" s="105"/>
      <c r="AX71" s="106"/>
      <c r="AY71" s="106"/>
      <c r="AZ71" s="515"/>
      <c r="BA71" s="507"/>
      <c r="BB71" s="359"/>
      <c r="BC71" s="573">
        <v>0</v>
      </c>
      <c r="BD71" s="573">
        <v>0</v>
      </c>
      <c r="BE71" s="33"/>
      <c r="BG71" s="122" t="e">
        <f t="shared" si="13"/>
        <v>#DIV/0!</v>
      </c>
      <c r="BH71" s="123" t="e">
        <f t="shared" si="13"/>
        <v>#DIV/0!</v>
      </c>
      <c r="BI71" s="123" t="e">
        <f t="shared" si="8"/>
        <v>#DIV/0!</v>
      </c>
      <c r="BJ71" s="124"/>
      <c r="BL71" s="105"/>
      <c r="BM71" s="106"/>
      <c r="BN71" s="106"/>
      <c r="BO71" s="107"/>
      <c r="BQ71" s="105"/>
      <c r="BR71" s="106"/>
      <c r="BS71" s="106"/>
      <c r="BT71" s="107"/>
      <c r="BV71" s="105"/>
      <c r="BW71" s="106"/>
      <c r="BX71" s="106"/>
      <c r="BY71" s="107"/>
      <c r="CA71" s="105"/>
      <c r="CB71" s="106"/>
      <c r="CC71" s="106"/>
      <c r="CD71" s="107"/>
    </row>
    <row r="72" spans="1:82" outlineLevel="1">
      <c r="A72" s="13"/>
      <c r="B72" s="14" t="s">
        <v>471</v>
      </c>
      <c r="C72" s="15" t="s">
        <v>133</v>
      </c>
      <c r="D72" s="14">
        <v>59931072</v>
      </c>
      <c r="E72" s="15">
        <v>18</v>
      </c>
      <c r="F72" s="15">
        <v>600</v>
      </c>
      <c r="G72" s="16">
        <v>10</v>
      </c>
      <c r="I72" s="30">
        <f t="shared" si="14"/>
        <v>20.684103333333333</v>
      </c>
      <c r="J72" s="31">
        <f t="shared" si="15"/>
        <v>20.707892560306615</v>
      </c>
      <c r="K72" s="31">
        <f t="shared" si="2"/>
        <v>18.604441182029916</v>
      </c>
      <c r="L72" s="105"/>
      <c r="M72" s="31">
        <f t="shared" si="19"/>
        <v>2.096015369122715</v>
      </c>
      <c r="N72" s="31">
        <f t="shared" si="4"/>
        <v>20.707892560306615</v>
      </c>
      <c r="O72" s="521">
        <v>59931072</v>
      </c>
      <c r="P72" s="503">
        <v>1241046200</v>
      </c>
      <c r="Q72" s="373">
        <v>1114984104</v>
      </c>
      <c r="R72" s="106"/>
      <c r="S72" s="357">
        <v>125616448</v>
      </c>
      <c r="T72" s="105"/>
      <c r="U72" s="106"/>
      <c r="V72" s="106"/>
      <c r="W72" s="358">
        <v>89.391022000000007</v>
      </c>
      <c r="X72" s="105"/>
      <c r="Y72" s="106"/>
      <c r="Z72" s="106"/>
      <c r="AA72" s="515">
        <v>84.288764999999998</v>
      </c>
      <c r="AB72" s="507"/>
      <c r="AC72" s="359"/>
      <c r="AD72" s="573">
        <v>0</v>
      </c>
      <c r="AE72" s="573">
        <v>0</v>
      </c>
      <c r="AF72" s="33"/>
      <c r="AH72" s="30" t="str">
        <f t="shared" si="23"/>
        <v>·</v>
      </c>
      <c r="AI72" s="31" t="str">
        <f t="shared" si="18"/>
        <v>·</v>
      </c>
      <c r="AJ72" s="31" t="str">
        <f t="shared" si="20"/>
        <v>·</v>
      </c>
      <c r="AK72" s="105" t="str">
        <f t="shared" si="21"/>
        <v>·</v>
      </c>
      <c r="AL72" s="31" t="str">
        <f t="shared" si="22"/>
        <v>·</v>
      </c>
      <c r="AM72" s="31" t="str">
        <f t="shared" si="12"/>
        <v>·</v>
      </c>
      <c r="AN72" s="521"/>
      <c r="AO72" s="503"/>
      <c r="AP72" s="373"/>
      <c r="AQ72" s="106"/>
      <c r="AR72" s="357"/>
      <c r="AS72" s="105"/>
      <c r="AT72" s="106"/>
      <c r="AU72" s="106"/>
      <c r="AV72" s="358"/>
      <c r="AW72" s="105"/>
      <c r="AX72" s="106"/>
      <c r="AY72" s="106"/>
      <c r="AZ72" s="515"/>
      <c r="BA72" s="507"/>
      <c r="BB72" s="359"/>
      <c r="BC72" s="573">
        <v>0</v>
      </c>
      <c r="BD72" s="573">
        <v>0</v>
      </c>
      <c r="BE72" s="33"/>
      <c r="BG72" s="122" t="e">
        <f t="shared" ref="BG72:BH87" si="24">BC72/AD72</f>
        <v>#DIV/0!</v>
      </c>
      <c r="BH72" s="123" t="e">
        <f t="shared" si="24"/>
        <v>#DIV/0!</v>
      </c>
      <c r="BI72" s="123" t="e">
        <f t="shared" si="8"/>
        <v>#DIV/0!</v>
      </c>
      <c r="BJ72" s="124"/>
      <c r="BL72" s="105"/>
      <c r="BM72" s="106"/>
      <c r="BN72" s="106"/>
      <c r="BO72" s="107"/>
      <c r="BQ72" s="105"/>
      <c r="BR72" s="106"/>
      <c r="BS72" s="106"/>
      <c r="BT72" s="107"/>
      <c r="BV72" s="105"/>
      <c r="BW72" s="106"/>
      <c r="BX72" s="106"/>
      <c r="BY72" s="107"/>
      <c r="CA72" s="105"/>
      <c r="CB72" s="106"/>
      <c r="CC72" s="106"/>
      <c r="CD72" s="107"/>
    </row>
    <row r="73" spans="1:82" outlineLevel="1">
      <c r="A73" s="13"/>
      <c r="B73" s="14" t="s">
        <v>471</v>
      </c>
      <c r="C73" s="15" t="s">
        <v>134</v>
      </c>
      <c r="D73" s="14">
        <v>59931072</v>
      </c>
      <c r="E73" s="15">
        <v>18</v>
      </c>
      <c r="F73" s="15">
        <v>600</v>
      </c>
      <c r="G73" s="16">
        <v>10</v>
      </c>
      <c r="I73" s="30">
        <f t="shared" si="14"/>
        <v>21.504817333333332</v>
      </c>
      <c r="J73" s="31">
        <f t="shared" si="15"/>
        <v>21.52955048092582</v>
      </c>
      <c r="K73" s="31">
        <f t="shared" si="2"/>
        <v>18.604441182029916</v>
      </c>
      <c r="L73" s="105"/>
      <c r="M73" s="31">
        <f t="shared" si="19"/>
        <v>2.9176732897419222</v>
      </c>
      <c r="N73" s="31">
        <f t="shared" si="4"/>
        <v>21.52955048092582</v>
      </c>
      <c r="O73" s="521">
        <v>59931072</v>
      </c>
      <c r="P73" s="503">
        <v>1290289040</v>
      </c>
      <c r="Q73" s="373">
        <v>1114984104</v>
      </c>
      <c r="R73" s="106"/>
      <c r="S73" s="357">
        <v>174859288</v>
      </c>
      <c r="T73" s="105"/>
      <c r="U73" s="106"/>
      <c r="V73" s="106"/>
      <c r="W73" s="358">
        <v>94.846335999999994</v>
      </c>
      <c r="X73" s="105"/>
      <c r="Y73" s="106"/>
      <c r="Z73" s="106"/>
      <c r="AA73" s="515">
        <v>90.308655000000002</v>
      </c>
      <c r="AB73" s="507"/>
      <c r="AC73" s="359"/>
      <c r="AD73" s="573">
        <v>0</v>
      </c>
      <c r="AE73" s="573">
        <v>0</v>
      </c>
      <c r="AF73" s="33"/>
      <c r="AH73" s="30" t="str">
        <f t="shared" si="23"/>
        <v>·</v>
      </c>
      <c r="AI73" s="31" t="str">
        <f t="shared" si="18"/>
        <v>·</v>
      </c>
      <c r="AJ73" s="31" t="str">
        <f t="shared" si="20"/>
        <v>·</v>
      </c>
      <c r="AK73" s="105" t="str">
        <f t="shared" si="21"/>
        <v>·</v>
      </c>
      <c r="AL73" s="31" t="str">
        <f t="shared" si="22"/>
        <v>·</v>
      </c>
      <c r="AM73" s="31" t="str">
        <f t="shared" si="12"/>
        <v>·</v>
      </c>
      <c r="AN73" s="521"/>
      <c r="AO73" s="503"/>
      <c r="AP73" s="373"/>
      <c r="AQ73" s="106"/>
      <c r="AR73" s="357"/>
      <c r="AS73" s="105"/>
      <c r="AT73" s="106"/>
      <c r="AU73" s="106"/>
      <c r="AV73" s="358"/>
      <c r="AW73" s="105"/>
      <c r="AX73" s="106"/>
      <c r="AY73" s="106"/>
      <c r="AZ73" s="515"/>
      <c r="BA73" s="507"/>
      <c r="BB73" s="359"/>
      <c r="BC73" s="573">
        <v>0</v>
      </c>
      <c r="BD73" s="573">
        <v>0</v>
      </c>
      <c r="BE73" s="33"/>
      <c r="BG73" s="122" t="e">
        <f t="shared" si="24"/>
        <v>#DIV/0!</v>
      </c>
      <c r="BH73" s="123" t="e">
        <f t="shared" si="24"/>
        <v>#DIV/0!</v>
      </c>
      <c r="BI73" s="123" t="e">
        <f t="shared" si="8"/>
        <v>#DIV/0!</v>
      </c>
      <c r="BJ73" s="124"/>
      <c r="BL73" s="105"/>
      <c r="BM73" s="106"/>
      <c r="BN73" s="106"/>
      <c r="BO73" s="107"/>
      <c r="BQ73" s="105"/>
      <c r="BR73" s="106"/>
      <c r="BS73" s="106"/>
      <c r="BT73" s="107"/>
      <c r="BV73" s="105"/>
      <c r="BW73" s="106"/>
      <c r="BX73" s="106"/>
      <c r="BY73" s="107"/>
      <c r="CA73" s="105"/>
      <c r="CB73" s="106"/>
      <c r="CC73" s="106"/>
      <c r="CD73" s="107"/>
    </row>
    <row r="74" spans="1:82" ht="14.25" outlineLevel="1" thickBot="1">
      <c r="A74" s="13"/>
      <c r="B74" s="21" t="s">
        <v>471</v>
      </c>
      <c r="C74" s="22" t="s">
        <v>135</v>
      </c>
      <c r="D74" s="21">
        <v>59931072</v>
      </c>
      <c r="E74" s="22">
        <v>18</v>
      </c>
      <c r="F74" s="22">
        <v>600</v>
      </c>
      <c r="G74" s="23">
        <v>10</v>
      </c>
      <c r="I74" s="34">
        <f t="shared" si="14"/>
        <v>22.509129066666667</v>
      </c>
      <c r="J74" s="35">
        <f t="shared" si="15"/>
        <v>22.535017294534629</v>
      </c>
      <c r="K74" s="35">
        <f t="shared" si="2"/>
        <v>18.604441182029916</v>
      </c>
      <c r="L74" s="134"/>
      <c r="M74" s="35">
        <f t="shared" si="19"/>
        <v>3.92315331853233</v>
      </c>
      <c r="N74" s="35">
        <f t="shared" si="4"/>
        <v>22.535017294534629</v>
      </c>
      <c r="O74" s="522">
        <v>59931072</v>
      </c>
      <c r="P74" s="504">
        <v>1350547744</v>
      </c>
      <c r="Q74" s="374">
        <v>1114984104</v>
      </c>
      <c r="R74" s="135"/>
      <c r="S74" s="369">
        <v>235118784</v>
      </c>
      <c r="T74" s="134"/>
      <c r="U74" s="135"/>
      <c r="V74" s="135"/>
      <c r="W74" s="370">
        <v>99.581717999999995</v>
      </c>
      <c r="X74" s="134"/>
      <c r="Y74" s="135"/>
      <c r="Z74" s="135"/>
      <c r="AA74" s="516">
        <v>96.329025000000001</v>
      </c>
      <c r="AB74" s="508"/>
      <c r="AC74" s="371"/>
      <c r="AD74" s="574">
        <v>0</v>
      </c>
      <c r="AE74" s="574">
        <v>0</v>
      </c>
      <c r="AF74" s="37"/>
      <c r="AH74" s="38" t="str">
        <f t="shared" si="23"/>
        <v>·</v>
      </c>
      <c r="AI74" s="39" t="str">
        <f t="shared" si="18"/>
        <v>·</v>
      </c>
      <c r="AJ74" s="39" t="str">
        <f t="shared" si="20"/>
        <v>·</v>
      </c>
      <c r="AK74" s="134" t="str">
        <f t="shared" si="21"/>
        <v>·</v>
      </c>
      <c r="AL74" s="39" t="str">
        <f t="shared" si="22"/>
        <v>·</v>
      </c>
      <c r="AM74" s="39" t="str">
        <f t="shared" si="12"/>
        <v>·</v>
      </c>
      <c r="AN74" s="522"/>
      <c r="AO74" s="504"/>
      <c r="AP74" s="374"/>
      <c r="AQ74" s="135"/>
      <c r="AR74" s="369"/>
      <c r="AS74" s="134"/>
      <c r="AT74" s="135"/>
      <c r="AU74" s="135"/>
      <c r="AV74" s="370"/>
      <c r="AW74" s="134"/>
      <c r="AX74" s="135"/>
      <c r="AY74" s="135"/>
      <c r="AZ74" s="516"/>
      <c r="BA74" s="508"/>
      <c r="BB74" s="371"/>
      <c r="BC74" s="574">
        <v>0</v>
      </c>
      <c r="BD74" s="574">
        <v>0</v>
      </c>
      <c r="BE74" s="41"/>
      <c r="BG74" s="128" t="e">
        <f t="shared" si="24"/>
        <v>#DIV/0!</v>
      </c>
      <c r="BH74" s="129" t="e">
        <f t="shared" si="24"/>
        <v>#DIV/0!</v>
      </c>
      <c r="BI74" s="129" t="e">
        <f t="shared" si="8"/>
        <v>#DIV/0!</v>
      </c>
      <c r="BJ74" s="130"/>
      <c r="BL74" s="134"/>
      <c r="BM74" s="135"/>
      <c r="BN74" s="135"/>
      <c r="BO74" s="136"/>
      <c r="BQ74" s="134"/>
      <c r="BR74" s="135"/>
      <c r="BS74" s="135"/>
      <c r="BT74" s="136"/>
      <c r="BV74" s="134"/>
      <c r="BW74" s="135"/>
      <c r="BX74" s="135"/>
      <c r="BY74" s="136"/>
      <c r="CA74" s="134"/>
      <c r="CB74" s="135"/>
      <c r="CC74" s="135"/>
      <c r="CD74" s="136"/>
    </row>
    <row r="75" spans="1:82">
      <c r="A75" s="13"/>
      <c r="B75" s="27" t="s">
        <v>469</v>
      </c>
      <c r="C75" s="28" t="s">
        <v>131</v>
      </c>
      <c r="D75" s="27">
        <v>59935680</v>
      </c>
      <c r="E75" s="28">
        <v>18</v>
      </c>
      <c r="F75" s="28">
        <v>600</v>
      </c>
      <c r="G75" s="29">
        <v>10</v>
      </c>
      <c r="I75" s="42">
        <f t="shared" si="14"/>
        <v>19.863031866666667</v>
      </c>
      <c r="J75" s="43">
        <f t="shared" si="15"/>
        <v>19.884347887602175</v>
      </c>
      <c r="K75" s="43">
        <f t="shared" si="2"/>
        <v>18.942545208463471</v>
      </c>
      <c r="L75" s="103"/>
      <c r="M75" s="43">
        <f t="shared" si="19"/>
        <v>0.93436350434332271</v>
      </c>
      <c r="N75" s="43">
        <f t="shared" si="4"/>
        <v>19.884347887602175</v>
      </c>
      <c r="O75" s="520">
        <v>59935680</v>
      </c>
      <c r="P75" s="502">
        <v>1191781912</v>
      </c>
      <c r="Q75" s="372">
        <v>1135334328</v>
      </c>
      <c r="R75" s="104"/>
      <c r="S75" s="353">
        <v>56001712</v>
      </c>
      <c r="T75" s="103"/>
      <c r="U75" s="104"/>
      <c r="V75" s="104"/>
      <c r="W75" s="354">
        <v>77.950432000000006</v>
      </c>
      <c r="X75" s="103"/>
      <c r="Y75" s="104"/>
      <c r="Z75" s="104"/>
      <c r="AA75" s="514">
        <v>72.246467999999993</v>
      </c>
      <c r="AB75" s="506"/>
      <c r="AC75" s="355"/>
      <c r="AD75" s="572">
        <v>0</v>
      </c>
      <c r="AE75" s="572">
        <v>0</v>
      </c>
      <c r="AF75" s="45"/>
      <c r="AH75" s="46" t="str">
        <f t="shared" si="23"/>
        <v>·</v>
      </c>
      <c r="AI75" s="47" t="str">
        <f t="shared" si="18"/>
        <v>·</v>
      </c>
      <c r="AJ75" s="47" t="str">
        <f t="shared" si="20"/>
        <v>·</v>
      </c>
      <c r="AK75" s="103" t="str">
        <f t="shared" si="21"/>
        <v>·</v>
      </c>
      <c r="AL75" s="47" t="str">
        <f t="shared" si="22"/>
        <v>·</v>
      </c>
      <c r="AM75" s="47" t="str">
        <f t="shared" si="12"/>
        <v>·</v>
      </c>
      <c r="AN75" s="520"/>
      <c r="AO75" s="502"/>
      <c r="AP75" s="372"/>
      <c r="AQ75" s="104"/>
      <c r="AR75" s="353"/>
      <c r="AS75" s="103"/>
      <c r="AT75" s="104"/>
      <c r="AU75" s="104"/>
      <c r="AV75" s="354"/>
      <c r="AW75" s="103"/>
      <c r="AX75" s="104"/>
      <c r="AY75" s="104"/>
      <c r="AZ75" s="514"/>
      <c r="BA75" s="506"/>
      <c r="BB75" s="355"/>
      <c r="BC75" s="572">
        <v>0</v>
      </c>
      <c r="BD75" s="572">
        <v>0</v>
      </c>
      <c r="BE75" s="49"/>
      <c r="BG75" s="119" t="e">
        <f t="shared" si="24"/>
        <v>#DIV/0!</v>
      </c>
      <c r="BH75" s="120" t="e">
        <f t="shared" si="24"/>
        <v>#DIV/0!</v>
      </c>
      <c r="BI75" s="120" t="e">
        <f t="shared" si="8"/>
        <v>#DIV/0!</v>
      </c>
      <c r="BJ75" s="121" t="e">
        <f t="array" ref="BJ75">AVERAGE(AP75:AP79/AO75:AO79) - AVERAGE(Q75:Q79/P75:P79)</f>
        <v>#DIV/0!</v>
      </c>
      <c r="BL75" s="103"/>
      <c r="BM75" s="104"/>
      <c r="BN75" s="104"/>
      <c r="BO75" s="139" t="str">
        <f>IF( OR(ISBLANK($S75:$S79),ISBLANK($AR75:$AR79), ISBLANK($W75:$W79),ISBLANK($AV75:$AV79)), "·", bdRateHermite($S75:$S79,$W75:$W79, $AR75:$AR79,$AV75:$AV79))</f>
        <v>·</v>
      </c>
      <c r="BQ75" s="137"/>
      <c r="BR75" s="138"/>
      <c r="BS75" s="138"/>
      <c r="BT75" s="139" t="str">
        <f>IF( OR(ISBLANK($S75:$S79),ISBLANK($AR75:$AR79), ISBLANK($AA75:$AA79),ISBLANK($AZ75:$AZ79)), "·", bdRateHermite($S75:$S79,$AA75:$AA79, $AR75:$AR79,$AZ75:$AZ79))</f>
        <v>·</v>
      </c>
      <c r="BV75" s="137"/>
      <c r="BW75" s="138"/>
      <c r="BX75" s="138"/>
      <c r="BY75" s="139" t="str">
        <f>IF(OR(ISBLANK($P75:$P79),ISBLANK($AO75:$AO79),ISBLANK($W75:$W79),ISBLANK($AV75:$AV79)),"·",bdRateHermite($P75:$P79,$W75:$W79,$AO75:$AO79,$AV75:$AV79))</f>
        <v>·</v>
      </c>
      <c r="CA75" s="137"/>
      <c r="CB75" s="138"/>
      <c r="CC75" s="138"/>
      <c r="CD75" s="139" t="str">
        <f>IF( OR(ISBLANK($P75:$P79),ISBLANK($AO75:$AO79), ISBLANK($AA75:$AA79),ISBLANK($AZ75:$AZ79)), "·", bdRateHermite( $P75:$P79,$AA75:$AA79, $AO75:$AO79,$AZ75:$AZ79))</f>
        <v>·</v>
      </c>
    </row>
    <row r="76" spans="1:82" outlineLevel="1">
      <c r="A76" s="13"/>
      <c r="B76" s="14" t="s">
        <v>469</v>
      </c>
      <c r="C76" s="15" t="s">
        <v>132</v>
      </c>
      <c r="D76" s="14">
        <v>59935680</v>
      </c>
      <c r="E76" s="15">
        <v>18</v>
      </c>
      <c r="F76" s="15">
        <v>600</v>
      </c>
      <c r="G76" s="16">
        <v>10</v>
      </c>
      <c r="I76" s="30">
        <f t="shared" si="14"/>
        <v>20.468570933333332</v>
      </c>
      <c r="J76" s="31">
        <f t="shared" si="15"/>
        <v>20.490536788770896</v>
      </c>
      <c r="K76" s="31">
        <f t="shared" si="2"/>
        <v>18.942545208463471</v>
      </c>
      <c r="L76" s="105"/>
      <c r="M76" s="31">
        <f t="shared" si="19"/>
        <v>1.5405524055120423</v>
      </c>
      <c r="N76" s="31">
        <f t="shared" si="4"/>
        <v>20.490536788770896</v>
      </c>
      <c r="O76" s="521">
        <v>59935680</v>
      </c>
      <c r="P76" s="503">
        <v>1228114256</v>
      </c>
      <c r="Q76" s="373">
        <v>1135334328</v>
      </c>
      <c r="R76" s="106"/>
      <c r="S76" s="357">
        <v>92334056</v>
      </c>
      <c r="T76" s="105"/>
      <c r="U76" s="106"/>
      <c r="V76" s="106"/>
      <c r="W76" s="358">
        <v>83.551772999999997</v>
      </c>
      <c r="X76" s="105"/>
      <c r="Y76" s="106"/>
      <c r="Z76" s="106"/>
      <c r="AA76" s="515">
        <v>78.268180999999998</v>
      </c>
      <c r="AB76" s="507"/>
      <c r="AC76" s="359"/>
      <c r="AD76" s="573">
        <v>0</v>
      </c>
      <c r="AE76" s="573">
        <v>0</v>
      </c>
      <c r="AF76" s="33"/>
      <c r="AH76" s="30" t="str">
        <f t="shared" si="23"/>
        <v>·</v>
      </c>
      <c r="AI76" s="31" t="str">
        <f t="shared" si="18"/>
        <v>·</v>
      </c>
      <c r="AJ76" s="31" t="str">
        <f t="shared" si="20"/>
        <v>·</v>
      </c>
      <c r="AK76" s="105" t="str">
        <f t="shared" si="21"/>
        <v>·</v>
      </c>
      <c r="AL76" s="31" t="str">
        <f t="shared" si="22"/>
        <v>·</v>
      </c>
      <c r="AM76" s="31" t="str">
        <f t="shared" si="12"/>
        <v>·</v>
      </c>
      <c r="AN76" s="521"/>
      <c r="AO76" s="503"/>
      <c r="AP76" s="373"/>
      <c r="AQ76" s="106"/>
      <c r="AR76" s="357"/>
      <c r="AS76" s="105"/>
      <c r="AT76" s="106"/>
      <c r="AU76" s="106"/>
      <c r="AV76" s="358"/>
      <c r="AW76" s="105"/>
      <c r="AX76" s="106"/>
      <c r="AY76" s="106"/>
      <c r="AZ76" s="515"/>
      <c r="BA76" s="507"/>
      <c r="BB76" s="359"/>
      <c r="BC76" s="573">
        <v>0</v>
      </c>
      <c r="BD76" s="573">
        <v>0</v>
      </c>
      <c r="BE76" s="33"/>
      <c r="BG76" s="122" t="e">
        <f t="shared" si="24"/>
        <v>#DIV/0!</v>
      </c>
      <c r="BH76" s="123" t="e">
        <f t="shared" si="24"/>
        <v>#DIV/0!</v>
      </c>
      <c r="BI76" s="123" t="e">
        <f t="shared" si="8"/>
        <v>#DIV/0!</v>
      </c>
      <c r="BJ76" s="124"/>
      <c r="BL76" s="105"/>
      <c r="BM76" s="106"/>
      <c r="BN76" s="106"/>
      <c r="BO76" s="107"/>
      <c r="BQ76" s="105"/>
      <c r="BR76" s="106"/>
      <c r="BS76" s="106"/>
      <c r="BT76" s="107"/>
      <c r="BV76" s="105"/>
      <c r="BW76" s="106"/>
      <c r="BX76" s="106"/>
      <c r="BY76" s="107"/>
      <c r="CA76" s="105"/>
      <c r="CB76" s="106"/>
      <c r="CC76" s="106"/>
      <c r="CD76" s="107"/>
    </row>
    <row r="77" spans="1:82" outlineLevel="1">
      <c r="A77" s="13"/>
      <c r="B77" s="14" t="s">
        <v>467</v>
      </c>
      <c r="C77" s="15" t="s">
        <v>133</v>
      </c>
      <c r="D77" s="14">
        <v>59935680</v>
      </c>
      <c r="E77" s="15">
        <v>18</v>
      </c>
      <c r="F77" s="15">
        <v>600</v>
      </c>
      <c r="G77" s="16">
        <v>10</v>
      </c>
      <c r="I77" s="30">
        <f t="shared" si="14"/>
        <v>21.217258133333331</v>
      </c>
      <c r="J77" s="31">
        <f t="shared" si="15"/>
        <v>21.240027442751963</v>
      </c>
      <c r="K77" s="31">
        <f t="shared" si="2"/>
        <v>18.942545208463471</v>
      </c>
      <c r="L77" s="105"/>
      <c r="M77" s="31">
        <f t="shared" si="19"/>
        <v>2.2900578753757359</v>
      </c>
      <c r="N77" s="31">
        <f t="shared" si="4"/>
        <v>21.240027442751963</v>
      </c>
      <c r="O77" s="521">
        <v>59935680</v>
      </c>
      <c r="P77" s="503">
        <v>1273035488</v>
      </c>
      <c r="Q77" s="373">
        <v>1135334328</v>
      </c>
      <c r="R77" s="106"/>
      <c r="S77" s="357">
        <v>137256176</v>
      </c>
      <c r="T77" s="105"/>
      <c r="U77" s="106"/>
      <c r="V77" s="106"/>
      <c r="W77" s="358">
        <v>89.283546000000001</v>
      </c>
      <c r="X77" s="105"/>
      <c r="Y77" s="106"/>
      <c r="Z77" s="106"/>
      <c r="AA77" s="515">
        <v>84.288764999999998</v>
      </c>
      <c r="AB77" s="507"/>
      <c r="AC77" s="359"/>
      <c r="AD77" s="573">
        <v>0</v>
      </c>
      <c r="AE77" s="573">
        <v>0</v>
      </c>
      <c r="AF77" s="33"/>
      <c r="AH77" s="30" t="str">
        <f t="shared" si="23"/>
        <v>·</v>
      </c>
      <c r="AI77" s="31" t="str">
        <f t="shared" si="18"/>
        <v>·</v>
      </c>
      <c r="AJ77" s="31" t="str">
        <f t="shared" si="20"/>
        <v>·</v>
      </c>
      <c r="AK77" s="105" t="str">
        <f t="shared" si="21"/>
        <v>·</v>
      </c>
      <c r="AL77" s="31" t="str">
        <f t="shared" si="22"/>
        <v>·</v>
      </c>
      <c r="AM77" s="31" t="str">
        <f t="shared" si="12"/>
        <v>·</v>
      </c>
      <c r="AN77" s="521"/>
      <c r="AO77" s="503"/>
      <c r="AP77" s="373"/>
      <c r="AQ77" s="106"/>
      <c r="AR77" s="357"/>
      <c r="AS77" s="105"/>
      <c r="AT77" s="106"/>
      <c r="AU77" s="106"/>
      <c r="AV77" s="358"/>
      <c r="AW77" s="105"/>
      <c r="AX77" s="106"/>
      <c r="AY77" s="106"/>
      <c r="AZ77" s="515"/>
      <c r="BA77" s="507"/>
      <c r="BB77" s="359"/>
      <c r="BC77" s="573">
        <v>0</v>
      </c>
      <c r="BD77" s="573">
        <v>0</v>
      </c>
      <c r="BE77" s="33"/>
      <c r="BG77" s="122" t="e">
        <f t="shared" si="24"/>
        <v>#DIV/0!</v>
      </c>
      <c r="BH77" s="123" t="e">
        <f t="shared" si="24"/>
        <v>#DIV/0!</v>
      </c>
      <c r="BI77" s="123" t="e">
        <f t="shared" si="8"/>
        <v>#DIV/0!</v>
      </c>
      <c r="BJ77" s="124"/>
      <c r="BL77" s="105"/>
      <c r="BM77" s="106"/>
      <c r="BN77" s="106"/>
      <c r="BO77" s="107"/>
      <c r="BQ77" s="105"/>
      <c r="BR77" s="106"/>
      <c r="BS77" s="106"/>
      <c r="BT77" s="107"/>
      <c r="BV77" s="105"/>
      <c r="BW77" s="106"/>
      <c r="BX77" s="106"/>
      <c r="BY77" s="107"/>
      <c r="CA77" s="105"/>
      <c r="CB77" s="106"/>
      <c r="CC77" s="106"/>
      <c r="CD77" s="107"/>
    </row>
    <row r="78" spans="1:82" outlineLevel="1">
      <c r="A78" s="13"/>
      <c r="B78" s="14" t="s">
        <v>467</v>
      </c>
      <c r="C78" s="15" t="s">
        <v>134</v>
      </c>
      <c r="D78" s="14">
        <v>59935680</v>
      </c>
      <c r="E78" s="15">
        <v>18</v>
      </c>
      <c r="F78" s="15">
        <v>600</v>
      </c>
      <c r="G78" s="16">
        <v>10</v>
      </c>
      <c r="I78" s="30">
        <f t="shared" si="14"/>
        <v>22.08659066666667</v>
      </c>
      <c r="J78" s="31">
        <f t="shared" si="15"/>
        <v>22.110292900656169</v>
      </c>
      <c r="K78" s="31">
        <f t="shared" si="2"/>
        <v>18.942545208463471</v>
      </c>
      <c r="L78" s="105"/>
      <c r="M78" s="31">
        <f t="shared" si="19"/>
        <v>3.1603233332799427</v>
      </c>
      <c r="N78" s="31">
        <f t="shared" si="4"/>
        <v>22.110292900656169</v>
      </c>
      <c r="O78" s="521">
        <v>59935680</v>
      </c>
      <c r="P78" s="503">
        <v>1325195440</v>
      </c>
      <c r="Q78" s="373">
        <v>1135334328</v>
      </c>
      <c r="R78" s="106"/>
      <c r="S78" s="357">
        <v>189416128</v>
      </c>
      <c r="T78" s="105"/>
      <c r="U78" s="106"/>
      <c r="V78" s="106"/>
      <c r="W78" s="358">
        <v>94.785117999999997</v>
      </c>
      <c r="X78" s="105"/>
      <c r="Y78" s="106"/>
      <c r="Z78" s="106"/>
      <c r="AA78" s="515">
        <v>90.308655000000002</v>
      </c>
      <c r="AB78" s="507"/>
      <c r="AC78" s="359"/>
      <c r="AD78" s="573">
        <v>0</v>
      </c>
      <c r="AE78" s="573">
        <v>0</v>
      </c>
      <c r="AF78" s="33"/>
      <c r="AH78" s="30" t="str">
        <f t="shared" si="23"/>
        <v>·</v>
      </c>
      <c r="AI78" s="31" t="str">
        <f t="shared" si="18"/>
        <v>·</v>
      </c>
      <c r="AJ78" s="31" t="str">
        <f t="shared" si="20"/>
        <v>·</v>
      </c>
      <c r="AK78" s="105" t="str">
        <f t="shared" si="21"/>
        <v>·</v>
      </c>
      <c r="AL78" s="31" t="str">
        <f t="shared" si="22"/>
        <v>·</v>
      </c>
      <c r="AM78" s="31" t="str">
        <f t="shared" si="12"/>
        <v>·</v>
      </c>
      <c r="AN78" s="521"/>
      <c r="AO78" s="503"/>
      <c r="AP78" s="373"/>
      <c r="AQ78" s="106"/>
      <c r="AR78" s="357"/>
      <c r="AS78" s="105"/>
      <c r="AT78" s="106"/>
      <c r="AU78" s="106"/>
      <c r="AV78" s="358"/>
      <c r="AW78" s="105"/>
      <c r="AX78" s="106"/>
      <c r="AY78" s="106"/>
      <c r="AZ78" s="515"/>
      <c r="BA78" s="507"/>
      <c r="BB78" s="359"/>
      <c r="BC78" s="573">
        <v>0</v>
      </c>
      <c r="BD78" s="573">
        <v>0</v>
      </c>
      <c r="BE78" s="33"/>
      <c r="BG78" s="122" t="e">
        <f t="shared" si="24"/>
        <v>#DIV/0!</v>
      </c>
      <c r="BH78" s="123" t="e">
        <f t="shared" si="24"/>
        <v>#DIV/0!</v>
      </c>
      <c r="BI78" s="123" t="e">
        <f t="shared" si="8"/>
        <v>#DIV/0!</v>
      </c>
      <c r="BJ78" s="124"/>
      <c r="BL78" s="105"/>
      <c r="BM78" s="106"/>
      <c r="BN78" s="106"/>
      <c r="BO78" s="107"/>
      <c r="BQ78" s="105"/>
      <c r="BR78" s="106"/>
      <c r="BS78" s="106"/>
      <c r="BT78" s="107"/>
      <c r="BV78" s="105"/>
      <c r="BW78" s="106"/>
      <c r="BX78" s="106"/>
      <c r="BY78" s="107"/>
      <c r="CA78" s="105"/>
      <c r="CB78" s="106"/>
      <c r="CC78" s="106"/>
      <c r="CD78" s="107"/>
    </row>
    <row r="79" spans="1:82" ht="14.25" outlineLevel="1" thickBot="1">
      <c r="A79" s="13"/>
      <c r="B79" s="18" t="s">
        <v>467</v>
      </c>
      <c r="C79" s="19" t="s">
        <v>135</v>
      </c>
      <c r="D79" s="14">
        <v>59935680</v>
      </c>
      <c r="E79" s="19">
        <v>18</v>
      </c>
      <c r="F79" s="19">
        <v>600</v>
      </c>
      <c r="G79" s="20">
        <v>10</v>
      </c>
      <c r="I79" s="38">
        <f t="shared" si="14"/>
        <v>23.137575733333335</v>
      </c>
      <c r="J79" s="39">
        <f t="shared" si="15"/>
        <v>23.162405832385652</v>
      </c>
      <c r="K79" s="39">
        <f t="shared" si="2"/>
        <v>18.942545208463471</v>
      </c>
      <c r="L79" s="108"/>
      <c r="M79" s="39">
        <f t="shared" si="19"/>
        <v>4.2124532165147706</v>
      </c>
      <c r="N79" s="39">
        <f t="shared" si="4"/>
        <v>23.162405832385652</v>
      </c>
      <c r="O79" s="521">
        <v>59935680</v>
      </c>
      <c r="P79" s="505">
        <v>1388254544</v>
      </c>
      <c r="Q79" s="375">
        <v>1135334328</v>
      </c>
      <c r="R79" s="109"/>
      <c r="S79" s="361">
        <v>252476248</v>
      </c>
      <c r="T79" s="108"/>
      <c r="U79" s="109"/>
      <c r="V79" s="109"/>
      <c r="W79" s="362">
        <v>99.523101999999994</v>
      </c>
      <c r="X79" s="108"/>
      <c r="Y79" s="109"/>
      <c r="Z79" s="109"/>
      <c r="AA79" s="517">
        <v>96.329025000000001</v>
      </c>
      <c r="AB79" s="509"/>
      <c r="AC79" s="363"/>
      <c r="AD79" s="575">
        <v>0</v>
      </c>
      <c r="AE79" s="575">
        <v>0</v>
      </c>
      <c r="AF79" s="41"/>
      <c r="AH79" s="34" t="str">
        <f t="shared" si="23"/>
        <v>·</v>
      </c>
      <c r="AI79" s="35" t="str">
        <f t="shared" si="18"/>
        <v>·</v>
      </c>
      <c r="AJ79" s="35" t="str">
        <f t="shared" si="20"/>
        <v>·</v>
      </c>
      <c r="AK79" s="108" t="str">
        <f t="shared" si="21"/>
        <v>·</v>
      </c>
      <c r="AL79" s="35" t="str">
        <f t="shared" si="22"/>
        <v>·</v>
      </c>
      <c r="AM79" s="35" t="str">
        <f t="shared" si="12"/>
        <v>·</v>
      </c>
      <c r="AN79" s="521"/>
      <c r="AO79" s="505"/>
      <c r="AP79" s="375"/>
      <c r="AQ79" s="109"/>
      <c r="AR79" s="361"/>
      <c r="AS79" s="108"/>
      <c r="AT79" s="109"/>
      <c r="AU79" s="109"/>
      <c r="AV79" s="362"/>
      <c r="AW79" s="108"/>
      <c r="AX79" s="109"/>
      <c r="AY79" s="109"/>
      <c r="AZ79" s="517"/>
      <c r="BA79" s="509"/>
      <c r="BB79" s="363"/>
      <c r="BC79" s="575">
        <v>0</v>
      </c>
      <c r="BD79" s="575">
        <v>0</v>
      </c>
      <c r="BE79" s="37"/>
      <c r="BG79" s="125" t="e">
        <f t="shared" si="24"/>
        <v>#DIV/0!</v>
      </c>
      <c r="BH79" s="126" t="e">
        <f t="shared" si="24"/>
        <v>#DIV/0!</v>
      </c>
      <c r="BI79" s="126" t="e">
        <f t="shared" si="8"/>
        <v>#DIV/0!</v>
      </c>
      <c r="BJ79" s="127"/>
      <c r="BL79" s="108"/>
      <c r="BM79" s="109"/>
      <c r="BN79" s="109"/>
      <c r="BO79" s="110"/>
      <c r="BQ79" s="108"/>
      <c r="BR79" s="109"/>
      <c r="BS79" s="109"/>
      <c r="BT79" s="110"/>
      <c r="BV79" s="108"/>
      <c r="BW79" s="109"/>
      <c r="BX79" s="109"/>
      <c r="BY79" s="110"/>
      <c r="CA79" s="108"/>
      <c r="CB79" s="109"/>
      <c r="CC79" s="109"/>
      <c r="CD79" s="110"/>
    </row>
    <row r="80" spans="1:82">
      <c r="A80" s="13"/>
      <c r="B80" s="24" t="s">
        <v>473</v>
      </c>
      <c r="C80" s="25" t="s">
        <v>131</v>
      </c>
      <c r="D80" s="27">
        <v>59948032</v>
      </c>
      <c r="E80" s="25">
        <v>18</v>
      </c>
      <c r="F80" s="25">
        <v>600</v>
      </c>
      <c r="G80" s="26">
        <v>10</v>
      </c>
      <c r="I80" s="46">
        <f t="shared" si="14"/>
        <v>20.904415733333334</v>
      </c>
      <c r="J80" s="47">
        <f t="shared" si="15"/>
        <v>20.922537440428403</v>
      </c>
      <c r="K80" s="47">
        <f t="shared" si="2"/>
        <v>20.032813087175239</v>
      </c>
      <c r="L80" s="137"/>
      <c r="M80" s="47">
        <f t="shared" si="19"/>
        <v>0.88228457608082944</v>
      </c>
      <c r="N80" s="47">
        <f t="shared" si="4"/>
        <v>20.922537440428403</v>
      </c>
      <c r="O80" s="520">
        <v>59948032</v>
      </c>
      <c r="P80" s="519">
        <v>1254264944</v>
      </c>
      <c r="Q80" s="376">
        <v>1200927720</v>
      </c>
      <c r="R80" s="138"/>
      <c r="S80" s="365">
        <v>52891224</v>
      </c>
      <c r="T80" s="137"/>
      <c r="U80" s="138"/>
      <c r="V80" s="138"/>
      <c r="W80" s="366">
        <v>77.807616999999993</v>
      </c>
      <c r="X80" s="137"/>
      <c r="Y80" s="138"/>
      <c r="Z80" s="138"/>
      <c r="AA80" s="518">
        <v>72.246467999999993</v>
      </c>
      <c r="AB80" s="510"/>
      <c r="AC80" s="367"/>
      <c r="AD80" s="576">
        <v>0</v>
      </c>
      <c r="AE80" s="576">
        <v>0</v>
      </c>
      <c r="AF80" s="49"/>
      <c r="AH80" s="42" t="str">
        <f t="shared" si="23"/>
        <v>·</v>
      </c>
      <c r="AI80" s="43" t="str">
        <f t="shared" si="18"/>
        <v>·</v>
      </c>
      <c r="AJ80" s="43" t="str">
        <f t="shared" si="20"/>
        <v>·</v>
      </c>
      <c r="AK80" s="137" t="str">
        <f t="shared" si="21"/>
        <v>·</v>
      </c>
      <c r="AL80" s="43" t="str">
        <f t="shared" si="22"/>
        <v>·</v>
      </c>
      <c r="AM80" s="43" t="str">
        <f t="shared" si="12"/>
        <v>·</v>
      </c>
      <c r="AN80" s="520"/>
      <c r="AO80" s="519"/>
      <c r="AP80" s="376"/>
      <c r="AQ80" s="138"/>
      <c r="AR80" s="365"/>
      <c r="AS80" s="137"/>
      <c r="AT80" s="138"/>
      <c r="AU80" s="138"/>
      <c r="AV80" s="366"/>
      <c r="AW80" s="137"/>
      <c r="AX80" s="138"/>
      <c r="AY80" s="138"/>
      <c r="AZ80" s="518"/>
      <c r="BA80" s="510"/>
      <c r="BB80" s="367"/>
      <c r="BC80" s="576">
        <v>0</v>
      </c>
      <c r="BD80" s="576">
        <v>0</v>
      </c>
      <c r="BE80" s="45"/>
      <c r="BG80" s="131" t="e">
        <f t="shared" si="24"/>
        <v>#DIV/0!</v>
      </c>
      <c r="BH80" s="132" t="e">
        <f t="shared" si="24"/>
        <v>#DIV/0!</v>
      </c>
      <c r="BI80" s="132" t="e">
        <f t="shared" si="8"/>
        <v>#DIV/0!</v>
      </c>
      <c r="BJ80" s="133" t="e">
        <f t="array" ref="BJ80">AVERAGE(AP80:AP84/AO80:AO84) - AVERAGE(Q80:Q84/P80:P84)</f>
        <v>#DIV/0!</v>
      </c>
      <c r="BL80" s="137"/>
      <c r="BM80" s="138"/>
      <c r="BN80" s="138"/>
      <c r="BO80" s="139" t="str">
        <f>IF( OR(ISBLANK($S80:$S84),ISBLANK($AR80:$AR84), ISBLANK($W80:$W84),ISBLANK($AV80:$AV84)), "·", bdRateHermite($S80:$S84,$W80:$W84, $AR80:$AR84,$AV80:$AV84))</f>
        <v>·</v>
      </c>
      <c r="BQ80" s="137"/>
      <c r="BR80" s="138"/>
      <c r="BS80" s="138"/>
      <c r="BT80" s="139" t="str">
        <f>IF( OR(ISBLANK($S80:$S84),ISBLANK($AR80:$AR84), ISBLANK($AA80:$AA84),ISBLANK($AZ80:$AZ84)), "·", bdRateHermite($S80:$S84,$AA80:$AA84, $AR80:$AR84,$AZ80:$AZ84))</f>
        <v>·</v>
      </c>
      <c r="BV80" s="137"/>
      <c r="BW80" s="138"/>
      <c r="BX80" s="138"/>
      <c r="BY80" s="139" t="str">
        <f>IF(OR(ISBLANK($P80:$P84),ISBLANK($AO80:$AO84),ISBLANK($W80:$W84),ISBLANK($AV80:$AV84)),"·",bdRateHermite($P80:$P84,$W80:$W84,$AO80:$AO84,$AV80:$AV84))</f>
        <v>·</v>
      </c>
      <c r="CA80" s="137"/>
      <c r="CB80" s="138"/>
      <c r="CC80" s="138"/>
      <c r="CD80" s="139" t="str">
        <f>IF( OR(ISBLANK($P80:$P84),ISBLANK($AO80:$AO84), ISBLANK($AA80:$AA84),ISBLANK($AZ80:$AZ84)), "·", bdRateHermite( $P80:$P84,$AA80:$AA84, $AO80:$AO84,$AZ80:$AZ84))</f>
        <v>·</v>
      </c>
    </row>
    <row r="81" spans="1:82" outlineLevel="1">
      <c r="A81" s="13"/>
      <c r="B81" s="14" t="s">
        <v>468</v>
      </c>
      <c r="C81" s="15" t="s">
        <v>132</v>
      </c>
      <c r="D81" s="24">
        <v>59948032</v>
      </c>
      <c r="E81" s="15">
        <v>18</v>
      </c>
      <c r="F81" s="15">
        <v>600</v>
      </c>
      <c r="G81" s="16">
        <v>10</v>
      </c>
      <c r="I81" s="30">
        <f t="shared" si="14"/>
        <v>21.574364533333334</v>
      </c>
      <c r="J81" s="31">
        <f t="shared" si="15"/>
        <v>21.593067008438243</v>
      </c>
      <c r="K81" s="31">
        <f t="shared" si="2"/>
        <v>20.032813087175239</v>
      </c>
      <c r="L81" s="105"/>
      <c r="M81" s="31">
        <f t="shared" si="19"/>
        <v>1.5528141440906684</v>
      </c>
      <c r="N81" s="31">
        <f t="shared" si="4"/>
        <v>21.593067008438243</v>
      </c>
      <c r="O81" s="523">
        <v>59948032</v>
      </c>
      <c r="P81" s="503">
        <v>1294461872</v>
      </c>
      <c r="Q81" s="373">
        <v>1200927720</v>
      </c>
      <c r="R81" s="106"/>
      <c r="S81" s="357">
        <v>93088152</v>
      </c>
      <c r="T81" s="105"/>
      <c r="U81" s="106"/>
      <c r="V81" s="106"/>
      <c r="W81" s="358">
        <v>83.353226000000006</v>
      </c>
      <c r="X81" s="105"/>
      <c r="Y81" s="106"/>
      <c r="Z81" s="106"/>
      <c r="AA81" s="515">
        <v>78.268180999999998</v>
      </c>
      <c r="AB81" s="507"/>
      <c r="AC81" s="359"/>
      <c r="AD81" s="573">
        <v>0</v>
      </c>
      <c r="AE81" s="573">
        <v>0</v>
      </c>
      <c r="AF81" s="33"/>
      <c r="AH81" s="30" t="str">
        <f t="shared" si="23"/>
        <v>·</v>
      </c>
      <c r="AI81" s="31" t="str">
        <f t="shared" si="18"/>
        <v>·</v>
      </c>
      <c r="AJ81" s="31" t="str">
        <f t="shared" si="20"/>
        <v>·</v>
      </c>
      <c r="AK81" s="105" t="str">
        <f t="shared" si="21"/>
        <v>·</v>
      </c>
      <c r="AL81" s="31" t="str">
        <f t="shared" si="22"/>
        <v>·</v>
      </c>
      <c r="AM81" s="31" t="str">
        <f t="shared" si="12"/>
        <v>·</v>
      </c>
      <c r="AN81" s="523"/>
      <c r="AO81" s="503"/>
      <c r="AP81" s="373"/>
      <c r="AQ81" s="106"/>
      <c r="AR81" s="357"/>
      <c r="AS81" s="105"/>
      <c r="AT81" s="106"/>
      <c r="AU81" s="106"/>
      <c r="AV81" s="358"/>
      <c r="AW81" s="105"/>
      <c r="AX81" s="106"/>
      <c r="AY81" s="106"/>
      <c r="AZ81" s="515"/>
      <c r="BA81" s="507"/>
      <c r="BB81" s="359"/>
      <c r="BC81" s="573">
        <v>0</v>
      </c>
      <c r="BD81" s="573">
        <v>0</v>
      </c>
      <c r="BE81" s="33"/>
      <c r="BG81" s="122" t="e">
        <f t="shared" si="24"/>
        <v>#DIV/0!</v>
      </c>
      <c r="BH81" s="123" t="e">
        <f t="shared" si="24"/>
        <v>#DIV/0!</v>
      </c>
      <c r="BI81" s="123" t="e">
        <f t="shared" si="8"/>
        <v>#DIV/0!</v>
      </c>
      <c r="BJ81" s="124"/>
      <c r="BL81" s="105"/>
      <c r="BM81" s="106"/>
      <c r="BN81" s="106"/>
      <c r="BO81" s="107"/>
      <c r="BQ81" s="105"/>
      <c r="BR81" s="106"/>
      <c r="BS81" s="106"/>
      <c r="BT81" s="107"/>
      <c r="BV81" s="105"/>
      <c r="BW81" s="106"/>
      <c r="BX81" s="106"/>
      <c r="BY81" s="107"/>
      <c r="CA81" s="105"/>
      <c r="CB81" s="106"/>
      <c r="CC81" s="106"/>
      <c r="CD81" s="107"/>
    </row>
    <row r="82" spans="1:82" outlineLevel="1">
      <c r="A82" s="13"/>
      <c r="B82" s="14" t="s">
        <v>468</v>
      </c>
      <c r="C82" s="15" t="s">
        <v>133</v>
      </c>
      <c r="D82" s="24">
        <v>59948032</v>
      </c>
      <c r="E82" s="15">
        <v>18</v>
      </c>
      <c r="F82" s="15">
        <v>600</v>
      </c>
      <c r="G82" s="16">
        <v>10</v>
      </c>
      <c r="I82" s="30">
        <f t="shared" si="14"/>
        <v>22.373289733333333</v>
      </c>
      <c r="J82" s="31">
        <f t="shared" si="15"/>
        <v>22.392684784047624</v>
      </c>
      <c r="K82" s="31">
        <f t="shared" si="2"/>
        <v>20.032813087175239</v>
      </c>
      <c r="L82" s="105"/>
      <c r="M82" s="31">
        <f t="shared" si="19"/>
        <v>2.3524440635515775</v>
      </c>
      <c r="N82" s="31">
        <f t="shared" si="4"/>
        <v>22.392684784047624</v>
      </c>
      <c r="O82" s="523">
        <v>59948032</v>
      </c>
      <c r="P82" s="503">
        <v>1342397384</v>
      </c>
      <c r="Q82" s="373">
        <v>1200927720</v>
      </c>
      <c r="R82" s="106"/>
      <c r="S82" s="357">
        <v>141024392</v>
      </c>
      <c r="T82" s="105"/>
      <c r="U82" s="106"/>
      <c r="V82" s="106"/>
      <c r="W82" s="358">
        <v>89.100082</v>
      </c>
      <c r="X82" s="105"/>
      <c r="Y82" s="106"/>
      <c r="Z82" s="106"/>
      <c r="AA82" s="515">
        <v>84.288764999999998</v>
      </c>
      <c r="AB82" s="507"/>
      <c r="AC82" s="359"/>
      <c r="AD82" s="573">
        <v>0</v>
      </c>
      <c r="AE82" s="573">
        <v>0</v>
      </c>
      <c r="AF82" s="33"/>
      <c r="AH82" s="30" t="str">
        <f t="shared" si="23"/>
        <v>·</v>
      </c>
      <c r="AI82" s="31" t="str">
        <f t="shared" si="18"/>
        <v>·</v>
      </c>
      <c r="AJ82" s="31" t="str">
        <f t="shared" si="20"/>
        <v>·</v>
      </c>
      <c r="AK82" s="105" t="str">
        <f t="shared" si="21"/>
        <v>·</v>
      </c>
      <c r="AL82" s="31" t="str">
        <f t="shared" si="22"/>
        <v>·</v>
      </c>
      <c r="AM82" s="31" t="str">
        <f t="shared" si="12"/>
        <v>·</v>
      </c>
      <c r="AN82" s="523"/>
      <c r="AO82" s="503"/>
      <c r="AP82" s="373"/>
      <c r="AQ82" s="106"/>
      <c r="AR82" s="357"/>
      <c r="AS82" s="105"/>
      <c r="AT82" s="106"/>
      <c r="AU82" s="106"/>
      <c r="AV82" s="358"/>
      <c r="AW82" s="105"/>
      <c r="AX82" s="106"/>
      <c r="AY82" s="106"/>
      <c r="AZ82" s="515"/>
      <c r="BA82" s="507"/>
      <c r="BB82" s="359"/>
      <c r="BC82" s="573">
        <v>0</v>
      </c>
      <c r="BD82" s="573">
        <v>0</v>
      </c>
      <c r="BE82" s="33"/>
      <c r="BG82" s="122" t="e">
        <f t="shared" si="24"/>
        <v>#DIV/0!</v>
      </c>
      <c r="BH82" s="123" t="e">
        <f t="shared" si="24"/>
        <v>#DIV/0!</v>
      </c>
      <c r="BI82" s="123" t="e">
        <f t="shared" si="8"/>
        <v>#DIV/0!</v>
      </c>
      <c r="BJ82" s="124"/>
      <c r="BL82" s="105"/>
      <c r="BM82" s="106"/>
      <c r="BN82" s="106"/>
      <c r="BO82" s="107"/>
      <c r="BQ82" s="105"/>
      <c r="BR82" s="106"/>
      <c r="BS82" s="106"/>
      <c r="BT82" s="107"/>
      <c r="BV82" s="105"/>
      <c r="BW82" s="106"/>
      <c r="BX82" s="106"/>
      <c r="BY82" s="107"/>
      <c r="CA82" s="105"/>
      <c r="CB82" s="106"/>
      <c r="CC82" s="106"/>
      <c r="CD82" s="107"/>
    </row>
    <row r="83" spans="1:82" outlineLevel="1">
      <c r="A83" s="13"/>
      <c r="B83" s="14" t="s">
        <v>468</v>
      </c>
      <c r="C83" s="15" t="s">
        <v>134</v>
      </c>
      <c r="D83" s="24">
        <v>59948032</v>
      </c>
      <c r="E83" s="15">
        <v>18</v>
      </c>
      <c r="F83" s="15">
        <v>600</v>
      </c>
      <c r="G83" s="16">
        <v>10</v>
      </c>
      <c r="I83" s="30">
        <f t="shared" si="14"/>
        <v>23.272213600000001</v>
      </c>
      <c r="J83" s="31">
        <f t="shared" si="15"/>
        <v>23.292387913584886</v>
      </c>
      <c r="K83" s="31">
        <f t="shared" si="2"/>
        <v>20.032813087175239</v>
      </c>
      <c r="L83" s="105"/>
      <c r="M83" s="31">
        <f t="shared" si="19"/>
        <v>3.2521471930888408</v>
      </c>
      <c r="N83" s="31">
        <f t="shared" si="4"/>
        <v>23.292387913584886</v>
      </c>
      <c r="O83" s="523">
        <v>59948032</v>
      </c>
      <c r="P83" s="503">
        <v>1396332816</v>
      </c>
      <c r="Q83" s="373">
        <v>1200927720</v>
      </c>
      <c r="R83" s="106"/>
      <c r="S83" s="357">
        <v>194959824</v>
      </c>
      <c r="T83" s="105"/>
      <c r="U83" s="106"/>
      <c r="V83" s="106"/>
      <c r="W83" s="358">
        <v>94.678047000000007</v>
      </c>
      <c r="X83" s="105"/>
      <c r="Y83" s="106"/>
      <c r="Z83" s="106"/>
      <c r="AA83" s="515">
        <v>90.308655000000002</v>
      </c>
      <c r="AB83" s="507"/>
      <c r="AC83" s="359"/>
      <c r="AD83" s="573">
        <v>0</v>
      </c>
      <c r="AE83" s="573">
        <v>0</v>
      </c>
      <c r="AF83" s="33"/>
      <c r="AH83" s="30" t="str">
        <f t="shared" si="23"/>
        <v>·</v>
      </c>
      <c r="AI83" s="31" t="str">
        <f t="shared" si="18"/>
        <v>·</v>
      </c>
      <c r="AJ83" s="31" t="str">
        <f t="shared" si="20"/>
        <v>·</v>
      </c>
      <c r="AK83" s="105" t="str">
        <f t="shared" si="21"/>
        <v>·</v>
      </c>
      <c r="AL83" s="31" t="str">
        <f t="shared" si="22"/>
        <v>·</v>
      </c>
      <c r="AM83" s="31" t="str">
        <f t="shared" si="12"/>
        <v>·</v>
      </c>
      <c r="AN83" s="523"/>
      <c r="AO83" s="503"/>
      <c r="AP83" s="373"/>
      <c r="AQ83" s="106"/>
      <c r="AR83" s="357"/>
      <c r="AS83" s="105"/>
      <c r="AT83" s="106"/>
      <c r="AU83" s="106"/>
      <c r="AV83" s="358"/>
      <c r="AW83" s="105"/>
      <c r="AX83" s="106"/>
      <c r="AY83" s="106"/>
      <c r="AZ83" s="515"/>
      <c r="BA83" s="507"/>
      <c r="BB83" s="359"/>
      <c r="BC83" s="573">
        <v>0</v>
      </c>
      <c r="BD83" s="573">
        <v>0</v>
      </c>
      <c r="BE83" s="33"/>
      <c r="BG83" s="122" t="e">
        <f t="shared" si="24"/>
        <v>#DIV/0!</v>
      </c>
      <c r="BH83" s="123" t="e">
        <f t="shared" si="24"/>
        <v>#DIV/0!</v>
      </c>
      <c r="BI83" s="123" t="e">
        <f t="shared" si="8"/>
        <v>#DIV/0!</v>
      </c>
      <c r="BJ83" s="124"/>
      <c r="BL83" s="105"/>
      <c r="BM83" s="106"/>
      <c r="BN83" s="106"/>
      <c r="BO83" s="107"/>
      <c r="BQ83" s="105"/>
      <c r="BR83" s="106"/>
      <c r="BS83" s="106"/>
      <c r="BT83" s="107"/>
      <c r="BV83" s="105"/>
      <c r="BW83" s="106"/>
      <c r="BX83" s="106"/>
      <c r="BY83" s="107"/>
      <c r="CA83" s="105"/>
      <c r="CB83" s="106"/>
      <c r="CC83" s="106"/>
      <c r="CD83" s="107"/>
    </row>
    <row r="84" spans="1:82" ht="14.25" outlineLevel="1" thickBot="1">
      <c r="A84" s="215"/>
      <c r="B84" s="18" t="s">
        <v>468</v>
      </c>
      <c r="C84" s="19" t="s">
        <v>135</v>
      </c>
      <c r="D84" s="185">
        <v>59948032</v>
      </c>
      <c r="E84" s="19">
        <v>18</v>
      </c>
      <c r="F84" s="19">
        <v>600</v>
      </c>
      <c r="G84" s="20">
        <v>10</v>
      </c>
      <c r="I84" s="34">
        <f t="shared" si="14"/>
        <v>24.360481866666667</v>
      </c>
      <c r="J84" s="35">
        <f t="shared" si="15"/>
        <v>24.381599582785302</v>
      </c>
      <c r="K84" s="35">
        <f t="shared" si="2"/>
        <v>20.032813087175239</v>
      </c>
      <c r="L84" s="108"/>
      <c r="M84" s="35">
        <f t="shared" si="19"/>
        <v>4.3413768778931727</v>
      </c>
      <c r="N84" s="35">
        <f t="shared" si="4"/>
        <v>24.381599582785302</v>
      </c>
      <c r="O84" s="524">
        <v>59948032</v>
      </c>
      <c r="P84" s="505">
        <v>1461628912</v>
      </c>
      <c r="Q84" s="375">
        <v>1200927720</v>
      </c>
      <c r="R84" s="109"/>
      <c r="S84" s="361">
        <v>260257000</v>
      </c>
      <c r="T84" s="108"/>
      <c r="U84" s="109"/>
      <c r="V84" s="109"/>
      <c r="W84" s="362">
        <v>99.443916000000002</v>
      </c>
      <c r="X84" s="108"/>
      <c r="Y84" s="109"/>
      <c r="Z84" s="109"/>
      <c r="AA84" s="517">
        <v>96.329025000000001</v>
      </c>
      <c r="AB84" s="509"/>
      <c r="AC84" s="363"/>
      <c r="AD84" s="575">
        <v>0</v>
      </c>
      <c r="AE84" s="575">
        <v>0</v>
      </c>
      <c r="AF84" s="37"/>
      <c r="AH84" s="34" t="str">
        <f t="shared" si="23"/>
        <v>·</v>
      </c>
      <c r="AI84" s="35" t="str">
        <f t="shared" si="18"/>
        <v>·</v>
      </c>
      <c r="AJ84" s="35" t="str">
        <f t="shared" si="20"/>
        <v>·</v>
      </c>
      <c r="AK84" s="108" t="str">
        <f t="shared" si="21"/>
        <v>·</v>
      </c>
      <c r="AL84" s="35" t="str">
        <f t="shared" si="22"/>
        <v>·</v>
      </c>
      <c r="AM84" s="35" t="str">
        <f t="shared" si="12"/>
        <v>·</v>
      </c>
      <c r="AN84" s="524"/>
      <c r="AO84" s="505"/>
      <c r="AP84" s="375"/>
      <c r="AQ84" s="109"/>
      <c r="AR84" s="361"/>
      <c r="AS84" s="108"/>
      <c r="AT84" s="109"/>
      <c r="AU84" s="109"/>
      <c r="AV84" s="362"/>
      <c r="AW84" s="108"/>
      <c r="AX84" s="109"/>
      <c r="AY84" s="109"/>
      <c r="AZ84" s="517"/>
      <c r="BA84" s="509"/>
      <c r="BB84" s="363"/>
      <c r="BC84" s="575">
        <v>0</v>
      </c>
      <c r="BD84" s="575">
        <v>0</v>
      </c>
      <c r="BE84" s="37"/>
      <c r="BG84" s="125" t="e">
        <f t="shared" si="24"/>
        <v>#DIV/0!</v>
      </c>
      <c r="BH84" s="126" t="e">
        <f t="shared" si="24"/>
        <v>#DIV/0!</v>
      </c>
      <c r="BI84" s="126" t="e">
        <f t="shared" si="8"/>
        <v>#DIV/0!</v>
      </c>
      <c r="BJ84" s="127"/>
      <c r="BL84" s="108"/>
      <c r="BM84" s="109"/>
      <c r="BN84" s="109"/>
      <c r="BO84" s="110"/>
      <c r="BQ84" s="108"/>
      <c r="BR84" s="109"/>
      <c r="BS84" s="109"/>
      <c r="BT84" s="110"/>
      <c r="BV84" s="108"/>
      <c r="BW84" s="109"/>
      <c r="BX84" s="109"/>
      <c r="BY84" s="110"/>
      <c r="CA84" s="108"/>
      <c r="CB84" s="109"/>
      <c r="CC84" s="109"/>
      <c r="CD84" s="110"/>
    </row>
    <row r="85" spans="1:82">
      <c r="A85" s="13"/>
      <c r="B85" s="24" t="s">
        <v>813</v>
      </c>
      <c r="C85" s="25" t="s">
        <v>131</v>
      </c>
      <c r="D85" s="27">
        <v>40386600</v>
      </c>
      <c r="E85" s="15">
        <v>20</v>
      </c>
      <c r="F85" s="25">
        <v>387</v>
      </c>
      <c r="G85" s="26">
        <v>20</v>
      </c>
      <c r="I85" s="46">
        <f t="shared" si="14"/>
        <v>31.873248992248062</v>
      </c>
      <c r="J85" s="47">
        <f t="shared" si="15"/>
        <v>15.271089123620211</v>
      </c>
      <c r="K85" s="47">
        <f t="shared" si="2"/>
        <v>14.81315248126854</v>
      </c>
      <c r="L85" s="103"/>
      <c r="M85" s="47">
        <f t="shared" si="19"/>
        <v>0.45076119306898821</v>
      </c>
      <c r="N85" s="47">
        <f t="shared" si="4"/>
        <v>15.271089123620211</v>
      </c>
      <c r="O85" s="521">
        <v>40386600</v>
      </c>
      <c r="P85" s="502">
        <v>616747368</v>
      </c>
      <c r="Q85" s="372">
        <v>598252864</v>
      </c>
      <c r="R85" s="104"/>
      <c r="S85" s="353">
        <v>18204712</v>
      </c>
      <c r="T85" s="103"/>
      <c r="U85" s="104"/>
      <c r="V85" s="104"/>
      <c r="W85" s="354">
        <v>78.562873999999994</v>
      </c>
      <c r="X85" s="103"/>
      <c r="Y85" s="104"/>
      <c r="Z85" s="104"/>
      <c r="AA85" s="514">
        <v>72.246666000000005</v>
      </c>
      <c r="AB85" s="506"/>
      <c r="AC85" s="355"/>
      <c r="AD85" s="572">
        <v>0</v>
      </c>
      <c r="AE85" s="572">
        <v>0</v>
      </c>
      <c r="AF85" s="49"/>
      <c r="AH85" s="46" t="str">
        <f t="shared" si="23"/>
        <v>·</v>
      </c>
      <c r="AI85" s="47" t="str">
        <f t="shared" si="18"/>
        <v>·</v>
      </c>
      <c r="AJ85" s="47" t="str">
        <f t="shared" si="20"/>
        <v>·</v>
      </c>
      <c r="AK85" s="103" t="str">
        <f t="shared" si="21"/>
        <v>·</v>
      </c>
      <c r="AL85" s="47" t="str">
        <f t="shared" si="22"/>
        <v>·</v>
      </c>
      <c r="AM85" s="47" t="str">
        <f t="shared" si="12"/>
        <v>·</v>
      </c>
      <c r="AN85" s="521"/>
      <c r="AO85" s="502"/>
      <c r="AP85" s="372"/>
      <c r="AQ85" s="104"/>
      <c r="AR85" s="353"/>
      <c r="AS85" s="103"/>
      <c r="AT85" s="104"/>
      <c r="AU85" s="104"/>
      <c r="AV85" s="354"/>
      <c r="AW85" s="103"/>
      <c r="AX85" s="104"/>
      <c r="AY85" s="104"/>
      <c r="AZ85" s="514"/>
      <c r="BA85" s="506"/>
      <c r="BB85" s="355"/>
      <c r="BC85" s="572">
        <v>0</v>
      </c>
      <c r="BD85" s="572">
        <v>0</v>
      </c>
      <c r="BE85" s="49"/>
      <c r="BG85" s="119" t="e">
        <f t="shared" si="24"/>
        <v>#DIV/0!</v>
      </c>
      <c r="BH85" s="120" t="e">
        <f t="shared" si="24"/>
        <v>#DIV/0!</v>
      </c>
      <c r="BI85" s="120" t="e">
        <f t="shared" si="8"/>
        <v>#DIV/0!</v>
      </c>
      <c r="BJ85" s="121" t="e">
        <f t="array" ref="BJ85">AVERAGE(AP85:AP89/AO85:AO89) - AVERAGE(Q85:Q89/P85:P89)</f>
        <v>#DIV/0!</v>
      </c>
      <c r="BL85" s="103"/>
      <c r="BM85" s="104"/>
      <c r="BN85" s="104"/>
      <c r="BO85" s="139" t="str">
        <f>IF( OR(ISBLANK($S85:$S89),ISBLANK($AR85:$AR89), ISBLANK($W85:$W89),ISBLANK($AV85:$AV89)), "·", bdRateHermite($S85:$S89,$W85:$W89, $AR85:$AR89,$AV85:$AV89))</f>
        <v>·</v>
      </c>
      <c r="BQ85" s="137"/>
      <c r="BR85" s="138"/>
      <c r="BS85" s="138"/>
      <c r="BT85" s="139" t="str">
        <f>IF( OR(ISBLANK($S85:$S89),ISBLANK($AR85:$AR89), ISBLANK($AA85:$AA89),ISBLANK($AZ85:$AZ89)), "·", bdRateHermite($S85:$S89,$AA85:$AA89, $AR85:$AR89,$AZ85:$AZ89))</f>
        <v>·</v>
      </c>
      <c r="BV85" s="137"/>
      <c r="BW85" s="138"/>
      <c r="BX85" s="138"/>
      <c r="BY85" s="139" t="str">
        <f>IF(OR(ISBLANK($P85:$P89),ISBLANK($AO85:$AO89),ISBLANK($W85:$W89),ISBLANK($AV85:$AV89)),"·",bdRateHermite($P85:$P89,$W85:$W89,$AO85:$AO89,$AV85:$AV89))</f>
        <v>·</v>
      </c>
      <c r="CA85" s="137"/>
      <c r="CB85" s="138"/>
      <c r="CC85" s="138"/>
      <c r="CD85" s="139" t="str">
        <f>IF( OR(ISBLANK($P85:$P89),ISBLANK($AO85:$AO89), ISBLANK($AA85:$AA89),ISBLANK($AZ85:$AZ89)), "·", bdRateHermite( $P85:$P89,$AA85:$AA89, $AO85:$AO89,$AZ85:$AZ89))</f>
        <v>·</v>
      </c>
    </row>
    <row r="86" spans="1:82" outlineLevel="1">
      <c r="A86" s="13"/>
      <c r="B86" s="24" t="s">
        <v>813</v>
      </c>
      <c r="C86" s="15" t="s">
        <v>132</v>
      </c>
      <c r="D86" s="24">
        <v>40386600</v>
      </c>
      <c r="E86" s="15">
        <v>20</v>
      </c>
      <c r="F86" s="25">
        <v>387</v>
      </c>
      <c r="G86" s="26">
        <v>20</v>
      </c>
      <c r="I86" s="30">
        <f t="shared" si="14"/>
        <v>32.673105529715762</v>
      </c>
      <c r="J86" s="31">
        <f t="shared" si="15"/>
        <v>15.654315837431227</v>
      </c>
      <c r="K86" s="31">
        <f t="shared" si="2"/>
        <v>14.81315248126854</v>
      </c>
      <c r="L86" s="105"/>
      <c r="M86" s="31">
        <f t="shared" si="19"/>
        <v>0.83398790688000479</v>
      </c>
      <c r="N86" s="31">
        <f t="shared" si="4"/>
        <v>15.654315837431227</v>
      </c>
      <c r="O86" s="521">
        <v>40386600</v>
      </c>
      <c r="P86" s="503">
        <v>632224592</v>
      </c>
      <c r="Q86" s="373">
        <v>598252864</v>
      </c>
      <c r="R86" s="106"/>
      <c r="S86" s="357">
        <v>33681936</v>
      </c>
      <c r="T86" s="105"/>
      <c r="U86" s="106"/>
      <c r="V86" s="106"/>
      <c r="W86" s="358">
        <v>84.215187</v>
      </c>
      <c r="X86" s="105"/>
      <c r="Y86" s="106"/>
      <c r="Z86" s="106"/>
      <c r="AA86" s="515">
        <v>78.267585999999994</v>
      </c>
      <c r="AB86" s="507"/>
      <c r="AC86" s="359"/>
      <c r="AD86" s="573">
        <v>0</v>
      </c>
      <c r="AE86" s="573">
        <v>0</v>
      </c>
      <c r="AF86" s="33"/>
      <c r="AH86" s="30" t="str">
        <f t="shared" si="23"/>
        <v>·</v>
      </c>
      <c r="AI86" s="31" t="str">
        <f t="shared" si="18"/>
        <v>·</v>
      </c>
      <c r="AJ86" s="31" t="str">
        <f t="shared" si="20"/>
        <v>·</v>
      </c>
      <c r="AK86" s="105" t="str">
        <f t="shared" si="21"/>
        <v>·</v>
      </c>
      <c r="AL86" s="31" t="str">
        <f t="shared" si="22"/>
        <v>·</v>
      </c>
      <c r="AM86" s="31" t="str">
        <f t="shared" si="12"/>
        <v>·</v>
      </c>
      <c r="AN86" s="521"/>
      <c r="AO86" s="503"/>
      <c r="AP86" s="373"/>
      <c r="AQ86" s="106"/>
      <c r="AR86" s="357"/>
      <c r="AS86" s="105"/>
      <c r="AT86" s="106"/>
      <c r="AU86" s="106"/>
      <c r="AV86" s="358"/>
      <c r="AW86" s="105"/>
      <c r="AX86" s="106"/>
      <c r="AY86" s="106"/>
      <c r="AZ86" s="515"/>
      <c r="BA86" s="507"/>
      <c r="BB86" s="359"/>
      <c r="BC86" s="573">
        <v>0</v>
      </c>
      <c r="BD86" s="573">
        <v>0</v>
      </c>
      <c r="BE86" s="33"/>
      <c r="BG86" s="122" t="e">
        <f t="shared" si="24"/>
        <v>#DIV/0!</v>
      </c>
      <c r="BH86" s="123" t="e">
        <f t="shared" si="24"/>
        <v>#DIV/0!</v>
      </c>
      <c r="BI86" s="123" t="e">
        <f t="shared" si="8"/>
        <v>#DIV/0!</v>
      </c>
      <c r="BJ86" s="124"/>
      <c r="BL86" s="105"/>
      <c r="BM86" s="106"/>
      <c r="BN86" s="106"/>
      <c r="BO86" s="107"/>
      <c r="BQ86" s="105"/>
      <c r="BR86" s="106"/>
      <c r="BS86" s="106"/>
      <c r="BT86" s="107"/>
      <c r="BV86" s="105"/>
      <c r="BW86" s="106"/>
      <c r="BX86" s="106"/>
      <c r="BY86" s="107"/>
      <c r="CA86" s="105"/>
      <c r="CB86" s="106"/>
      <c r="CC86" s="106"/>
      <c r="CD86" s="107"/>
    </row>
    <row r="87" spans="1:82" outlineLevel="1">
      <c r="A87" s="13"/>
      <c r="B87" s="24" t="s">
        <v>813</v>
      </c>
      <c r="C87" s="15" t="s">
        <v>133</v>
      </c>
      <c r="D87" s="24">
        <v>40386600</v>
      </c>
      <c r="E87" s="15">
        <v>20</v>
      </c>
      <c r="F87" s="25">
        <v>387</v>
      </c>
      <c r="G87" s="26">
        <v>20</v>
      </c>
      <c r="I87" s="30">
        <f t="shared" si="14"/>
        <v>33.633725684754523</v>
      </c>
      <c r="J87" s="31">
        <f t="shared" si="15"/>
        <v>16.114567505063562</v>
      </c>
      <c r="K87" s="31">
        <f t="shared" si="2"/>
        <v>14.81315248126854</v>
      </c>
      <c r="L87" s="105"/>
      <c r="M87" s="31">
        <f t="shared" si="19"/>
        <v>1.2942583926351809</v>
      </c>
      <c r="N87" s="31">
        <f t="shared" si="4"/>
        <v>16.114567505063562</v>
      </c>
      <c r="O87" s="521">
        <v>40386600</v>
      </c>
      <c r="P87" s="503">
        <v>650812592</v>
      </c>
      <c r="Q87" s="373">
        <v>598252864</v>
      </c>
      <c r="R87" s="106"/>
      <c r="S87" s="357">
        <v>52270696</v>
      </c>
      <c r="T87" s="105"/>
      <c r="U87" s="106"/>
      <c r="V87" s="106"/>
      <c r="W87" s="358">
        <v>89.768508999999995</v>
      </c>
      <c r="X87" s="105"/>
      <c r="Y87" s="106"/>
      <c r="Z87" s="106"/>
      <c r="AA87" s="515">
        <v>84.288605000000004</v>
      </c>
      <c r="AB87" s="507"/>
      <c r="AC87" s="359"/>
      <c r="AD87" s="573">
        <v>0</v>
      </c>
      <c r="AE87" s="573">
        <v>0</v>
      </c>
      <c r="AF87" s="33"/>
      <c r="AH87" s="30" t="str">
        <f t="shared" si="23"/>
        <v>·</v>
      </c>
      <c r="AI87" s="31" t="str">
        <f t="shared" si="18"/>
        <v>·</v>
      </c>
      <c r="AJ87" s="31" t="str">
        <f t="shared" si="20"/>
        <v>·</v>
      </c>
      <c r="AK87" s="105" t="str">
        <f t="shared" si="21"/>
        <v>·</v>
      </c>
      <c r="AL87" s="31" t="str">
        <f t="shared" si="22"/>
        <v>·</v>
      </c>
      <c r="AM87" s="31" t="str">
        <f t="shared" si="12"/>
        <v>·</v>
      </c>
      <c r="AN87" s="521"/>
      <c r="AO87" s="503"/>
      <c r="AP87" s="373"/>
      <c r="AQ87" s="106"/>
      <c r="AR87" s="357"/>
      <c r="AS87" s="105"/>
      <c r="AT87" s="106"/>
      <c r="AU87" s="106"/>
      <c r="AV87" s="358"/>
      <c r="AW87" s="105"/>
      <c r="AX87" s="106"/>
      <c r="AY87" s="106"/>
      <c r="AZ87" s="515"/>
      <c r="BA87" s="507"/>
      <c r="BB87" s="359"/>
      <c r="BC87" s="573">
        <v>0</v>
      </c>
      <c r="BD87" s="573">
        <v>0</v>
      </c>
      <c r="BE87" s="33"/>
      <c r="BG87" s="122" t="e">
        <f t="shared" si="24"/>
        <v>#DIV/0!</v>
      </c>
      <c r="BH87" s="123" t="e">
        <f t="shared" si="24"/>
        <v>#DIV/0!</v>
      </c>
      <c r="BI87" s="123" t="e">
        <f t="shared" si="8"/>
        <v>#DIV/0!</v>
      </c>
      <c r="BJ87" s="124"/>
      <c r="BL87" s="105"/>
      <c r="BM87" s="106"/>
      <c r="BN87" s="106"/>
      <c r="BO87" s="107"/>
      <c r="BQ87" s="105"/>
      <c r="BR87" s="106"/>
      <c r="BS87" s="106"/>
      <c r="BT87" s="107"/>
      <c r="BV87" s="105"/>
      <c r="BW87" s="106"/>
      <c r="BX87" s="106"/>
      <c r="BY87" s="107"/>
      <c r="CA87" s="105"/>
      <c r="CB87" s="106"/>
      <c r="CC87" s="106"/>
      <c r="CD87" s="107"/>
    </row>
    <row r="88" spans="1:82" outlineLevel="1">
      <c r="A88" s="13"/>
      <c r="B88" s="24" t="s">
        <v>813</v>
      </c>
      <c r="C88" s="15" t="s">
        <v>134</v>
      </c>
      <c r="D88" s="24">
        <v>40386600</v>
      </c>
      <c r="E88" s="15">
        <v>20</v>
      </c>
      <c r="F88" s="25">
        <v>387</v>
      </c>
      <c r="G88" s="26">
        <v>20</v>
      </c>
      <c r="I88" s="30">
        <f t="shared" si="14"/>
        <v>34.861712868217055</v>
      </c>
      <c r="J88" s="31">
        <f t="shared" si="15"/>
        <v>16.702919879365929</v>
      </c>
      <c r="K88" s="31">
        <f t="shared" si="2"/>
        <v>14.81315248126854</v>
      </c>
      <c r="L88" s="105"/>
      <c r="M88" s="31">
        <f t="shared" si="19"/>
        <v>1.8826107669375487</v>
      </c>
      <c r="N88" s="31">
        <f t="shared" si="4"/>
        <v>16.702919879365929</v>
      </c>
      <c r="O88" s="521">
        <v>40386600</v>
      </c>
      <c r="P88" s="503">
        <v>674574144</v>
      </c>
      <c r="Q88" s="373">
        <v>598252864</v>
      </c>
      <c r="R88" s="106"/>
      <c r="S88" s="357">
        <v>76032248</v>
      </c>
      <c r="T88" s="105"/>
      <c r="U88" s="106"/>
      <c r="V88" s="106"/>
      <c r="W88" s="358">
        <v>95.008339000000007</v>
      </c>
      <c r="X88" s="105"/>
      <c r="Y88" s="106"/>
      <c r="Z88" s="106"/>
      <c r="AA88" s="515">
        <v>90.308684999999997</v>
      </c>
      <c r="AB88" s="507"/>
      <c r="AC88" s="359"/>
      <c r="AD88" s="573">
        <v>0</v>
      </c>
      <c r="AE88" s="573">
        <v>0</v>
      </c>
      <c r="AF88" s="33"/>
      <c r="AH88" s="30" t="str">
        <f t="shared" si="23"/>
        <v>·</v>
      </c>
      <c r="AI88" s="31" t="str">
        <f t="shared" si="18"/>
        <v>·</v>
      </c>
      <c r="AJ88" s="31" t="str">
        <f t="shared" si="20"/>
        <v>·</v>
      </c>
      <c r="AK88" s="105" t="str">
        <f t="shared" si="21"/>
        <v>·</v>
      </c>
      <c r="AL88" s="31" t="str">
        <f t="shared" si="22"/>
        <v>·</v>
      </c>
      <c r="AM88" s="31" t="str">
        <f t="shared" si="12"/>
        <v>·</v>
      </c>
      <c r="AN88" s="521"/>
      <c r="AO88" s="503"/>
      <c r="AP88" s="373"/>
      <c r="AQ88" s="106"/>
      <c r="AR88" s="357"/>
      <c r="AS88" s="105"/>
      <c r="AT88" s="106"/>
      <c r="AU88" s="106"/>
      <c r="AV88" s="358"/>
      <c r="AW88" s="105"/>
      <c r="AX88" s="106"/>
      <c r="AY88" s="106"/>
      <c r="AZ88" s="515"/>
      <c r="BA88" s="507"/>
      <c r="BB88" s="359"/>
      <c r="BC88" s="573">
        <v>0</v>
      </c>
      <c r="BD88" s="573">
        <v>0</v>
      </c>
      <c r="BE88" s="33"/>
      <c r="BG88" s="122" t="e">
        <f t="shared" ref="BG88:BH103" si="25">BC88/AD88</f>
        <v>#DIV/0!</v>
      </c>
      <c r="BH88" s="123" t="e">
        <f t="shared" si="25"/>
        <v>#DIV/0!</v>
      </c>
      <c r="BI88" s="123" t="e">
        <f t="shared" si="8"/>
        <v>#DIV/0!</v>
      </c>
      <c r="BJ88" s="124"/>
      <c r="BL88" s="105"/>
      <c r="BM88" s="106"/>
      <c r="BN88" s="106"/>
      <c r="BO88" s="107"/>
      <c r="BQ88" s="105"/>
      <c r="BR88" s="106"/>
      <c r="BS88" s="106"/>
      <c r="BT88" s="107"/>
      <c r="BV88" s="105"/>
      <c r="BW88" s="106"/>
      <c r="BX88" s="106"/>
      <c r="BY88" s="107"/>
      <c r="CA88" s="105"/>
      <c r="CB88" s="106"/>
      <c r="CC88" s="106"/>
      <c r="CD88" s="107"/>
    </row>
    <row r="89" spans="1:82" ht="14.25" outlineLevel="1" thickBot="1">
      <c r="A89" s="13"/>
      <c r="B89" s="24" t="s">
        <v>813</v>
      </c>
      <c r="C89" s="15" t="s">
        <v>135</v>
      </c>
      <c r="D89" s="24">
        <v>40386600</v>
      </c>
      <c r="E89" s="22">
        <v>20</v>
      </c>
      <c r="F89" s="25">
        <v>387</v>
      </c>
      <c r="G89" s="26">
        <v>20</v>
      </c>
      <c r="I89" s="34">
        <f t="shared" si="14"/>
        <v>36.289783979328163</v>
      </c>
      <c r="J89" s="35">
        <f t="shared" si="15"/>
        <v>17.387136327395719</v>
      </c>
      <c r="K89" s="35">
        <f t="shared" si="2"/>
        <v>14.81315248126854</v>
      </c>
      <c r="L89" s="134"/>
      <c r="M89" s="35">
        <f t="shared" si="19"/>
        <v>2.566850192885759</v>
      </c>
      <c r="N89" s="35">
        <f t="shared" si="4"/>
        <v>17.387136327395719</v>
      </c>
      <c r="O89" s="521">
        <v>40386600</v>
      </c>
      <c r="P89" s="504">
        <v>702207320</v>
      </c>
      <c r="Q89" s="374">
        <v>598252864</v>
      </c>
      <c r="R89" s="135"/>
      <c r="S89" s="369">
        <v>103666352</v>
      </c>
      <c r="T89" s="134"/>
      <c r="U89" s="135"/>
      <c r="V89" s="135"/>
      <c r="W89" s="370">
        <v>99.477622999999994</v>
      </c>
      <c r="X89" s="134"/>
      <c r="Y89" s="135"/>
      <c r="Z89" s="135"/>
      <c r="AA89" s="516">
        <v>96.329521</v>
      </c>
      <c r="AB89" s="508"/>
      <c r="AC89" s="371"/>
      <c r="AD89" s="574">
        <v>0</v>
      </c>
      <c r="AE89" s="574">
        <v>0</v>
      </c>
      <c r="AF89" s="37"/>
      <c r="AH89" s="38" t="str">
        <f t="shared" si="23"/>
        <v>·</v>
      </c>
      <c r="AI89" s="39" t="str">
        <f t="shared" si="18"/>
        <v>·</v>
      </c>
      <c r="AJ89" s="39" t="str">
        <f t="shared" si="20"/>
        <v>·</v>
      </c>
      <c r="AK89" s="134" t="str">
        <f t="shared" si="21"/>
        <v>·</v>
      </c>
      <c r="AL89" s="39" t="str">
        <f t="shared" si="22"/>
        <v>·</v>
      </c>
      <c r="AM89" s="39" t="str">
        <f t="shared" si="12"/>
        <v>·</v>
      </c>
      <c r="AN89" s="521"/>
      <c r="AO89" s="504"/>
      <c r="AP89" s="374"/>
      <c r="AQ89" s="135"/>
      <c r="AR89" s="369"/>
      <c r="AS89" s="134"/>
      <c r="AT89" s="135"/>
      <c r="AU89" s="135"/>
      <c r="AV89" s="370"/>
      <c r="AW89" s="134"/>
      <c r="AX89" s="135"/>
      <c r="AY89" s="135"/>
      <c r="AZ89" s="516"/>
      <c r="BA89" s="508"/>
      <c r="BB89" s="371"/>
      <c r="BC89" s="574">
        <v>0</v>
      </c>
      <c r="BD89" s="574">
        <v>0</v>
      </c>
      <c r="BE89" s="41"/>
      <c r="BG89" s="128" t="e">
        <f t="shared" si="25"/>
        <v>#DIV/0!</v>
      </c>
      <c r="BH89" s="129" t="e">
        <f t="shared" si="25"/>
        <v>#DIV/0!</v>
      </c>
      <c r="BI89" s="129" t="e">
        <f t="shared" si="8"/>
        <v>#DIV/0!</v>
      </c>
      <c r="BJ89" s="130"/>
      <c r="BL89" s="134"/>
      <c r="BM89" s="135"/>
      <c r="BN89" s="135"/>
      <c r="BO89" s="136"/>
      <c r="BQ89" s="134"/>
      <c r="BR89" s="135"/>
      <c r="BS89" s="135"/>
      <c r="BT89" s="136"/>
      <c r="BV89" s="134"/>
      <c r="BW89" s="135"/>
      <c r="BX89" s="135"/>
      <c r="BY89" s="136"/>
      <c r="CA89" s="134"/>
      <c r="CB89" s="135"/>
      <c r="CC89" s="135"/>
      <c r="CD89" s="136"/>
    </row>
    <row r="90" spans="1:82">
      <c r="A90" s="13"/>
      <c r="B90" s="27" t="s">
        <v>815</v>
      </c>
      <c r="C90" s="28" t="s">
        <v>131</v>
      </c>
      <c r="D90" s="27">
        <v>40439600</v>
      </c>
      <c r="E90" s="28">
        <v>20</v>
      </c>
      <c r="F90" s="28">
        <v>387</v>
      </c>
      <c r="G90" s="29">
        <v>20</v>
      </c>
      <c r="I90" s="46">
        <f t="shared" si="14"/>
        <v>38.116842997416022</v>
      </c>
      <c r="J90" s="47">
        <f t="shared" si="15"/>
        <v>18.238580797040523</v>
      </c>
      <c r="K90" s="47">
        <f t="shared" si="2"/>
        <v>17.680129773786092</v>
      </c>
      <c r="L90" s="103"/>
      <c r="M90" s="47">
        <f t="shared" si="19"/>
        <v>0.5512907150416918</v>
      </c>
      <c r="N90" s="47">
        <f t="shared" si="4"/>
        <v>18.238580797040523</v>
      </c>
      <c r="O90" s="520">
        <v>40439600</v>
      </c>
      <c r="P90" s="502">
        <v>737560912</v>
      </c>
      <c r="Q90" s="372">
        <v>714977376</v>
      </c>
      <c r="R90" s="104"/>
      <c r="S90" s="353">
        <v>22293976</v>
      </c>
      <c r="T90" s="103"/>
      <c r="U90" s="104"/>
      <c r="V90" s="104"/>
      <c r="W90" s="354">
        <v>78.294334000000006</v>
      </c>
      <c r="X90" s="103"/>
      <c r="Y90" s="104"/>
      <c r="Z90" s="104"/>
      <c r="AA90" s="514">
        <v>72.246666000000005</v>
      </c>
      <c r="AB90" s="506"/>
      <c r="AC90" s="355"/>
      <c r="AD90" s="572">
        <v>0</v>
      </c>
      <c r="AE90" s="572">
        <v>0</v>
      </c>
      <c r="AF90" s="49"/>
      <c r="AH90" s="46" t="str">
        <f t="shared" si="23"/>
        <v>·</v>
      </c>
      <c r="AI90" s="47" t="str">
        <f t="shared" si="18"/>
        <v>·</v>
      </c>
      <c r="AJ90" s="47" t="str">
        <f t="shared" si="20"/>
        <v>·</v>
      </c>
      <c r="AK90" s="103" t="str">
        <f t="shared" si="21"/>
        <v>·</v>
      </c>
      <c r="AL90" s="47" t="str">
        <f t="shared" si="22"/>
        <v>·</v>
      </c>
      <c r="AM90" s="47" t="str">
        <f t="shared" si="12"/>
        <v>·</v>
      </c>
      <c r="AN90" s="520"/>
      <c r="AO90" s="502"/>
      <c r="AP90" s="372"/>
      <c r="AQ90" s="104"/>
      <c r="AR90" s="353"/>
      <c r="AS90" s="103"/>
      <c r="AT90" s="104"/>
      <c r="AU90" s="104"/>
      <c r="AV90" s="354"/>
      <c r="AW90" s="103"/>
      <c r="AX90" s="104"/>
      <c r="AY90" s="104"/>
      <c r="AZ90" s="514"/>
      <c r="BA90" s="506"/>
      <c r="BB90" s="355"/>
      <c r="BC90" s="572">
        <v>0</v>
      </c>
      <c r="BD90" s="572">
        <v>0</v>
      </c>
      <c r="BE90" s="49"/>
      <c r="BG90" s="119" t="e">
        <f t="shared" si="25"/>
        <v>#DIV/0!</v>
      </c>
      <c r="BH90" s="120" t="e">
        <f t="shared" si="25"/>
        <v>#DIV/0!</v>
      </c>
      <c r="BI90" s="120" t="e">
        <f t="shared" si="8"/>
        <v>#DIV/0!</v>
      </c>
      <c r="BJ90" s="121" t="e">
        <f t="array" ref="BJ90">AVERAGE(AP90:AP94/AO90:AO94) - AVERAGE(Q90:Q94/P90:P94)</f>
        <v>#DIV/0!</v>
      </c>
      <c r="BL90" s="103"/>
      <c r="BM90" s="104"/>
      <c r="BN90" s="104"/>
      <c r="BO90" s="139" t="str">
        <f>IF( OR(ISBLANK($S90:$S94),ISBLANK($AR90:$AR94), ISBLANK($W90:$W94),ISBLANK($AV90:$AV94)), "·", bdRateHermite($S90:$S94,$W90:$W94, $AR90:$AR94,$AV90:$AV94))</f>
        <v>·</v>
      </c>
      <c r="BQ90" s="137"/>
      <c r="BR90" s="138"/>
      <c r="BS90" s="138"/>
      <c r="BT90" s="139" t="str">
        <f>IF( OR(ISBLANK($S90:$S94),ISBLANK($AR90:$AR94), ISBLANK($AA90:$AA94),ISBLANK($AZ90:$AZ94)), "·", bdRateHermite($S90:$S94,$AA90:$AA94, $AR90:$AR94,$AZ90:$AZ94))</f>
        <v>·</v>
      </c>
      <c r="BV90" s="137"/>
      <c r="BW90" s="138"/>
      <c r="BX90" s="138"/>
      <c r="BY90" s="139" t="str">
        <f>IF(OR(ISBLANK($P90:$P94),ISBLANK($AO90:$AO94),ISBLANK($W90:$W94),ISBLANK($AV90:$AV94)),"·",bdRateHermite($P90:$P94,$W90:$W94,$AO90:$AO94,$AV90:$AV94))</f>
        <v>·</v>
      </c>
      <c r="CA90" s="137"/>
      <c r="CB90" s="138"/>
      <c r="CC90" s="138"/>
      <c r="CD90" s="139" t="str">
        <f>IF( OR(ISBLANK($P90:$P94),ISBLANK($AO90:$AO94), ISBLANK($AA90:$AA94),ISBLANK($AZ90:$AZ94)), "·", bdRateHermite( $P90:$P94,$AA90:$AA94, $AO90:$AO94,$AZ90:$AZ94))</f>
        <v>·</v>
      </c>
    </row>
    <row r="91" spans="1:82" outlineLevel="1">
      <c r="A91" s="13"/>
      <c r="B91" s="24" t="s">
        <v>815</v>
      </c>
      <c r="C91" s="15" t="s">
        <v>132</v>
      </c>
      <c r="D91" s="24">
        <v>40439600</v>
      </c>
      <c r="E91" s="25">
        <v>20</v>
      </c>
      <c r="F91" s="25">
        <v>387</v>
      </c>
      <c r="G91" s="26">
        <v>20</v>
      </c>
      <c r="I91" s="30">
        <f t="shared" si="14"/>
        <v>39.111937157622741</v>
      </c>
      <c r="J91" s="31">
        <f t="shared" si="15"/>
        <v>18.714724774725763</v>
      </c>
      <c r="K91" s="31">
        <f t="shared" si="2"/>
        <v>17.680129773786092</v>
      </c>
      <c r="L91" s="105"/>
      <c r="M91" s="31">
        <f t="shared" si="19"/>
        <v>1.0274346927269311</v>
      </c>
      <c r="N91" s="31">
        <f t="shared" si="4"/>
        <v>18.714724774725763</v>
      </c>
      <c r="O91" s="521">
        <v>40439600</v>
      </c>
      <c r="P91" s="503">
        <v>756815984</v>
      </c>
      <c r="Q91" s="373">
        <v>714977376</v>
      </c>
      <c r="R91" s="106"/>
      <c r="S91" s="357">
        <v>41549048</v>
      </c>
      <c r="T91" s="105"/>
      <c r="U91" s="106"/>
      <c r="V91" s="106"/>
      <c r="W91" s="358">
        <v>83.914023999999998</v>
      </c>
      <c r="X91" s="105"/>
      <c r="Y91" s="106"/>
      <c r="Z91" s="106"/>
      <c r="AA91" s="515">
        <v>78.267585999999994</v>
      </c>
      <c r="AB91" s="507"/>
      <c r="AC91" s="359"/>
      <c r="AD91" s="573">
        <v>0</v>
      </c>
      <c r="AE91" s="573">
        <v>0</v>
      </c>
      <c r="AF91" s="33"/>
      <c r="AH91" s="30" t="str">
        <f t="shared" si="23"/>
        <v>·</v>
      </c>
      <c r="AI91" s="31" t="str">
        <f t="shared" si="18"/>
        <v>·</v>
      </c>
      <c r="AJ91" s="31" t="str">
        <f t="shared" si="20"/>
        <v>·</v>
      </c>
      <c r="AK91" s="105" t="str">
        <f t="shared" si="21"/>
        <v>·</v>
      </c>
      <c r="AL91" s="31" t="str">
        <f t="shared" si="22"/>
        <v>·</v>
      </c>
      <c r="AM91" s="31" t="str">
        <f t="shared" si="12"/>
        <v>·</v>
      </c>
      <c r="AN91" s="521"/>
      <c r="AO91" s="503"/>
      <c r="AP91" s="373"/>
      <c r="AQ91" s="106"/>
      <c r="AR91" s="357"/>
      <c r="AS91" s="105"/>
      <c r="AT91" s="106"/>
      <c r="AU91" s="106"/>
      <c r="AV91" s="358"/>
      <c r="AW91" s="105"/>
      <c r="AX91" s="106"/>
      <c r="AY91" s="106"/>
      <c r="AZ91" s="515"/>
      <c r="BA91" s="507"/>
      <c r="BB91" s="359"/>
      <c r="BC91" s="573">
        <v>0</v>
      </c>
      <c r="BD91" s="573">
        <v>0</v>
      </c>
      <c r="BE91" s="33"/>
      <c r="BG91" s="122" t="e">
        <f t="shared" si="25"/>
        <v>#DIV/0!</v>
      </c>
      <c r="BH91" s="123" t="e">
        <f t="shared" si="25"/>
        <v>#DIV/0!</v>
      </c>
      <c r="BI91" s="123" t="e">
        <f t="shared" si="8"/>
        <v>#DIV/0!</v>
      </c>
      <c r="BJ91" s="124"/>
      <c r="BL91" s="105"/>
      <c r="BM91" s="106"/>
      <c r="BN91" s="106"/>
      <c r="BO91" s="107"/>
      <c r="BQ91" s="105"/>
      <c r="BR91" s="106"/>
      <c r="BS91" s="106"/>
      <c r="BT91" s="107"/>
      <c r="BV91" s="105"/>
      <c r="BW91" s="106"/>
      <c r="BX91" s="106"/>
      <c r="BY91" s="107"/>
      <c r="CA91" s="105"/>
      <c r="CB91" s="106"/>
      <c r="CC91" s="106"/>
      <c r="CD91" s="107"/>
    </row>
    <row r="92" spans="1:82" outlineLevel="1">
      <c r="A92" s="13"/>
      <c r="B92" s="24" t="s">
        <v>815</v>
      </c>
      <c r="C92" s="15" t="s">
        <v>133</v>
      </c>
      <c r="D92" s="24">
        <v>40439600</v>
      </c>
      <c r="E92" s="15">
        <v>20</v>
      </c>
      <c r="F92" s="25">
        <v>387</v>
      </c>
      <c r="G92" s="26">
        <v>20</v>
      </c>
      <c r="I92" s="30">
        <f t="shared" si="14"/>
        <v>40.297630594315244</v>
      </c>
      <c r="J92" s="31">
        <f t="shared" si="15"/>
        <v>19.282068863193505</v>
      </c>
      <c r="K92" s="31">
        <f t="shared" si="2"/>
        <v>17.680129773786092</v>
      </c>
      <c r="L92" s="105"/>
      <c r="M92" s="31">
        <f t="shared" si="19"/>
        <v>1.5947914420518501</v>
      </c>
      <c r="N92" s="31">
        <f t="shared" si="4"/>
        <v>19.282068863193505</v>
      </c>
      <c r="O92" s="521">
        <v>40439600</v>
      </c>
      <c r="P92" s="503">
        <v>779759152</v>
      </c>
      <c r="Q92" s="373">
        <v>714977376</v>
      </c>
      <c r="R92" s="106"/>
      <c r="S92" s="357">
        <v>64492728</v>
      </c>
      <c r="T92" s="105"/>
      <c r="U92" s="106"/>
      <c r="V92" s="106"/>
      <c r="W92" s="358">
        <v>89.532195999999999</v>
      </c>
      <c r="X92" s="105"/>
      <c r="Y92" s="106"/>
      <c r="Z92" s="106"/>
      <c r="AA92" s="515">
        <v>84.288605000000004</v>
      </c>
      <c r="AB92" s="507"/>
      <c r="AC92" s="359"/>
      <c r="AD92" s="573">
        <v>0</v>
      </c>
      <c r="AE92" s="573">
        <v>0</v>
      </c>
      <c r="AF92" s="33"/>
      <c r="AH92" s="30" t="str">
        <f t="shared" si="23"/>
        <v>·</v>
      </c>
      <c r="AI92" s="31" t="str">
        <f t="shared" si="18"/>
        <v>·</v>
      </c>
      <c r="AJ92" s="31" t="str">
        <f t="shared" si="20"/>
        <v>·</v>
      </c>
      <c r="AK92" s="105" t="str">
        <f t="shared" si="21"/>
        <v>·</v>
      </c>
      <c r="AL92" s="31" t="str">
        <f t="shared" si="22"/>
        <v>·</v>
      </c>
      <c r="AM92" s="31" t="str">
        <f t="shared" si="12"/>
        <v>·</v>
      </c>
      <c r="AN92" s="521"/>
      <c r="AO92" s="503"/>
      <c r="AP92" s="373"/>
      <c r="AQ92" s="106"/>
      <c r="AR92" s="357"/>
      <c r="AS92" s="105"/>
      <c r="AT92" s="106"/>
      <c r="AU92" s="106"/>
      <c r="AV92" s="358"/>
      <c r="AW92" s="105"/>
      <c r="AX92" s="106"/>
      <c r="AY92" s="106"/>
      <c r="AZ92" s="515"/>
      <c r="BA92" s="507"/>
      <c r="BB92" s="359"/>
      <c r="BC92" s="573">
        <v>0</v>
      </c>
      <c r="BD92" s="573">
        <v>0</v>
      </c>
      <c r="BE92" s="33"/>
      <c r="BG92" s="122" t="e">
        <f t="shared" si="25"/>
        <v>#DIV/0!</v>
      </c>
      <c r="BH92" s="123" t="e">
        <f t="shared" si="25"/>
        <v>#DIV/0!</v>
      </c>
      <c r="BI92" s="123" t="e">
        <f t="shared" si="8"/>
        <v>#DIV/0!</v>
      </c>
      <c r="BJ92" s="124"/>
      <c r="BL92" s="105"/>
      <c r="BM92" s="106"/>
      <c r="BN92" s="106"/>
      <c r="BO92" s="107"/>
      <c r="BQ92" s="105"/>
      <c r="BR92" s="106"/>
      <c r="BS92" s="106"/>
      <c r="BT92" s="107"/>
      <c r="BV92" s="105"/>
      <c r="BW92" s="106"/>
      <c r="BX92" s="106"/>
      <c r="BY92" s="107"/>
      <c r="CA92" s="105"/>
      <c r="CB92" s="106"/>
      <c r="CC92" s="106"/>
      <c r="CD92" s="107"/>
    </row>
    <row r="93" spans="1:82" outlineLevel="1">
      <c r="A93" s="13"/>
      <c r="B93" s="24" t="s">
        <v>815</v>
      </c>
      <c r="C93" s="15" t="s">
        <v>134</v>
      </c>
      <c r="D93" s="24">
        <v>40439600</v>
      </c>
      <c r="E93" s="15">
        <v>20</v>
      </c>
      <c r="F93" s="25">
        <v>387</v>
      </c>
      <c r="G93" s="26">
        <v>20</v>
      </c>
      <c r="I93" s="30">
        <f t="shared" si="14"/>
        <v>41.746833695090444</v>
      </c>
      <c r="J93" s="31">
        <f t="shared" si="15"/>
        <v>19.975500054402122</v>
      </c>
      <c r="K93" s="31">
        <f t="shared" si="2"/>
        <v>17.680129773786092</v>
      </c>
      <c r="L93" s="105"/>
      <c r="M93" s="31">
        <f t="shared" si="19"/>
        <v>2.2882226332604674</v>
      </c>
      <c r="N93" s="31">
        <f t="shared" si="4"/>
        <v>19.975500054402122</v>
      </c>
      <c r="O93" s="521">
        <v>40439600</v>
      </c>
      <c r="P93" s="503">
        <v>807801232</v>
      </c>
      <c r="Q93" s="373">
        <v>714977376</v>
      </c>
      <c r="R93" s="106"/>
      <c r="S93" s="357">
        <v>92534808</v>
      </c>
      <c r="T93" s="105"/>
      <c r="U93" s="106"/>
      <c r="V93" s="106"/>
      <c r="W93" s="358">
        <v>94.883133000000001</v>
      </c>
      <c r="X93" s="105"/>
      <c r="Y93" s="106"/>
      <c r="Z93" s="106"/>
      <c r="AA93" s="515">
        <v>90.308684999999997</v>
      </c>
      <c r="AB93" s="507"/>
      <c r="AC93" s="359"/>
      <c r="AD93" s="573">
        <v>0</v>
      </c>
      <c r="AE93" s="573">
        <v>0</v>
      </c>
      <c r="AF93" s="33"/>
      <c r="AH93" s="30" t="str">
        <f t="shared" si="23"/>
        <v>·</v>
      </c>
      <c r="AI93" s="31" t="str">
        <f t="shared" si="18"/>
        <v>·</v>
      </c>
      <c r="AJ93" s="31" t="str">
        <f t="shared" si="20"/>
        <v>·</v>
      </c>
      <c r="AK93" s="105" t="str">
        <f t="shared" si="21"/>
        <v>·</v>
      </c>
      <c r="AL93" s="31" t="str">
        <f t="shared" si="22"/>
        <v>·</v>
      </c>
      <c r="AM93" s="31" t="str">
        <f t="shared" si="12"/>
        <v>·</v>
      </c>
      <c r="AN93" s="521"/>
      <c r="AO93" s="503"/>
      <c r="AP93" s="373"/>
      <c r="AQ93" s="106"/>
      <c r="AR93" s="357"/>
      <c r="AS93" s="105"/>
      <c r="AT93" s="106"/>
      <c r="AU93" s="106"/>
      <c r="AV93" s="358"/>
      <c r="AW93" s="105"/>
      <c r="AX93" s="106"/>
      <c r="AY93" s="106"/>
      <c r="AZ93" s="515"/>
      <c r="BA93" s="507"/>
      <c r="BB93" s="359"/>
      <c r="BC93" s="573">
        <v>0</v>
      </c>
      <c r="BD93" s="573">
        <v>0</v>
      </c>
      <c r="BE93" s="33"/>
      <c r="BG93" s="122" t="e">
        <f t="shared" si="25"/>
        <v>#DIV/0!</v>
      </c>
      <c r="BH93" s="123" t="e">
        <f t="shared" si="25"/>
        <v>#DIV/0!</v>
      </c>
      <c r="BI93" s="123" t="e">
        <f t="shared" si="8"/>
        <v>#DIV/0!</v>
      </c>
      <c r="BJ93" s="124"/>
      <c r="BL93" s="105"/>
      <c r="BM93" s="106"/>
      <c r="BN93" s="106"/>
      <c r="BO93" s="107"/>
      <c r="BQ93" s="105"/>
      <c r="BR93" s="106"/>
      <c r="BS93" s="106"/>
      <c r="BT93" s="107"/>
      <c r="BV93" s="105"/>
      <c r="BW93" s="106"/>
      <c r="BX93" s="106"/>
      <c r="BY93" s="107"/>
      <c r="CA93" s="105"/>
      <c r="CB93" s="106"/>
      <c r="CC93" s="106"/>
      <c r="CD93" s="107"/>
    </row>
    <row r="94" spans="1:82" ht="14.25" outlineLevel="1" thickBot="1">
      <c r="A94" s="17"/>
      <c r="B94" s="18" t="s">
        <v>815</v>
      </c>
      <c r="C94" s="19" t="s">
        <v>135</v>
      </c>
      <c r="D94" s="18">
        <v>40439600</v>
      </c>
      <c r="E94" s="19">
        <v>20</v>
      </c>
      <c r="F94" s="19">
        <v>387</v>
      </c>
      <c r="G94" s="20">
        <v>20</v>
      </c>
      <c r="I94" s="34">
        <f t="shared" si="14"/>
        <v>43.421644651162786</v>
      </c>
      <c r="J94" s="35">
        <f t="shared" si="15"/>
        <v>20.77688265957131</v>
      </c>
      <c r="K94" s="35">
        <f t="shared" si="2"/>
        <v>17.680129773786092</v>
      </c>
      <c r="L94" s="108"/>
      <c r="M94" s="35">
        <f t="shared" si="19"/>
        <v>3.0896157232020101</v>
      </c>
      <c r="N94" s="35">
        <f t="shared" si="4"/>
        <v>20.77688265957131</v>
      </c>
      <c r="O94" s="525">
        <v>40439600</v>
      </c>
      <c r="P94" s="504">
        <v>840208824</v>
      </c>
      <c r="Q94" s="374">
        <v>714977376</v>
      </c>
      <c r="R94" s="109"/>
      <c r="S94" s="369">
        <v>124942824</v>
      </c>
      <c r="T94" s="134"/>
      <c r="U94" s="135"/>
      <c r="V94" s="135"/>
      <c r="W94" s="370">
        <v>99.434905999999998</v>
      </c>
      <c r="X94" s="134"/>
      <c r="Y94" s="135"/>
      <c r="Z94" s="135"/>
      <c r="AA94" s="516">
        <v>96.329521</v>
      </c>
      <c r="AB94" s="508"/>
      <c r="AC94" s="371"/>
      <c r="AD94" s="574">
        <v>0</v>
      </c>
      <c r="AE94" s="574">
        <v>0</v>
      </c>
      <c r="AF94" s="37"/>
      <c r="AH94" s="38" t="str">
        <f t="shared" si="23"/>
        <v>·</v>
      </c>
      <c r="AI94" s="39" t="str">
        <f t="shared" si="18"/>
        <v>·</v>
      </c>
      <c r="AJ94" s="39" t="str">
        <f t="shared" si="20"/>
        <v>·</v>
      </c>
      <c r="AK94" s="134" t="str">
        <f t="shared" si="21"/>
        <v>·</v>
      </c>
      <c r="AL94" s="39" t="str">
        <f t="shared" si="22"/>
        <v>·</v>
      </c>
      <c r="AM94" s="39" t="str">
        <f t="shared" si="12"/>
        <v>·</v>
      </c>
      <c r="AN94" s="525"/>
      <c r="AO94" s="504"/>
      <c r="AP94" s="374"/>
      <c r="AQ94" s="109"/>
      <c r="AR94" s="369"/>
      <c r="AS94" s="134"/>
      <c r="AT94" s="135"/>
      <c r="AU94" s="135"/>
      <c r="AV94" s="370"/>
      <c r="AW94" s="134"/>
      <c r="AX94" s="135"/>
      <c r="AY94" s="135"/>
      <c r="AZ94" s="516"/>
      <c r="BA94" s="508"/>
      <c r="BB94" s="371"/>
      <c r="BC94" s="574">
        <v>0</v>
      </c>
      <c r="BD94" s="574">
        <v>0</v>
      </c>
      <c r="BE94" s="41"/>
      <c r="BG94" s="128" t="e">
        <f t="shared" si="25"/>
        <v>#DIV/0!</v>
      </c>
      <c r="BH94" s="129" t="e">
        <f t="shared" si="25"/>
        <v>#DIV/0!</v>
      </c>
      <c r="BI94" s="129" t="e">
        <f t="shared" si="8"/>
        <v>#DIV/0!</v>
      </c>
      <c r="BJ94" s="130"/>
      <c r="BL94" s="134"/>
      <c r="BM94" s="135"/>
      <c r="BN94" s="135"/>
      <c r="BO94" s="136"/>
      <c r="BQ94" s="134"/>
      <c r="BR94" s="135"/>
      <c r="BS94" s="135"/>
      <c r="BT94" s="136"/>
      <c r="BV94" s="134"/>
      <c r="BW94" s="135"/>
      <c r="BX94" s="135"/>
      <c r="BY94" s="136"/>
      <c r="CA94" s="134"/>
      <c r="CB94" s="135"/>
      <c r="CC94" s="135"/>
      <c r="CD94" s="136"/>
    </row>
    <row r="95" spans="1:82">
      <c r="A95" s="96" t="s">
        <v>877</v>
      </c>
      <c r="B95" s="27" t="s">
        <v>872</v>
      </c>
      <c r="C95" s="25" t="s">
        <v>131</v>
      </c>
      <c r="D95" s="24">
        <v>186907991</v>
      </c>
      <c r="E95" s="25">
        <v>11</v>
      </c>
      <c r="F95" s="25">
        <v>64</v>
      </c>
      <c r="G95" s="26">
        <v>30</v>
      </c>
      <c r="I95" s="46">
        <f t="shared" si="14"/>
        <v>140.76415499999999</v>
      </c>
      <c r="J95" s="47">
        <f t="shared" si="15"/>
        <v>1.6066561006479385</v>
      </c>
      <c r="K95" s="47">
        <f t="shared" si="2"/>
        <v>1.0091804796082795</v>
      </c>
      <c r="L95" s="269">
        <f>IF(ISBLANK(R95),"·",R95/D95)</f>
        <v>0.59727796228894248</v>
      </c>
      <c r="M95" s="104"/>
      <c r="N95" s="47">
        <f t="shared" si="4"/>
        <v>1.6066561006479385</v>
      </c>
      <c r="O95" s="523">
        <v>186907991</v>
      </c>
      <c r="P95" s="502">
        <v>300296864</v>
      </c>
      <c r="Q95" s="353">
        <v>188623896</v>
      </c>
      <c r="R95" s="353">
        <v>111636024</v>
      </c>
      <c r="S95" s="257"/>
      <c r="T95" s="353">
        <v>32.598095000000001</v>
      </c>
      <c r="U95" s="353">
        <v>37.038367999999998</v>
      </c>
      <c r="V95" s="372">
        <v>37.197032999999998</v>
      </c>
      <c r="W95" s="257"/>
      <c r="X95" s="353">
        <v>24.048421999999999</v>
      </c>
      <c r="Y95" s="353">
        <v>24.048421999999999</v>
      </c>
      <c r="Z95" s="372">
        <v>24.048421999999999</v>
      </c>
      <c r="AA95" s="257">
        <v>0</v>
      </c>
      <c r="AB95" s="506"/>
      <c r="AC95" s="355"/>
      <c r="AD95" s="572">
        <v>0</v>
      </c>
      <c r="AE95" s="572">
        <v>0</v>
      </c>
      <c r="AF95" s="49"/>
      <c r="AH95" s="46" t="str">
        <f t="shared" si="23"/>
        <v>·</v>
      </c>
      <c r="AI95" s="47" t="str">
        <f t="shared" si="18"/>
        <v>·</v>
      </c>
      <c r="AJ95" s="269" t="str">
        <f t="shared" si="20"/>
        <v>·</v>
      </c>
      <c r="AK95" s="274" t="str">
        <f t="shared" si="21"/>
        <v>·</v>
      </c>
      <c r="AL95" s="266" t="str">
        <f t="shared" si="22"/>
        <v>·</v>
      </c>
      <c r="AM95" s="47" t="str">
        <f t="shared" si="12"/>
        <v>·</v>
      </c>
      <c r="AN95" s="523"/>
      <c r="AO95" s="502"/>
      <c r="AP95" s="353"/>
      <c r="AQ95" s="353"/>
      <c r="AR95" s="257"/>
      <c r="AS95" s="353"/>
      <c r="AT95" s="353"/>
      <c r="AU95" s="372"/>
      <c r="AV95" s="257"/>
      <c r="AW95" s="353"/>
      <c r="AX95" s="353"/>
      <c r="AY95" s="372"/>
      <c r="AZ95" s="257"/>
      <c r="BA95" s="506"/>
      <c r="BB95" s="355"/>
      <c r="BC95" s="572">
        <v>0</v>
      </c>
      <c r="BD95" s="572">
        <v>0</v>
      </c>
      <c r="BE95" s="49"/>
      <c r="BG95" s="119" t="e">
        <f t="shared" si="25"/>
        <v>#DIV/0!</v>
      </c>
      <c r="BH95" s="120" t="e">
        <f t="shared" si="25"/>
        <v>#DIV/0!</v>
      </c>
      <c r="BI95" s="120" t="e">
        <f t="shared" si="8"/>
        <v>#DIV/0!</v>
      </c>
      <c r="BJ95" s="121" t="e">
        <f t="array" ref="BJ95">AVERAGE(AP95:AP99/AO95:AO99) - AVERAGE(Q95:Q99/P95:P99)</f>
        <v>#DIV/0!</v>
      </c>
      <c r="BL95" s="279" t="str">
        <f>IF( OR(ISBLANK($R95:$R99),ISBLANK($AQ95:$AQ99), ISBLANK(T95:T99),ISBLANK(AS95:AS99)), "·", bdRateHermite($R95:$R99,T95:T99, $AQ95:$AQ99,AS95:AS99))</f>
        <v>·</v>
      </c>
      <c r="BM95" s="279" t="str">
        <f>IF( OR(ISBLANK($R95:$R99),ISBLANK($AQ95:$AQ99), ISBLANK(U95:U99),ISBLANK(AT95:AT99)), "·", bdRateHermite($R95:$R99,U95:U99, $AQ95:$AQ99,AT95:AT99))</f>
        <v>·</v>
      </c>
      <c r="BN95" s="279" t="str">
        <f>IF( OR(ISBLANK($R95:$R99),ISBLANK($AQ95:$AQ99), ISBLANK(V95:V99),ISBLANK(AU95:AU99)), "·", bdRateHermite($R95:$R99,V95:V99, $AQ95:$AQ99,AU95:AU99))</f>
        <v>·</v>
      </c>
      <c r="BO95" s="104"/>
      <c r="BQ95" s="173" t="str">
        <f>IF( OR(ISBLANK($R95:$R99),ISBLANK($AQ95:$AQ99), ISBLANK(X95:X99),ISBLANK(AW95:AW99)), "·", bdRateHermite($R95:$R99,X95:X99, $AQ95:$AQ99,AW95:AW99))</f>
        <v>·</v>
      </c>
      <c r="BR95" s="173" t="str">
        <f>IF( OR(ISBLANK($R95:$R99),ISBLANK($AQ95:$AQ99), ISBLANK(Y95:Y99),ISBLANK(AX95:AX99)), "·", bdRateHermite($R95:$R99,Y95:Y99, $AQ95:$AQ99,AX95:AX99))</f>
        <v>·</v>
      </c>
      <c r="BS95" s="173" t="str">
        <f>IF( OR(ISBLANK($R95:$R99),ISBLANK($AQ95:$AQ99), ISBLANK(Z95:Z99),ISBLANK(AY95:AY99)), "·", bdRateHermite($R95:$R99,Z95:Z99, $AQ95:$AQ99,AY95:AY99))</f>
        <v>·</v>
      </c>
      <c r="BT95" s="138"/>
      <c r="BV95" s="173" t="str">
        <f>IF(OR(ISBLANK($P95:$P99),ISBLANK($AO95:$AO99),ISBLANK(T95:T99),ISBLANK(AS95:AS99)),"·",bdRateHermite($P95:$P99,T95:T99,$AO95:$AO99,AS95:AS99))</f>
        <v>·</v>
      </c>
      <c r="BW95" s="173" t="str">
        <f>IF(OR(ISBLANK($P95:$P99),ISBLANK($AO95:$AO99),ISBLANK(U95:U99),ISBLANK(AT95:AT99)),"·",bdRateHermite($P95:$P99,U95:U99,$AO95:$AO99,AT95:AT99))</f>
        <v>·</v>
      </c>
      <c r="BX95" s="173" t="str">
        <f>IF(OR(ISBLANK($P95:$P99),ISBLANK($AO95:$AO99),ISBLANK(V95:V99),ISBLANK(AU95:AU99)),"·",bdRateHermite($P95:$P99,V95:V99,$AO95:$AO99,AU95:AU99))</f>
        <v>·</v>
      </c>
      <c r="BY95" s="138"/>
      <c r="CA95" s="173" t="str">
        <f>IF( OR(ISBLANK($P95:$P99),ISBLANK($AO95:$AO99), ISBLANK(X95:X99),ISBLANK(AW95:AW99)), "·", bdRateHermite( $P95:$P99,X95:X99, $AO95:$AO99,AW95:AW99))</f>
        <v>·</v>
      </c>
      <c r="CB95" s="173" t="str">
        <f>IF( OR(ISBLANK($P95:$P99),ISBLANK($AO95:$AO99), ISBLANK(Y95:Y99),ISBLANK(AX95:AX99)), "·", bdRateHermite( $P95:$P99,Y95:Y99, $AO95:$AO99,AX95:AX99))</f>
        <v>·</v>
      </c>
      <c r="CC95" s="173" t="str">
        <f>IF( OR(ISBLANK($P95:$P99),ISBLANK($AO95:$AO99), ISBLANK(Z95:Z99),ISBLANK(AY95:AY99)), "·", bdRateHermite( $P95:$P99,Z95:Z99, $AO95:$AO99,AY95:AY99))</f>
        <v>·</v>
      </c>
      <c r="CD95" s="138"/>
    </row>
    <row r="96" spans="1:82" outlineLevel="1">
      <c r="A96" s="13"/>
      <c r="B96" s="14" t="s">
        <v>873</v>
      </c>
      <c r="C96" s="15" t="s">
        <v>132</v>
      </c>
      <c r="D96" s="14">
        <v>186907991</v>
      </c>
      <c r="E96" s="15">
        <v>11</v>
      </c>
      <c r="F96" s="25">
        <v>64</v>
      </c>
      <c r="G96" s="16">
        <v>30</v>
      </c>
      <c r="I96" s="30">
        <f t="shared" si="14"/>
        <v>217.93181250000001</v>
      </c>
      <c r="J96" s="31">
        <f t="shared" si="15"/>
        <v>2.4874335094640228</v>
      </c>
      <c r="K96" s="31">
        <f t="shared" si="2"/>
        <v>1.0091804796082795</v>
      </c>
      <c r="L96" s="270">
        <f t="shared" ref="L96:L99" si="26">IF(ISBLANK(R96),"·",R96/D96)</f>
        <v>1.4780553711050268</v>
      </c>
      <c r="M96" s="106"/>
      <c r="N96" s="31">
        <f t="shared" si="4"/>
        <v>2.4874335094640228</v>
      </c>
      <c r="O96" s="521">
        <v>186907991</v>
      </c>
      <c r="P96" s="503">
        <v>464921200</v>
      </c>
      <c r="Q96" s="357">
        <v>188623896</v>
      </c>
      <c r="R96" s="357">
        <v>276260360</v>
      </c>
      <c r="S96" s="258"/>
      <c r="T96" s="357">
        <v>38.277724999999997</v>
      </c>
      <c r="U96" s="357">
        <v>41.004257000000003</v>
      </c>
      <c r="V96" s="373">
        <v>41.396557000000001</v>
      </c>
      <c r="W96" s="258"/>
      <c r="X96" s="357">
        <v>30.068995000000001</v>
      </c>
      <c r="Y96" s="357">
        <v>30.068995000000001</v>
      </c>
      <c r="Z96" s="373">
        <v>30.068995000000001</v>
      </c>
      <c r="AA96" s="258">
        <v>0</v>
      </c>
      <c r="AB96" s="507"/>
      <c r="AC96" s="359"/>
      <c r="AD96" s="573">
        <v>0</v>
      </c>
      <c r="AE96" s="573">
        <v>0</v>
      </c>
      <c r="AF96" s="33"/>
      <c r="AH96" s="30" t="str">
        <f t="shared" si="23"/>
        <v>·</v>
      </c>
      <c r="AI96" s="31" t="str">
        <f t="shared" si="18"/>
        <v>·</v>
      </c>
      <c r="AJ96" s="270" t="str">
        <f t="shared" si="20"/>
        <v>·</v>
      </c>
      <c r="AK96" s="275" t="str">
        <f t="shared" si="21"/>
        <v>·</v>
      </c>
      <c r="AL96" s="267" t="str">
        <f t="shared" si="22"/>
        <v>·</v>
      </c>
      <c r="AM96" s="31" t="str">
        <f t="shared" si="12"/>
        <v>·</v>
      </c>
      <c r="AN96" s="521"/>
      <c r="AO96" s="503"/>
      <c r="AP96" s="357"/>
      <c r="AQ96" s="357"/>
      <c r="AR96" s="258"/>
      <c r="AS96" s="357"/>
      <c r="AT96" s="357"/>
      <c r="AU96" s="373"/>
      <c r="AV96" s="258"/>
      <c r="AW96" s="357"/>
      <c r="AX96" s="357"/>
      <c r="AY96" s="373"/>
      <c r="AZ96" s="258"/>
      <c r="BA96" s="507"/>
      <c r="BB96" s="359"/>
      <c r="BC96" s="573">
        <v>0</v>
      </c>
      <c r="BD96" s="573">
        <v>0</v>
      </c>
      <c r="BE96" s="33"/>
      <c r="BG96" s="122" t="e">
        <f t="shared" si="25"/>
        <v>#DIV/0!</v>
      </c>
      <c r="BH96" s="123" t="e">
        <f t="shared" si="25"/>
        <v>#DIV/0!</v>
      </c>
      <c r="BI96" s="123" t="e">
        <f t="shared" si="8"/>
        <v>#DIV/0!</v>
      </c>
      <c r="BJ96" s="124"/>
      <c r="BL96" s="107"/>
      <c r="BM96" s="107"/>
      <c r="BN96" s="107"/>
      <c r="BO96" s="106"/>
      <c r="BQ96" s="177"/>
      <c r="BR96" s="177"/>
      <c r="BS96" s="177"/>
      <c r="BT96" s="106"/>
      <c r="BV96" s="177"/>
      <c r="BW96" s="177"/>
      <c r="BX96" s="177"/>
      <c r="BY96" s="106"/>
      <c r="CA96" s="177"/>
      <c r="CB96" s="177"/>
      <c r="CC96" s="177"/>
      <c r="CD96" s="106"/>
    </row>
    <row r="97" spans="1:82" outlineLevel="1">
      <c r="A97" s="13"/>
      <c r="B97" s="14" t="s">
        <v>873</v>
      </c>
      <c r="C97" s="15" t="s">
        <v>133</v>
      </c>
      <c r="D97" s="14">
        <v>186907991</v>
      </c>
      <c r="E97" s="15">
        <v>11</v>
      </c>
      <c r="F97" s="25">
        <v>64</v>
      </c>
      <c r="G97" s="16">
        <v>30</v>
      </c>
      <c r="I97" s="30">
        <f t="shared" si="14"/>
        <v>360.62467125000001</v>
      </c>
      <c r="J97" s="31">
        <f t="shared" si="15"/>
        <v>4.1161034789571946</v>
      </c>
      <c r="K97" s="31">
        <f t="shared" si="2"/>
        <v>1.0091804796082795</v>
      </c>
      <c r="L97" s="270">
        <f t="shared" si="26"/>
        <v>3.1067260254271312</v>
      </c>
      <c r="M97" s="106"/>
      <c r="N97" s="31">
        <f t="shared" si="4"/>
        <v>4.1161034789571946</v>
      </c>
      <c r="O97" s="521">
        <v>186907991</v>
      </c>
      <c r="P97" s="503">
        <v>769332632</v>
      </c>
      <c r="Q97" s="357">
        <v>188623896</v>
      </c>
      <c r="R97" s="357">
        <v>580671920</v>
      </c>
      <c r="S97" s="258"/>
      <c r="T97" s="357">
        <v>43.912444999999998</v>
      </c>
      <c r="U97" s="357">
        <v>45.026294999999998</v>
      </c>
      <c r="V97" s="373">
        <v>44.947239000000003</v>
      </c>
      <c r="W97" s="258"/>
      <c r="X97" s="357">
        <v>36.089602999999997</v>
      </c>
      <c r="Y97" s="357">
        <v>36.089602999999997</v>
      </c>
      <c r="Z97" s="373">
        <v>36.089602999999997</v>
      </c>
      <c r="AA97" s="258">
        <v>0</v>
      </c>
      <c r="AB97" s="507"/>
      <c r="AC97" s="359"/>
      <c r="AD97" s="573">
        <v>0</v>
      </c>
      <c r="AE97" s="573">
        <v>0</v>
      </c>
      <c r="AF97" s="33"/>
      <c r="AH97" s="30" t="str">
        <f t="shared" si="23"/>
        <v>·</v>
      </c>
      <c r="AI97" s="31" t="str">
        <f t="shared" si="18"/>
        <v>·</v>
      </c>
      <c r="AJ97" s="270" t="str">
        <f t="shared" si="20"/>
        <v>·</v>
      </c>
      <c r="AK97" s="275" t="str">
        <f t="shared" si="21"/>
        <v>·</v>
      </c>
      <c r="AL97" s="267" t="str">
        <f t="shared" si="22"/>
        <v>·</v>
      </c>
      <c r="AM97" s="31" t="str">
        <f t="shared" si="12"/>
        <v>·</v>
      </c>
      <c r="AN97" s="521"/>
      <c r="AO97" s="503"/>
      <c r="AP97" s="357"/>
      <c r="AQ97" s="357"/>
      <c r="AR97" s="258"/>
      <c r="AS97" s="357"/>
      <c r="AT97" s="357"/>
      <c r="AU97" s="373"/>
      <c r="AV97" s="258"/>
      <c r="AW97" s="357"/>
      <c r="AX97" s="357"/>
      <c r="AY97" s="373"/>
      <c r="AZ97" s="258"/>
      <c r="BA97" s="507"/>
      <c r="BB97" s="359"/>
      <c r="BC97" s="573">
        <v>0</v>
      </c>
      <c r="BD97" s="573">
        <v>0</v>
      </c>
      <c r="BE97" s="33"/>
      <c r="BG97" s="122" t="e">
        <f t="shared" si="25"/>
        <v>#DIV/0!</v>
      </c>
      <c r="BH97" s="123" t="e">
        <f t="shared" si="25"/>
        <v>#DIV/0!</v>
      </c>
      <c r="BI97" s="123" t="e">
        <f t="shared" si="8"/>
        <v>#DIV/0!</v>
      </c>
      <c r="BJ97" s="124"/>
      <c r="BL97" s="107"/>
      <c r="BM97" s="107"/>
      <c r="BN97" s="107"/>
      <c r="BO97" s="106"/>
      <c r="BQ97" s="177"/>
      <c r="BR97" s="177"/>
      <c r="BS97" s="177"/>
      <c r="BT97" s="106"/>
      <c r="BV97" s="177"/>
      <c r="BW97" s="177"/>
      <c r="BX97" s="177"/>
      <c r="BY97" s="106"/>
      <c r="CA97" s="177"/>
      <c r="CB97" s="177"/>
      <c r="CC97" s="177"/>
      <c r="CD97" s="106"/>
    </row>
    <row r="98" spans="1:82" outlineLevel="1">
      <c r="A98" s="13"/>
      <c r="B98" s="14" t="s">
        <v>872</v>
      </c>
      <c r="C98" s="15" t="s">
        <v>134</v>
      </c>
      <c r="D98" s="14">
        <v>186907991</v>
      </c>
      <c r="E98" s="15">
        <v>11</v>
      </c>
      <c r="F98" s="25">
        <v>64</v>
      </c>
      <c r="G98" s="16">
        <v>30</v>
      </c>
      <c r="I98" s="30">
        <f t="shared" si="14"/>
        <v>538.90405499999997</v>
      </c>
      <c r="J98" s="31">
        <f t="shared" si="15"/>
        <v>6.1509514807208001</v>
      </c>
      <c r="K98" s="31">
        <f t="shared" si="2"/>
        <v>1.0091804796082795</v>
      </c>
      <c r="L98" s="270">
        <f t="shared" si="26"/>
        <v>5.1415740271907371</v>
      </c>
      <c r="M98" s="106"/>
      <c r="N98" s="31">
        <f t="shared" si="4"/>
        <v>6.1509514807208001</v>
      </c>
      <c r="O98" s="521">
        <v>186907991</v>
      </c>
      <c r="P98" s="503">
        <v>1149661984</v>
      </c>
      <c r="Q98" s="357">
        <v>188623896</v>
      </c>
      <c r="R98" s="357">
        <v>961001272</v>
      </c>
      <c r="S98" s="258"/>
      <c r="T98" s="357">
        <v>49.160277999999998</v>
      </c>
      <c r="U98" s="357">
        <v>48.982460000000003</v>
      </c>
      <c r="V98" s="373">
        <v>48.675808000000004</v>
      </c>
      <c r="W98" s="258"/>
      <c r="X98" s="357">
        <v>42.110194999999997</v>
      </c>
      <c r="Y98" s="357">
        <v>42.110194999999997</v>
      </c>
      <c r="Z98" s="373">
        <v>42.110194999999997</v>
      </c>
      <c r="AA98" s="258">
        <v>0</v>
      </c>
      <c r="AB98" s="507"/>
      <c r="AC98" s="359"/>
      <c r="AD98" s="573">
        <v>0</v>
      </c>
      <c r="AE98" s="573">
        <v>0</v>
      </c>
      <c r="AF98" s="33"/>
      <c r="AH98" s="30" t="str">
        <f t="shared" si="23"/>
        <v>·</v>
      </c>
      <c r="AI98" s="31" t="str">
        <f t="shared" si="18"/>
        <v>·</v>
      </c>
      <c r="AJ98" s="270" t="str">
        <f t="shared" si="20"/>
        <v>·</v>
      </c>
      <c r="AK98" s="275" t="str">
        <f t="shared" si="21"/>
        <v>·</v>
      </c>
      <c r="AL98" s="267" t="str">
        <f t="shared" si="22"/>
        <v>·</v>
      </c>
      <c r="AM98" s="31" t="str">
        <f t="shared" si="12"/>
        <v>·</v>
      </c>
      <c r="AN98" s="521"/>
      <c r="AO98" s="503"/>
      <c r="AP98" s="357"/>
      <c r="AQ98" s="357"/>
      <c r="AR98" s="258"/>
      <c r="AS98" s="357"/>
      <c r="AT98" s="357"/>
      <c r="AU98" s="373"/>
      <c r="AV98" s="258"/>
      <c r="AW98" s="357"/>
      <c r="AX98" s="357"/>
      <c r="AY98" s="373"/>
      <c r="AZ98" s="258"/>
      <c r="BA98" s="507"/>
      <c r="BB98" s="359"/>
      <c r="BC98" s="573">
        <v>0</v>
      </c>
      <c r="BD98" s="573">
        <v>0</v>
      </c>
      <c r="BE98" s="33"/>
      <c r="BG98" s="122" t="e">
        <f t="shared" si="25"/>
        <v>#DIV/0!</v>
      </c>
      <c r="BH98" s="123" t="e">
        <f t="shared" si="25"/>
        <v>#DIV/0!</v>
      </c>
      <c r="BI98" s="123" t="e">
        <f t="shared" si="8"/>
        <v>#DIV/0!</v>
      </c>
      <c r="BJ98" s="124"/>
      <c r="BL98" s="107"/>
      <c r="BM98" s="107"/>
      <c r="BN98" s="107"/>
      <c r="BO98" s="106"/>
      <c r="BQ98" s="177"/>
      <c r="BR98" s="177"/>
      <c r="BS98" s="177"/>
      <c r="BT98" s="106"/>
      <c r="BV98" s="177"/>
      <c r="BW98" s="177"/>
      <c r="BX98" s="177"/>
      <c r="BY98" s="106"/>
      <c r="CA98" s="177"/>
      <c r="CB98" s="177"/>
      <c r="CC98" s="177"/>
      <c r="CD98" s="106"/>
    </row>
    <row r="99" spans="1:82" ht="14.25" outlineLevel="1" thickBot="1">
      <c r="A99" s="13"/>
      <c r="B99" s="18" t="s">
        <v>872</v>
      </c>
      <c r="C99" s="22" t="s">
        <v>884</v>
      </c>
      <c r="D99" s="21">
        <v>186907991</v>
      </c>
      <c r="E99" s="22">
        <v>11</v>
      </c>
      <c r="F99" s="188">
        <v>64</v>
      </c>
      <c r="G99" s="23">
        <v>30</v>
      </c>
      <c r="I99" s="34">
        <f t="shared" si="14"/>
        <v>732.1375425</v>
      </c>
      <c r="J99" s="35">
        <f t="shared" si="15"/>
        <v>8.3564828643415243</v>
      </c>
      <c r="K99" s="35">
        <f t="shared" si="2"/>
        <v>1.0091804796082795</v>
      </c>
      <c r="L99" s="271">
        <f t="shared" si="26"/>
        <v>7.3471056248205029</v>
      </c>
      <c r="M99" s="135"/>
      <c r="N99" s="35">
        <f t="shared" si="4"/>
        <v>8.3564828643415243</v>
      </c>
      <c r="O99" s="522">
        <v>186907991</v>
      </c>
      <c r="P99" s="504">
        <v>1561893424</v>
      </c>
      <c r="Q99" s="369">
        <v>188623896</v>
      </c>
      <c r="R99" s="369">
        <v>1373232752</v>
      </c>
      <c r="S99" s="277"/>
      <c r="T99" s="369">
        <v>52.632027000000001</v>
      </c>
      <c r="U99" s="369">
        <v>52.099795999999998</v>
      </c>
      <c r="V99" s="374">
        <v>51.804786999999997</v>
      </c>
      <c r="W99" s="277"/>
      <c r="X99" s="369">
        <v>48.130839999999999</v>
      </c>
      <c r="Y99" s="369">
        <v>48.130839999999999</v>
      </c>
      <c r="Z99" s="374">
        <v>48.130839999999999</v>
      </c>
      <c r="AA99" s="277">
        <v>0</v>
      </c>
      <c r="AB99" s="508"/>
      <c r="AC99" s="371"/>
      <c r="AD99" s="574">
        <v>0</v>
      </c>
      <c r="AE99" s="574">
        <v>0</v>
      </c>
      <c r="AF99" s="37"/>
      <c r="AH99" s="38" t="str">
        <f t="shared" si="23"/>
        <v>·</v>
      </c>
      <c r="AI99" s="39" t="str">
        <f t="shared" si="18"/>
        <v>·</v>
      </c>
      <c r="AJ99" s="273" t="str">
        <f t="shared" si="20"/>
        <v>·</v>
      </c>
      <c r="AK99" s="276" t="str">
        <f t="shared" si="21"/>
        <v>·</v>
      </c>
      <c r="AL99" s="268" t="str">
        <f t="shared" si="22"/>
        <v>·</v>
      </c>
      <c r="AM99" s="39" t="str">
        <f t="shared" si="12"/>
        <v>·</v>
      </c>
      <c r="AN99" s="522"/>
      <c r="AO99" s="504"/>
      <c r="AP99" s="369"/>
      <c r="AQ99" s="369"/>
      <c r="AR99" s="277"/>
      <c r="AS99" s="369"/>
      <c r="AT99" s="369"/>
      <c r="AU99" s="374"/>
      <c r="AV99" s="277"/>
      <c r="AW99" s="369"/>
      <c r="AX99" s="369"/>
      <c r="AY99" s="374"/>
      <c r="AZ99" s="277"/>
      <c r="BA99" s="508"/>
      <c r="BB99" s="371"/>
      <c r="BC99" s="574">
        <v>0</v>
      </c>
      <c r="BD99" s="574">
        <v>0</v>
      </c>
      <c r="BE99" s="41"/>
      <c r="BG99" s="128" t="e">
        <f t="shared" si="25"/>
        <v>#DIV/0!</v>
      </c>
      <c r="BH99" s="129" t="e">
        <f t="shared" si="25"/>
        <v>#DIV/0!</v>
      </c>
      <c r="BI99" s="129" t="e">
        <f t="shared" si="8"/>
        <v>#DIV/0!</v>
      </c>
      <c r="BJ99" s="130"/>
      <c r="BL99" s="110"/>
      <c r="BM99" s="110"/>
      <c r="BN99" s="110"/>
      <c r="BO99" s="109"/>
      <c r="BQ99" s="181"/>
      <c r="BR99" s="181"/>
      <c r="BS99" s="181"/>
      <c r="BT99" s="109"/>
      <c r="BV99" s="181"/>
      <c r="BW99" s="181"/>
      <c r="BX99" s="181"/>
      <c r="BY99" s="109"/>
      <c r="CA99" s="181"/>
      <c r="CB99" s="181"/>
      <c r="CC99" s="181"/>
      <c r="CD99" s="109"/>
    </row>
    <row r="100" spans="1:82">
      <c r="A100" s="13"/>
      <c r="B100" s="27" t="s">
        <v>879</v>
      </c>
      <c r="C100" s="28" t="s">
        <v>131</v>
      </c>
      <c r="D100" s="27">
        <v>166028718</v>
      </c>
      <c r="E100" s="28">
        <v>11</v>
      </c>
      <c r="F100" s="28">
        <v>64</v>
      </c>
      <c r="G100" s="29">
        <v>30</v>
      </c>
      <c r="I100" s="42">
        <f t="shared" ref="I100:I114" si="27">IF(OR(ISBLANK(P100),ISBLANK(G100)),"·",P100*G100/F100/1000000)</f>
        <v>136.7985525</v>
      </c>
      <c r="J100" s="43">
        <f t="shared" si="15"/>
        <v>1.7577495960668683</v>
      </c>
      <c r="K100" s="43">
        <f t="shared" si="2"/>
        <v>1.0594718439011255</v>
      </c>
      <c r="L100" s="269">
        <f>IF(ISBLANK(R100),"·",R100/D100)</f>
        <v>0.69805591102618769</v>
      </c>
      <c r="M100" s="104"/>
      <c r="N100" s="43">
        <f t="shared" si="4"/>
        <v>1.7577495960668683</v>
      </c>
      <c r="O100" s="520">
        <v>166028718</v>
      </c>
      <c r="P100" s="502">
        <v>291836912</v>
      </c>
      <c r="Q100" s="353">
        <v>175902752</v>
      </c>
      <c r="R100" s="353">
        <v>115897328</v>
      </c>
      <c r="S100" s="257"/>
      <c r="T100" s="353">
        <v>32.346049999999998</v>
      </c>
      <c r="U100" s="353">
        <v>36.629047</v>
      </c>
      <c r="V100" s="372">
        <v>36.802357000000001</v>
      </c>
      <c r="W100" s="257"/>
      <c r="X100" s="353">
        <v>24.048421999999999</v>
      </c>
      <c r="Y100" s="353">
        <v>24.048421999999999</v>
      </c>
      <c r="Z100" s="372">
        <v>24.048421999999999</v>
      </c>
      <c r="AA100" s="257">
        <v>0</v>
      </c>
      <c r="AB100" s="506"/>
      <c r="AC100" s="355"/>
      <c r="AD100" s="572">
        <v>0</v>
      </c>
      <c r="AE100" s="572">
        <v>0</v>
      </c>
      <c r="AF100" s="45"/>
      <c r="AH100" s="46" t="str">
        <f t="shared" si="23"/>
        <v>·</v>
      </c>
      <c r="AI100" s="47" t="str">
        <f t="shared" si="18"/>
        <v>·</v>
      </c>
      <c r="AJ100" s="47" t="str">
        <f t="shared" si="20"/>
        <v>·</v>
      </c>
      <c r="AK100" s="274" t="str">
        <f t="shared" si="21"/>
        <v>·</v>
      </c>
      <c r="AL100" s="266" t="str">
        <f t="shared" si="22"/>
        <v>·</v>
      </c>
      <c r="AM100" s="47" t="str">
        <f t="shared" si="12"/>
        <v>·</v>
      </c>
      <c r="AN100" s="520"/>
      <c r="AO100" s="502"/>
      <c r="AP100" s="353"/>
      <c r="AQ100" s="353"/>
      <c r="AR100" s="257"/>
      <c r="AS100" s="353"/>
      <c r="AT100" s="353"/>
      <c r="AU100" s="372"/>
      <c r="AV100" s="257"/>
      <c r="AW100" s="353"/>
      <c r="AX100" s="353"/>
      <c r="AY100" s="372"/>
      <c r="AZ100" s="257"/>
      <c r="BA100" s="506"/>
      <c r="BB100" s="355"/>
      <c r="BC100" s="572">
        <v>0</v>
      </c>
      <c r="BD100" s="572">
        <v>0</v>
      </c>
      <c r="BE100" s="49"/>
      <c r="BG100" s="119" t="e">
        <f t="shared" si="25"/>
        <v>#DIV/0!</v>
      </c>
      <c r="BH100" s="120" t="e">
        <f t="shared" si="25"/>
        <v>#DIV/0!</v>
      </c>
      <c r="BI100" s="120" t="e">
        <f t="shared" si="8"/>
        <v>#DIV/0!</v>
      </c>
      <c r="BJ100" s="121" t="e">
        <f t="array" ref="BJ100">AVERAGE(AP100:AP104/AO100:AO104) - AVERAGE(Q100:Q104/P100:P104)</f>
        <v>#DIV/0!</v>
      </c>
      <c r="BL100" s="279" t="str">
        <f>IF( OR(ISBLANK($R100:$R104),ISBLANK($AQ100:$AQ104), ISBLANK(T100:T104),ISBLANK(AS100:AS104)), "·", bdRateHermite($R100:$R104,T100:T104, $AQ100:$AQ104,AS100:AS104))</f>
        <v>·</v>
      </c>
      <c r="BM100" s="279" t="str">
        <f>IF( OR(ISBLANK($R100:$R104),ISBLANK($AQ100:$AQ104), ISBLANK(U100:U104),ISBLANK(AT100:AT104)), "·", bdRateHermite($R100:$R104,U100:U104, $AQ100:$AQ104,AT100:AT104))</f>
        <v>·</v>
      </c>
      <c r="BN100" s="279" t="str">
        <f>IF( OR(ISBLANK($R100:$R104),ISBLANK($AQ100:$AQ104), ISBLANK(V100:V104),ISBLANK(AU100:AU104)), "·", bdRateHermite($R100:$R104,V100:V104, $AQ100:$AQ104,AU100:AU104))</f>
        <v>·</v>
      </c>
      <c r="BO100" s="104"/>
      <c r="BQ100" s="173" t="str">
        <f>IF( OR(ISBLANK($R100:$R104),ISBLANK($AQ100:$AQ104), ISBLANK(X100:X104),ISBLANK(AW100:AW104)), "·", bdRateHermite($R100:$R104,X100:X104, $AQ100:$AQ104,AW100:AW104))</f>
        <v>·</v>
      </c>
      <c r="BR100" s="173" t="str">
        <f>IF( OR(ISBLANK($R100:$R104),ISBLANK($AQ100:$AQ104), ISBLANK(Y100:Y104),ISBLANK(AX100:AX104)), "·", bdRateHermite($R100:$R104,Y100:Y104, $AQ100:$AQ104,AX100:AX104))</f>
        <v>·</v>
      </c>
      <c r="BS100" s="173" t="str">
        <f>IF( OR(ISBLANK($R100:$R104),ISBLANK($AQ100:$AQ104), ISBLANK(Z100:Z104),ISBLANK(AY100:AY104)), "·", bdRateHermite($R100:$R104,Z100:Z104, $AQ100:$AQ104,AY100:AY104))</f>
        <v>·</v>
      </c>
      <c r="BT100" s="138"/>
      <c r="BV100" s="173" t="str">
        <f>IF(OR(ISBLANK($P100:$P104),ISBLANK($AO100:$AO104),ISBLANK(T100:T104),ISBLANK(AS100:AS104)),"·",bdRateHermite($P100:$P104,T100:T104,$AO100:$AO104,AS100:AS104))</f>
        <v>·</v>
      </c>
      <c r="BW100" s="173" t="str">
        <f>IF(OR(ISBLANK($P100:$P104),ISBLANK($AO100:$AO104),ISBLANK(U100:U104),ISBLANK(AT100:AT104)),"·",bdRateHermite($P100:$P104,U100:U104,$AO100:$AO104,AT100:AT104))</f>
        <v>·</v>
      </c>
      <c r="BX100" s="173" t="str">
        <f>IF(OR(ISBLANK($P100:$P104),ISBLANK($AO100:$AO104),ISBLANK(V100:V104),ISBLANK(AU100:AU104)),"·",bdRateHermite($P100:$P104,V100:V104,$AO100:$AO104,AU100:AU104))</f>
        <v>·</v>
      </c>
      <c r="BY100" s="138"/>
      <c r="CA100" s="173" t="str">
        <f>IF( OR(ISBLANK($P100:$P104),ISBLANK($AO100:$AO104), ISBLANK(X100:X104),ISBLANK(AW100:AW104)), "·", bdRateHermite( $P100:$P104,X100:X104, $AO100:$AO104,AW100:AW104))</f>
        <v>·</v>
      </c>
      <c r="CB100" s="173" t="str">
        <f>IF( OR(ISBLANK($P100:$P104),ISBLANK($AO100:$AO104), ISBLANK(Y100:Y104),ISBLANK(AX100:AX104)), "·", bdRateHermite( $P100:$P104,Y100:Y104, $AO100:$AO104,AX100:AX104))</f>
        <v>·</v>
      </c>
      <c r="CC100" s="173" t="str">
        <f>IF( OR(ISBLANK($P100:$P104),ISBLANK($AO100:$AO104), ISBLANK(Z100:Z104),ISBLANK(AY100:AY104)), "·", bdRateHermite( $P100:$P104,Z100:Z104, $AO100:$AO104,AY100:AY104))</f>
        <v>·</v>
      </c>
      <c r="CD100" s="138"/>
    </row>
    <row r="101" spans="1:82" outlineLevel="1">
      <c r="A101" s="13"/>
      <c r="B101" s="14" t="s">
        <v>874</v>
      </c>
      <c r="C101" s="15" t="s">
        <v>132</v>
      </c>
      <c r="D101" s="14">
        <v>166028718</v>
      </c>
      <c r="E101" s="15">
        <v>11</v>
      </c>
      <c r="F101" s="25">
        <v>64</v>
      </c>
      <c r="G101" s="16">
        <v>30</v>
      </c>
      <c r="I101" s="30">
        <f t="shared" si="27"/>
        <v>206.7255375</v>
      </c>
      <c r="J101" s="31">
        <f t="shared" ref="J101:J114" si="28">IF(ISBLANK(P101),"·",P101/D101)</f>
        <v>2.6562542029626464</v>
      </c>
      <c r="K101" s="31">
        <f t="shared" si="2"/>
        <v>1.0594718439011255</v>
      </c>
      <c r="L101" s="270">
        <f t="shared" ref="L101:L104" si="29">IF(ISBLANK(R101),"·",R101/D101)</f>
        <v>1.5965605179219657</v>
      </c>
      <c r="M101" s="106"/>
      <c r="N101" s="31">
        <f t="shared" si="4"/>
        <v>2.6562542029626464</v>
      </c>
      <c r="O101" s="521">
        <v>166028718</v>
      </c>
      <c r="P101" s="503">
        <v>441014480</v>
      </c>
      <c r="Q101" s="357">
        <v>175902752</v>
      </c>
      <c r="R101" s="357">
        <v>265074896</v>
      </c>
      <c r="S101" s="258"/>
      <c r="T101" s="357">
        <v>38.139549000000002</v>
      </c>
      <c r="U101" s="357">
        <v>40.935516</v>
      </c>
      <c r="V101" s="373">
        <v>41.138176000000001</v>
      </c>
      <c r="W101" s="258"/>
      <c r="X101" s="357">
        <v>30.068995000000001</v>
      </c>
      <c r="Y101" s="357">
        <v>30.068995000000001</v>
      </c>
      <c r="Z101" s="373">
        <v>30.068995000000001</v>
      </c>
      <c r="AA101" s="258">
        <v>0</v>
      </c>
      <c r="AB101" s="507"/>
      <c r="AC101" s="359"/>
      <c r="AD101" s="573">
        <v>0</v>
      </c>
      <c r="AE101" s="573">
        <v>0</v>
      </c>
      <c r="AF101" s="33"/>
      <c r="AH101" s="30" t="str">
        <f t="shared" si="23"/>
        <v>·</v>
      </c>
      <c r="AI101" s="31" t="str">
        <f t="shared" si="18"/>
        <v>·</v>
      </c>
      <c r="AJ101" s="31" t="str">
        <f t="shared" si="20"/>
        <v>·</v>
      </c>
      <c r="AK101" s="275" t="str">
        <f t="shared" si="21"/>
        <v>·</v>
      </c>
      <c r="AL101" s="267" t="str">
        <f t="shared" si="22"/>
        <v>·</v>
      </c>
      <c r="AM101" s="31" t="str">
        <f t="shared" si="12"/>
        <v>·</v>
      </c>
      <c r="AN101" s="521"/>
      <c r="AO101" s="503"/>
      <c r="AP101" s="357"/>
      <c r="AQ101" s="357"/>
      <c r="AR101" s="258"/>
      <c r="AS101" s="357"/>
      <c r="AT101" s="357"/>
      <c r="AU101" s="373"/>
      <c r="AV101" s="258"/>
      <c r="AW101" s="357"/>
      <c r="AX101" s="357"/>
      <c r="AY101" s="373"/>
      <c r="AZ101" s="258"/>
      <c r="BA101" s="507"/>
      <c r="BB101" s="359"/>
      <c r="BC101" s="573">
        <v>0</v>
      </c>
      <c r="BD101" s="573">
        <v>0</v>
      </c>
      <c r="BE101" s="33"/>
      <c r="BG101" s="122" t="e">
        <f t="shared" si="25"/>
        <v>#DIV/0!</v>
      </c>
      <c r="BH101" s="123" t="e">
        <f t="shared" si="25"/>
        <v>#DIV/0!</v>
      </c>
      <c r="BI101" s="123" t="e">
        <f t="shared" si="8"/>
        <v>#DIV/0!</v>
      </c>
      <c r="BJ101" s="124"/>
      <c r="BL101" s="107"/>
      <c r="BM101" s="107"/>
      <c r="BN101" s="107"/>
      <c r="BO101" s="106"/>
      <c r="BQ101" s="177"/>
      <c r="BR101" s="177"/>
      <c r="BS101" s="177"/>
      <c r="BT101" s="106"/>
      <c r="BV101" s="177"/>
      <c r="BW101" s="177"/>
      <c r="BX101" s="177"/>
      <c r="BY101" s="106"/>
      <c r="CA101" s="177"/>
      <c r="CB101" s="177"/>
      <c r="CC101" s="177"/>
      <c r="CD101" s="106"/>
    </row>
    <row r="102" spans="1:82" outlineLevel="1">
      <c r="A102" s="13"/>
      <c r="B102" s="14" t="s">
        <v>874</v>
      </c>
      <c r="C102" s="15" t="s">
        <v>133</v>
      </c>
      <c r="D102" s="14">
        <v>166028718</v>
      </c>
      <c r="E102" s="15">
        <v>11</v>
      </c>
      <c r="F102" s="25">
        <v>64</v>
      </c>
      <c r="G102" s="16">
        <v>30</v>
      </c>
      <c r="I102" s="30">
        <f t="shared" si="27"/>
        <v>328.23443250000003</v>
      </c>
      <c r="J102" s="31">
        <f t="shared" si="28"/>
        <v>4.2175441961793618</v>
      </c>
      <c r="K102" s="31">
        <f t="shared" si="2"/>
        <v>1.0594718439011255</v>
      </c>
      <c r="L102" s="270">
        <f t="shared" si="29"/>
        <v>3.1578506075075516</v>
      </c>
      <c r="M102" s="106"/>
      <c r="N102" s="31">
        <f t="shared" si="4"/>
        <v>4.2175441961793618</v>
      </c>
      <c r="O102" s="521">
        <v>166028718</v>
      </c>
      <c r="P102" s="503">
        <v>700233456</v>
      </c>
      <c r="Q102" s="357">
        <v>175902752</v>
      </c>
      <c r="R102" s="357">
        <v>524293888</v>
      </c>
      <c r="S102" s="258"/>
      <c r="T102" s="357">
        <v>43.848736000000002</v>
      </c>
      <c r="U102" s="357">
        <v>45.040829000000002</v>
      </c>
      <c r="V102" s="373">
        <v>44.857608999999997</v>
      </c>
      <c r="W102" s="258"/>
      <c r="X102" s="357">
        <v>36.089602999999997</v>
      </c>
      <c r="Y102" s="357">
        <v>36.089602999999997</v>
      </c>
      <c r="Z102" s="373">
        <v>36.089602999999997</v>
      </c>
      <c r="AA102" s="258">
        <v>0</v>
      </c>
      <c r="AB102" s="507"/>
      <c r="AC102" s="359"/>
      <c r="AD102" s="573">
        <v>0</v>
      </c>
      <c r="AE102" s="573">
        <v>0</v>
      </c>
      <c r="AF102" s="33"/>
      <c r="AH102" s="30" t="str">
        <f t="shared" si="23"/>
        <v>·</v>
      </c>
      <c r="AI102" s="31" t="str">
        <f t="shared" si="18"/>
        <v>·</v>
      </c>
      <c r="AJ102" s="31" t="str">
        <f t="shared" si="20"/>
        <v>·</v>
      </c>
      <c r="AK102" s="275" t="str">
        <f t="shared" si="21"/>
        <v>·</v>
      </c>
      <c r="AL102" s="267" t="str">
        <f t="shared" si="22"/>
        <v>·</v>
      </c>
      <c r="AM102" s="31" t="str">
        <f t="shared" si="12"/>
        <v>·</v>
      </c>
      <c r="AN102" s="521"/>
      <c r="AO102" s="503"/>
      <c r="AP102" s="357"/>
      <c r="AQ102" s="357"/>
      <c r="AR102" s="258"/>
      <c r="AS102" s="357"/>
      <c r="AT102" s="357"/>
      <c r="AU102" s="373"/>
      <c r="AV102" s="258"/>
      <c r="AW102" s="357"/>
      <c r="AX102" s="357"/>
      <c r="AY102" s="373"/>
      <c r="AZ102" s="258"/>
      <c r="BA102" s="507"/>
      <c r="BB102" s="359"/>
      <c r="BC102" s="573">
        <v>0</v>
      </c>
      <c r="BD102" s="573">
        <v>0</v>
      </c>
      <c r="BE102" s="33"/>
      <c r="BG102" s="122" t="e">
        <f t="shared" si="25"/>
        <v>#DIV/0!</v>
      </c>
      <c r="BH102" s="123" t="e">
        <f t="shared" si="25"/>
        <v>#DIV/0!</v>
      </c>
      <c r="BI102" s="123" t="e">
        <f t="shared" si="8"/>
        <v>#DIV/0!</v>
      </c>
      <c r="BJ102" s="124"/>
      <c r="BL102" s="107"/>
      <c r="BM102" s="107"/>
      <c r="BN102" s="107"/>
      <c r="BO102" s="106"/>
      <c r="BQ102" s="177"/>
      <c r="BR102" s="177"/>
      <c r="BS102" s="177"/>
      <c r="BT102" s="106"/>
      <c r="BV102" s="177"/>
      <c r="BW102" s="177"/>
      <c r="BX102" s="177"/>
      <c r="BY102" s="106"/>
      <c r="CA102" s="177"/>
      <c r="CB102" s="177"/>
      <c r="CC102" s="177"/>
      <c r="CD102" s="106"/>
    </row>
    <row r="103" spans="1:82" outlineLevel="1">
      <c r="A103" s="13"/>
      <c r="B103" s="14" t="s">
        <v>874</v>
      </c>
      <c r="C103" s="15" t="s">
        <v>134</v>
      </c>
      <c r="D103" s="14">
        <v>166028718</v>
      </c>
      <c r="E103" s="15">
        <v>11</v>
      </c>
      <c r="F103" s="25">
        <v>64</v>
      </c>
      <c r="G103" s="16">
        <v>30</v>
      </c>
      <c r="I103" s="30">
        <f t="shared" si="27"/>
        <v>482.70343874999998</v>
      </c>
      <c r="J103" s="31">
        <f t="shared" si="28"/>
        <v>6.2023446811171548</v>
      </c>
      <c r="K103" s="31">
        <f t="shared" si="2"/>
        <v>1.0594718439011255</v>
      </c>
      <c r="L103" s="270">
        <f t="shared" si="29"/>
        <v>5.1426510924453446</v>
      </c>
      <c r="M103" s="106"/>
      <c r="N103" s="31">
        <f t="shared" si="4"/>
        <v>6.2023446811171548</v>
      </c>
      <c r="O103" s="521">
        <v>166028718</v>
      </c>
      <c r="P103" s="503">
        <v>1029767336</v>
      </c>
      <c r="Q103" s="357">
        <v>175902752</v>
      </c>
      <c r="R103" s="357">
        <v>853827768</v>
      </c>
      <c r="S103" s="258"/>
      <c r="T103" s="357">
        <v>49.136299000000001</v>
      </c>
      <c r="U103" s="357">
        <v>48.962364000000001</v>
      </c>
      <c r="V103" s="373">
        <v>48.676234999999998</v>
      </c>
      <c r="W103" s="258"/>
      <c r="X103" s="357">
        <v>42.110194999999997</v>
      </c>
      <c r="Y103" s="357">
        <v>42.110194999999997</v>
      </c>
      <c r="Z103" s="373">
        <v>42.110194999999997</v>
      </c>
      <c r="AA103" s="258">
        <v>0</v>
      </c>
      <c r="AB103" s="507"/>
      <c r="AC103" s="359"/>
      <c r="AD103" s="573">
        <v>0</v>
      </c>
      <c r="AE103" s="573">
        <v>0</v>
      </c>
      <c r="AF103" s="33"/>
      <c r="AH103" s="30" t="str">
        <f t="shared" si="23"/>
        <v>·</v>
      </c>
      <c r="AI103" s="31" t="str">
        <f t="shared" si="18"/>
        <v>·</v>
      </c>
      <c r="AJ103" s="31" t="str">
        <f t="shared" si="20"/>
        <v>·</v>
      </c>
      <c r="AK103" s="275" t="str">
        <f t="shared" si="21"/>
        <v>·</v>
      </c>
      <c r="AL103" s="267" t="str">
        <f t="shared" si="22"/>
        <v>·</v>
      </c>
      <c r="AM103" s="31" t="str">
        <f t="shared" si="12"/>
        <v>·</v>
      </c>
      <c r="AN103" s="521"/>
      <c r="AO103" s="503"/>
      <c r="AP103" s="357"/>
      <c r="AQ103" s="357"/>
      <c r="AR103" s="258"/>
      <c r="AS103" s="357"/>
      <c r="AT103" s="357"/>
      <c r="AU103" s="373"/>
      <c r="AV103" s="258"/>
      <c r="AW103" s="357"/>
      <c r="AX103" s="357"/>
      <c r="AY103" s="373"/>
      <c r="AZ103" s="258"/>
      <c r="BA103" s="507"/>
      <c r="BB103" s="359"/>
      <c r="BC103" s="573">
        <v>0</v>
      </c>
      <c r="BD103" s="573">
        <v>0</v>
      </c>
      <c r="BE103" s="33"/>
      <c r="BG103" s="122" t="e">
        <f t="shared" si="25"/>
        <v>#DIV/0!</v>
      </c>
      <c r="BH103" s="123" t="e">
        <f t="shared" si="25"/>
        <v>#DIV/0!</v>
      </c>
      <c r="BI103" s="123" t="e">
        <f t="shared" si="8"/>
        <v>#DIV/0!</v>
      </c>
      <c r="BJ103" s="124"/>
      <c r="BL103" s="107"/>
      <c r="BM103" s="107"/>
      <c r="BN103" s="107"/>
      <c r="BO103" s="106"/>
      <c r="BQ103" s="177"/>
      <c r="BR103" s="177"/>
      <c r="BS103" s="177"/>
      <c r="BT103" s="106"/>
      <c r="BV103" s="177"/>
      <c r="BW103" s="177"/>
      <c r="BX103" s="177"/>
      <c r="BY103" s="106"/>
      <c r="CA103" s="177"/>
      <c r="CB103" s="177"/>
      <c r="CC103" s="177"/>
      <c r="CD103" s="106"/>
    </row>
    <row r="104" spans="1:82" ht="14.25" outlineLevel="1" thickBot="1">
      <c r="A104" s="13"/>
      <c r="B104" s="18" t="s">
        <v>874</v>
      </c>
      <c r="C104" s="19" t="s">
        <v>884</v>
      </c>
      <c r="D104" s="18">
        <v>166028718</v>
      </c>
      <c r="E104" s="19">
        <v>11</v>
      </c>
      <c r="F104" s="189">
        <v>64</v>
      </c>
      <c r="G104" s="20">
        <v>30</v>
      </c>
      <c r="I104" s="38">
        <f t="shared" si="27"/>
        <v>649.68175874999997</v>
      </c>
      <c r="J104" s="39">
        <f t="shared" si="28"/>
        <v>8.3478796240539541</v>
      </c>
      <c r="K104" s="39">
        <f t="shared" ref="K104:K114" si="30">IF(Q104="","·",Q104/D104)</f>
        <v>1.0594718439011255</v>
      </c>
      <c r="L104" s="271">
        <f t="shared" si="29"/>
        <v>7.2881860353821439</v>
      </c>
      <c r="M104" s="109"/>
      <c r="N104" s="39">
        <f t="shared" ref="N104:N114" si="31">IF(ISBLANK(P104),"·",P104/O104)</f>
        <v>8.3478796240539541</v>
      </c>
      <c r="O104" s="525">
        <v>166028718</v>
      </c>
      <c r="P104" s="505">
        <v>1385987752</v>
      </c>
      <c r="Q104" s="361">
        <v>175902752</v>
      </c>
      <c r="R104" s="361">
        <v>1210048184</v>
      </c>
      <c r="S104" s="259"/>
      <c r="T104" s="361">
        <v>52.606048999999999</v>
      </c>
      <c r="U104" s="361">
        <v>52.046455000000002</v>
      </c>
      <c r="V104" s="375">
        <v>51.913612000000001</v>
      </c>
      <c r="W104" s="259"/>
      <c r="X104" s="361">
        <v>48.130839999999999</v>
      </c>
      <c r="Y104" s="361">
        <v>48.130839999999999</v>
      </c>
      <c r="Z104" s="375">
        <v>48.130839999999999</v>
      </c>
      <c r="AA104" s="259">
        <v>0</v>
      </c>
      <c r="AB104" s="509"/>
      <c r="AC104" s="363"/>
      <c r="AD104" s="575">
        <v>0</v>
      </c>
      <c r="AE104" s="575">
        <v>0</v>
      </c>
      <c r="AF104" s="41"/>
      <c r="AH104" s="34" t="str">
        <f t="shared" si="23"/>
        <v>·</v>
      </c>
      <c r="AI104" s="35" t="str">
        <f t="shared" si="18"/>
        <v>·</v>
      </c>
      <c r="AJ104" s="35" t="str">
        <f t="shared" si="20"/>
        <v>·</v>
      </c>
      <c r="AK104" s="276" t="str">
        <f t="shared" si="21"/>
        <v>·</v>
      </c>
      <c r="AL104" s="268" t="str">
        <f t="shared" si="22"/>
        <v>·</v>
      </c>
      <c r="AM104" s="35" t="str">
        <f t="shared" ref="AM104:AM114" si="32">IF(ISBLANK(AO104),"·",AO104/AN104)</f>
        <v>·</v>
      </c>
      <c r="AN104" s="525"/>
      <c r="AO104" s="505"/>
      <c r="AP104" s="361"/>
      <c r="AQ104" s="361"/>
      <c r="AR104" s="259"/>
      <c r="AS104" s="361"/>
      <c r="AT104" s="361"/>
      <c r="AU104" s="375"/>
      <c r="AV104" s="259"/>
      <c r="AW104" s="361"/>
      <c r="AX104" s="361"/>
      <c r="AY104" s="375"/>
      <c r="AZ104" s="259"/>
      <c r="BA104" s="509"/>
      <c r="BB104" s="363"/>
      <c r="BC104" s="575">
        <v>0</v>
      </c>
      <c r="BD104" s="575">
        <v>0</v>
      </c>
      <c r="BE104" s="37"/>
      <c r="BG104" s="125" t="e">
        <f t="shared" ref="BG104:BH114" si="33">BC104/AD104</f>
        <v>#DIV/0!</v>
      </c>
      <c r="BH104" s="126" t="e">
        <f t="shared" si="33"/>
        <v>#DIV/0!</v>
      </c>
      <c r="BI104" s="126" t="e">
        <f t="shared" ref="BI104:BI114" si="34">(AP104/AO104) - (Q104/P104)</f>
        <v>#DIV/0!</v>
      </c>
      <c r="BJ104" s="127"/>
      <c r="BL104" s="110"/>
      <c r="BM104" s="110"/>
      <c r="BN104" s="110"/>
      <c r="BO104" s="109"/>
      <c r="BQ104" s="181"/>
      <c r="BR104" s="181"/>
      <c r="BS104" s="181"/>
      <c r="BT104" s="109"/>
      <c r="BV104" s="181"/>
      <c r="BW104" s="181"/>
      <c r="BX104" s="181"/>
      <c r="BY104" s="109"/>
      <c r="CA104" s="181"/>
      <c r="CB104" s="181"/>
      <c r="CC104" s="181"/>
      <c r="CD104" s="109"/>
    </row>
    <row r="105" spans="1:82">
      <c r="A105" s="13"/>
      <c r="B105" s="24" t="s">
        <v>875</v>
      </c>
      <c r="C105" s="25" t="s">
        <v>131</v>
      </c>
      <c r="D105" s="27">
        <v>156840910</v>
      </c>
      <c r="E105" s="28">
        <v>11</v>
      </c>
      <c r="F105" s="25">
        <v>64</v>
      </c>
      <c r="G105" s="29">
        <v>30</v>
      </c>
      <c r="I105" s="46">
        <f t="shared" si="27"/>
        <v>111.60039</v>
      </c>
      <c r="J105" s="47">
        <f t="shared" si="28"/>
        <v>1.517976604445868</v>
      </c>
      <c r="K105" s="47">
        <f t="shared" si="30"/>
        <v>1.0042908320284549</v>
      </c>
      <c r="L105" s="269">
        <f>IF(ISBLANK(R105),"·",R105/D105)</f>
        <v>0.51345164982784153</v>
      </c>
      <c r="M105" s="138"/>
      <c r="N105" s="47">
        <f t="shared" si="31"/>
        <v>1.517976604445868</v>
      </c>
      <c r="O105" s="520">
        <v>156840910</v>
      </c>
      <c r="P105" s="519">
        <v>238080832</v>
      </c>
      <c r="Q105" s="365">
        <v>157513888</v>
      </c>
      <c r="R105" s="365">
        <v>80530224</v>
      </c>
      <c r="S105" s="257"/>
      <c r="T105" s="365">
        <v>33.014217000000002</v>
      </c>
      <c r="U105" s="365">
        <v>37.604233000000001</v>
      </c>
      <c r="V105" s="376">
        <v>37.920127999999998</v>
      </c>
      <c r="W105" s="278"/>
      <c r="X105" s="365">
        <v>24.048421999999999</v>
      </c>
      <c r="Y105" s="365">
        <v>24.048421999999999</v>
      </c>
      <c r="Z105" s="376">
        <v>24.048421999999999</v>
      </c>
      <c r="AA105" s="278">
        <v>0</v>
      </c>
      <c r="AB105" s="510"/>
      <c r="AC105" s="367"/>
      <c r="AD105" s="576">
        <v>0</v>
      </c>
      <c r="AE105" s="576">
        <v>0</v>
      </c>
      <c r="AF105" s="49"/>
      <c r="AH105" s="42" t="str">
        <f t="shared" si="23"/>
        <v>·</v>
      </c>
      <c r="AI105" s="43" t="str">
        <f t="shared" si="18"/>
        <v>·</v>
      </c>
      <c r="AJ105" s="43" t="str">
        <f t="shared" si="20"/>
        <v>·</v>
      </c>
      <c r="AK105" s="274" t="str">
        <f t="shared" si="21"/>
        <v>·</v>
      </c>
      <c r="AL105" s="266" t="str">
        <f t="shared" si="22"/>
        <v>·</v>
      </c>
      <c r="AM105" s="43" t="str">
        <f t="shared" si="32"/>
        <v>·</v>
      </c>
      <c r="AN105" s="520"/>
      <c r="AO105" s="519"/>
      <c r="AP105" s="365"/>
      <c r="AQ105" s="365"/>
      <c r="AR105" s="257"/>
      <c r="AS105" s="365"/>
      <c r="AT105" s="365"/>
      <c r="AU105" s="376"/>
      <c r="AV105" s="278"/>
      <c r="AW105" s="365"/>
      <c r="AX105" s="365"/>
      <c r="AY105" s="376"/>
      <c r="AZ105" s="278"/>
      <c r="BA105" s="510"/>
      <c r="BB105" s="367"/>
      <c r="BC105" s="576">
        <v>0</v>
      </c>
      <c r="BD105" s="576">
        <v>0</v>
      </c>
      <c r="BE105" s="45"/>
      <c r="BG105" s="131" t="e">
        <f t="shared" si="33"/>
        <v>#DIV/0!</v>
      </c>
      <c r="BH105" s="132" t="e">
        <f t="shared" si="33"/>
        <v>#DIV/0!</v>
      </c>
      <c r="BI105" s="132" t="e">
        <f t="shared" si="34"/>
        <v>#DIV/0!</v>
      </c>
      <c r="BJ105" s="133" t="e">
        <f t="array" ref="BJ105">AVERAGE(AP105:AP109/AO105:AO109) - AVERAGE(Q105:Q109/P105:P109)</f>
        <v>#DIV/0!</v>
      </c>
      <c r="BL105" s="279" t="str">
        <f>IF( OR(ISBLANK($R105:$R109),ISBLANK($AQ105:$AQ109), ISBLANK(T105:T109),ISBLANK(AS105:AS109)), "·", bdRateHermite($R105:$R109,T105:T109, $AQ105:$AQ109,AS105:AS109))</f>
        <v>·</v>
      </c>
      <c r="BM105" s="279" t="str">
        <f>IF( OR(ISBLANK($R105:$R109),ISBLANK($AQ105:$AQ109), ISBLANK(U105:U109),ISBLANK(AT105:AT109)), "·", bdRateHermite($R105:$R109,U105:U109, $AQ105:$AQ109,AT105:AT109))</f>
        <v>·</v>
      </c>
      <c r="BN105" s="279" t="str">
        <f>IF( OR(ISBLANK($R105:$R109),ISBLANK($AQ105:$AQ109), ISBLANK(V105:V109),ISBLANK(AU105:AU109)), "·", bdRateHermite($R105:$R109,V105:V109, $AQ105:$AQ109,AU105:AU109))</f>
        <v>·</v>
      </c>
      <c r="BO105" s="104"/>
      <c r="BQ105" s="173" t="str">
        <f>IF( OR(ISBLANK($R105:$R109),ISBLANK($AQ105:$AQ109), ISBLANK(X105:X109),ISBLANK(AW105:AW109)), "·", bdRateHermite($R105:$R109,X105:X109, $AQ105:$AQ109,AW105:AW109))</f>
        <v>·</v>
      </c>
      <c r="BR105" s="173" t="str">
        <f>IF( OR(ISBLANK($R105:$R109),ISBLANK($AQ105:$AQ109), ISBLANK(Y105:Y109),ISBLANK(AX105:AX109)), "·", bdRateHermite($R105:$R109,Y105:Y109, $AQ105:$AQ109,AX105:AX109))</f>
        <v>·</v>
      </c>
      <c r="BS105" s="173" t="str">
        <f>IF( OR(ISBLANK($R105:$R109),ISBLANK($AQ105:$AQ109), ISBLANK(Z105:Z109),ISBLANK(AY105:AY109)), "·", bdRateHermite($R105:$R109,Z105:Z109, $AQ105:$AQ109,AY105:AY109))</f>
        <v>·</v>
      </c>
      <c r="BT105" s="138"/>
      <c r="BV105" s="173" t="str">
        <f>IF(OR(ISBLANK($P105:$P109),ISBLANK($AO105:$AO109),ISBLANK(T105:T109),ISBLANK(AS105:AS109)),"·",bdRateHermite($P105:$P109,T105:T109,$AO105:$AO109,AS105:AS109))</f>
        <v>·</v>
      </c>
      <c r="BW105" s="173" t="str">
        <f>IF(OR(ISBLANK($P105:$P109),ISBLANK($AO105:$AO109),ISBLANK(U105:U109),ISBLANK(AT105:AT109)),"·",bdRateHermite($P105:$P109,U105:U109,$AO105:$AO109,AT105:AT109))</f>
        <v>·</v>
      </c>
      <c r="BX105" s="173" t="str">
        <f>IF(OR(ISBLANK($P105:$P109),ISBLANK($AO105:$AO109),ISBLANK(V105:V109),ISBLANK(AU105:AU109)),"·",bdRateHermite($P105:$P109,V105:V109,$AO105:$AO109,AU105:AU109))</f>
        <v>·</v>
      </c>
      <c r="BY105" s="138"/>
      <c r="CA105" s="173" t="str">
        <f>IF( OR(ISBLANK($P105:$P109),ISBLANK($AO105:$AO109), ISBLANK(X105:X109),ISBLANK(AW105:AW109)), "·", bdRateHermite( $P105:$P109,X105:X109, $AO105:$AO109,AW105:AW109))</f>
        <v>·</v>
      </c>
      <c r="CB105" s="173" t="str">
        <f>IF( OR(ISBLANK($P105:$P109),ISBLANK($AO105:$AO109), ISBLANK(Y105:Y109),ISBLANK(AX105:AX109)), "·", bdRateHermite( $P105:$P109,Y105:Y109, $AO105:$AO109,AX105:AX109))</f>
        <v>·</v>
      </c>
      <c r="CC105" s="173" t="str">
        <f>IF( OR(ISBLANK($P105:$P109),ISBLANK($AO105:$AO109), ISBLANK(Z105:Z109),ISBLANK(AY105:AY109)), "·", bdRateHermite( $P105:$P109,Z105:Z109, $AO105:$AO109,AY105:AY109))</f>
        <v>·</v>
      </c>
      <c r="CD105" s="138"/>
    </row>
    <row r="106" spans="1:82" outlineLevel="1">
      <c r="A106" s="13"/>
      <c r="B106" s="14" t="s">
        <v>875</v>
      </c>
      <c r="C106" s="15" t="s">
        <v>132</v>
      </c>
      <c r="D106" s="14">
        <v>156840910</v>
      </c>
      <c r="E106" s="15">
        <v>11</v>
      </c>
      <c r="F106" s="25">
        <v>64</v>
      </c>
      <c r="G106" s="16">
        <v>30</v>
      </c>
      <c r="I106" s="30">
        <f t="shared" si="27"/>
        <v>186.5331525</v>
      </c>
      <c r="J106" s="31">
        <f t="shared" si="28"/>
        <v>2.5372040496322037</v>
      </c>
      <c r="K106" s="31">
        <f t="shared" si="30"/>
        <v>1.0042908320284549</v>
      </c>
      <c r="L106" s="270">
        <f t="shared" ref="L106:L109" si="35">IF(ISBLANK(R106),"·",R106/D106)</f>
        <v>1.5326790950141771</v>
      </c>
      <c r="M106" s="106"/>
      <c r="N106" s="31">
        <f t="shared" si="31"/>
        <v>2.5372040496322037</v>
      </c>
      <c r="O106" s="521">
        <v>156840910</v>
      </c>
      <c r="P106" s="503">
        <v>397937392</v>
      </c>
      <c r="Q106" s="357">
        <v>157513888</v>
      </c>
      <c r="R106" s="357">
        <v>240386784</v>
      </c>
      <c r="S106" s="258"/>
      <c r="T106" s="357">
        <v>38.309933000000001</v>
      </c>
      <c r="U106" s="357">
        <v>40.887157000000002</v>
      </c>
      <c r="V106" s="373">
        <v>41.225819000000001</v>
      </c>
      <c r="W106" s="258"/>
      <c r="X106" s="357">
        <v>30.068995000000001</v>
      </c>
      <c r="Y106" s="357">
        <v>30.068995000000001</v>
      </c>
      <c r="Z106" s="373">
        <v>30.068995000000001</v>
      </c>
      <c r="AA106" s="258">
        <v>0</v>
      </c>
      <c r="AB106" s="507"/>
      <c r="AC106" s="359"/>
      <c r="AD106" s="573">
        <v>0</v>
      </c>
      <c r="AE106" s="573">
        <v>0</v>
      </c>
      <c r="AF106" s="33"/>
      <c r="AH106" s="30" t="str">
        <f t="shared" si="23"/>
        <v>·</v>
      </c>
      <c r="AI106" s="31" t="str">
        <f t="shared" si="18"/>
        <v>·</v>
      </c>
      <c r="AJ106" s="31" t="str">
        <f t="shared" si="20"/>
        <v>·</v>
      </c>
      <c r="AK106" s="275" t="str">
        <f t="shared" si="21"/>
        <v>·</v>
      </c>
      <c r="AL106" s="267" t="str">
        <f t="shared" si="22"/>
        <v>·</v>
      </c>
      <c r="AM106" s="31" t="str">
        <f t="shared" si="32"/>
        <v>·</v>
      </c>
      <c r="AN106" s="521"/>
      <c r="AO106" s="503"/>
      <c r="AP106" s="357"/>
      <c r="AQ106" s="357"/>
      <c r="AR106" s="258"/>
      <c r="AS106" s="357"/>
      <c r="AT106" s="357"/>
      <c r="AU106" s="373"/>
      <c r="AV106" s="258"/>
      <c r="AW106" s="357"/>
      <c r="AX106" s="357"/>
      <c r="AY106" s="373"/>
      <c r="AZ106" s="258"/>
      <c r="BA106" s="507"/>
      <c r="BB106" s="359"/>
      <c r="BC106" s="573">
        <v>0</v>
      </c>
      <c r="BD106" s="573">
        <v>0</v>
      </c>
      <c r="BE106" s="33"/>
      <c r="BG106" s="122" t="e">
        <f t="shared" si="33"/>
        <v>#DIV/0!</v>
      </c>
      <c r="BH106" s="123" t="e">
        <f t="shared" si="33"/>
        <v>#DIV/0!</v>
      </c>
      <c r="BI106" s="123" t="e">
        <f t="shared" si="34"/>
        <v>#DIV/0!</v>
      </c>
      <c r="BJ106" s="124"/>
      <c r="BL106" s="107"/>
      <c r="BM106" s="107"/>
      <c r="BN106" s="107"/>
      <c r="BO106" s="106"/>
      <c r="BQ106" s="177"/>
      <c r="BR106" s="177"/>
      <c r="BS106" s="177"/>
      <c r="BT106" s="106"/>
      <c r="BV106" s="177"/>
      <c r="BW106" s="177"/>
      <c r="BX106" s="177"/>
      <c r="BY106" s="106"/>
      <c r="CA106" s="177"/>
      <c r="CB106" s="177"/>
      <c r="CC106" s="177"/>
      <c r="CD106" s="106"/>
    </row>
    <row r="107" spans="1:82" outlineLevel="1">
      <c r="A107" s="13"/>
      <c r="B107" s="14" t="s">
        <v>875</v>
      </c>
      <c r="C107" s="15" t="s">
        <v>133</v>
      </c>
      <c r="D107" s="14">
        <v>156840910</v>
      </c>
      <c r="E107" s="15">
        <v>11</v>
      </c>
      <c r="F107" s="25">
        <v>64</v>
      </c>
      <c r="G107" s="16">
        <v>30</v>
      </c>
      <c r="I107" s="30">
        <f t="shared" si="27"/>
        <v>316.48855500000002</v>
      </c>
      <c r="J107" s="31">
        <f t="shared" si="28"/>
        <v>4.3048435768448421</v>
      </c>
      <c r="K107" s="31">
        <f t="shared" si="30"/>
        <v>1.0042908320284549</v>
      </c>
      <c r="L107" s="270">
        <f t="shared" si="35"/>
        <v>3.3003193873333174</v>
      </c>
      <c r="M107" s="106"/>
      <c r="N107" s="31">
        <f t="shared" si="31"/>
        <v>4.3048435768448421</v>
      </c>
      <c r="O107" s="521">
        <v>156840910</v>
      </c>
      <c r="P107" s="503">
        <v>675175584</v>
      </c>
      <c r="Q107" s="357">
        <v>157513888</v>
      </c>
      <c r="R107" s="357">
        <v>517625096</v>
      </c>
      <c r="S107" s="258"/>
      <c r="T107" s="357">
        <v>43.838031999999998</v>
      </c>
      <c r="U107" s="357">
        <v>44.832599999999999</v>
      </c>
      <c r="V107" s="373">
        <v>44.646102999999997</v>
      </c>
      <c r="W107" s="258"/>
      <c r="X107" s="357">
        <v>36.089602999999997</v>
      </c>
      <c r="Y107" s="357">
        <v>36.089602999999997</v>
      </c>
      <c r="Z107" s="373">
        <v>36.089602999999997</v>
      </c>
      <c r="AA107" s="258">
        <v>0</v>
      </c>
      <c r="AB107" s="507"/>
      <c r="AC107" s="359"/>
      <c r="AD107" s="573">
        <v>0</v>
      </c>
      <c r="AE107" s="573">
        <v>0</v>
      </c>
      <c r="AF107" s="33"/>
      <c r="AH107" s="30" t="str">
        <f t="shared" si="23"/>
        <v>·</v>
      </c>
      <c r="AI107" s="31" t="str">
        <f t="shared" si="18"/>
        <v>·</v>
      </c>
      <c r="AJ107" s="31" t="str">
        <f t="shared" si="20"/>
        <v>·</v>
      </c>
      <c r="AK107" s="275" t="str">
        <f t="shared" si="21"/>
        <v>·</v>
      </c>
      <c r="AL107" s="267" t="str">
        <f t="shared" si="22"/>
        <v>·</v>
      </c>
      <c r="AM107" s="31" t="str">
        <f t="shared" si="32"/>
        <v>·</v>
      </c>
      <c r="AN107" s="521"/>
      <c r="AO107" s="503"/>
      <c r="AP107" s="357"/>
      <c r="AQ107" s="357"/>
      <c r="AR107" s="258"/>
      <c r="AS107" s="357"/>
      <c r="AT107" s="357"/>
      <c r="AU107" s="373"/>
      <c r="AV107" s="258"/>
      <c r="AW107" s="357"/>
      <c r="AX107" s="357"/>
      <c r="AY107" s="373"/>
      <c r="AZ107" s="258"/>
      <c r="BA107" s="507"/>
      <c r="BB107" s="359"/>
      <c r="BC107" s="573">
        <v>0</v>
      </c>
      <c r="BD107" s="573">
        <v>0</v>
      </c>
      <c r="BE107" s="33"/>
      <c r="BG107" s="122" t="e">
        <f t="shared" si="33"/>
        <v>#DIV/0!</v>
      </c>
      <c r="BH107" s="123" t="e">
        <f t="shared" si="33"/>
        <v>#DIV/0!</v>
      </c>
      <c r="BI107" s="123" t="e">
        <f t="shared" si="34"/>
        <v>#DIV/0!</v>
      </c>
      <c r="BJ107" s="124"/>
      <c r="BL107" s="107"/>
      <c r="BM107" s="107"/>
      <c r="BN107" s="107"/>
      <c r="BO107" s="106"/>
      <c r="BQ107" s="177"/>
      <c r="BR107" s="177"/>
      <c r="BS107" s="177"/>
      <c r="BT107" s="106"/>
      <c r="BV107" s="177"/>
      <c r="BW107" s="177"/>
      <c r="BX107" s="177"/>
      <c r="BY107" s="106"/>
      <c r="CA107" s="177"/>
      <c r="CB107" s="177"/>
      <c r="CC107" s="177"/>
      <c r="CD107" s="106"/>
    </row>
    <row r="108" spans="1:82" outlineLevel="1">
      <c r="A108" s="13"/>
      <c r="B108" s="14" t="s">
        <v>875</v>
      </c>
      <c r="C108" s="15" t="s">
        <v>134</v>
      </c>
      <c r="D108" s="14">
        <v>156840910</v>
      </c>
      <c r="E108" s="15">
        <v>11</v>
      </c>
      <c r="F108" s="25">
        <v>64</v>
      </c>
      <c r="G108" s="16">
        <v>30</v>
      </c>
      <c r="I108" s="30">
        <f t="shared" si="27"/>
        <v>465.40878375</v>
      </c>
      <c r="J108" s="31">
        <f t="shared" si="28"/>
        <v>6.3304406484252098</v>
      </c>
      <c r="K108" s="31">
        <f>IF(Q108="","·",Q108/D108)</f>
        <v>1.0042908320284549</v>
      </c>
      <c r="L108" s="270">
        <f t="shared" si="35"/>
        <v>5.3259164589136851</v>
      </c>
      <c r="M108" s="106"/>
      <c r="N108" s="31">
        <f t="shared" si="31"/>
        <v>6.3304406484252098</v>
      </c>
      <c r="O108" s="521">
        <v>156840910</v>
      </c>
      <c r="P108" s="503">
        <v>992872072</v>
      </c>
      <c r="Q108" s="357">
        <v>157513888</v>
      </c>
      <c r="R108" s="357">
        <v>835321584</v>
      </c>
      <c r="S108" s="258"/>
      <c r="T108" s="357">
        <v>48.993957999999999</v>
      </c>
      <c r="U108" s="357">
        <v>48.908268</v>
      </c>
      <c r="V108" s="373">
        <v>48.678649999999998</v>
      </c>
      <c r="W108" s="258"/>
      <c r="X108" s="357">
        <v>42.110194999999997</v>
      </c>
      <c r="Y108" s="357">
        <v>42.110194999999997</v>
      </c>
      <c r="Z108" s="373">
        <v>42.110194999999997</v>
      </c>
      <c r="AA108" s="258">
        <v>0</v>
      </c>
      <c r="AB108" s="507"/>
      <c r="AC108" s="359"/>
      <c r="AD108" s="573">
        <v>0</v>
      </c>
      <c r="AE108" s="573">
        <v>0</v>
      </c>
      <c r="AF108" s="33"/>
      <c r="AH108" s="30" t="str">
        <f t="shared" si="23"/>
        <v>·</v>
      </c>
      <c r="AI108" s="31" t="str">
        <f t="shared" si="18"/>
        <v>·</v>
      </c>
      <c r="AJ108" s="31" t="str">
        <f t="shared" si="20"/>
        <v>·</v>
      </c>
      <c r="AK108" s="275" t="str">
        <f t="shared" si="21"/>
        <v>·</v>
      </c>
      <c r="AL108" s="267" t="str">
        <f t="shared" si="22"/>
        <v>·</v>
      </c>
      <c r="AM108" s="31" t="str">
        <f t="shared" si="32"/>
        <v>·</v>
      </c>
      <c r="AN108" s="521"/>
      <c r="AO108" s="503"/>
      <c r="AP108" s="357"/>
      <c r="AQ108" s="357"/>
      <c r="AR108" s="258"/>
      <c r="AS108" s="357"/>
      <c r="AT108" s="357"/>
      <c r="AU108" s="373"/>
      <c r="AV108" s="258"/>
      <c r="AW108" s="357"/>
      <c r="AX108" s="357"/>
      <c r="AY108" s="373"/>
      <c r="AZ108" s="258"/>
      <c r="BA108" s="507"/>
      <c r="BB108" s="359"/>
      <c r="BC108" s="573">
        <v>0</v>
      </c>
      <c r="BD108" s="573">
        <v>0</v>
      </c>
      <c r="BE108" s="33"/>
      <c r="BG108" s="122" t="e">
        <f t="shared" si="33"/>
        <v>#DIV/0!</v>
      </c>
      <c r="BH108" s="123" t="e">
        <f t="shared" si="33"/>
        <v>#DIV/0!</v>
      </c>
      <c r="BI108" s="123" t="e">
        <f t="shared" si="34"/>
        <v>#DIV/0!</v>
      </c>
      <c r="BJ108" s="124"/>
      <c r="BL108" s="107"/>
      <c r="BM108" s="107"/>
      <c r="BN108" s="107"/>
      <c r="BO108" s="106"/>
      <c r="BQ108" s="177"/>
      <c r="BR108" s="177"/>
      <c r="BS108" s="177"/>
      <c r="BT108" s="106"/>
      <c r="BV108" s="177"/>
      <c r="BW108" s="177"/>
      <c r="BX108" s="177"/>
      <c r="BY108" s="106"/>
      <c r="CA108" s="177"/>
      <c r="CB108" s="177"/>
      <c r="CC108" s="177"/>
      <c r="CD108" s="106"/>
    </row>
    <row r="109" spans="1:82" ht="14.25" outlineLevel="1" thickBot="1">
      <c r="A109" s="215"/>
      <c r="B109" s="18" t="s">
        <v>875</v>
      </c>
      <c r="C109" s="19" t="s">
        <v>884</v>
      </c>
      <c r="D109" s="18">
        <v>156840910</v>
      </c>
      <c r="E109" s="19">
        <v>11</v>
      </c>
      <c r="F109" s="188">
        <v>64</v>
      </c>
      <c r="G109" s="20">
        <v>30</v>
      </c>
      <c r="I109" s="34">
        <f t="shared" si="27"/>
        <v>629.46663375000003</v>
      </c>
      <c r="J109" s="35">
        <f t="shared" si="28"/>
        <v>8.5619380300713637</v>
      </c>
      <c r="K109" s="35">
        <f t="shared" si="30"/>
        <v>1.0042908320284549</v>
      </c>
      <c r="L109" s="271">
        <f t="shared" si="35"/>
        <v>7.5574147586876412</v>
      </c>
      <c r="M109" s="109"/>
      <c r="N109" s="35">
        <f t="shared" si="31"/>
        <v>8.5619380300713637</v>
      </c>
      <c r="O109" s="525">
        <v>156840910</v>
      </c>
      <c r="P109" s="505">
        <v>1342862152</v>
      </c>
      <c r="Q109" s="361">
        <v>157513888</v>
      </c>
      <c r="R109" s="361">
        <v>1185311808</v>
      </c>
      <c r="S109" s="259"/>
      <c r="T109" s="361">
        <v>52.462349000000003</v>
      </c>
      <c r="U109" s="361">
        <v>51.999091999999997</v>
      </c>
      <c r="V109" s="375">
        <v>51.972248</v>
      </c>
      <c r="W109" s="259"/>
      <c r="X109" s="361">
        <v>48.130839999999999</v>
      </c>
      <c r="Y109" s="361">
        <v>48.130839999999999</v>
      </c>
      <c r="Z109" s="375">
        <v>48.130839999999999</v>
      </c>
      <c r="AA109" s="259">
        <v>0</v>
      </c>
      <c r="AB109" s="509"/>
      <c r="AC109" s="363"/>
      <c r="AD109" s="575">
        <v>0</v>
      </c>
      <c r="AE109" s="575">
        <v>0</v>
      </c>
      <c r="AF109" s="37"/>
      <c r="AH109" s="34" t="str">
        <f t="shared" si="23"/>
        <v>·</v>
      </c>
      <c r="AI109" s="35" t="str">
        <f t="shared" si="18"/>
        <v>·</v>
      </c>
      <c r="AJ109" s="35" t="str">
        <f t="shared" si="20"/>
        <v>·</v>
      </c>
      <c r="AK109" s="276" t="str">
        <f t="shared" si="21"/>
        <v>·</v>
      </c>
      <c r="AL109" s="268" t="str">
        <f t="shared" si="22"/>
        <v>·</v>
      </c>
      <c r="AM109" s="35" t="str">
        <f t="shared" si="32"/>
        <v>·</v>
      </c>
      <c r="AN109" s="525"/>
      <c r="AO109" s="505"/>
      <c r="AP109" s="361"/>
      <c r="AQ109" s="361"/>
      <c r="AR109" s="259"/>
      <c r="AS109" s="361"/>
      <c r="AT109" s="361"/>
      <c r="AU109" s="375"/>
      <c r="AV109" s="259"/>
      <c r="AW109" s="361"/>
      <c r="AX109" s="361"/>
      <c r="AY109" s="375"/>
      <c r="AZ109" s="259"/>
      <c r="BA109" s="509"/>
      <c r="BB109" s="363"/>
      <c r="BC109" s="575">
        <v>0</v>
      </c>
      <c r="BD109" s="575">
        <v>0</v>
      </c>
      <c r="BE109" s="37"/>
      <c r="BG109" s="125" t="e">
        <f t="shared" si="33"/>
        <v>#DIV/0!</v>
      </c>
      <c r="BH109" s="126" t="e">
        <f t="shared" si="33"/>
        <v>#DIV/0!</v>
      </c>
      <c r="BI109" s="126" t="e">
        <f t="shared" si="34"/>
        <v>#DIV/0!</v>
      </c>
      <c r="BJ109" s="127"/>
      <c r="BL109" s="110"/>
      <c r="BM109" s="110"/>
      <c r="BN109" s="110"/>
      <c r="BO109" s="109"/>
      <c r="BQ109" s="181"/>
      <c r="BR109" s="181"/>
      <c r="BS109" s="181"/>
      <c r="BT109" s="109"/>
      <c r="BV109" s="181"/>
      <c r="BW109" s="181"/>
      <c r="BX109" s="181"/>
      <c r="BY109" s="109"/>
      <c r="CA109" s="181"/>
      <c r="CB109" s="181"/>
      <c r="CC109" s="181"/>
      <c r="CD109" s="109"/>
    </row>
    <row r="110" spans="1:82">
      <c r="A110" s="13"/>
      <c r="B110" s="24" t="s">
        <v>876</v>
      </c>
      <c r="C110" s="25" t="s">
        <v>131</v>
      </c>
      <c r="D110" s="27">
        <v>163936020</v>
      </c>
      <c r="E110" s="28">
        <v>11</v>
      </c>
      <c r="F110" s="28">
        <v>64</v>
      </c>
      <c r="G110" s="29">
        <v>30</v>
      </c>
      <c r="I110" s="46">
        <f t="shared" si="27"/>
        <v>146.24525249999999</v>
      </c>
      <c r="J110" s="47">
        <f t="shared" si="28"/>
        <v>1.9031197170701106</v>
      </c>
      <c r="K110" s="47">
        <f t="shared" si="30"/>
        <v>0.97643853986451545</v>
      </c>
      <c r="L110" s="269">
        <f>IF(ISBLANK(R110),"·",R110/D110)</f>
        <v>0.9264566993879686</v>
      </c>
      <c r="M110" s="104"/>
      <c r="N110" s="47">
        <f t="shared" si="31"/>
        <v>1.9031197170701106</v>
      </c>
      <c r="O110" s="520">
        <v>163936020</v>
      </c>
      <c r="P110" s="502">
        <v>311989872</v>
      </c>
      <c r="Q110" s="353">
        <v>160073448</v>
      </c>
      <c r="R110" s="353">
        <v>151879624</v>
      </c>
      <c r="S110" s="257"/>
      <c r="T110" s="353">
        <v>31.983398000000001</v>
      </c>
      <c r="U110" s="353">
        <v>36.046146</v>
      </c>
      <c r="V110" s="372">
        <v>36.088993000000002</v>
      </c>
      <c r="W110" s="257"/>
      <c r="X110" s="353">
        <v>24.048421999999999</v>
      </c>
      <c r="Y110" s="353">
        <v>24.048421999999999</v>
      </c>
      <c r="Z110" s="372">
        <v>24.048421999999999</v>
      </c>
      <c r="AA110" s="257">
        <v>0</v>
      </c>
      <c r="AB110" s="506"/>
      <c r="AC110" s="355"/>
      <c r="AD110" s="572">
        <v>0</v>
      </c>
      <c r="AE110" s="572">
        <v>0</v>
      </c>
      <c r="AF110" s="49"/>
      <c r="AH110" s="46" t="str">
        <f t="shared" si="23"/>
        <v>·</v>
      </c>
      <c r="AI110" s="47" t="str">
        <f t="shared" si="18"/>
        <v>·</v>
      </c>
      <c r="AJ110" s="47" t="str">
        <f t="shared" si="20"/>
        <v>·</v>
      </c>
      <c r="AK110" s="274" t="str">
        <f t="shared" si="21"/>
        <v>·</v>
      </c>
      <c r="AL110" s="266" t="str">
        <f t="shared" si="22"/>
        <v>·</v>
      </c>
      <c r="AM110" s="47" t="str">
        <f t="shared" si="32"/>
        <v>·</v>
      </c>
      <c r="AN110" s="520"/>
      <c r="AO110" s="502"/>
      <c r="AP110" s="353"/>
      <c r="AQ110" s="353"/>
      <c r="AR110" s="257"/>
      <c r="AS110" s="353"/>
      <c r="AT110" s="353"/>
      <c r="AU110" s="372"/>
      <c r="AV110" s="257"/>
      <c r="AW110" s="353"/>
      <c r="AX110" s="353"/>
      <c r="AY110" s="372"/>
      <c r="AZ110" s="257"/>
      <c r="BA110" s="506"/>
      <c r="BB110" s="355"/>
      <c r="BC110" s="572">
        <v>0</v>
      </c>
      <c r="BD110" s="572">
        <v>0</v>
      </c>
      <c r="BE110" s="49"/>
      <c r="BG110" s="119" t="e">
        <f t="shared" si="33"/>
        <v>#DIV/0!</v>
      </c>
      <c r="BH110" s="120" t="e">
        <f t="shared" si="33"/>
        <v>#DIV/0!</v>
      </c>
      <c r="BI110" s="120" t="e">
        <f t="shared" si="34"/>
        <v>#DIV/0!</v>
      </c>
      <c r="BJ110" s="121" t="e">
        <f t="array" ref="BJ110">AVERAGE(AP110:AP114/AO110:AO114) - AVERAGE(Q110:Q114/P110:P114)</f>
        <v>#DIV/0!</v>
      </c>
      <c r="BL110" s="279" t="str">
        <f>IF( OR(ISBLANK($R110:$R114),ISBLANK($AQ110:$AQ114), ISBLANK(T110:T114),ISBLANK(AS110:AS114)), "·", bdRateHermite($R110:$R114,T110:T114, $AQ110:$AQ114,AS110:AS114))</f>
        <v>·</v>
      </c>
      <c r="BM110" s="279" t="str">
        <f>IF( OR(ISBLANK($R110:$R114),ISBLANK($AQ110:$AQ114), ISBLANK(U110:U114),ISBLANK(AT110:AT114)), "·", bdRateHermite($R110:$R114,U110:U114, $AQ110:$AQ114,AT110:AT114))</f>
        <v>·</v>
      </c>
      <c r="BN110" s="279" t="str">
        <f>IF( OR(ISBLANK($R110:$R114),ISBLANK($AQ110:$AQ114), ISBLANK(V110:V114),ISBLANK(AU110:AU114)), "·", bdRateHermite($R110:$R114,V110:V114, $AQ110:$AQ114,AU110:AU114))</f>
        <v>·</v>
      </c>
      <c r="BO110" s="104"/>
      <c r="BQ110" s="173" t="str">
        <f>IF( OR(ISBLANK($R110:$R114),ISBLANK($AQ110:$AQ114), ISBLANK(X110:X114),ISBLANK(AW110:AW114)), "·", bdRateHermite($R110:$R114,X110:X114, $AQ110:$AQ114,AW110:AW114))</f>
        <v>·</v>
      </c>
      <c r="BR110" s="173" t="str">
        <f>IF( OR(ISBLANK($R110:$R114),ISBLANK($AQ110:$AQ114), ISBLANK(Y110:Y114),ISBLANK(AX110:AX114)), "·", bdRateHermite($R110:$R114,Y110:Y114, $AQ110:$AQ114,AX110:AX114))</f>
        <v>·</v>
      </c>
      <c r="BS110" s="173" t="str">
        <f>IF( OR(ISBLANK($R110:$R114),ISBLANK($AQ110:$AQ114), ISBLANK(Z110:Z114),ISBLANK(AY110:AY114)), "·", bdRateHermite($R110:$R114,Z110:Z114, $AQ110:$AQ114,AY110:AY114))</f>
        <v>·</v>
      </c>
      <c r="BT110" s="138"/>
      <c r="BV110" s="173" t="str">
        <f>IF(OR(ISBLANK($P110:$P114),ISBLANK($AO110:$AO114),ISBLANK(T110:T114),ISBLANK(AS110:AS114)),"·",bdRateHermite($P110:$P114,T110:T114,$AO110:$AO114,AS110:AS114))</f>
        <v>·</v>
      </c>
      <c r="BW110" s="173" t="str">
        <f>IF(OR(ISBLANK($P110:$P114),ISBLANK($AO110:$AO114),ISBLANK(U110:U114),ISBLANK(AT110:AT114)),"·",bdRateHermite($P110:$P114,U110:U114,$AO110:$AO114,AT110:AT114))</f>
        <v>·</v>
      </c>
      <c r="BX110" s="173" t="str">
        <f>IF(OR(ISBLANK($P110:$P114),ISBLANK($AO110:$AO114),ISBLANK(V110:V114),ISBLANK(AU110:AU114)),"·",bdRateHermite($P110:$P114,V110:V114,$AO110:$AO114,AU110:AU114))</f>
        <v>·</v>
      </c>
      <c r="BY110" s="138"/>
      <c r="CA110" s="173" t="str">
        <f>IF( OR(ISBLANK($P110:$P114),ISBLANK($AO110:$AO114), ISBLANK(X110:X114),ISBLANK(AW110:AW114)), "·", bdRateHermite( $P110:$P114,X110:X114, $AO110:$AO114,AW110:AW114))</f>
        <v>·</v>
      </c>
      <c r="CB110" s="173" t="str">
        <f>IF( OR(ISBLANK($P110:$P114),ISBLANK($AO110:$AO114), ISBLANK(Y110:Y114),ISBLANK(AX110:AX114)), "·", bdRateHermite( $P110:$P114,Y110:Y114, $AO110:$AO114,AX110:AX114))</f>
        <v>·</v>
      </c>
      <c r="CC110" s="173" t="str">
        <f>IF( OR(ISBLANK($P110:$P114),ISBLANK($AO110:$AO114), ISBLANK(Z110:Z114),ISBLANK(AY110:AY114)), "·", bdRateHermite( $P110:$P114,Z110:Z114, $AO110:$AO114,AY110:AY114))</f>
        <v>·</v>
      </c>
      <c r="CD110" s="138"/>
    </row>
    <row r="111" spans="1:82" outlineLevel="1">
      <c r="A111" s="13"/>
      <c r="B111" s="24" t="s">
        <v>876</v>
      </c>
      <c r="C111" s="15" t="s">
        <v>132</v>
      </c>
      <c r="D111" s="14">
        <v>163936020</v>
      </c>
      <c r="E111" s="15">
        <v>11</v>
      </c>
      <c r="F111" s="25">
        <v>64</v>
      </c>
      <c r="G111" s="16">
        <v>30</v>
      </c>
      <c r="I111" s="30">
        <f t="shared" si="27"/>
        <v>214.0874475</v>
      </c>
      <c r="J111" s="31">
        <f t="shared" si="28"/>
        <v>2.7859642316557398</v>
      </c>
      <c r="K111" s="31">
        <f t="shared" si="30"/>
        <v>0.97643853986451545</v>
      </c>
      <c r="L111" s="270">
        <f t="shared" ref="L111:L114" si="36">IF(ISBLANK(R111),"·",R111/D111)</f>
        <v>1.8093012139735978</v>
      </c>
      <c r="M111" s="106"/>
      <c r="N111" s="31">
        <f t="shared" si="31"/>
        <v>2.7859642316557398</v>
      </c>
      <c r="O111" s="521">
        <v>163936020</v>
      </c>
      <c r="P111" s="503">
        <v>456719888</v>
      </c>
      <c r="Q111" s="357">
        <v>160073448</v>
      </c>
      <c r="R111" s="357">
        <v>296609640</v>
      </c>
      <c r="S111" s="258"/>
      <c r="T111" s="357">
        <v>37.922702999999998</v>
      </c>
      <c r="U111" s="357">
        <v>40.780391999999999</v>
      </c>
      <c r="V111" s="373">
        <v>40.828803999999998</v>
      </c>
      <c r="W111" s="258"/>
      <c r="X111" s="357">
        <v>30.068995000000001</v>
      </c>
      <c r="Y111" s="357">
        <v>30.068995000000001</v>
      </c>
      <c r="Z111" s="373">
        <v>30.068995000000001</v>
      </c>
      <c r="AA111" s="258">
        <v>0</v>
      </c>
      <c r="AB111" s="507"/>
      <c r="AC111" s="359"/>
      <c r="AD111" s="573">
        <v>0</v>
      </c>
      <c r="AE111" s="573">
        <v>0</v>
      </c>
      <c r="AF111" s="33"/>
      <c r="AH111" s="30" t="str">
        <f t="shared" si="23"/>
        <v>·</v>
      </c>
      <c r="AI111" s="31" t="str">
        <f t="shared" si="18"/>
        <v>·</v>
      </c>
      <c r="AJ111" s="31" t="str">
        <f t="shared" si="20"/>
        <v>·</v>
      </c>
      <c r="AK111" s="275" t="str">
        <f t="shared" si="21"/>
        <v>·</v>
      </c>
      <c r="AL111" s="267" t="str">
        <f t="shared" si="22"/>
        <v>·</v>
      </c>
      <c r="AM111" s="31" t="str">
        <f t="shared" si="32"/>
        <v>·</v>
      </c>
      <c r="AN111" s="521"/>
      <c r="AO111" s="503"/>
      <c r="AP111" s="357"/>
      <c r="AQ111" s="357"/>
      <c r="AR111" s="258"/>
      <c r="AS111" s="357"/>
      <c r="AT111" s="357"/>
      <c r="AU111" s="373"/>
      <c r="AV111" s="258"/>
      <c r="AW111" s="357"/>
      <c r="AX111" s="357"/>
      <c r="AY111" s="373"/>
      <c r="AZ111" s="258"/>
      <c r="BA111" s="507"/>
      <c r="BB111" s="359"/>
      <c r="BC111" s="573">
        <v>0</v>
      </c>
      <c r="BD111" s="573">
        <v>0</v>
      </c>
      <c r="BE111" s="33"/>
      <c r="BG111" s="122" t="e">
        <f t="shared" si="33"/>
        <v>#DIV/0!</v>
      </c>
      <c r="BH111" s="123" t="e">
        <f t="shared" si="33"/>
        <v>#DIV/0!</v>
      </c>
      <c r="BI111" s="123" t="e">
        <f t="shared" si="34"/>
        <v>#DIV/0!</v>
      </c>
      <c r="BJ111" s="124"/>
      <c r="BL111" s="107"/>
      <c r="BM111" s="107"/>
      <c r="BN111" s="107"/>
      <c r="BO111" s="106"/>
      <c r="BQ111" s="177"/>
      <c r="BR111" s="177"/>
      <c r="BS111" s="177"/>
      <c r="BT111" s="106"/>
      <c r="BV111" s="177"/>
      <c r="BW111" s="177"/>
      <c r="BX111" s="177"/>
      <c r="BY111" s="106"/>
      <c r="CA111" s="177"/>
      <c r="CB111" s="177"/>
      <c r="CC111" s="177"/>
      <c r="CD111" s="106"/>
    </row>
    <row r="112" spans="1:82" outlineLevel="1">
      <c r="A112" s="13"/>
      <c r="B112" s="24" t="s">
        <v>876</v>
      </c>
      <c r="C112" s="15" t="s">
        <v>133</v>
      </c>
      <c r="D112" s="14">
        <v>163936020</v>
      </c>
      <c r="E112" s="15">
        <v>11</v>
      </c>
      <c r="F112" s="25">
        <v>64</v>
      </c>
      <c r="G112" s="16">
        <v>30</v>
      </c>
      <c r="I112" s="30">
        <f t="shared" si="27"/>
        <v>326.2587375</v>
      </c>
      <c r="J112" s="31">
        <f t="shared" si="28"/>
        <v>4.2456724275726589</v>
      </c>
      <c r="K112" s="31">
        <f t="shared" si="30"/>
        <v>0.97643853986451545</v>
      </c>
      <c r="L112" s="270">
        <f t="shared" si="36"/>
        <v>3.2690103370815029</v>
      </c>
      <c r="M112" s="106"/>
      <c r="N112" s="31">
        <f t="shared" si="31"/>
        <v>4.2456724275726589</v>
      </c>
      <c r="O112" s="521">
        <v>163936020</v>
      </c>
      <c r="P112" s="503">
        <v>696018640</v>
      </c>
      <c r="Q112" s="357">
        <v>160073448</v>
      </c>
      <c r="R112" s="357">
        <v>535908544</v>
      </c>
      <c r="S112" s="258"/>
      <c r="T112" s="357">
        <v>43.757263000000002</v>
      </c>
      <c r="U112" s="357">
        <v>45.221622000000004</v>
      </c>
      <c r="V112" s="373">
        <v>44.926307999999999</v>
      </c>
      <c r="W112" s="258"/>
      <c r="X112" s="357">
        <v>36.089602999999997</v>
      </c>
      <c r="Y112" s="357">
        <v>36.089602999999997</v>
      </c>
      <c r="Z112" s="373">
        <v>36.089602999999997</v>
      </c>
      <c r="AA112" s="258">
        <v>0</v>
      </c>
      <c r="AB112" s="507"/>
      <c r="AC112" s="359"/>
      <c r="AD112" s="573">
        <v>0</v>
      </c>
      <c r="AE112" s="573">
        <v>0</v>
      </c>
      <c r="AF112" s="33"/>
      <c r="AH112" s="30" t="str">
        <f t="shared" si="23"/>
        <v>·</v>
      </c>
      <c r="AI112" s="31" t="str">
        <f t="shared" si="18"/>
        <v>·</v>
      </c>
      <c r="AJ112" s="31" t="str">
        <f t="shared" si="20"/>
        <v>·</v>
      </c>
      <c r="AK112" s="275" t="str">
        <f t="shared" si="21"/>
        <v>·</v>
      </c>
      <c r="AL112" s="267" t="str">
        <f t="shared" si="22"/>
        <v>·</v>
      </c>
      <c r="AM112" s="31" t="str">
        <f t="shared" si="32"/>
        <v>·</v>
      </c>
      <c r="AN112" s="521"/>
      <c r="AO112" s="503"/>
      <c r="AP112" s="357"/>
      <c r="AQ112" s="357"/>
      <c r="AR112" s="258"/>
      <c r="AS112" s="357"/>
      <c r="AT112" s="357"/>
      <c r="AU112" s="373"/>
      <c r="AV112" s="258"/>
      <c r="AW112" s="357"/>
      <c r="AX112" s="357"/>
      <c r="AY112" s="373"/>
      <c r="AZ112" s="258"/>
      <c r="BA112" s="507"/>
      <c r="BB112" s="359"/>
      <c r="BC112" s="573">
        <v>0</v>
      </c>
      <c r="BD112" s="573">
        <v>0</v>
      </c>
      <c r="BE112" s="33"/>
      <c r="BG112" s="122" t="e">
        <f t="shared" si="33"/>
        <v>#DIV/0!</v>
      </c>
      <c r="BH112" s="123" t="e">
        <f t="shared" si="33"/>
        <v>#DIV/0!</v>
      </c>
      <c r="BI112" s="123" t="e">
        <f t="shared" si="34"/>
        <v>#DIV/0!</v>
      </c>
      <c r="BJ112" s="124"/>
      <c r="BL112" s="107"/>
      <c r="BM112" s="107"/>
      <c r="BN112" s="107"/>
      <c r="BO112" s="106"/>
      <c r="BQ112" s="177"/>
      <c r="BR112" s="177"/>
      <c r="BS112" s="177"/>
      <c r="BT112" s="106"/>
      <c r="BV112" s="177"/>
      <c r="BW112" s="177"/>
      <c r="BX112" s="177"/>
      <c r="BY112" s="106"/>
      <c r="CA112" s="177"/>
      <c r="CB112" s="177"/>
      <c r="CC112" s="177"/>
      <c r="CD112" s="106"/>
    </row>
    <row r="113" spans="1:82" outlineLevel="1">
      <c r="A113" s="13"/>
      <c r="B113" s="24" t="s">
        <v>876</v>
      </c>
      <c r="C113" s="15" t="s">
        <v>134</v>
      </c>
      <c r="D113" s="14">
        <v>163936020</v>
      </c>
      <c r="E113" s="15">
        <v>11</v>
      </c>
      <c r="F113" s="25">
        <v>64</v>
      </c>
      <c r="G113" s="16">
        <v>30</v>
      </c>
      <c r="I113" s="30">
        <f t="shared" si="27"/>
        <v>477.87239249999999</v>
      </c>
      <c r="J113" s="31">
        <f t="shared" si="28"/>
        <v>6.2186522766625663</v>
      </c>
      <c r="K113" s="31">
        <f t="shared" si="30"/>
        <v>0.97643853986451545</v>
      </c>
      <c r="L113" s="270">
        <f t="shared" si="36"/>
        <v>5.2419901861714102</v>
      </c>
      <c r="M113" s="106"/>
      <c r="N113" s="31">
        <f t="shared" si="31"/>
        <v>6.2186522766625663</v>
      </c>
      <c r="O113" s="521">
        <v>163936020</v>
      </c>
      <c r="P113" s="503">
        <v>1019461104</v>
      </c>
      <c r="Q113" s="357">
        <v>160073448</v>
      </c>
      <c r="R113" s="357">
        <v>859351008</v>
      </c>
      <c r="S113" s="258"/>
      <c r="T113" s="357">
        <v>49.168137000000002</v>
      </c>
      <c r="U113" s="357">
        <v>49.150066000000002</v>
      </c>
      <c r="V113" s="373">
        <v>48.872734000000001</v>
      </c>
      <c r="W113" s="258"/>
      <c r="X113" s="357">
        <v>42.110194999999997</v>
      </c>
      <c r="Y113" s="357">
        <v>42.110194999999997</v>
      </c>
      <c r="Z113" s="373">
        <v>42.110194999999997</v>
      </c>
      <c r="AA113" s="258">
        <v>0</v>
      </c>
      <c r="AB113" s="507"/>
      <c r="AC113" s="359"/>
      <c r="AD113" s="573">
        <v>0</v>
      </c>
      <c r="AE113" s="573">
        <v>0</v>
      </c>
      <c r="AF113" s="33"/>
      <c r="AH113" s="30" t="str">
        <f t="shared" si="23"/>
        <v>·</v>
      </c>
      <c r="AI113" s="31" t="str">
        <f t="shared" si="18"/>
        <v>·</v>
      </c>
      <c r="AJ113" s="31" t="str">
        <f t="shared" si="20"/>
        <v>·</v>
      </c>
      <c r="AK113" s="275" t="str">
        <f t="shared" si="21"/>
        <v>·</v>
      </c>
      <c r="AL113" s="267" t="str">
        <f t="shared" si="22"/>
        <v>·</v>
      </c>
      <c r="AM113" s="31" t="str">
        <f t="shared" si="32"/>
        <v>·</v>
      </c>
      <c r="AN113" s="521"/>
      <c r="AO113" s="503"/>
      <c r="AP113" s="357"/>
      <c r="AQ113" s="357"/>
      <c r="AR113" s="258"/>
      <c r="AS113" s="357"/>
      <c r="AT113" s="357"/>
      <c r="AU113" s="373"/>
      <c r="AV113" s="258"/>
      <c r="AW113" s="357"/>
      <c r="AX113" s="357"/>
      <c r="AY113" s="373"/>
      <c r="AZ113" s="258"/>
      <c r="BA113" s="507"/>
      <c r="BB113" s="359"/>
      <c r="BC113" s="573">
        <v>0</v>
      </c>
      <c r="BD113" s="573">
        <v>0</v>
      </c>
      <c r="BE113" s="33"/>
      <c r="BG113" s="122" t="e">
        <f t="shared" si="33"/>
        <v>#DIV/0!</v>
      </c>
      <c r="BH113" s="123" t="e">
        <f t="shared" si="33"/>
        <v>#DIV/0!</v>
      </c>
      <c r="BI113" s="123" t="e">
        <f t="shared" si="34"/>
        <v>#DIV/0!</v>
      </c>
      <c r="BJ113" s="124"/>
      <c r="BL113" s="107"/>
      <c r="BM113" s="107"/>
      <c r="BN113" s="107"/>
      <c r="BO113" s="106"/>
      <c r="BQ113" s="177"/>
      <c r="BR113" s="177"/>
      <c r="BS113" s="177"/>
      <c r="BT113" s="106"/>
      <c r="BV113" s="177"/>
      <c r="BW113" s="177"/>
      <c r="BX113" s="177"/>
      <c r="BY113" s="106"/>
      <c r="CA113" s="177"/>
      <c r="CB113" s="177"/>
      <c r="CC113" s="177"/>
      <c r="CD113" s="106"/>
    </row>
    <row r="114" spans="1:82" ht="14.25" outlineLevel="1" thickBot="1">
      <c r="A114" s="17"/>
      <c r="B114" s="18" t="s">
        <v>876</v>
      </c>
      <c r="C114" s="19" t="s">
        <v>135</v>
      </c>
      <c r="D114" s="18">
        <v>163936020</v>
      </c>
      <c r="E114" s="19">
        <v>11</v>
      </c>
      <c r="F114" s="19">
        <v>64</v>
      </c>
      <c r="G114" s="20">
        <v>30</v>
      </c>
      <c r="I114" s="34">
        <f t="shared" si="27"/>
        <v>650.21002874999999</v>
      </c>
      <c r="J114" s="35">
        <f t="shared" si="28"/>
        <v>8.4613175798704887</v>
      </c>
      <c r="K114" s="35">
        <f t="shared" si="30"/>
        <v>0.97643853986451545</v>
      </c>
      <c r="L114" s="271">
        <f t="shared" si="36"/>
        <v>7.4846575877589316</v>
      </c>
      <c r="M114" s="109"/>
      <c r="N114" s="35">
        <f t="shared" si="31"/>
        <v>8.4613175798704887</v>
      </c>
      <c r="O114" s="525">
        <v>163936020</v>
      </c>
      <c r="P114" s="505">
        <v>1387114728</v>
      </c>
      <c r="Q114" s="361">
        <v>160073448</v>
      </c>
      <c r="R114" s="361">
        <v>1227004976</v>
      </c>
      <c r="S114" s="259"/>
      <c r="T114" s="361">
        <v>52.703468000000001</v>
      </c>
      <c r="U114" s="361">
        <v>52.117558000000002</v>
      </c>
      <c r="V114" s="375">
        <v>52.040928000000001</v>
      </c>
      <c r="W114" s="259"/>
      <c r="X114" s="361">
        <v>48.130839999999999</v>
      </c>
      <c r="Y114" s="361">
        <v>48.130839999999999</v>
      </c>
      <c r="Z114" s="375">
        <v>48.130839999999999</v>
      </c>
      <c r="AA114" s="259">
        <v>0</v>
      </c>
      <c r="AB114" s="509"/>
      <c r="AC114" s="363"/>
      <c r="AD114" s="575">
        <v>0</v>
      </c>
      <c r="AE114" s="575">
        <v>0</v>
      </c>
      <c r="AF114" s="37"/>
      <c r="AH114" s="34" t="str">
        <f t="shared" si="23"/>
        <v>·</v>
      </c>
      <c r="AI114" s="35" t="str">
        <f t="shared" si="18"/>
        <v>·</v>
      </c>
      <c r="AJ114" s="35" t="str">
        <f t="shared" si="20"/>
        <v>·</v>
      </c>
      <c r="AK114" s="276" t="str">
        <f t="shared" si="21"/>
        <v>·</v>
      </c>
      <c r="AL114" s="109" t="str">
        <f t="shared" si="22"/>
        <v>·</v>
      </c>
      <c r="AM114" s="35" t="str">
        <f t="shared" si="32"/>
        <v>·</v>
      </c>
      <c r="AN114" s="525"/>
      <c r="AO114" s="505"/>
      <c r="AP114" s="361"/>
      <c r="AQ114" s="361"/>
      <c r="AR114" s="259"/>
      <c r="AS114" s="361"/>
      <c r="AT114" s="361"/>
      <c r="AU114" s="375"/>
      <c r="AV114" s="259"/>
      <c r="AW114" s="361"/>
      <c r="AX114" s="361"/>
      <c r="AY114" s="375"/>
      <c r="AZ114" s="259"/>
      <c r="BA114" s="509"/>
      <c r="BB114" s="363"/>
      <c r="BC114" s="575">
        <v>0</v>
      </c>
      <c r="BD114" s="575">
        <v>0</v>
      </c>
      <c r="BE114" s="37"/>
      <c r="BG114" s="125" t="e">
        <f t="shared" si="33"/>
        <v>#DIV/0!</v>
      </c>
      <c r="BH114" s="126" t="e">
        <f t="shared" si="33"/>
        <v>#DIV/0!</v>
      </c>
      <c r="BI114" s="126" t="e">
        <f t="shared" si="34"/>
        <v>#DIV/0!</v>
      </c>
      <c r="BJ114" s="127"/>
      <c r="BL114" s="110"/>
      <c r="BM114" s="110"/>
      <c r="BN114" s="110"/>
      <c r="BO114" s="109"/>
      <c r="BQ114" s="181"/>
      <c r="BR114" s="181"/>
      <c r="BS114" s="181"/>
      <c r="BT114" s="109"/>
      <c r="BV114" s="181"/>
      <c r="BW114" s="181"/>
      <c r="BX114" s="181"/>
      <c r="BY114" s="109"/>
      <c r="CA114" s="181"/>
      <c r="CB114" s="181"/>
      <c r="CC114" s="181"/>
      <c r="CD114" s="109"/>
    </row>
    <row r="115" spans="1:82">
      <c r="B115" s="6" t="s">
        <v>1378</v>
      </c>
      <c r="J115" s="7">
        <f>AVERAGE(J5:J34)</f>
        <v>23.019129542650084</v>
      </c>
      <c r="K115" s="7">
        <f>AVERAGE(K5:K34)</f>
        <v>15.747350786695074</v>
      </c>
      <c r="L115" s="5"/>
      <c r="M115" s="7">
        <f>AVERAGE(M5:M34)</f>
        <v>7.2716833753670418</v>
      </c>
      <c r="T115" s="272"/>
      <c r="U115" s="272"/>
      <c r="V115" s="272"/>
      <c r="X115" s="272"/>
      <c r="Y115" s="272"/>
      <c r="Z115" s="272"/>
      <c r="AB115" s="7" t="e">
        <f>AVERAGE(AB5:AB34)</f>
        <v>#DIV/0!</v>
      </c>
      <c r="AC115" s="7" t="e">
        <f>AVERAGE(AC5:AC34)</f>
        <v>#DIV/0!</v>
      </c>
      <c r="AD115" s="571">
        <f t="shared" ref="AD115:AE115" si="37">AVERAGE(AD5:AD34)</f>
        <v>0</v>
      </c>
      <c r="AE115" s="571">
        <f t="shared" si="37"/>
        <v>0</v>
      </c>
      <c r="AI115" s="7" t="e">
        <f>AVERAGE(AI5:AI34)</f>
        <v>#DIV/0!</v>
      </c>
      <c r="AJ115" s="7" t="e">
        <f>AVERAGE(AJ5:AJ34)</f>
        <v>#DIV/0!</v>
      </c>
      <c r="AK115" s="5"/>
      <c r="AL115" s="7" t="e">
        <f>AVERAGE(AL5:AL34)</f>
        <v>#DIV/0!</v>
      </c>
      <c r="BA115" s="7" t="e">
        <f>AVERAGE(BA5:BA34)</f>
        <v>#DIV/0!</v>
      </c>
      <c r="BB115" s="7" t="e">
        <f>AVERAGE(BB5:BB34)</f>
        <v>#DIV/0!</v>
      </c>
      <c r="BC115" s="571">
        <f t="shared" ref="BC115:BD115" si="38">AVERAGE(BC5:BC34)</f>
        <v>0</v>
      </c>
      <c r="BD115" s="571">
        <f t="shared" si="38"/>
        <v>0</v>
      </c>
      <c r="BG115" s="2" t="e">
        <f t="shared" ref="BG115:BJ115" si="39">AVERAGE(BG5:BG34)</f>
        <v>#DIV/0!</v>
      </c>
      <c r="BH115" s="2" t="e">
        <f t="shared" si="39"/>
        <v>#DIV/0!</v>
      </c>
      <c r="BI115" s="2" t="e">
        <f t="shared" si="39"/>
        <v>#DIV/0!</v>
      </c>
      <c r="BJ115" s="2" t="e">
        <f t="shared" si="39"/>
        <v>#DIV/0!</v>
      </c>
      <c r="BK115" s="590"/>
      <c r="BL115" s="5"/>
      <c r="BM115" s="5"/>
      <c r="BN115" s="5"/>
      <c r="BO115" s="2" t="e">
        <f>AVERAGE(BO5:BO34)</f>
        <v>#DIV/0!</v>
      </c>
      <c r="BP115" s="590"/>
      <c r="BQ115" s="5"/>
      <c r="BR115" s="5"/>
      <c r="BS115" s="5"/>
      <c r="BT115" s="2" t="e">
        <f>AVERAGE(BT5:BT34)</f>
        <v>#DIV/0!</v>
      </c>
      <c r="BU115" s="590"/>
      <c r="BV115" s="5"/>
      <c r="BW115" s="5"/>
      <c r="BX115" s="5"/>
      <c r="BY115" s="2" t="e">
        <f>AVERAGE(BY5:BY34)</f>
        <v>#DIV/0!</v>
      </c>
      <c r="BZ115" s="590"/>
      <c r="CA115" s="5"/>
      <c r="CB115" s="5"/>
      <c r="CC115" s="5"/>
      <c r="CD115" s="2" t="e">
        <f>AVERAGE(CD5:CD34)</f>
        <v>#DIV/0!</v>
      </c>
    </row>
    <row r="116" spans="1:82">
      <c r="B116" s="6" t="s">
        <v>1138</v>
      </c>
      <c r="J116" s="7">
        <f>AVERAGE(J35:J69)</f>
        <v>20.56059375757274</v>
      </c>
      <c r="K116" s="7">
        <f>AVERAGE(K35:K69)</f>
        <v>14.159026455206439</v>
      </c>
      <c r="L116" s="7">
        <f>AVERAGE(L35:L69)</f>
        <v>6.4014779195625851</v>
      </c>
      <c r="M116" s="5"/>
      <c r="T116" s="272"/>
      <c r="U116" s="272"/>
      <c r="V116" s="272"/>
      <c r="X116" s="272"/>
      <c r="Y116" s="272"/>
      <c r="Z116" s="272"/>
      <c r="AB116" s="7" t="e">
        <f>AVERAGE(AB35:AB69)</f>
        <v>#DIV/0!</v>
      </c>
      <c r="AC116" s="7" t="e">
        <f>AVERAGE(AC35:AC69)</f>
        <v>#DIV/0!</v>
      </c>
      <c r="AD116" s="571">
        <f t="shared" ref="AD116:AE116" si="40">AVERAGE(AD35:AD69)</f>
        <v>0</v>
      </c>
      <c r="AE116" s="571">
        <f t="shared" si="40"/>
        <v>0</v>
      </c>
      <c r="AI116" s="7" t="e">
        <f>AVERAGE(AI35:AI69)</f>
        <v>#DIV/0!</v>
      </c>
      <c r="AJ116" s="7" t="e">
        <f>AVERAGE(AJ35:AJ69)</f>
        <v>#DIV/0!</v>
      </c>
      <c r="AK116" s="7" t="e">
        <f>AVERAGE(AK35:AK69)</f>
        <v>#DIV/0!</v>
      </c>
      <c r="AL116" s="5"/>
      <c r="BA116" s="7" t="e">
        <f>AVERAGE(BA35:BA69)</f>
        <v>#DIV/0!</v>
      </c>
      <c r="BB116" s="7" t="e">
        <f>AVERAGE(BB35:BB69)</f>
        <v>#DIV/0!</v>
      </c>
      <c r="BC116" s="571">
        <f t="shared" ref="BC116:BD116" si="41">AVERAGE(BC35:BC69)</f>
        <v>0</v>
      </c>
      <c r="BD116" s="571">
        <f t="shared" si="41"/>
        <v>0</v>
      </c>
      <c r="BG116" s="2" t="e">
        <f t="shared" ref="BG116:BN116" si="42">AVERAGE(BG35:BG69)</f>
        <v>#DIV/0!</v>
      </c>
      <c r="BH116" s="2" t="e">
        <f t="shared" si="42"/>
        <v>#DIV/0!</v>
      </c>
      <c r="BI116" s="2" t="e">
        <f t="shared" si="42"/>
        <v>#DIV/0!</v>
      </c>
      <c r="BJ116" s="2" t="e">
        <f t="shared" si="42"/>
        <v>#DIV/0!</v>
      </c>
      <c r="BK116" s="590"/>
      <c r="BL116" s="2" t="e">
        <f t="shared" si="42"/>
        <v>#DIV/0!</v>
      </c>
      <c r="BM116" s="2" t="e">
        <f t="shared" si="42"/>
        <v>#DIV/0!</v>
      </c>
      <c r="BN116" s="2" t="e">
        <f t="shared" si="42"/>
        <v>#DIV/0!</v>
      </c>
      <c r="BO116" s="5"/>
      <c r="BP116" s="590"/>
      <c r="BQ116" s="2" t="e">
        <f t="shared" ref="BQ116:BS116" si="43">AVERAGE(BQ35:BQ69)</f>
        <v>#DIV/0!</v>
      </c>
      <c r="BR116" s="2" t="e">
        <f t="shared" si="43"/>
        <v>#DIV/0!</v>
      </c>
      <c r="BS116" s="2" t="e">
        <f t="shared" si="43"/>
        <v>#DIV/0!</v>
      </c>
      <c r="BT116" s="5"/>
      <c r="BU116" s="590"/>
      <c r="BV116" s="2" t="e">
        <f t="shared" ref="BV116:BX116" si="44">AVERAGE(BV35:BV69)</f>
        <v>#DIV/0!</v>
      </c>
      <c r="BW116" s="2" t="e">
        <f t="shared" si="44"/>
        <v>#DIV/0!</v>
      </c>
      <c r="BX116" s="2" t="e">
        <f t="shared" si="44"/>
        <v>#DIV/0!</v>
      </c>
      <c r="BY116" s="5"/>
      <c r="BZ116" s="590"/>
      <c r="CA116" s="2" t="e">
        <f t="shared" ref="CA116:CC116" si="45">AVERAGE(CA35:CA69)</f>
        <v>#DIV/0!</v>
      </c>
      <c r="CB116" s="2" t="e">
        <f t="shared" si="45"/>
        <v>#DIV/0!</v>
      </c>
      <c r="CC116" s="2" t="e">
        <f t="shared" si="45"/>
        <v>#DIV/0!</v>
      </c>
      <c r="CD116" s="5"/>
    </row>
    <row r="117" spans="1:82">
      <c r="B117" s="6" t="s">
        <v>171</v>
      </c>
      <c r="J117" s="7">
        <f>AVERAGE(J70:J94)</f>
        <v>20.073476025954172</v>
      </c>
      <c r="K117" s="7">
        <f>AVERAGE(K70:K94)</f>
        <v>18.014616346544656</v>
      </c>
      <c r="L117" s="5"/>
      <c r="M117" s="7">
        <f>AVERAGE(M70:M94)</f>
        <v>2.0515390879635054</v>
      </c>
      <c r="T117" s="272"/>
      <c r="U117" s="272"/>
      <c r="V117" s="272"/>
      <c r="X117" s="272"/>
      <c r="Y117" s="272"/>
      <c r="Z117" s="272"/>
      <c r="AB117" s="7" t="e">
        <f>AVERAGE(AB70:AB94)</f>
        <v>#DIV/0!</v>
      </c>
      <c r="AC117" s="7" t="e">
        <f>AVERAGE(AC70:AC94)</f>
        <v>#DIV/0!</v>
      </c>
      <c r="AD117" s="571">
        <f t="shared" ref="AD117:AE117" si="46">AVERAGE(AD70:AD94)</f>
        <v>0</v>
      </c>
      <c r="AE117" s="571">
        <f t="shared" si="46"/>
        <v>0</v>
      </c>
      <c r="AI117" s="7" t="e">
        <f>AVERAGE(AI70:AI94)</f>
        <v>#DIV/0!</v>
      </c>
      <c r="AJ117" s="7" t="e">
        <f>AVERAGE(AJ70:AJ94)</f>
        <v>#DIV/0!</v>
      </c>
      <c r="AK117" s="5"/>
      <c r="AL117" s="7" t="e">
        <f>AVERAGE(AL70:AL94)</f>
        <v>#DIV/0!</v>
      </c>
      <c r="BA117" s="7" t="e">
        <f>AVERAGE(BA70:BA94)</f>
        <v>#DIV/0!</v>
      </c>
      <c r="BB117" s="7" t="e">
        <f>AVERAGE(BB70:BB94)</f>
        <v>#DIV/0!</v>
      </c>
      <c r="BC117" s="571">
        <f t="shared" ref="BC117:BD117" si="47">AVERAGE(BC70:BC94)</f>
        <v>0</v>
      </c>
      <c r="BD117" s="571">
        <f t="shared" si="47"/>
        <v>0</v>
      </c>
      <c r="BG117" s="2" t="e">
        <f t="shared" ref="BG117:BJ117" si="48">AVERAGE(BG70:BG94)</f>
        <v>#DIV/0!</v>
      </c>
      <c r="BH117" s="2" t="e">
        <f t="shared" si="48"/>
        <v>#DIV/0!</v>
      </c>
      <c r="BI117" s="2" t="e">
        <f t="shared" si="48"/>
        <v>#DIV/0!</v>
      </c>
      <c r="BJ117" s="2" t="e">
        <f t="shared" si="48"/>
        <v>#DIV/0!</v>
      </c>
      <c r="BK117" s="590"/>
      <c r="BL117" s="5"/>
      <c r="BM117" s="5"/>
      <c r="BN117" s="5"/>
      <c r="BO117" s="2" t="e">
        <f>AVERAGE(BO70:BO94)</f>
        <v>#DIV/0!</v>
      </c>
      <c r="BP117" s="590"/>
      <c r="BQ117" s="5"/>
      <c r="BR117" s="5"/>
      <c r="BS117" s="5"/>
      <c r="BT117" s="2" t="e">
        <f>AVERAGE(BT70:BT94)</f>
        <v>#DIV/0!</v>
      </c>
      <c r="BU117" s="590"/>
      <c r="BV117" s="5"/>
      <c r="BW117" s="5"/>
      <c r="BX117" s="5"/>
      <c r="BY117" s="2" t="e">
        <f>AVERAGE(BY70:BY94)</f>
        <v>#DIV/0!</v>
      </c>
      <c r="BZ117" s="590"/>
      <c r="CA117" s="5"/>
      <c r="CB117" s="5"/>
      <c r="CC117" s="5"/>
      <c r="CD117" s="2" t="e">
        <f>AVERAGE(CD70:CD94)</f>
        <v>#DIV/0!</v>
      </c>
    </row>
    <row r="118" spans="1:82">
      <c r="B118" s="6" t="s">
        <v>903</v>
      </c>
      <c r="J118" s="7">
        <f>AVERAGE(J95:J114)</f>
        <v>4.6383264438381264</v>
      </c>
      <c r="K118" s="7">
        <f>AVERAGE(K95:K114)</f>
        <v>1.0123454238505931</v>
      </c>
      <c r="L118" s="7">
        <f>AVERAGE(L95:L114)</f>
        <v>3.6257620274632805</v>
      </c>
      <c r="M118" s="5"/>
      <c r="T118" s="272"/>
      <c r="U118" s="272"/>
      <c r="V118" s="272"/>
      <c r="X118" s="272"/>
      <c r="Y118" s="272"/>
      <c r="Z118" s="272"/>
      <c r="AB118" s="7" t="e">
        <f>AVERAGE(AB95:AB114)</f>
        <v>#DIV/0!</v>
      </c>
      <c r="AC118" s="7" t="e">
        <f>AVERAGE(AC95:AC114)</f>
        <v>#DIV/0!</v>
      </c>
      <c r="AD118" s="571">
        <f t="shared" ref="AD118:AE118" si="49">AVERAGE(AD95:AD114)</f>
        <v>0</v>
      </c>
      <c r="AE118" s="571">
        <f t="shared" si="49"/>
        <v>0</v>
      </c>
      <c r="AI118" s="7" t="e">
        <f>AVERAGE(AI95:AI114)</f>
        <v>#DIV/0!</v>
      </c>
      <c r="AJ118" s="7" t="e">
        <f>AVERAGE(AJ95:AJ114)</f>
        <v>#DIV/0!</v>
      </c>
      <c r="AK118" s="7" t="e">
        <f>AVERAGE(AK95:AK114)</f>
        <v>#DIV/0!</v>
      </c>
      <c r="AL118" s="5"/>
      <c r="BA118" s="7" t="e">
        <f>AVERAGE(BA95:BA114)</f>
        <v>#DIV/0!</v>
      </c>
      <c r="BB118" s="7" t="e">
        <f>AVERAGE(BB95:BB114)</f>
        <v>#DIV/0!</v>
      </c>
      <c r="BC118" s="571">
        <f t="shared" ref="BC118:BD118" si="50">AVERAGE(BC95:BC114)</f>
        <v>0</v>
      </c>
      <c r="BD118" s="571">
        <f t="shared" si="50"/>
        <v>0</v>
      </c>
      <c r="BG118" s="2" t="e">
        <f t="shared" ref="BG118:BJ118" si="51">AVERAGE(BG95:BG114)</f>
        <v>#DIV/0!</v>
      </c>
      <c r="BH118" s="2" t="e">
        <f t="shared" si="51"/>
        <v>#DIV/0!</v>
      </c>
      <c r="BI118" s="2" t="e">
        <f t="shared" si="51"/>
        <v>#DIV/0!</v>
      </c>
      <c r="BJ118" s="2" t="e">
        <f t="shared" si="51"/>
        <v>#DIV/0!</v>
      </c>
      <c r="BK118" s="590"/>
      <c r="BL118" s="2" t="e">
        <f>AVERAGE(BL95:BL114)</f>
        <v>#DIV/0!</v>
      </c>
      <c r="BM118" s="2" t="e">
        <f>AVERAGE(BM95:BM114)</f>
        <v>#DIV/0!</v>
      </c>
      <c r="BN118" s="2" t="e">
        <f>AVERAGE(BN95:BN114)</f>
        <v>#DIV/0!</v>
      </c>
      <c r="BO118" s="5"/>
      <c r="BP118" s="590"/>
      <c r="BQ118" s="2" t="e">
        <f>AVERAGE(BQ95:BQ114)</f>
        <v>#DIV/0!</v>
      </c>
      <c r="BR118" s="2" t="e">
        <f>AVERAGE(BR95:BR114)</f>
        <v>#DIV/0!</v>
      </c>
      <c r="BS118" s="2" t="e">
        <f>AVERAGE(BS95:BS114)</f>
        <v>#DIV/0!</v>
      </c>
      <c r="BT118" s="5"/>
      <c r="BU118" s="590"/>
      <c r="BV118" s="2" t="e">
        <f>AVERAGE(BV95:BV114)</f>
        <v>#DIV/0!</v>
      </c>
      <c r="BW118" s="2" t="e">
        <f>AVERAGE(BW95:BW114)</f>
        <v>#DIV/0!</v>
      </c>
      <c r="BX118" s="2" t="e">
        <f>AVERAGE(BX95:BX114)</f>
        <v>#DIV/0!</v>
      </c>
      <c r="BY118" s="5"/>
      <c r="BZ118" s="590"/>
      <c r="CA118" s="2" t="e">
        <f>AVERAGE(CA95:CA114)</f>
        <v>#DIV/0!</v>
      </c>
      <c r="CB118" s="2" t="e">
        <f>AVERAGE(CB95:CB114)</f>
        <v>#DIV/0!</v>
      </c>
      <c r="CC118" s="2" t="e">
        <f>AVERAGE(CC95:CC114)</f>
        <v>#DIV/0!</v>
      </c>
      <c r="CD118" s="5"/>
    </row>
    <row r="119" spans="1:82">
      <c r="B119" s="595" t="s">
        <v>1126</v>
      </c>
      <c r="J119" s="7">
        <f>AVERAGE(J5:J34,J70:J94)</f>
        <v>21.680196125970124</v>
      </c>
      <c r="K119" s="7">
        <f>AVERAGE(K5:K34,K70:K94)</f>
        <v>16.777926041172151</v>
      </c>
      <c r="L119" s="5"/>
      <c r="M119" s="7">
        <f>AVERAGE(M5:M34,M70:M94)</f>
        <v>4.8988905174563433</v>
      </c>
      <c r="T119" s="272"/>
      <c r="U119" s="272"/>
      <c r="V119" s="272"/>
      <c r="X119" s="272"/>
      <c r="Y119" s="272"/>
      <c r="Z119" s="272"/>
      <c r="AB119" s="7" t="e">
        <f>AVERAGE(AB5:AB34,AB70:AB94)</f>
        <v>#DIV/0!</v>
      </c>
      <c r="AC119" s="7" t="e">
        <f>AVERAGE(AC5:AC34,AC70:AC94)</f>
        <v>#DIV/0!</v>
      </c>
      <c r="AD119" s="571">
        <f t="shared" ref="AD119:AE119" si="52">AVERAGE(AD5:AD34,AD70:AD94)</f>
        <v>0</v>
      </c>
      <c r="AE119" s="571">
        <f t="shared" si="52"/>
        <v>0</v>
      </c>
      <c r="AI119" s="7" t="e">
        <f>AVERAGE(AI5:AI34,AI70:AI94)</f>
        <v>#DIV/0!</v>
      </c>
      <c r="AJ119" s="7" t="e">
        <f>AVERAGE(AJ5:AJ34,AJ70:AJ94)</f>
        <v>#DIV/0!</v>
      </c>
      <c r="AK119" s="5"/>
      <c r="AL119" s="7" t="e">
        <f>AVERAGE(AL5:AL34,AL70:AL94)</f>
        <v>#DIV/0!</v>
      </c>
      <c r="BA119" s="7" t="e">
        <f>AVERAGE(BA5:BA34,BA70:BA94)</f>
        <v>#DIV/0!</v>
      </c>
      <c r="BB119" s="7" t="e">
        <f>AVERAGE(BB5:BB34,BB70:BB94)</f>
        <v>#DIV/0!</v>
      </c>
      <c r="BC119" s="571">
        <f t="shared" ref="BC119:BD119" si="53">AVERAGE(BC5:BC34,BC70:BC94)</f>
        <v>0</v>
      </c>
      <c r="BD119" s="571">
        <f t="shared" si="53"/>
        <v>0</v>
      </c>
      <c r="BG119" s="2" t="e">
        <f t="shared" ref="BG119:BJ119" si="54">AVERAGE(BG5:BG34,BG70:BG94)</f>
        <v>#DIV/0!</v>
      </c>
      <c r="BH119" s="2" t="e">
        <f t="shared" si="54"/>
        <v>#DIV/0!</v>
      </c>
      <c r="BI119" s="2" t="e">
        <f t="shared" si="54"/>
        <v>#DIV/0!</v>
      </c>
      <c r="BJ119" s="2" t="e">
        <f t="shared" si="54"/>
        <v>#DIV/0!</v>
      </c>
      <c r="BK119" s="590"/>
      <c r="BL119" s="5"/>
      <c r="BM119" s="5"/>
      <c r="BN119" s="5"/>
      <c r="BO119" s="2" t="e">
        <f t="shared" ref="BO119" si="55">AVERAGE(BO5:BO34,BO70:BO94)</f>
        <v>#DIV/0!</v>
      </c>
      <c r="BP119" s="590"/>
      <c r="BQ119" s="5"/>
      <c r="BR119" s="5"/>
      <c r="BS119" s="5"/>
      <c r="BT119" s="2" t="e">
        <f t="shared" ref="BT119" si="56">AVERAGE(BT5:BT34,BT70:BT94)</f>
        <v>#DIV/0!</v>
      </c>
      <c r="BU119" s="590"/>
      <c r="BV119" s="5"/>
      <c r="BW119" s="5"/>
      <c r="BX119" s="5"/>
      <c r="BY119" s="2" t="e">
        <f t="shared" ref="BY119" si="57">AVERAGE(BY5:BY34,BY70:BY94)</f>
        <v>#DIV/0!</v>
      </c>
      <c r="BZ119" s="590"/>
      <c r="CA119" s="5"/>
      <c r="CB119" s="5"/>
      <c r="CC119" s="5"/>
      <c r="CD119" s="2" t="e">
        <f t="shared" ref="CD119" si="58">AVERAGE(CD5:CD34,CD70:CD94)</f>
        <v>#DIV/0!</v>
      </c>
    </row>
    <row r="120" spans="1:82">
      <c r="B120" s="6" t="s">
        <v>137</v>
      </c>
      <c r="J120" s="7">
        <f>AVERAGE(J5:J114)</f>
        <v>18.225437248365136</v>
      </c>
      <c r="K120" s="7">
        <f>AVERAGE(K5:K114)</f>
        <v>13.078170606124607</v>
      </c>
      <c r="L120" s="7">
        <f>AVERAGE(L5:L114)</f>
        <v>5.3921266860719292</v>
      </c>
      <c r="M120" s="7">
        <f>AVERAGE(M5:M114)</f>
        <v>4.8988905174563433</v>
      </c>
      <c r="T120" s="272"/>
      <c r="U120" s="272"/>
      <c r="V120" s="272"/>
      <c r="X120" s="272"/>
      <c r="Y120" s="272"/>
      <c r="Z120" s="272"/>
      <c r="AB120" s="7" t="e">
        <f>AVERAGE(AB5:AB114)</f>
        <v>#DIV/0!</v>
      </c>
      <c r="AC120" s="7" t="e">
        <f>AVERAGE(AC5:AC114)</f>
        <v>#DIV/0!</v>
      </c>
      <c r="AD120" s="571">
        <f t="shared" ref="AD120:AE120" si="59">AVERAGE(AD5:AD114)</f>
        <v>0</v>
      </c>
      <c r="AE120" s="571">
        <f t="shared" si="59"/>
        <v>0</v>
      </c>
      <c r="AI120" s="7" t="e">
        <f>AVERAGE(AI5:AI114)</f>
        <v>#DIV/0!</v>
      </c>
      <c r="AJ120" s="7" t="e">
        <f>AVERAGE(AJ5:AJ114)</f>
        <v>#DIV/0!</v>
      </c>
      <c r="AK120" s="7" t="e">
        <f>AVERAGE(AK5:AK114)</f>
        <v>#DIV/0!</v>
      </c>
      <c r="AL120" s="7" t="e">
        <f>AVERAGE(AL5:AL114)</f>
        <v>#DIV/0!</v>
      </c>
      <c r="BA120" s="7" t="e">
        <f>AVERAGE(BA5:BA114)</f>
        <v>#DIV/0!</v>
      </c>
      <c r="BB120" s="7" t="e">
        <f>AVERAGE(BB5:BB114)</f>
        <v>#DIV/0!</v>
      </c>
      <c r="BC120" s="571">
        <f t="shared" ref="BC120:BD120" si="60">AVERAGE(BC5:BC114)</f>
        <v>0</v>
      </c>
      <c r="BD120" s="571">
        <f t="shared" si="60"/>
        <v>0</v>
      </c>
      <c r="BG120" s="2" t="e">
        <f t="shared" ref="BG120:BJ120" si="61">AVERAGE(BG5:BG114)</f>
        <v>#DIV/0!</v>
      </c>
      <c r="BH120" s="2" t="e">
        <f t="shared" si="61"/>
        <v>#DIV/0!</v>
      </c>
      <c r="BI120" s="2" t="e">
        <f t="shared" si="61"/>
        <v>#DIV/0!</v>
      </c>
      <c r="BJ120" s="2" t="e">
        <f t="shared" si="61"/>
        <v>#DIV/0!</v>
      </c>
      <c r="BK120" s="590"/>
      <c r="BL120" s="2" t="e">
        <f>AVERAGE(BL5:BL114)</f>
        <v>#DIV/0!</v>
      </c>
      <c r="BM120" s="2" t="e">
        <f>AVERAGE(BM5:BM114)</f>
        <v>#DIV/0!</v>
      </c>
      <c r="BN120" s="2" t="e">
        <f>AVERAGE(BN5:BN114)</f>
        <v>#DIV/0!</v>
      </c>
      <c r="BO120" s="2" t="e">
        <f>AVERAGE(BO5:BO114)</f>
        <v>#DIV/0!</v>
      </c>
      <c r="BP120" s="590"/>
      <c r="BQ120" s="2" t="e">
        <f>AVERAGE(BQ5:BQ114)</f>
        <v>#DIV/0!</v>
      </c>
      <c r="BR120" s="2" t="e">
        <f>AVERAGE(BR5:BR114)</f>
        <v>#DIV/0!</v>
      </c>
      <c r="BS120" s="2" t="e">
        <f>AVERAGE(BS5:BS114)</f>
        <v>#DIV/0!</v>
      </c>
      <c r="BT120" s="2" t="e">
        <f>AVERAGE(BT5:BT114)</f>
        <v>#DIV/0!</v>
      </c>
      <c r="BU120" s="590"/>
      <c r="BV120" s="2" t="e">
        <f>AVERAGE(BV5:BV114)</f>
        <v>#DIV/0!</v>
      </c>
      <c r="BW120" s="2" t="e">
        <f>AVERAGE(BW5:BW114)</f>
        <v>#DIV/0!</v>
      </c>
      <c r="BX120" s="2" t="e">
        <f>AVERAGE(BX5:BX114)</f>
        <v>#DIV/0!</v>
      </c>
      <c r="BY120" s="2" t="e">
        <f>AVERAGE(BY5:BY114)</f>
        <v>#DIV/0!</v>
      </c>
      <c r="BZ120" s="590"/>
      <c r="CA120" s="2" t="e">
        <f>AVERAGE(CA5:CA114)</f>
        <v>#DIV/0!</v>
      </c>
      <c r="CB120" s="2" t="e">
        <f>AVERAGE(CB5:CB114)</f>
        <v>#DIV/0!</v>
      </c>
      <c r="CC120" s="2" t="e">
        <f>AVERAGE(CC5:CC114)</f>
        <v>#DIV/0!</v>
      </c>
      <c r="CD120" s="2" t="e">
        <f>AVERAGE(CD5:CD114)</f>
        <v>#DIV/0!</v>
      </c>
    </row>
    <row r="121" spans="1:82" outlineLevel="2">
      <c r="A121" s="338" t="s">
        <v>138</v>
      </c>
      <c r="B121" s="6" t="s">
        <v>1127</v>
      </c>
      <c r="AB121" s="8"/>
      <c r="AC121" s="8"/>
      <c r="BA121" s="12" t="e">
        <f>BA115/AB115</f>
        <v>#DIV/0!</v>
      </c>
      <c r="BB121" s="12" t="e">
        <f t="shared" ref="BB121:BD126" si="62">BB115/AC115</f>
        <v>#DIV/0!</v>
      </c>
      <c r="BC121" s="12" t="e">
        <f t="shared" si="62"/>
        <v>#DIV/0!</v>
      </c>
      <c r="BD121" s="12" t="e">
        <f t="shared" si="62"/>
        <v>#DIV/0!</v>
      </c>
    </row>
    <row r="122" spans="1:82" outlineLevel="2">
      <c r="B122" s="6" t="s">
        <v>1128</v>
      </c>
      <c r="BA122" s="12" t="e">
        <f t="shared" ref="BA122:BA126" si="63">BA116/AB116</f>
        <v>#DIV/0!</v>
      </c>
      <c r="BB122" s="12" t="e">
        <f t="shared" si="62"/>
        <v>#DIV/0!</v>
      </c>
      <c r="BC122" s="12" t="e">
        <f t="shared" si="62"/>
        <v>#DIV/0!</v>
      </c>
      <c r="BD122" s="12" t="e">
        <f t="shared" si="62"/>
        <v>#DIV/0!</v>
      </c>
    </row>
    <row r="123" spans="1:82" ht="27" outlineLevel="2">
      <c r="A123" s="6"/>
      <c r="B123" s="6" t="s">
        <v>1130</v>
      </c>
      <c r="AB123" s="8"/>
      <c r="AC123" s="8"/>
      <c r="BA123" s="12" t="e">
        <f t="shared" si="63"/>
        <v>#DIV/0!</v>
      </c>
      <c r="BB123" s="12" t="e">
        <f t="shared" si="62"/>
        <v>#DIV/0!</v>
      </c>
      <c r="BC123" s="12" t="e">
        <f t="shared" si="62"/>
        <v>#DIV/0!</v>
      </c>
      <c r="BD123" s="12" t="e">
        <f t="shared" si="62"/>
        <v>#DIV/0!</v>
      </c>
    </row>
    <row r="124" spans="1:82" outlineLevel="2">
      <c r="B124" s="6" t="s">
        <v>1131</v>
      </c>
      <c r="BA124" s="12" t="e">
        <f t="shared" si="63"/>
        <v>#DIV/0!</v>
      </c>
      <c r="BB124" s="12" t="e">
        <f t="shared" si="62"/>
        <v>#DIV/0!</v>
      </c>
      <c r="BC124" s="12" t="e">
        <f t="shared" si="62"/>
        <v>#DIV/0!</v>
      </c>
      <c r="BD124" s="12" t="e">
        <f t="shared" si="62"/>
        <v>#DIV/0!</v>
      </c>
    </row>
    <row r="125" spans="1:82" ht="27" outlineLevel="2">
      <c r="B125" s="6" t="s">
        <v>1133</v>
      </c>
      <c r="AB125" s="8"/>
      <c r="AC125" s="8"/>
      <c r="BA125" s="12" t="e">
        <f t="shared" si="63"/>
        <v>#DIV/0!</v>
      </c>
      <c r="BB125" s="12" t="e">
        <f t="shared" si="62"/>
        <v>#DIV/0!</v>
      </c>
      <c r="BC125" s="12" t="e">
        <f t="shared" si="62"/>
        <v>#DIV/0!</v>
      </c>
      <c r="BD125" s="12" t="e">
        <f t="shared" si="62"/>
        <v>#DIV/0!</v>
      </c>
    </row>
    <row r="126" spans="1:82" outlineLevel="2" collapsed="1">
      <c r="B126" s="6" t="s">
        <v>1135</v>
      </c>
      <c r="BA126" s="12" t="e">
        <f t="shared" si="63"/>
        <v>#DIV/0!</v>
      </c>
      <c r="BB126" s="12" t="e">
        <f t="shared" si="62"/>
        <v>#DIV/0!</v>
      </c>
      <c r="BC126" s="12" t="e">
        <f t="shared" si="62"/>
        <v>#DIV/0!</v>
      </c>
      <c r="BD126" s="12" t="e">
        <f t="shared" si="62"/>
        <v>#DIV/0!</v>
      </c>
    </row>
  </sheetData>
  <mergeCells count="46">
    <mergeCell ref="BV1:BY1"/>
    <mergeCell ref="AB2:AB3"/>
    <mergeCell ref="CA1:CD1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A1:G1"/>
    <mergeCell ref="I1:AF1"/>
    <mergeCell ref="AH1:BE1"/>
    <mergeCell ref="BL1:BO1"/>
    <mergeCell ref="BQ1:BT1"/>
    <mergeCell ref="N2:N3"/>
    <mergeCell ref="O2:O3"/>
    <mergeCell ref="P2:S2"/>
    <mergeCell ref="T2:W2"/>
    <mergeCell ref="X2:AA2"/>
    <mergeCell ref="BA2:BA3"/>
    <mergeCell ref="AC2:AC3"/>
    <mergeCell ref="AD2:AD3"/>
    <mergeCell ref="AE2:AE3"/>
    <mergeCell ref="AF2:AF3"/>
    <mergeCell ref="AH2:AH3"/>
    <mergeCell ref="AI2:AL2"/>
    <mergeCell ref="AM2:AM3"/>
    <mergeCell ref="AN2:AN3"/>
    <mergeCell ref="AO2:AR2"/>
    <mergeCell ref="AS2:AV2"/>
    <mergeCell ref="AW2:AZ2"/>
    <mergeCell ref="CA2:CD2"/>
    <mergeCell ref="BB2:BB3"/>
    <mergeCell ref="BC2:BC3"/>
    <mergeCell ref="BD2:BD3"/>
    <mergeCell ref="BE2:BE3"/>
    <mergeCell ref="BG2:BG3"/>
    <mergeCell ref="BH2:BH3"/>
    <mergeCell ref="BI2:BI3"/>
    <mergeCell ref="BJ2:BJ3"/>
    <mergeCell ref="BL2:BO2"/>
    <mergeCell ref="BQ2:BT2"/>
    <mergeCell ref="BV2:BY2"/>
  </mergeCells>
  <phoneticPr fontId="2" type="noConversion"/>
  <conditionalFormatting sqref="BL70:BN84 BQ71:BS74 BV71:BX74 CA71:CC74 CA81:CC84 BV81:BX84 BQ81:BS84 CA76:CC79 BV76:BX79 BQ76:BS79">
    <cfRule type="cellIs" dxfId="755" priority="711" operator="greaterThanOrEqual">
      <formula>0.03</formula>
    </cfRule>
    <cfRule type="cellIs" dxfId="754" priority="712" operator="lessThanOrEqual">
      <formula>-0.03</formula>
    </cfRule>
  </conditionalFormatting>
  <conditionalFormatting sqref="BO71:BO74 BO81:BO84 BO76:BO79">
    <cfRule type="cellIs" dxfId="753" priority="705" operator="greaterThanOrEqual">
      <formula>0.03</formula>
    </cfRule>
    <cfRule type="cellIs" dxfId="752" priority="706" operator="lessThanOrEqual">
      <formula>-0.03</formula>
    </cfRule>
  </conditionalFormatting>
  <conditionalFormatting sqref="BT71:BT74 BT81:BT84 BT76:BT79">
    <cfRule type="cellIs" dxfId="751" priority="713" operator="greaterThanOrEqual">
      <formula>0.03</formula>
    </cfRule>
    <cfRule type="cellIs" dxfId="750" priority="714" operator="lessThanOrEqual">
      <formula>-0.03</formula>
    </cfRule>
  </conditionalFormatting>
  <conditionalFormatting sqref="BY71:BY74 BY81:BY84 BY76:BY79">
    <cfRule type="cellIs" dxfId="749" priority="709" operator="greaterThanOrEqual">
      <formula>0.03</formula>
    </cfRule>
    <cfRule type="cellIs" dxfId="748" priority="710" operator="lessThanOrEqual">
      <formula>-0.03</formula>
    </cfRule>
  </conditionalFormatting>
  <conditionalFormatting sqref="CD71:CD74 CD81:CD84 CD76:CD79">
    <cfRule type="cellIs" dxfId="747" priority="707" operator="greaterThanOrEqual">
      <formula>0.03</formula>
    </cfRule>
    <cfRule type="cellIs" dxfId="746" priority="708" operator="lessThanOrEqual">
      <formula>-0.03</formula>
    </cfRule>
  </conditionalFormatting>
  <conditionalFormatting sqref="CD90">
    <cfRule type="cellIs" dxfId="745" priority="661" operator="greaterThanOrEqual">
      <formula>0.03</formula>
    </cfRule>
    <cfRule type="cellIs" dxfId="744" priority="662" operator="lessThanOrEqual">
      <formula>-0.03</formula>
    </cfRule>
  </conditionalFormatting>
  <conditionalFormatting sqref="BO90">
    <cfRule type="cellIs" dxfId="743" priority="659" operator="greaterThanOrEqual">
      <formula>0.03</formula>
    </cfRule>
    <cfRule type="cellIs" dxfId="742" priority="660" operator="lessThanOrEqual">
      <formula>-0.03</formula>
    </cfRule>
  </conditionalFormatting>
  <conditionalFormatting sqref="BT85">
    <cfRule type="cellIs" dxfId="741" priority="657" operator="greaterThanOrEqual">
      <formula>0.03</formula>
    </cfRule>
    <cfRule type="cellIs" dxfId="740" priority="658" operator="lessThanOrEqual">
      <formula>-0.03</formula>
    </cfRule>
  </conditionalFormatting>
  <conditionalFormatting sqref="AK70:AK84">
    <cfRule type="cellIs" dxfId="739" priority="703" operator="greaterThanOrEqual">
      <formula>0.03</formula>
    </cfRule>
    <cfRule type="cellIs" dxfId="738" priority="704" operator="lessThanOrEqual">
      <formula>-0.03</formula>
    </cfRule>
  </conditionalFormatting>
  <conditionalFormatting sqref="T117:V118 T120:V120">
    <cfRule type="cellIs" dxfId="737" priority="701" operator="greaterThanOrEqual">
      <formula>0.03</formula>
    </cfRule>
    <cfRule type="cellIs" dxfId="736" priority="702" operator="lessThanOrEqual">
      <formula>-0.03</formula>
    </cfRule>
  </conditionalFormatting>
  <conditionalFormatting sqref="X117:Z118 X120:Z120">
    <cfRule type="cellIs" dxfId="735" priority="699" operator="greaterThanOrEqual">
      <formula>0.03</formula>
    </cfRule>
    <cfRule type="cellIs" dxfId="734" priority="700" operator="lessThanOrEqual">
      <formula>-0.03</formula>
    </cfRule>
  </conditionalFormatting>
  <conditionalFormatting sqref="L70:L84 L117">
    <cfRule type="cellIs" dxfId="733" priority="697" operator="greaterThanOrEqual">
      <formula>0.03</formula>
    </cfRule>
    <cfRule type="cellIs" dxfId="732" priority="698" operator="lessThanOrEqual">
      <formula>-0.03</formula>
    </cfRule>
  </conditionalFormatting>
  <conditionalFormatting sqref="BL85:BN89 BQ86:BS89 BV86:BX89 CA86:CC89">
    <cfRule type="cellIs" dxfId="731" priority="693" operator="greaterThanOrEqual">
      <formula>0.03</formula>
    </cfRule>
    <cfRule type="cellIs" dxfId="730" priority="694" operator="lessThanOrEqual">
      <formula>-0.03</formula>
    </cfRule>
  </conditionalFormatting>
  <conditionalFormatting sqref="BO86:BO89">
    <cfRule type="cellIs" dxfId="729" priority="687" operator="greaterThanOrEqual">
      <formula>0.03</formula>
    </cfRule>
    <cfRule type="cellIs" dxfId="728" priority="688" operator="lessThanOrEqual">
      <formula>-0.03</formula>
    </cfRule>
  </conditionalFormatting>
  <conditionalFormatting sqref="BT86:BT89">
    <cfRule type="cellIs" dxfId="727" priority="695" operator="greaterThanOrEqual">
      <formula>0.03</formula>
    </cfRule>
    <cfRule type="cellIs" dxfId="726" priority="696" operator="lessThanOrEqual">
      <formula>-0.03</formula>
    </cfRule>
  </conditionalFormatting>
  <conditionalFormatting sqref="BY86:BY89">
    <cfRule type="cellIs" dxfId="725" priority="691" operator="greaterThanOrEqual">
      <formula>0.03</formula>
    </cfRule>
    <cfRule type="cellIs" dxfId="724" priority="692" operator="lessThanOrEqual">
      <formula>-0.03</formula>
    </cfRule>
  </conditionalFormatting>
  <conditionalFormatting sqref="CD86:CD89">
    <cfRule type="cellIs" dxfId="723" priority="689" operator="greaterThanOrEqual">
      <formula>0.03</formula>
    </cfRule>
    <cfRule type="cellIs" dxfId="722" priority="690" operator="lessThanOrEqual">
      <formula>-0.03</formula>
    </cfRule>
  </conditionalFormatting>
  <conditionalFormatting sqref="BT75">
    <cfRule type="cellIs" dxfId="721" priority="637" operator="greaterThanOrEqual">
      <formula>0.03</formula>
    </cfRule>
    <cfRule type="cellIs" dxfId="720" priority="638" operator="lessThanOrEqual">
      <formula>-0.03</formula>
    </cfRule>
  </conditionalFormatting>
  <conditionalFormatting sqref="CA75:CC75 BV75:BX75 BQ75:BS75">
    <cfRule type="cellIs" dxfId="719" priority="635" operator="greaterThanOrEqual">
      <formula>0.03</formula>
    </cfRule>
    <cfRule type="cellIs" dxfId="718" priority="636" operator="lessThanOrEqual">
      <formula>-0.03</formula>
    </cfRule>
  </conditionalFormatting>
  <conditionalFormatting sqref="BY75">
    <cfRule type="cellIs" dxfId="717" priority="633" operator="greaterThanOrEqual">
      <formula>0.03</formula>
    </cfRule>
    <cfRule type="cellIs" dxfId="716" priority="634" operator="lessThanOrEqual">
      <formula>-0.03</formula>
    </cfRule>
  </conditionalFormatting>
  <conditionalFormatting sqref="AK85:AK89">
    <cfRule type="cellIs" dxfId="715" priority="685" operator="greaterThanOrEqual">
      <formula>0.03</formula>
    </cfRule>
    <cfRule type="cellIs" dxfId="714" priority="686" operator="lessThanOrEqual">
      <formula>-0.03</formula>
    </cfRule>
  </conditionalFormatting>
  <conditionalFormatting sqref="L85:L89">
    <cfRule type="cellIs" dxfId="713" priority="683" operator="greaterThanOrEqual">
      <formula>0.03</formula>
    </cfRule>
    <cfRule type="cellIs" dxfId="712" priority="684" operator="lessThanOrEqual">
      <formula>-0.03</formula>
    </cfRule>
  </conditionalFormatting>
  <conditionalFormatting sqref="BL90:BN94 BQ91:BS94 BV91:BX94 CA91:CC94">
    <cfRule type="cellIs" dxfId="711" priority="679" operator="greaterThanOrEqual">
      <formula>0.03</formula>
    </cfRule>
    <cfRule type="cellIs" dxfId="710" priority="680" operator="lessThanOrEqual">
      <formula>-0.03</formula>
    </cfRule>
  </conditionalFormatting>
  <conditionalFormatting sqref="BO91:BO94">
    <cfRule type="cellIs" dxfId="709" priority="673" operator="greaterThanOrEqual">
      <formula>0.03</formula>
    </cfRule>
    <cfRule type="cellIs" dxfId="708" priority="674" operator="lessThanOrEqual">
      <formula>-0.03</formula>
    </cfRule>
  </conditionalFormatting>
  <conditionalFormatting sqref="BT91:BT94">
    <cfRule type="cellIs" dxfId="707" priority="681" operator="greaterThanOrEqual">
      <formula>0.03</formula>
    </cfRule>
    <cfRule type="cellIs" dxfId="706" priority="682" operator="lessThanOrEqual">
      <formula>-0.03</formula>
    </cfRule>
  </conditionalFormatting>
  <conditionalFormatting sqref="BY91:BY94">
    <cfRule type="cellIs" dxfId="705" priority="677" operator="greaterThanOrEqual">
      <formula>0.03</formula>
    </cfRule>
    <cfRule type="cellIs" dxfId="704" priority="678" operator="lessThanOrEqual">
      <formula>-0.03</formula>
    </cfRule>
  </conditionalFormatting>
  <conditionalFormatting sqref="CD91:CD94">
    <cfRule type="cellIs" dxfId="703" priority="675" operator="greaterThanOrEqual">
      <formula>0.03</formula>
    </cfRule>
    <cfRule type="cellIs" dxfId="702" priority="676" operator="lessThanOrEqual">
      <formula>-0.03</formula>
    </cfRule>
  </conditionalFormatting>
  <conditionalFormatting sqref="BQ96:BS99">
    <cfRule type="cellIs" dxfId="701" priority="617" operator="greaterThanOrEqual">
      <formula>0.03</formula>
    </cfRule>
    <cfRule type="cellIs" dxfId="700" priority="618" operator="lessThanOrEqual">
      <formula>-0.03</formula>
    </cfRule>
  </conditionalFormatting>
  <conditionalFormatting sqref="BV96:BX99">
    <cfRule type="cellIs" dxfId="699" priority="615" operator="greaterThanOrEqual">
      <formula>0.03</formula>
    </cfRule>
    <cfRule type="cellIs" dxfId="698" priority="616" operator="lessThanOrEqual">
      <formula>-0.03</formula>
    </cfRule>
  </conditionalFormatting>
  <conditionalFormatting sqref="CA101:CC104">
    <cfRule type="cellIs" dxfId="697" priority="613" operator="greaterThanOrEqual">
      <formula>0.03</formula>
    </cfRule>
    <cfRule type="cellIs" dxfId="696" priority="614" operator="lessThanOrEqual">
      <formula>-0.03</formula>
    </cfRule>
  </conditionalFormatting>
  <conditionalFormatting sqref="AK90:AK94">
    <cfRule type="cellIs" dxfId="695" priority="671" operator="greaterThanOrEqual">
      <formula>0.03</formula>
    </cfRule>
    <cfRule type="cellIs" dxfId="694" priority="672" operator="lessThanOrEqual">
      <formula>-0.03</formula>
    </cfRule>
  </conditionalFormatting>
  <conditionalFormatting sqref="L90:L94">
    <cfRule type="cellIs" dxfId="693" priority="669" operator="greaterThanOrEqual">
      <formula>0.03</formula>
    </cfRule>
    <cfRule type="cellIs" dxfId="692" priority="670" operator="lessThanOrEqual">
      <formula>-0.03</formula>
    </cfRule>
  </conditionalFormatting>
  <conditionalFormatting sqref="CA90:CC90 BV90:BX90 BQ90:BS90">
    <cfRule type="cellIs" dxfId="691" priority="665" operator="greaterThanOrEqual">
      <formula>0.03</formula>
    </cfRule>
    <cfRule type="cellIs" dxfId="690" priority="666" operator="lessThanOrEqual">
      <formula>-0.03</formula>
    </cfRule>
  </conditionalFormatting>
  <conditionalFormatting sqref="BT90">
    <cfRule type="cellIs" dxfId="689" priority="667" operator="greaterThanOrEqual">
      <formula>0.03</formula>
    </cfRule>
    <cfRule type="cellIs" dxfId="688" priority="668" operator="lessThanOrEqual">
      <formula>-0.03</formula>
    </cfRule>
  </conditionalFormatting>
  <conditionalFormatting sqref="BY90">
    <cfRule type="cellIs" dxfId="687" priority="663" operator="greaterThanOrEqual">
      <formula>0.03</formula>
    </cfRule>
    <cfRule type="cellIs" dxfId="686" priority="664" operator="lessThanOrEqual">
      <formula>-0.03</formula>
    </cfRule>
  </conditionalFormatting>
  <conditionalFormatting sqref="CA85:CC85 BV85:BX85 BQ85:BS85">
    <cfRule type="cellIs" dxfId="685" priority="655" operator="greaterThanOrEqual">
      <formula>0.03</formula>
    </cfRule>
    <cfRule type="cellIs" dxfId="684" priority="656" operator="lessThanOrEqual">
      <formula>-0.03</formula>
    </cfRule>
  </conditionalFormatting>
  <conditionalFormatting sqref="BO85">
    <cfRule type="cellIs" dxfId="683" priority="649" operator="greaterThanOrEqual">
      <formula>0.03</formula>
    </cfRule>
    <cfRule type="cellIs" dxfId="682" priority="650" operator="lessThanOrEqual">
      <formula>-0.03</formula>
    </cfRule>
  </conditionalFormatting>
  <conditionalFormatting sqref="BY85">
    <cfRule type="cellIs" dxfId="681" priority="653" operator="greaterThanOrEqual">
      <formula>0.03</formula>
    </cfRule>
    <cfRule type="cellIs" dxfId="680" priority="654" operator="lessThanOrEqual">
      <formula>-0.03</formula>
    </cfRule>
  </conditionalFormatting>
  <conditionalFormatting sqref="CD85">
    <cfRule type="cellIs" dxfId="679" priority="651" operator="greaterThanOrEqual">
      <formula>0.03</formula>
    </cfRule>
    <cfRule type="cellIs" dxfId="678" priority="652" operator="lessThanOrEqual">
      <formula>-0.03</formula>
    </cfRule>
  </conditionalFormatting>
  <conditionalFormatting sqref="CA80:CC80 BV80:BX80 BQ80:BS80">
    <cfRule type="cellIs" dxfId="677" priority="645" operator="greaterThanOrEqual">
      <formula>0.03</formula>
    </cfRule>
    <cfRule type="cellIs" dxfId="676" priority="646" operator="lessThanOrEqual">
      <formula>-0.03</formula>
    </cfRule>
  </conditionalFormatting>
  <conditionalFormatting sqref="BO80">
    <cfRule type="cellIs" dxfId="675" priority="639" operator="greaterThanOrEqual">
      <formula>0.03</formula>
    </cfRule>
    <cfRule type="cellIs" dxfId="674" priority="640" operator="lessThanOrEqual">
      <formula>-0.03</formula>
    </cfRule>
  </conditionalFormatting>
  <conditionalFormatting sqref="BT80">
    <cfRule type="cellIs" dxfId="673" priority="647" operator="greaterThanOrEqual">
      <formula>0.03</formula>
    </cfRule>
    <cfRule type="cellIs" dxfId="672" priority="648" operator="lessThanOrEqual">
      <formula>-0.03</formula>
    </cfRule>
  </conditionalFormatting>
  <conditionalFormatting sqref="BY80">
    <cfRule type="cellIs" dxfId="671" priority="643" operator="greaterThanOrEqual">
      <formula>0.03</formula>
    </cfRule>
    <cfRule type="cellIs" dxfId="670" priority="644" operator="lessThanOrEqual">
      <formula>-0.03</formula>
    </cfRule>
  </conditionalFormatting>
  <conditionalFormatting sqref="CD80">
    <cfRule type="cellIs" dxfId="669" priority="641" operator="greaterThanOrEqual">
      <formula>0.03</formula>
    </cfRule>
    <cfRule type="cellIs" dxfId="668" priority="642" operator="lessThanOrEqual">
      <formula>-0.03</formula>
    </cfRule>
  </conditionalFormatting>
  <conditionalFormatting sqref="BO75">
    <cfRule type="cellIs" dxfId="667" priority="629" operator="greaterThanOrEqual">
      <formula>0.03</formula>
    </cfRule>
    <cfRule type="cellIs" dxfId="666" priority="630" operator="lessThanOrEqual">
      <formula>-0.03</formula>
    </cfRule>
  </conditionalFormatting>
  <conditionalFormatting sqref="CD75">
    <cfRule type="cellIs" dxfId="665" priority="631" operator="greaterThanOrEqual">
      <formula>0.03</formula>
    </cfRule>
    <cfRule type="cellIs" dxfId="664" priority="632" operator="lessThanOrEqual">
      <formula>-0.03</formula>
    </cfRule>
  </conditionalFormatting>
  <conditionalFormatting sqref="CA70:CC70 BV70:BX70 BQ70:BS70">
    <cfRule type="cellIs" dxfId="663" priority="625" operator="greaterThanOrEqual">
      <formula>0.03</formula>
    </cfRule>
    <cfRule type="cellIs" dxfId="662" priority="626" operator="lessThanOrEqual">
      <formula>-0.03</formula>
    </cfRule>
  </conditionalFormatting>
  <conditionalFormatting sqref="BO70">
    <cfRule type="cellIs" dxfId="661" priority="619" operator="greaterThanOrEqual">
      <formula>0.03</formula>
    </cfRule>
    <cfRule type="cellIs" dxfId="660" priority="620" operator="lessThanOrEqual">
      <formula>-0.03</formula>
    </cfRule>
  </conditionalFormatting>
  <conditionalFormatting sqref="BT70">
    <cfRule type="cellIs" dxfId="659" priority="627" operator="greaterThanOrEqual">
      <formula>0.03</formula>
    </cfRule>
    <cfRule type="cellIs" dxfId="658" priority="628" operator="lessThanOrEqual">
      <formula>-0.03</formula>
    </cfRule>
  </conditionalFormatting>
  <conditionalFormatting sqref="BY70">
    <cfRule type="cellIs" dxfId="657" priority="623" operator="greaterThanOrEqual">
      <formula>0.03</formula>
    </cfRule>
    <cfRule type="cellIs" dxfId="656" priority="624" operator="lessThanOrEqual">
      <formula>-0.03</formula>
    </cfRule>
  </conditionalFormatting>
  <conditionalFormatting sqref="CD70">
    <cfRule type="cellIs" dxfId="655" priority="621" operator="greaterThanOrEqual">
      <formula>0.03</formula>
    </cfRule>
    <cfRule type="cellIs" dxfId="654" priority="622" operator="lessThanOrEqual">
      <formula>-0.03</formula>
    </cfRule>
  </conditionalFormatting>
  <conditionalFormatting sqref="BL96:BN99">
    <cfRule type="cellIs" dxfId="653" priority="611" operator="greaterThanOrEqual">
      <formula>0.03</formula>
    </cfRule>
    <cfRule type="cellIs" dxfId="652" priority="612" operator="lessThanOrEqual">
      <formula>-0.03</formula>
    </cfRule>
  </conditionalFormatting>
  <conditionalFormatting sqref="BT110">
    <cfRule type="cellIs" dxfId="651" priority="547" operator="greaterThanOrEqual">
      <formula>0.03</formula>
    </cfRule>
    <cfRule type="cellIs" dxfId="650" priority="548" operator="lessThanOrEqual">
      <formula>-0.03</formula>
    </cfRule>
  </conditionalFormatting>
  <conditionalFormatting sqref="BY101:BY104">
    <cfRule type="cellIs" dxfId="649" priority="537" operator="greaterThanOrEqual">
      <formula>0.03</formula>
    </cfRule>
    <cfRule type="cellIs" dxfId="648" priority="538" operator="lessThanOrEqual">
      <formula>-0.03</formula>
    </cfRule>
  </conditionalFormatting>
  <conditionalFormatting sqref="BL101:BN104">
    <cfRule type="cellIs" dxfId="647" priority="585" operator="greaterThanOrEqual">
      <formula>0.03</formula>
    </cfRule>
    <cfRule type="cellIs" dxfId="646" priority="586" operator="lessThanOrEqual">
      <formula>-0.03</formula>
    </cfRule>
  </conditionalFormatting>
  <conditionalFormatting sqref="BT96:BT99">
    <cfRule type="cellIs" dxfId="645" priority="573" operator="greaterThanOrEqual">
      <formula>0.03</formula>
    </cfRule>
    <cfRule type="cellIs" dxfId="644" priority="574" operator="lessThanOrEqual">
      <formula>-0.03</formula>
    </cfRule>
  </conditionalFormatting>
  <conditionalFormatting sqref="BY96:BY99">
    <cfRule type="cellIs" dxfId="643" priority="545" operator="greaterThanOrEqual">
      <formula>0.03</formula>
    </cfRule>
    <cfRule type="cellIs" dxfId="642" priority="546" operator="lessThanOrEqual">
      <formula>-0.03</formula>
    </cfRule>
  </conditionalFormatting>
  <conditionalFormatting sqref="BL95:BN95">
    <cfRule type="cellIs" dxfId="641" priority="603" operator="greaterThanOrEqual">
      <formula>0.03</formula>
    </cfRule>
    <cfRule type="cellIs" dxfId="640" priority="604" operator="lessThanOrEqual">
      <formula>-0.03</formula>
    </cfRule>
  </conditionalFormatting>
  <conditionalFormatting sqref="BL111:BN114">
    <cfRule type="cellIs" dxfId="639" priority="577" operator="greaterThanOrEqual">
      <formula>0.03</formula>
    </cfRule>
    <cfRule type="cellIs" dxfId="638" priority="578" operator="lessThanOrEqual">
      <formula>-0.03</formula>
    </cfRule>
  </conditionalFormatting>
  <conditionalFormatting sqref="BQ105:BS105">
    <cfRule type="cellIs" dxfId="637" priority="559" operator="greaterThanOrEqual">
      <formula>0.03</formula>
    </cfRule>
    <cfRule type="cellIs" dxfId="636" priority="560" operator="lessThanOrEqual">
      <formula>-0.03</formula>
    </cfRule>
  </conditionalFormatting>
  <conditionalFormatting sqref="BQ111:BS114">
    <cfRule type="cellIs" dxfId="635" priority="553" operator="greaterThanOrEqual">
      <formula>0.03</formula>
    </cfRule>
    <cfRule type="cellIs" dxfId="634" priority="554" operator="lessThanOrEqual">
      <formula>-0.03</formula>
    </cfRule>
  </conditionalFormatting>
  <conditionalFormatting sqref="BO105:BO109">
    <cfRule type="cellIs" dxfId="633" priority="579" operator="greaterThanOrEqual">
      <formula>0.03</formula>
    </cfRule>
    <cfRule type="cellIs" dxfId="632" priority="580" operator="lessThanOrEqual">
      <formula>-0.03</formula>
    </cfRule>
  </conditionalFormatting>
  <conditionalFormatting sqref="M118">
    <cfRule type="cellIs" dxfId="631" priority="601" operator="greaterThanOrEqual">
      <formula>0.03</formula>
    </cfRule>
    <cfRule type="cellIs" dxfId="630" priority="602" operator="lessThanOrEqual">
      <formula>-0.03</formula>
    </cfRule>
  </conditionalFormatting>
  <conditionalFormatting sqref="BT106:BT109">
    <cfRule type="cellIs" dxfId="629" priority="557" operator="greaterThanOrEqual">
      <formula>0.03</formula>
    </cfRule>
    <cfRule type="cellIs" dxfId="628" priority="558" operator="lessThanOrEqual">
      <formula>-0.03</formula>
    </cfRule>
  </conditionalFormatting>
  <conditionalFormatting sqref="M95:M109">
    <cfRule type="cellIs" dxfId="627" priority="599" operator="greaterThanOrEqual">
      <formula>0.03</formula>
    </cfRule>
    <cfRule type="cellIs" dxfId="626" priority="600" operator="lessThanOrEqual">
      <formula>-0.03</formula>
    </cfRule>
  </conditionalFormatting>
  <conditionalFormatting sqref="AL95:AL99">
    <cfRule type="cellIs" dxfId="625" priority="595" operator="greaterThanOrEqual">
      <formula>0.03</formula>
    </cfRule>
    <cfRule type="cellIs" dxfId="624" priority="596" operator="lessThanOrEqual">
      <formula>-0.03</formula>
    </cfRule>
  </conditionalFormatting>
  <conditionalFormatting sqref="CA100:CC100">
    <cfRule type="cellIs" dxfId="623" priority="609" operator="greaterThanOrEqual">
      <formula>0.03</formula>
    </cfRule>
    <cfRule type="cellIs" dxfId="622" priority="610" operator="lessThanOrEqual">
      <formula>-0.03</formula>
    </cfRule>
  </conditionalFormatting>
  <conditionalFormatting sqref="BQ95:BS95">
    <cfRule type="cellIs" dxfId="621" priority="607" operator="greaterThanOrEqual">
      <formula>0.03</formula>
    </cfRule>
    <cfRule type="cellIs" dxfId="620" priority="608" operator="lessThanOrEqual">
      <formula>-0.03</formula>
    </cfRule>
  </conditionalFormatting>
  <conditionalFormatting sqref="BV95:BX95">
    <cfRule type="cellIs" dxfId="619" priority="605" operator="greaterThanOrEqual">
      <formula>0.03</formula>
    </cfRule>
    <cfRule type="cellIs" dxfId="618" priority="606" operator="lessThanOrEqual">
      <formula>-0.03</formula>
    </cfRule>
  </conditionalFormatting>
  <conditionalFormatting sqref="M110:M114">
    <cfRule type="cellIs" dxfId="617" priority="597" operator="greaterThanOrEqual">
      <formula>0.03</formula>
    </cfRule>
    <cfRule type="cellIs" dxfId="616" priority="598" operator="lessThanOrEqual">
      <formula>-0.03</formula>
    </cfRule>
  </conditionalFormatting>
  <conditionalFormatting sqref="BT105">
    <cfRule type="cellIs" dxfId="615" priority="555" operator="greaterThanOrEqual">
      <formula>0.03</formula>
    </cfRule>
    <cfRule type="cellIs" dxfId="614" priority="556" operator="lessThanOrEqual">
      <formula>-0.03</formula>
    </cfRule>
  </conditionalFormatting>
  <conditionalFormatting sqref="AL100:AL104">
    <cfRule type="cellIs" dxfId="613" priority="593" operator="greaterThanOrEqual">
      <formula>0.03</formula>
    </cfRule>
    <cfRule type="cellIs" dxfId="612" priority="594" operator="lessThanOrEqual">
      <formula>-0.03</formula>
    </cfRule>
  </conditionalFormatting>
  <conditionalFormatting sqref="AL105:AL109">
    <cfRule type="cellIs" dxfId="611" priority="591" operator="greaterThanOrEqual">
      <formula>0.03</formula>
    </cfRule>
    <cfRule type="cellIs" dxfId="610" priority="592" operator="lessThanOrEqual">
      <formula>-0.03</formula>
    </cfRule>
  </conditionalFormatting>
  <conditionalFormatting sqref="AL110:AL114">
    <cfRule type="cellIs" dxfId="609" priority="589" operator="greaterThanOrEqual">
      <formula>0.03</formula>
    </cfRule>
    <cfRule type="cellIs" dxfId="608" priority="590" operator="lessThanOrEqual">
      <formula>-0.03</formula>
    </cfRule>
  </conditionalFormatting>
  <conditionalFormatting sqref="BY95">
    <cfRule type="cellIs" dxfId="607" priority="543" operator="greaterThanOrEqual">
      <formula>0.03</formula>
    </cfRule>
    <cfRule type="cellIs" dxfId="606" priority="544" operator="lessThanOrEqual">
      <formula>-0.03</formula>
    </cfRule>
  </conditionalFormatting>
  <conditionalFormatting sqref="BV101:BX104">
    <cfRule type="cellIs" dxfId="605" priority="541" operator="greaterThanOrEqual">
      <formula>0.03</formula>
    </cfRule>
    <cfRule type="cellIs" dxfId="604" priority="542" operator="lessThanOrEqual">
      <formula>-0.03</formula>
    </cfRule>
  </conditionalFormatting>
  <conditionalFormatting sqref="BV100:BX100">
    <cfRule type="cellIs" dxfId="603" priority="539" operator="greaterThanOrEqual">
      <formula>0.03</formula>
    </cfRule>
    <cfRule type="cellIs" dxfId="602" priority="540" operator="lessThanOrEqual">
      <formula>-0.03</formula>
    </cfRule>
  </conditionalFormatting>
  <conditionalFormatting sqref="BY100">
    <cfRule type="cellIs" dxfId="601" priority="535" operator="greaterThanOrEqual">
      <formula>0.03</formula>
    </cfRule>
    <cfRule type="cellIs" dxfId="600" priority="536" operator="lessThanOrEqual">
      <formula>-0.03</formula>
    </cfRule>
  </conditionalFormatting>
  <conditionalFormatting sqref="BV106:BX109">
    <cfRule type="cellIs" dxfId="599" priority="533" operator="greaterThanOrEqual">
      <formula>0.03</formula>
    </cfRule>
    <cfRule type="cellIs" dxfId="598" priority="534" operator="lessThanOrEqual">
      <formula>-0.03</formula>
    </cfRule>
  </conditionalFormatting>
  <conditionalFormatting sqref="BO95:BO99">
    <cfRule type="cellIs" dxfId="597" priority="587" operator="greaterThanOrEqual">
      <formula>0.03</formula>
    </cfRule>
    <cfRule type="cellIs" dxfId="596" priority="588" operator="lessThanOrEqual">
      <formula>-0.03</formula>
    </cfRule>
  </conditionalFormatting>
  <conditionalFormatting sqref="BO100:BO104">
    <cfRule type="cellIs" dxfId="595" priority="583" operator="greaterThanOrEqual">
      <formula>0.03</formula>
    </cfRule>
    <cfRule type="cellIs" dxfId="594" priority="584" operator="lessThanOrEqual">
      <formula>-0.03</formula>
    </cfRule>
  </conditionalFormatting>
  <conditionalFormatting sqref="BL106:BN109">
    <cfRule type="cellIs" dxfId="593" priority="581" operator="greaterThanOrEqual">
      <formula>0.03</formula>
    </cfRule>
    <cfRule type="cellIs" dxfId="592" priority="582" operator="lessThanOrEqual">
      <formula>-0.03</formula>
    </cfRule>
  </conditionalFormatting>
  <conditionalFormatting sqref="BO110:BO114">
    <cfRule type="cellIs" dxfId="591" priority="575" operator="greaterThanOrEqual">
      <formula>0.03</formula>
    </cfRule>
    <cfRule type="cellIs" dxfId="590" priority="576" operator="lessThanOrEqual">
      <formula>-0.03</formula>
    </cfRule>
  </conditionalFormatting>
  <conditionalFormatting sqref="CD111:CD114">
    <cfRule type="cellIs" dxfId="589" priority="501" operator="greaterThanOrEqual">
      <formula>0.03</formula>
    </cfRule>
    <cfRule type="cellIs" dxfId="588" priority="502" operator="lessThanOrEqual">
      <formula>-0.03</formula>
    </cfRule>
  </conditionalFormatting>
  <conditionalFormatting sqref="BT95">
    <cfRule type="cellIs" dxfId="587" priority="571" operator="greaterThanOrEqual">
      <formula>0.03</formula>
    </cfRule>
    <cfRule type="cellIs" dxfId="586" priority="572" operator="lessThanOrEqual">
      <formula>-0.03</formula>
    </cfRule>
  </conditionalFormatting>
  <conditionalFormatting sqref="BQ101:BS104">
    <cfRule type="cellIs" dxfId="585" priority="569" operator="greaterThanOrEqual">
      <formula>0.03</formula>
    </cfRule>
    <cfRule type="cellIs" dxfId="584" priority="570" operator="lessThanOrEqual">
      <formula>-0.03</formula>
    </cfRule>
  </conditionalFormatting>
  <conditionalFormatting sqref="BQ100:BS100">
    <cfRule type="cellIs" dxfId="583" priority="567" operator="greaterThanOrEqual">
      <formula>0.03</formula>
    </cfRule>
    <cfRule type="cellIs" dxfId="582" priority="568" operator="lessThanOrEqual">
      <formula>-0.03</formula>
    </cfRule>
  </conditionalFormatting>
  <conditionalFormatting sqref="BT101:BT104">
    <cfRule type="cellIs" dxfId="581" priority="565" operator="greaterThanOrEqual">
      <formula>0.03</formula>
    </cfRule>
    <cfRule type="cellIs" dxfId="580" priority="566" operator="lessThanOrEqual">
      <formula>-0.03</formula>
    </cfRule>
  </conditionalFormatting>
  <conditionalFormatting sqref="BT100">
    <cfRule type="cellIs" dxfId="579" priority="563" operator="greaterThanOrEqual">
      <formula>0.03</formula>
    </cfRule>
    <cfRule type="cellIs" dxfId="578" priority="564" operator="lessThanOrEqual">
      <formula>-0.03</formula>
    </cfRule>
  </conditionalFormatting>
  <conditionalFormatting sqref="BQ106:BS109">
    <cfRule type="cellIs" dxfId="577" priority="561" operator="greaterThanOrEqual">
      <formula>0.03</formula>
    </cfRule>
    <cfRule type="cellIs" dxfId="576" priority="562" operator="lessThanOrEqual">
      <formula>-0.03</formula>
    </cfRule>
  </conditionalFormatting>
  <conditionalFormatting sqref="BQ110:BS110">
    <cfRule type="cellIs" dxfId="575" priority="551" operator="greaterThanOrEqual">
      <formula>0.03</formula>
    </cfRule>
    <cfRule type="cellIs" dxfId="574" priority="552" operator="lessThanOrEqual">
      <formula>-0.03</formula>
    </cfRule>
  </conditionalFormatting>
  <conditionalFormatting sqref="BT111:BT114">
    <cfRule type="cellIs" dxfId="573" priority="549" operator="greaterThanOrEqual">
      <formula>0.03</formula>
    </cfRule>
    <cfRule type="cellIs" dxfId="572" priority="550" operator="lessThanOrEqual">
      <formula>-0.03</formula>
    </cfRule>
  </conditionalFormatting>
  <conditionalFormatting sqref="BV105:BX105">
    <cfRule type="cellIs" dxfId="571" priority="531" operator="greaterThanOrEqual">
      <formula>0.03</formula>
    </cfRule>
    <cfRule type="cellIs" dxfId="570" priority="532" operator="lessThanOrEqual">
      <formula>-0.03</formula>
    </cfRule>
  </conditionalFormatting>
  <conditionalFormatting sqref="BY106:BY109">
    <cfRule type="cellIs" dxfId="569" priority="529" operator="greaterThanOrEqual">
      <formula>0.03</formula>
    </cfRule>
    <cfRule type="cellIs" dxfId="568" priority="530" operator="lessThanOrEqual">
      <formula>-0.03</formula>
    </cfRule>
  </conditionalFormatting>
  <conditionalFormatting sqref="BY105">
    <cfRule type="cellIs" dxfId="567" priority="527" operator="greaterThanOrEqual">
      <formula>0.03</formula>
    </cfRule>
    <cfRule type="cellIs" dxfId="566" priority="528" operator="lessThanOrEqual">
      <formula>-0.03</formula>
    </cfRule>
  </conditionalFormatting>
  <conditionalFormatting sqref="BV111:BX114">
    <cfRule type="cellIs" dxfId="565" priority="525" operator="greaterThanOrEqual">
      <formula>0.03</formula>
    </cfRule>
    <cfRule type="cellIs" dxfId="564" priority="526" operator="lessThanOrEqual">
      <formula>-0.03</formula>
    </cfRule>
  </conditionalFormatting>
  <conditionalFormatting sqref="BV110:BX110">
    <cfRule type="cellIs" dxfId="563" priority="523" operator="greaterThanOrEqual">
      <formula>0.03</formula>
    </cfRule>
    <cfRule type="cellIs" dxfId="562" priority="524" operator="lessThanOrEqual">
      <formula>-0.03</formula>
    </cfRule>
  </conditionalFormatting>
  <conditionalFormatting sqref="BY111:BY114">
    <cfRule type="cellIs" dxfId="561" priority="521" operator="greaterThanOrEqual">
      <formula>0.03</formula>
    </cfRule>
    <cfRule type="cellIs" dxfId="560" priority="522" operator="lessThanOrEqual">
      <formula>-0.03</formula>
    </cfRule>
  </conditionalFormatting>
  <conditionalFormatting sqref="BY110">
    <cfRule type="cellIs" dxfId="559" priority="519" operator="greaterThanOrEqual">
      <formula>0.03</formula>
    </cfRule>
    <cfRule type="cellIs" dxfId="558" priority="520" operator="lessThanOrEqual">
      <formula>-0.03</formula>
    </cfRule>
  </conditionalFormatting>
  <conditionalFormatting sqref="CD101:CD104">
    <cfRule type="cellIs" dxfId="557" priority="517" operator="greaterThanOrEqual">
      <formula>0.03</formula>
    </cfRule>
    <cfRule type="cellIs" dxfId="556" priority="518" operator="lessThanOrEqual">
      <formula>-0.03</formula>
    </cfRule>
  </conditionalFormatting>
  <conditionalFormatting sqref="CD100">
    <cfRule type="cellIs" dxfId="555" priority="515" operator="greaterThanOrEqual">
      <formula>0.03</formula>
    </cfRule>
    <cfRule type="cellIs" dxfId="554" priority="516" operator="lessThanOrEqual">
      <formula>-0.03</formula>
    </cfRule>
  </conditionalFormatting>
  <conditionalFormatting sqref="CA106:CC109">
    <cfRule type="cellIs" dxfId="553" priority="513" operator="greaterThanOrEqual">
      <formula>0.03</formula>
    </cfRule>
    <cfRule type="cellIs" dxfId="552" priority="514" operator="lessThanOrEqual">
      <formula>-0.03</formula>
    </cfRule>
  </conditionalFormatting>
  <conditionalFormatting sqref="CA105:CC105">
    <cfRule type="cellIs" dxfId="551" priority="511" operator="greaterThanOrEqual">
      <formula>0.03</formula>
    </cfRule>
    <cfRule type="cellIs" dxfId="550" priority="512" operator="lessThanOrEqual">
      <formula>-0.03</formula>
    </cfRule>
  </conditionalFormatting>
  <conditionalFormatting sqref="CD106:CD109">
    <cfRule type="cellIs" dxfId="549" priority="509" operator="greaterThanOrEqual">
      <formula>0.03</formula>
    </cfRule>
    <cfRule type="cellIs" dxfId="548" priority="510" operator="lessThanOrEqual">
      <formula>-0.03</formula>
    </cfRule>
  </conditionalFormatting>
  <conditionalFormatting sqref="CD105">
    <cfRule type="cellIs" dxfId="547" priority="507" operator="greaterThanOrEqual">
      <formula>0.03</formula>
    </cfRule>
    <cfRule type="cellIs" dxfId="546" priority="508" operator="lessThanOrEqual">
      <formula>-0.03</formula>
    </cfRule>
  </conditionalFormatting>
  <conditionalFormatting sqref="CA111:CC114">
    <cfRule type="cellIs" dxfId="545" priority="505" operator="greaterThanOrEqual">
      <formula>0.03</formula>
    </cfRule>
    <cfRule type="cellIs" dxfId="544" priority="506" operator="lessThanOrEqual">
      <formula>-0.03</formula>
    </cfRule>
  </conditionalFormatting>
  <conditionalFormatting sqref="CA110:CC110">
    <cfRule type="cellIs" dxfId="543" priority="503" operator="greaterThanOrEqual">
      <formula>0.03</formula>
    </cfRule>
    <cfRule type="cellIs" dxfId="542" priority="504" operator="lessThanOrEqual">
      <formula>-0.03</formula>
    </cfRule>
  </conditionalFormatting>
  <conditionalFormatting sqref="CD110">
    <cfRule type="cellIs" dxfId="541" priority="499" operator="greaterThanOrEqual">
      <formula>0.03</formula>
    </cfRule>
    <cfRule type="cellIs" dxfId="540" priority="500" operator="lessThanOrEqual">
      <formula>-0.03</formula>
    </cfRule>
  </conditionalFormatting>
  <conditionalFormatting sqref="CA96:CC99">
    <cfRule type="cellIs" dxfId="539" priority="497" operator="greaterThanOrEqual">
      <formula>0.03</formula>
    </cfRule>
    <cfRule type="cellIs" dxfId="538" priority="498" operator="lessThanOrEqual">
      <formula>-0.03</formula>
    </cfRule>
  </conditionalFormatting>
  <conditionalFormatting sqref="CA95:CC95">
    <cfRule type="cellIs" dxfId="537" priority="495" operator="greaterThanOrEqual">
      <formula>0.03</formula>
    </cfRule>
    <cfRule type="cellIs" dxfId="536" priority="496" operator="lessThanOrEqual">
      <formula>-0.03</formula>
    </cfRule>
  </conditionalFormatting>
  <conditionalFormatting sqref="CD96:CD99">
    <cfRule type="cellIs" dxfId="535" priority="493" operator="greaterThanOrEqual">
      <formula>0.03</formula>
    </cfRule>
    <cfRule type="cellIs" dxfId="534" priority="494" operator="lessThanOrEqual">
      <formula>-0.03</formula>
    </cfRule>
  </conditionalFormatting>
  <conditionalFormatting sqref="CD95">
    <cfRule type="cellIs" dxfId="533" priority="491" operator="greaterThanOrEqual">
      <formula>0.03</formula>
    </cfRule>
    <cfRule type="cellIs" dxfId="532" priority="492" operator="lessThanOrEqual">
      <formula>-0.03</formula>
    </cfRule>
  </conditionalFormatting>
  <conditionalFormatting sqref="BL100:BN100">
    <cfRule type="cellIs" dxfId="531" priority="489" operator="greaterThanOrEqual">
      <formula>0.03</formula>
    </cfRule>
    <cfRule type="cellIs" dxfId="530" priority="490" operator="lessThanOrEqual">
      <formula>-0.03</formula>
    </cfRule>
  </conditionalFormatting>
  <conditionalFormatting sqref="BL105:BN105">
    <cfRule type="cellIs" dxfId="529" priority="487" operator="greaterThanOrEqual">
      <formula>0.03</formula>
    </cfRule>
    <cfRule type="cellIs" dxfId="528" priority="488" operator="lessThanOrEqual">
      <formula>-0.03</formula>
    </cfRule>
  </conditionalFormatting>
  <conditionalFormatting sqref="BL110:BN110">
    <cfRule type="cellIs" dxfId="527" priority="485" operator="greaterThanOrEqual">
      <formula>0.03</formula>
    </cfRule>
    <cfRule type="cellIs" dxfId="526" priority="486" operator="lessThanOrEqual">
      <formula>-0.03</formula>
    </cfRule>
  </conditionalFormatting>
  <conditionalFormatting sqref="BL20:BN34 BQ21:BS24 BV21:BX24 CA21:CC24 CA31:CC34 BV31:BX34 BQ31:BS34 CA26:CC29 BV26:BX29 BQ26:BS29">
    <cfRule type="cellIs" dxfId="525" priority="481" operator="greaterThanOrEqual">
      <formula>0.03</formula>
    </cfRule>
    <cfRule type="cellIs" dxfId="524" priority="482" operator="lessThanOrEqual">
      <formula>-0.03</formula>
    </cfRule>
  </conditionalFormatting>
  <conditionalFormatting sqref="BO21:BO24 BO31:BO34 BO26:BO29">
    <cfRule type="cellIs" dxfId="523" priority="475" operator="greaterThanOrEqual">
      <formula>0.03</formula>
    </cfRule>
    <cfRule type="cellIs" dxfId="522" priority="476" operator="lessThanOrEqual">
      <formula>-0.03</formula>
    </cfRule>
  </conditionalFormatting>
  <conditionalFormatting sqref="BT21:BT24 BT31:BT34 BT26:BT29">
    <cfRule type="cellIs" dxfId="521" priority="483" operator="greaterThanOrEqual">
      <formula>0.03</formula>
    </cfRule>
    <cfRule type="cellIs" dxfId="520" priority="484" operator="lessThanOrEqual">
      <formula>-0.03</formula>
    </cfRule>
  </conditionalFormatting>
  <conditionalFormatting sqref="BY21:BY24 BY31:BY34 BY26:BY29">
    <cfRule type="cellIs" dxfId="519" priority="479" operator="greaterThanOrEqual">
      <formula>0.03</formula>
    </cfRule>
    <cfRule type="cellIs" dxfId="518" priority="480" operator="lessThanOrEqual">
      <formula>-0.03</formula>
    </cfRule>
  </conditionalFormatting>
  <conditionalFormatting sqref="CD21:CD24 CD31:CD34 CD26:CD29">
    <cfRule type="cellIs" dxfId="517" priority="477" operator="greaterThanOrEqual">
      <formula>0.03</formula>
    </cfRule>
    <cfRule type="cellIs" dxfId="516" priority="478" operator="lessThanOrEqual">
      <formula>-0.03</formula>
    </cfRule>
  </conditionalFormatting>
  <conditionalFormatting sqref="AK5:AK19">
    <cfRule type="cellIs" dxfId="515" priority="429" operator="greaterThanOrEqual">
      <formula>0.03</formula>
    </cfRule>
    <cfRule type="cellIs" dxfId="514" priority="430" operator="lessThanOrEqual">
      <formula>-0.03</formula>
    </cfRule>
  </conditionalFormatting>
  <conditionalFormatting sqref="AK20:AK34">
    <cfRule type="cellIs" dxfId="513" priority="473" operator="greaterThanOrEqual">
      <formula>0.03</formula>
    </cfRule>
    <cfRule type="cellIs" dxfId="512" priority="474" operator="lessThanOrEqual">
      <formula>-0.03</formula>
    </cfRule>
  </conditionalFormatting>
  <conditionalFormatting sqref="L20:L34">
    <cfRule type="cellIs" dxfId="511" priority="471" operator="greaterThanOrEqual">
      <formula>0.03</formula>
    </cfRule>
    <cfRule type="cellIs" dxfId="510" priority="472" operator="lessThanOrEqual">
      <formula>-0.03</formula>
    </cfRule>
  </conditionalFormatting>
  <conditionalFormatting sqref="CA30:CC30 BV30:BX30 BQ30:BS30">
    <cfRule type="cellIs" dxfId="509" priority="467" operator="greaterThanOrEqual">
      <formula>0.03</formula>
    </cfRule>
    <cfRule type="cellIs" dxfId="508" priority="468" operator="lessThanOrEqual">
      <formula>-0.03</formula>
    </cfRule>
  </conditionalFormatting>
  <conditionalFormatting sqref="BO30">
    <cfRule type="cellIs" dxfId="507" priority="461" operator="greaterThanOrEqual">
      <formula>0.03</formula>
    </cfRule>
    <cfRule type="cellIs" dxfId="506" priority="462" operator="lessThanOrEqual">
      <formula>-0.03</formula>
    </cfRule>
  </conditionalFormatting>
  <conditionalFormatting sqref="BT30">
    <cfRule type="cellIs" dxfId="505" priority="469" operator="greaterThanOrEqual">
      <formula>0.03</formula>
    </cfRule>
    <cfRule type="cellIs" dxfId="504" priority="470" operator="lessThanOrEqual">
      <formula>-0.03</formula>
    </cfRule>
  </conditionalFormatting>
  <conditionalFormatting sqref="BY30">
    <cfRule type="cellIs" dxfId="503" priority="465" operator="greaterThanOrEqual">
      <formula>0.03</formula>
    </cfRule>
    <cfRule type="cellIs" dxfId="502" priority="466" operator="lessThanOrEqual">
      <formula>-0.03</formula>
    </cfRule>
  </conditionalFormatting>
  <conditionalFormatting sqref="CD30">
    <cfRule type="cellIs" dxfId="501" priority="463" operator="greaterThanOrEqual">
      <formula>0.03</formula>
    </cfRule>
    <cfRule type="cellIs" dxfId="500" priority="464" operator="lessThanOrEqual">
      <formula>-0.03</formula>
    </cfRule>
  </conditionalFormatting>
  <conditionalFormatting sqref="CA25:CC25 BV25:BX25 BQ25:BS25">
    <cfRule type="cellIs" dxfId="499" priority="457" operator="greaterThanOrEqual">
      <formula>0.03</formula>
    </cfRule>
    <cfRule type="cellIs" dxfId="498" priority="458" operator="lessThanOrEqual">
      <formula>-0.03</formula>
    </cfRule>
  </conditionalFormatting>
  <conditionalFormatting sqref="BO25">
    <cfRule type="cellIs" dxfId="497" priority="451" operator="greaterThanOrEqual">
      <formula>0.03</formula>
    </cfRule>
    <cfRule type="cellIs" dxfId="496" priority="452" operator="lessThanOrEqual">
      <formula>-0.03</formula>
    </cfRule>
  </conditionalFormatting>
  <conditionalFormatting sqref="BT25">
    <cfRule type="cellIs" dxfId="495" priority="459" operator="greaterThanOrEqual">
      <formula>0.03</formula>
    </cfRule>
    <cfRule type="cellIs" dxfId="494" priority="460" operator="lessThanOrEqual">
      <formula>-0.03</formula>
    </cfRule>
  </conditionalFormatting>
  <conditionalFormatting sqref="BY25">
    <cfRule type="cellIs" dxfId="493" priority="455" operator="greaterThanOrEqual">
      <formula>0.03</formula>
    </cfRule>
    <cfRule type="cellIs" dxfId="492" priority="456" operator="lessThanOrEqual">
      <formula>-0.03</formula>
    </cfRule>
  </conditionalFormatting>
  <conditionalFormatting sqref="CD25">
    <cfRule type="cellIs" dxfId="491" priority="453" operator="greaterThanOrEqual">
      <formula>0.03</formula>
    </cfRule>
    <cfRule type="cellIs" dxfId="490" priority="454" operator="lessThanOrEqual">
      <formula>-0.03</formula>
    </cfRule>
  </conditionalFormatting>
  <conditionalFormatting sqref="CA20:CC20 BV20:BX20 BQ20:BS20">
    <cfRule type="cellIs" dxfId="489" priority="447" operator="greaterThanOrEqual">
      <formula>0.03</formula>
    </cfRule>
    <cfRule type="cellIs" dxfId="488" priority="448" operator="lessThanOrEqual">
      <formula>-0.03</formula>
    </cfRule>
  </conditionalFormatting>
  <conditionalFormatting sqref="BO20">
    <cfRule type="cellIs" dxfId="487" priority="441" operator="greaterThanOrEqual">
      <formula>0.03</formula>
    </cfRule>
    <cfRule type="cellIs" dxfId="486" priority="442" operator="lessThanOrEqual">
      <formula>-0.03</formula>
    </cfRule>
  </conditionalFormatting>
  <conditionalFormatting sqref="BT20">
    <cfRule type="cellIs" dxfId="485" priority="449" operator="greaterThanOrEqual">
      <formula>0.03</formula>
    </cfRule>
    <cfRule type="cellIs" dxfId="484" priority="450" operator="lessThanOrEqual">
      <formula>-0.03</formula>
    </cfRule>
  </conditionalFormatting>
  <conditionalFormatting sqref="BY20">
    <cfRule type="cellIs" dxfId="483" priority="445" operator="greaterThanOrEqual">
      <formula>0.03</formula>
    </cfRule>
    <cfRule type="cellIs" dxfId="482" priority="446" operator="lessThanOrEqual">
      <formula>-0.03</formula>
    </cfRule>
  </conditionalFormatting>
  <conditionalFormatting sqref="CD20">
    <cfRule type="cellIs" dxfId="481" priority="443" operator="greaterThanOrEqual">
      <formula>0.03</formula>
    </cfRule>
    <cfRule type="cellIs" dxfId="480" priority="444" operator="lessThanOrEqual">
      <formula>-0.03</formula>
    </cfRule>
  </conditionalFormatting>
  <conditionalFormatting sqref="BL5:BN19 BQ6:BS9 BV6:BX9 CA6:CC9 CA16:CC19 BV16:BX19 BQ16:BS19 CA11:CC14 BV11:BX14 BQ11:BS14">
    <cfRule type="cellIs" dxfId="479" priority="437" operator="greaterThanOrEqual">
      <formula>0.03</formula>
    </cfRule>
    <cfRule type="cellIs" dxfId="478" priority="438" operator="lessThanOrEqual">
      <formula>-0.03</formula>
    </cfRule>
  </conditionalFormatting>
  <conditionalFormatting sqref="BO6:BO9 BO16:BO19 BO11:BO14">
    <cfRule type="cellIs" dxfId="477" priority="431" operator="greaterThanOrEqual">
      <formula>0.03</formula>
    </cfRule>
    <cfRule type="cellIs" dxfId="476" priority="432" operator="lessThanOrEqual">
      <formula>-0.03</formula>
    </cfRule>
  </conditionalFormatting>
  <conditionalFormatting sqref="BT6:BT9 BT16:BT19 BT11:BT14">
    <cfRule type="cellIs" dxfId="475" priority="439" operator="greaterThanOrEqual">
      <formula>0.03</formula>
    </cfRule>
    <cfRule type="cellIs" dxfId="474" priority="440" operator="lessThanOrEqual">
      <formula>-0.03</formula>
    </cfRule>
  </conditionalFormatting>
  <conditionalFormatting sqref="BY6:BY9 BY16:BY19 BY11:BY14">
    <cfRule type="cellIs" dxfId="473" priority="435" operator="greaterThanOrEqual">
      <formula>0.03</formula>
    </cfRule>
    <cfRule type="cellIs" dxfId="472" priority="436" operator="lessThanOrEqual">
      <formula>-0.03</formula>
    </cfRule>
  </conditionalFormatting>
  <conditionalFormatting sqref="CD6:CD9 CD16:CD19 CD11:CD14">
    <cfRule type="cellIs" dxfId="471" priority="433" operator="greaterThanOrEqual">
      <formula>0.03</formula>
    </cfRule>
    <cfRule type="cellIs" dxfId="470" priority="434" operator="lessThanOrEqual">
      <formula>-0.03</formula>
    </cfRule>
  </conditionalFormatting>
  <conditionalFormatting sqref="L5:L19">
    <cfRule type="cellIs" dxfId="469" priority="427" operator="greaterThanOrEqual">
      <formula>0.03</formula>
    </cfRule>
    <cfRule type="cellIs" dxfId="468" priority="428" operator="lessThanOrEqual">
      <formula>-0.03</formula>
    </cfRule>
  </conditionalFormatting>
  <conditionalFormatting sqref="CA15:CC15 BV15:BX15 BQ15:BS15">
    <cfRule type="cellIs" dxfId="467" priority="423" operator="greaterThanOrEqual">
      <formula>0.03</formula>
    </cfRule>
    <cfRule type="cellIs" dxfId="466" priority="424" operator="lessThanOrEqual">
      <formula>-0.03</formula>
    </cfRule>
  </conditionalFormatting>
  <conditionalFormatting sqref="BO15">
    <cfRule type="cellIs" dxfId="465" priority="417" operator="greaterThanOrEqual">
      <formula>0.03</formula>
    </cfRule>
    <cfRule type="cellIs" dxfId="464" priority="418" operator="lessThanOrEqual">
      <formula>-0.03</formula>
    </cfRule>
  </conditionalFormatting>
  <conditionalFormatting sqref="BT15">
    <cfRule type="cellIs" dxfId="463" priority="425" operator="greaterThanOrEqual">
      <formula>0.03</formula>
    </cfRule>
    <cfRule type="cellIs" dxfId="462" priority="426" operator="lessThanOrEqual">
      <formula>-0.03</formula>
    </cfRule>
  </conditionalFormatting>
  <conditionalFormatting sqref="BY15">
    <cfRule type="cellIs" dxfId="461" priority="421" operator="greaterThanOrEqual">
      <formula>0.03</formula>
    </cfRule>
    <cfRule type="cellIs" dxfId="460" priority="422" operator="lessThanOrEqual">
      <formula>-0.03</formula>
    </cfRule>
  </conditionalFormatting>
  <conditionalFormatting sqref="CD15">
    <cfRule type="cellIs" dxfId="459" priority="419" operator="greaterThanOrEqual">
      <formula>0.03</formula>
    </cfRule>
    <cfRule type="cellIs" dxfId="458" priority="420" operator="lessThanOrEqual">
      <formula>-0.03</formula>
    </cfRule>
  </conditionalFormatting>
  <conditionalFormatting sqref="CA10:CC10 BV10:BX10 BQ10:BS10">
    <cfRule type="cellIs" dxfId="457" priority="413" operator="greaterThanOrEqual">
      <formula>0.03</formula>
    </cfRule>
    <cfRule type="cellIs" dxfId="456" priority="414" operator="lessThanOrEqual">
      <formula>-0.03</formula>
    </cfRule>
  </conditionalFormatting>
  <conditionalFormatting sqref="BO10">
    <cfRule type="cellIs" dxfId="455" priority="407" operator="greaterThanOrEqual">
      <formula>0.03</formula>
    </cfRule>
    <cfRule type="cellIs" dxfId="454" priority="408" operator="lessThanOrEqual">
      <formula>-0.03</formula>
    </cfRule>
  </conditionalFormatting>
  <conditionalFormatting sqref="BT10">
    <cfRule type="cellIs" dxfId="453" priority="415" operator="greaterThanOrEqual">
      <formula>0.03</formula>
    </cfRule>
    <cfRule type="cellIs" dxfId="452" priority="416" operator="lessThanOrEqual">
      <formula>-0.03</formula>
    </cfRule>
  </conditionalFormatting>
  <conditionalFormatting sqref="BY10">
    <cfRule type="cellIs" dxfId="451" priority="411" operator="greaterThanOrEqual">
      <formula>0.03</formula>
    </cfRule>
    <cfRule type="cellIs" dxfId="450" priority="412" operator="lessThanOrEqual">
      <formula>-0.03</formula>
    </cfRule>
  </conditionalFormatting>
  <conditionalFormatting sqref="CD10">
    <cfRule type="cellIs" dxfId="449" priority="409" operator="greaterThanOrEqual">
      <formula>0.03</formula>
    </cfRule>
    <cfRule type="cellIs" dxfId="448" priority="410" operator="lessThanOrEqual">
      <formula>-0.03</formula>
    </cfRule>
  </conditionalFormatting>
  <conditionalFormatting sqref="CA5:CC5 BV5:BX5 BQ5:BS5">
    <cfRule type="cellIs" dxfId="447" priority="403" operator="greaterThanOrEqual">
      <formula>0.03</formula>
    </cfRule>
    <cfRule type="cellIs" dxfId="446" priority="404" operator="lessThanOrEqual">
      <formula>-0.03</formula>
    </cfRule>
  </conditionalFormatting>
  <conditionalFormatting sqref="BO5">
    <cfRule type="cellIs" dxfId="445" priority="397" operator="greaterThanOrEqual">
      <formula>0.03</formula>
    </cfRule>
    <cfRule type="cellIs" dxfId="444" priority="398" operator="lessThanOrEqual">
      <formula>-0.03</formula>
    </cfRule>
  </conditionalFormatting>
  <conditionalFormatting sqref="BT5">
    <cfRule type="cellIs" dxfId="443" priority="405" operator="greaterThanOrEqual">
      <formula>0.03</formula>
    </cfRule>
    <cfRule type="cellIs" dxfId="442" priority="406" operator="lessThanOrEqual">
      <formula>-0.03</formula>
    </cfRule>
  </conditionalFormatting>
  <conditionalFormatting sqref="BY5">
    <cfRule type="cellIs" dxfId="441" priority="401" operator="greaterThanOrEqual">
      <formula>0.03</formula>
    </cfRule>
    <cfRule type="cellIs" dxfId="440" priority="402" operator="lessThanOrEqual">
      <formula>-0.03</formula>
    </cfRule>
  </conditionalFormatting>
  <conditionalFormatting sqref="CD5">
    <cfRule type="cellIs" dxfId="439" priority="399" operator="greaterThanOrEqual">
      <formula>0.03</formula>
    </cfRule>
    <cfRule type="cellIs" dxfId="438" priority="400" operator="lessThanOrEqual">
      <formula>-0.03</formula>
    </cfRule>
  </conditionalFormatting>
  <conditionalFormatting sqref="T115:V115">
    <cfRule type="cellIs" dxfId="437" priority="395" operator="greaterThanOrEqual">
      <formula>0.03</formula>
    </cfRule>
    <cfRule type="cellIs" dxfId="436" priority="396" operator="lessThanOrEqual">
      <formula>-0.03</formula>
    </cfRule>
  </conditionalFormatting>
  <conditionalFormatting sqref="X115:Z115">
    <cfRule type="cellIs" dxfId="435" priority="393" operator="greaterThanOrEqual">
      <formula>0.03</formula>
    </cfRule>
    <cfRule type="cellIs" dxfId="434" priority="394" operator="lessThanOrEqual">
      <formula>-0.03</formula>
    </cfRule>
  </conditionalFormatting>
  <conditionalFormatting sqref="L115">
    <cfRule type="cellIs" dxfId="433" priority="391" operator="greaterThanOrEqual">
      <formula>0.03</formula>
    </cfRule>
    <cfRule type="cellIs" dxfId="432" priority="392" operator="lessThanOrEqual">
      <formula>-0.03</formula>
    </cfRule>
  </conditionalFormatting>
  <conditionalFormatting sqref="AK115">
    <cfRule type="cellIs" dxfId="431" priority="389" operator="greaterThanOrEqual">
      <formula>0.03</formula>
    </cfRule>
    <cfRule type="cellIs" dxfId="430" priority="390" operator="lessThanOrEqual">
      <formula>-0.03</formula>
    </cfRule>
  </conditionalFormatting>
  <conditionalFormatting sqref="T119:V119">
    <cfRule type="cellIs" dxfId="429" priority="387" operator="greaterThanOrEqual">
      <formula>0.03</formula>
    </cfRule>
    <cfRule type="cellIs" dxfId="428" priority="388" operator="lessThanOrEqual">
      <formula>-0.03</formula>
    </cfRule>
  </conditionalFormatting>
  <conditionalFormatting sqref="X119:Z119">
    <cfRule type="cellIs" dxfId="427" priority="385" operator="greaterThanOrEqual">
      <formula>0.03</formula>
    </cfRule>
    <cfRule type="cellIs" dxfId="426" priority="386" operator="lessThanOrEqual">
      <formula>-0.03</formula>
    </cfRule>
  </conditionalFormatting>
  <conditionalFormatting sqref="L119">
    <cfRule type="cellIs" dxfId="425" priority="383" operator="greaterThanOrEqual">
      <formula>0.03</formula>
    </cfRule>
    <cfRule type="cellIs" dxfId="424" priority="384" operator="lessThanOrEqual">
      <formula>-0.03</formula>
    </cfRule>
  </conditionalFormatting>
  <conditionalFormatting sqref="M35:M39 M45:M54">
    <cfRule type="cellIs" dxfId="423" priority="363" operator="greaterThanOrEqual">
      <formula>0.03</formula>
    </cfRule>
    <cfRule type="cellIs" dxfId="422" priority="364" operator="lessThanOrEqual">
      <formula>-0.03</formula>
    </cfRule>
  </conditionalFormatting>
  <conditionalFormatting sqref="AL35:AL39">
    <cfRule type="cellIs" dxfId="421" priority="361" operator="greaterThanOrEqual">
      <formula>0.03</formula>
    </cfRule>
    <cfRule type="cellIs" dxfId="420" priority="362" operator="lessThanOrEqual">
      <formula>-0.03</formula>
    </cfRule>
  </conditionalFormatting>
  <conditionalFormatting sqref="AL45:AL49">
    <cfRule type="cellIs" dxfId="419" priority="359" operator="greaterThanOrEqual">
      <formula>0.03</formula>
    </cfRule>
    <cfRule type="cellIs" dxfId="418" priority="360" operator="lessThanOrEqual">
      <formula>-0.03</formula>
    </cfRule>
  </conditionalFormatting>
  <conditionalFormatting sqref="AL50:AL54">
    <cfRule type="cellIs" dxfId="417" priority="357" operator="greaterThanOrEqual">
      <formula>0.03</formula>
    </cfRule>
    <cfRule type="cellIs" dxfId="416" priority="358" operator="lessThanOrEqual">
      <formula>-0.03</formula>
    </cfRule>
  </conditionalFormatting>
  <conditionalFormatting sqref="BO35:BO39">
    <cfRule type="cellIs" dxfId="415" priority="355" operator="greaterThanOrEqual">
      <formula>0.03</formula>
    </cfRule>
    <cfRule type="cellIs" dxfId="414" priority="356" operator="lessThanOrEqual">
      <formula>-0.03</formula>
    </cfRule>
  </conditionalFormatting>
  <conditionalFormatting sqref="BL46:BN49">
    <cfRule type="cellIs" dxfId="413" priority="353" operator="greaterThanOrEqual">
      <formula>0.03</formula>
    </cfRule>
    <cfRule type="cellIs" dxfId="412" priority="354" operator="lessThanOrEqual">
      <formula>-0.03</formula>
    </cfRule>
  </conditionalFormatting>
  <conditionalFormatting sqref="BO45:BO49">
    <cfRule type="cellIs" dxfId="411" priority="351" operator="greaterThanOrEqual">
      <formula>0.03</formula>
    </cfRule>
    <cfRule type="cellIs" dxfId="410" priority="352" operator="lessThanOrEqual">
      <formula>-0.03</formula>
    </cfRule>
  </conditionalFormatting>
  <conditionalFormatting sqref="BL51:BN54">
    <cfRule type="cellIs" dxfId="409" priority="349" operator="greaterThanOrEqual">
      <formula>0.03</formula>
    </cfRule>
    <cfRule type="cellIs" dxfId="408" priority="350" operator="lessThanOrEqual">
      <formula>-0.03</formula>
    </cfRule>
  </conditionalFormatting>
  <conditionalFormatting sqref="BO50:BO54">
    <cfRule type="cellIs" dxfId="407" priority="347" operator="greaterThanOrEqual">
      <formula>0.03</formula>
    </cfRule>
    <cfRule type="cellIs" dxfId="406" priority="348" operator="lessThanOrEqual">
      <formula>-0.03</formula>
    </cfRule>
  </conditionalFormatting>
  <conditionalFormatting sqref="BT36:BT39">
    <cfRule type="cellIs" dxfId="405" priority="345" operator="greaterThanOrEqual">
      <formula>0.03</formula>
    </cfRule>
    <cfRule type="cellIs" dxfId="404" priority="346" operator="lessThanOrEqual">
      <formula>-0.03</formula>
    </cfRule>
  </conditionalFormatting>
  <conditionalFormatting sqref="BT35">
    <cfRule type="cellIs" dxfId="403" priority="343" operator="greaterThanOrEqual">
      <formula>0.03</formula>
    </cfRule>
    <cfRule type="cellIs" dxfId="402" priority="344" operator="lessThanOrEqual">
      <formula>-0.03</formula>
    </cfRule>
  </conditionalFormatting>
  <conditionalFormatting sqref="BQ46:BS49">
    <cfRule type="cellIs" dxfId="401" priority="341" operator="greaterThanOrEqual">
      <formula>0.03</formula>
    </cfRule>
    <cfRule type="cellIs" dxfId="400" priority="342" operator="lessThanOrEqual">
      <formula>-0.03</formula>
    </cfRule>
  </conditionalFormatting>
  <conditionalFormatting sqref="BQ45:BS45">
    <cfRule type="cellIs" dxfId="399" priority="339" operator="greaterThanOrEqual">
      <formula>0.03</formula>
    </cfRule>
    <cfRule type="cellIs" dxfId="398" priority="340" operator="lessThanOrEqual">
      <formula>-0.03</formula>
    </cfRule>
  </conditionalFormatting>
  <conditionalFormatting sqref="BT46:BT49">
    <cfRule type="cellIs" dxfId="397" priority="337" operator="greaterThanOrEqual">
      <formula>0.03</formula>
    </cfRule>
    <cfRule type="cellIs" dxfId="396" priority="338" operator="lessThanOrEqual">
      <formula>-0.03</formula>
    </cfRule>
  </conditionalFormatting>
  <conditionalFormatting sqref="BT45">
    <cfRule type="cellIs" dxfId="395" priority="335" operator="greaterThanOrEqual">
      <formula>0.03</formula>
    </cfRule>
    <cfRule type="cellIs" dxfId="394" priority="336" operator="lessThanOrEqual">
      <formula>-0.03</formula>
    </cfRule>
  </conditionalFormatting>
  <conditionalFormatting sqref="BQ51:BS54">
    <cfRule type="cellIs" dxfId="393" priority="333" operator="greaterThanOrEqual">
      <formula>0.03</formula>
    </cfRule>
    <cfRule type="cellIs" dxfId="392" priority="334" operator="lessThanOrEqual">
      <formula>-0.03</formula>
    </cfRule>
  </conditionalFormatting>
  <conditionalFormatting sqref="BQ50:BS50">
    <cfRule type="cellIs" dxfId="391" priority="331" operator="greaterThanOrEqual">
      <formula>0.03</formula>
    </cfRule>
    <cfRule type="cellIs" dxfId="390" priority="332" operator="lessThanOrEqual">
      <formula>-0.03</formula>
    </cfRule>
  </conditionalFormatting>
  <conditionalFormatting sqref="BT51:BT54">
    <cfRule type="cellIs" dxfId="389" priority="329" operator="greaterThanOrEqual">
      <formula>0.03</formula>
    </cfRule>
    <cfRule type="cellIs" dxfId="388" priority="330" operator="lessThanOrEqual">
      <formula>-0.03</formula>
    </cfRule>
  </conditionalFormatting>
  <conditionalFormatting sqref="BT50">
    <cfRule type="cellIs" dxfId="387" priority="327" operator="greaterThanOrEqual">
      <formula>0.03</formula>
    </cfRule>
    <cfRule type="cellIs" dxfId="386" priority="328" operator="lessThanOrEqual">
      <formula>-0.03</formula>
    </cfRule>
  </conditionalFormatting>
  <conditionalFormatting sqref="M55:M64">
    <cfRule type="cellIs" dxfId="385" priority="381" operator="greaterThanOrEqual">
      <formula>0.03</formula>
    </cfRule>
    <cfRule type="cellIs" dxfId="384" priority="382" operator="lessThanOrEqual">
      <formula>-0.03</formula>
    </cfRule>
  </conditionalFormatting>
  <conditionalFormatting sqref="BQ36:BS39">
    <cfRule type="cellIs" dxfId="383" priority="379" operator="greaterThanOrEqual">
      <formula>0.03</formula>
    </cfRule>
    <cfRule type="cellIs" dxfId="382" priority="380" operator="lessThanOrEqual">
      <formula>-0.03</formula>
    </cfRule>
  </conditionalFormatting>
  <conditionalFormatting sqref="BV36:BX39">
    <cfRule type="cellIs" dxfId="381" priority="377" operator="greaterThanOrEqual">
      <formula>0.03</formula>
    </cfRule>
    <cfRule type="cellIs" dxfId="380" priority="378" operator="lessThanOrEqual">
      <formula>-0.03</formula>
    </cfRule>
  </conditionalFormatting>
  <conditionalFormatting sqref="CA46:CC49">
    <cfRule type="cellIs" dxfId="379" priority="375" operator="greaterThanOrEqual">
      <formula>0.03</formula>
    </cfRule>
    <cfRule type="cellIs" dxfId="378" priority="376" operator="lessThanOrEqual">
      <formula>-0.03</formula>
    </cfRule>
  </conditionalFormatting>
  <conditionalFormatting sqref="BL36:BN39">
    <cfRule type="cellIs" dxfId="377" priority="373" operator="greaterThanOrEqual">
      <formula>0.03</formula>
    </cfRule>
    <cfRule type="cellIs" dxfId="376" priority="374" operator="lessThanOrEqual">
      <formula>-0.03</formula>
    </cfRule>
  </conditionalFormatting>
  <conditionalFormatting sqref="CA35:CC35">
    <cfRule type="cellIs" dxfId="375" priority="291" operator="greaterThanOrEqual">
      <formula>0.03</formula>
    </cfRule>
    <cfRule type="cellIs" dxfId="374" priority="292" operator="lessThanOrEqual">
      <formula>-0.03</formula>
    </cfRule>
  </conditionalFormatting>
  <conditionalFormatting sqref="BY46:BY49">
    <cfRule type="cellIs" dxfId="373" priority="317" operator="greaterThanOrEqual">
      <formula>0.03</formula>
    </cfRule>
    <cfRule type="cellIs" dxfId="372" priority="318" operator="lessThanOrEqual">
      <formula>-0.03</formula>
    </cfRule>
  </conditionalFormatting>
  <conditionalFormatting sqref="BY36:BY39">
    <cfRule type="cellIs" dxfId="371" priority="325" operator="greaterThanOrEqual">
      <formula>0.03</formula>
    </cfRule>
    <cfRule type="cellIs" dxfId="370" priority="326" operator="lessThanOrEqual">
      <formula>-0.03</formula>
    </cfRule>
  </conditionalFormatting>
  <conditionalFormatting sqref="BL35:BN35">
    <cfRule type="cellIs" dxfId="369" priority="365" operator="greaterThanOrEqual">
      <formula>0.03</formula>
    </cfRule>
    <cfRule type="cellIs" dxfId="368" priority="366" operator="lessThanOrEqual">
      <formula>-0.03</formula>
    </cfRule>
  </conditionalFormatting>
  <conditionalFormatting sqref="CA45:CC45">
    <cfRule type="cellIs" dxfId="367" priority="371" operator="greaterThanOrEqual">
      <formula>0.03</formula>
    </cfRule>
    <cfRule type="cellIs" dxfId="366" priority="372" operator="lessThanOrEqual">
      <formula>-0.03</formula>
    </cfRule>
  </conditionalFormatting>
  <conditionalFormatting sqref="BQ35:BS35">
    <cfRule type="cellIs" dxfId="365" priority="369" operator="greaterThanOrEqual">
      <formula>0.03</formula>
    </cfRule>
    <cfRule type="cellIs" dxfId="364" priority="370" operator="lessThanOrEqual">
      <formula>-0.03</formula>
    </cfRule>
  </conditionalFormatting>
  <conditionalFormatting sqref="BV35:BX35">
    <cfRule type="cellIs" dxfId="363" priority="367" operator="greaterThanOrEqual">
      <formula>0.03</formula>
    </cfRule>
    <cfRule type="cellIs" dxfId="362" priority="368" operator="lessThanOrEqual">
      <formula>-0.03</formula>
    </cfRule>
  </conditionalFormatting>
  <conditionalFormatting sqref="BY35">
    <cfRule type="cellIs" dxfId="361" priority="323" operator="greaterThanOrEqual">
      <formula>0.03</formula>
    </cfRule>
    <cfRule type="cellIs" dxfId="360" priority="324" operator="lessThanOrEqual">
      <formula>-0.03</formula>
    </cfRule>
  </conditionalFormatting>
  <conditionalFormatting sqref="BV46:BX49">
    <cfRule type="cellIs" dxfId="359" priority="321" operator="greaterThanOrEqual">
      <formula>0.03</formula>
    </cfRule>
    <cfRule type="cellIs" dxfId="358" priority="322" operator="lessThanOrEqual">
      <formula>-0.03</formula>
    </cfRule>
  </conditionalFormatting>
  <conditionalFormatting sqref="BV45:BX45">
    <cfRule type="cellIs" dxfId="357" priority="319" operator="greaterThanOrEqual">
      <formula>0.03</formula>
    </cfRule>
    <cfRule type="cellIs" dxfId="356" priority="320" operator="lessThanOrEqual">
      <formula>-0.03</formula>
    </cfRule>
  </conditionalFormatting>
  <conditionalFormatting sqref="BY45">
    <cfRule type="cellIs" dxfId="355" priority="315" operator="greaterThanOrEqual">
      <formula>0.03</formula>
    </cfRule>
    <cfRule type="cellIs" dxfId="354" priority="316" operator="lessThanOrEqual">
      <formula>-0.03</formula>
    </cfRule>
  </conditionalFormatting>
  <conditionalFormatting sqref="BV51:BX54">
    <cfRule type="cellIs" dxfId="353" priority="313" operator="greaterThanOrEqual">
      <formula>0.03</formula>
    </cfRule>
    <cfRule type="cellIs" dxfId="352" priority="314" operator="lessThanOrEqual">
      <formula>-0.03</formula>
    </cfRule>
  </conditionalFormatting>
  <conditionalFormatting sqref="AL65:AL69">
    <cfRule type="cellIs" dxfId="351" priority="271" operator="greaterThanOrEqual">
      <formula>0.03</formula>
    </cfRule>
    <cfRule type="cellIs" dxfId="350" priority="272" operator="lessThanOrEqual">
      <formula>-0.03</formula>
    </cfRule>
  </conditionalFormatting>
  <conditionalFormatting sqref="CA36:CC39">
    <cfRule type="cellIs" dxfId="349" priority="293" operator="greaterThanOrEqual">
      <formula>0.03</formula>
    </cfRule>
    <cfRule type="cellIs" dxfId="348" priority="294" operator="lessThanOrEqual">
      <formula>-0.03</formula>
    </cfRule>
  </conditionalFormatting>
  <conditionalFormatting sqref="BV50:BX50">
    <cfRule type="cellIs" dxfId="347" priority="311" operator="greaterThanOrEqual">
      <formula>0.03</formula>
    </cfRule>
    <cfRule type="cellIs" dxfId="346" priority="312" operator="lessThanOrEqual">
      <formula>-0.03</formula>
    </cfRule>
  </conditionalFormatting>
  <conditionalFormatting sqref="BY51:BY54">
    <cfRule type="cellIs" dxfId="345" priority="309" operator="greaterThanOrEqual">
      <formula>0.03</formula>
    </cfRule>
    <cfRule type="cellIs" dxfId="344" priority="310" operator="lessThanOrEqual">
      <formula>-0.03</formula>
    </cfRule>
  </conditionalFormatting>
  <conditionalFormatting sqref="BY50">
    <cfRule type="cellIs" dxfId="343" priority="307" operator="greaterThanOrEqual">
      <formula>0.03</formula>
    </cfRule>
    <cfRule type="cellIs" dxfId="342" priority="308" operator="lessThanOrEqual">
      <formula>-0.03</formula>
    </cfRule>
  </conditionalFormatting>
  <conditionalFormatting sqref="BY55">
    <cfRule type="cellIs" dxfId="341" priority="227" operator="greaterThanOrEqual">
      <formula>0.03</formula>
    </cfRule>
    <cfRule type="cellIs" dxfId="340" priority="228" operator="lessThanOrEqual">
      <formula>-0.03</formula>
    </cfRule>
  </conditionalFormatting>
  <conditionalFormatting sqref="BV60:BX60">
    <cfRule type="cellIs" dxfId="339" priority="223" operator="greaterThanOrEqual">
      <formula>0.03</formula>
    </cfRule>
    <cfRule type="cellIs" dxfId="338" priority="224" operator="lessThanOrEqual">
      <formula>-0.03</formula>
    </cfRule>
  </conditionalFormatting>
  <conditionalFormatting sqref="CD46:CD49">
    <cfRule type="cellIs" dxfId="337" priority="305" operator="greaterThanOrEqual">
      <formula>0.03</formula>
    </cfRule>
    <cfRule type="cellIs" dxfId="336" priority="306" operator="lessThanOrEqual">
      <formula>-0.03</formula>
    </cfRule>
  </conditionalFormatting>
  <conditionalFormatting sqref="CD45">
    <cfRule type="cellIs" dxfId="335" priority="303" operator="greaterThanOrEqual">
      <formula>0.03</formula>
    </cfRule>
    <cfRule type="cellIs" dxfId="334" priority="304" operator="lessThanOrEqual">
      <formula>-0.03</formula>
    </cfRule>
  </conditionalFormatting>
  <conditionalFormatting sqref="CA51:CC54">
    <cfRule type="cellIs" dxfId="333" priority="301" operator="greaterThanOrEqual">
      <formula>0.03</formula>
    </cfRule>
    <cfRule type="cellIs" dxfId="332" priority="302" operator="lessThanOrEqual">
      <formula>-0.03</formula>
    </cfRule>
  </conditionalFormatting>
  <conditionalFormatting sqref="CA50:CC50">
    <cfRule type="cellIs" dxfId="331" priority="299" operator="greaterThanOrEqual">
      <formula>0.03</formula>
    </cfRule>
    <cfRule type="cellIs" dxfId="330" priority="300" operator="lessThanOrEqual">
      <formula>-0.03</formula>
    </cfRule>
  </conditionalFormatting>
  <conditionalFormatting sqref="CD51:CD54">
    <cfRule type="cellIs" dxfId="329" priority="297" operator="greaterThanOrEqual">
      <formula>0.03</formula>
    </cfRule>
    <cfRule type="cellIs" dxfId="328" priority="298" operator="lessThanOrEqual">
      <formula>-0.03</formula>
    </cfRule>
  </conditionalFormatting>
  <conditionalFormatting sqref="CD50">
    <cfRule type="cellIs" dxfId="327" priority="295" operator="greaterThanOrEqual">
      <formula>0.03</formula>
    </cfRule>
    <cfRule type="cellIs" dxfId="326" priority="296" operator="lessThanOrEqual">
      <formula>-0.03</formula>
    </cfRule>
  </conditionalFormatting>
  <conditionalFormatting sqref="AL55:AL59">
    <cfRule type="cellIs" dxfId="325" priority="275" operator="greaterThanOrEqual">
      <formula>0.03</formula>
    </cfRule>
    <cfRule type="cellIs" dxfId="324" priority="276" operator="lessThanOrEqual">
      <formula>-0.03</formula>
    </cfRule>
  </conditionalFormatting>
  <conditionalFormatting sqref="AL60:AL64">
    <cfRule type="cellIs" dxfId="323" priority="273" operator="greaterThanOrEqual">
      <formula>0.03</formula>
    </cfRule>
    <cfRule type="cellIs" dxfId="322" priority="274" operator="lessThanOrEqual">
      <formula>-0.03</formula>
    </cfRule>
  </conditionalFormatting>
  <conditionalFormatting sqref="BL56:BN59">
    <cfRule type="cellIs" dxfId="321" priority="269" operator="greaterThanOrEqual">
      <formula>0.03</formula>
    </cfRule>
    <cfRule type="cellIs" dxfId="320" priority="270" operator="lessThanOrEqual">
      <formula>-0.03</formula>
    </cfRule>
  </conditionalFormatting>
  <conditionalFormatting sqref="CD36:CD39">
    <cfRule type="cellIs" dxfId="319" priority="289" operator="greaterThanOrEqual">
      <formula>0.03</formula>
    </cfRule>
    <cfRule type="cellIs" dxfId="318" priority="290" operator="lessThanOrEqual">
      <formula>-0.03</formula>
    </cfRule>
  </conditionalFormatting>
  <conditionalFormatting sqref="CD35">
    <cfRule type="cellIs" dxfId="317" priority="287" operator="greaterThanOrEqual">
      <formula>0.03</formula>
    </cfRule>
    <cfRule type="cellIs" dxfId="316" priority="288" operator="lessThanOrEqual">
      <formula>-0.03</formula>
    </cfRule>
  </conditionalFormatting>
  <conditionalFormatting sqref="BL45:BN45">
    <cfRule type="cellIs" dxfId="315" priority="285" operator="greaterThanOrEqual">
      <formula>0.03</formula>
    </cfRule>
    <cfRule type="cellIs" dxfId="314" priority="286" operator="lessThanOrEqual">
      <formula>-0.03</formula>
    </cfRule>
  </conditionalFormatting>
  <conditionalFormatting sqref="BL50:BN50">
    <cfRule type="cellIs" dxfId="313" priority="283" operator="greaterThanOrEqual">
      <formula>0.03</formula>
    </cfRule>
    <cfRule type="cellIs" dxfId="312" priority="284" operator="lessThanOrEqual">
      <formula>-0.03</formula>
    </cfRule>
  </conditionalFormatting>
  <conditionalFormatting sqref="BQ55:BS55">
    <cfRule type="cellIs" dxfId="311" priority="255" operator="greaterThanOrEqual">
      <formula>0.03</formula>
    </cfRule>
    <cfRule type="cellIs" dxfId="310" priority="256" operator="lessThanOrEqual">
      <formula>-0.03</formula>
    </cfRule>
  </conditionalFormatting>
  <conditionalFormatting sqref="BT55">
    <cfRule type="cellIs" dxfId="309" priority="251" operator="greaterThanOrEqual">
      <formula>0.03</formula>
    </cfRule>
    <cfRule type="cellIs" dxfId="308" priority="252" operator="lessThanOrEqual">
      <formula>-0.03</formula>
    </cfRule>
  </conditionalFormatting>
  <conditionalFormatting sqref="BY60">
    <cfRule type="cellIs" dxfId="307" priority="219" operator="greaterThanOrEqual">
      <formula>0.03</formula>
    </cfRule>
    <cfRule type="cellIs" dxfId="306" priority="220" operator="lessThanOrEqual">
      <formula>-0.03</formula>
    </cfRule>
  </conditionalFormatting>
  <conditionalFormatting sqref="BQ60:BS60">
    <cfRule type="cellIs" dxfId="305" priority="247" operator="greaterThanOrEqual">
      <formula>0.03</formula>
    </cfRule>
    <cfRule type="cellIs" dxfId="304" priority="248" operator="lessThanOrEqual">
      <formula>-0.03</formula>
    </cfRule>
  </conditionalFormatting>
  <conditionalFormatting sqref="BV65:BX65">
    <cfRule type="cellIs" dxfId="303" priority="215" operator="greaterThanOrEqual">
      <formula>0.03</formula>
    </cfRule>
    <cfRule type="cellIs" dxfId="302" priority="216" operator="lessThanOrEqual">
      <formula>-0.03</formula>
    </cfRule>
  </conditionalFormatting>
  <conditionalFormatting sqref="BT60">
    <cfRule type="cellIs" dxfId="301" priority="243" operator="greaterThanOrEqual">
      <formula>0.03</formula>
    </cfRule>
    <cfRule type="cellIs" dxfId="300" priority="244" operator="lessThanOrEqual">
      <formula>-0.03</formula>
    </cfRule>
  </conditionalFormatting>
  <conditionalFormatting sqref="BQ65:BS65">
    <cfRule type="cellIs" dxfId="299" priority="239" operator="greaterThanOrEqual">
      <formula>0.03</formula>
    </cfRule>
    <cfRule type="cellIs" dxfId="298" priority="240" operator="lessThanOrEqual">
      <formula>-0.03</formula>
    </cfRule>
  </conditionalFormatting>
  <conditionalFormatting sqref="BT65">
    <cfRule type="cellIs" dxfId="297" priority="235" operator="greaterThanOrEqual">
      <formula>0.03</formula>
    </cfRule>
    <cfRule type="cellIs" dxfId="296" priority="236" operator="lessThanOrEqual">
      <formula>-0.03</formula>
    </cfRule>
  </conditionalFormatting>
  <conditionalFormatting sqref="BV55:BX55">
    <cfRule type="cellIs" dxfId="295" priority="231" operator="greaterThanOrEqual">
      <formula>0.03</formula>
    </cfRule>
    <cfRule type="cellIs" dxfId="294" priority="232" operator="lessThanOrEqual">
      <formula>-0.03</formula>
    </cfRule>
  </conditionalFormatting>
  <conditionalFormatting sqref="CA56:CC59">
    <cfRule type="cellIs" dxfId="293" priority="281" operator="greaterThanOrEqual">
      <formula>0.03</formula>
    </cfRule>
    <cfRule type="cellIs" dxfId="292" priority="282" operator="lessThanOrEqual">
      <formula>-0.03</formula>
    </cfRule>
  </conditionalFormatting>
  <conditionalFormatting sqref="BY56:BY59">
    <cfRule type="cellIs" dxfId="291" priority="229" operator="greaterThanOrEqual">
      <formula>0.03</formula>
    </cfRule>
    <cfRule type="cellIs" dxfId="290" priority="230" operator="lessThanOrEqual">
      <formula>-0.03</formula>
    </cfRule>
  </conditionalFormatting>
  <conditionalFormatting sqref="BL66:BN69">
    <cfRule type="cellIs" dxfId="289" priority="261" operator="greaterThanOrEqual">
      <formula>0.03</formula>
    </cfRule>
    <cfRule type="cellIs" dxfId="288" priority="262" operator="lessThanOrEqual">
      <formula>-0.03</formula>
    </cfRule>
  </conditionalFormatting>
  <conditionalFormatting sqref="BQ66:BS69">
    <cfRule type="cellIs" dxfId="287" priority="241" operator="greaterThanOrEqual">
      <formula>0.03</formula>
    </cfRule>
    <cfRule type="cellIs" dxfId="286" priority="242" operator="lessThanOrEqual">
      <formula>-0.03</formula>
    </cfRule>
  </conditionalFormatting>
  <conditionalFormatting sqref="BO60:BO64">
    <cfRule type="cellIs" dxfId="285" priority="263" operator="greaterThanOrEqual">
      <formula>0.03</formula>
    </cfRule>
    <cfRule type="cellIs" dxfId="284" priority="264" operator="lessThanOrEqual">
      <formula>-0.03</formula>
    </cfRule>
  </conditionalFormatting>
  <conditionalFormatting sqref="BT61:BT64">
    <cfRule type="cellIs" dxfId="283" priority="245" operator="greaterThanOrEqual">
      <formula>0.03</formula>
    </cfRule>
    <cfRule type="cellIs" dxfId="282" priority="246" operator="lessThanOrEqual">
      <formula>-0.03</formula>
    </cfRule>
  </conditionalFormatting>
  <conditionalFormatting sqref="CA55:CC55">
    <cfRule type="cellIs" dxfId="281" priority="279" operator="greaterThanOrEqual">
      <formula>0.03</formula>
    </cfRule>
    <cfRule type="cellIs" dxfId="280" priority="280" operator="lessThanOrEqual">
      <formula>-0.03</formula>
    </cfRule>
  </conditionalFormatting>
  <conditionalFormatting sqref="M65:M69">
    <cfRule type="cellIs" dxfId="279" priority="277" operator="greaterThanOrEqual">
      <formula>0.03</formula>
    </cfRule>
    <cfRule type="cellIs" dxfId="278" priority="278" operator="lessThanOrEqual">
      <formula>-0.03</formula>
    </cfRule>
  </conditionalFormatting>
  <conditionalFormatting sqref="BV56:BX59">
    <cfRule type="cellIs" dxfId="277" priority="233" operator="greaterThanOrEqual">
      <formula>0.03</formula>
    </cfRule>
    <cfRule type="cellIs" dxfId="276" priority="234" operator="lessThanOrEqual">
      <formula>-0.03</formula>
    </cfRule>
  </conditionalFormatting>
  <conditionalFormatting sqref="BV61:BX64">
    <cfRule type="cellIs" dxfId="275" priority="225" operator="greaterThanOrEqual">
      <formula>0.03</formula>
    </cfRule>
    <cfRule type="cellIs" dxfId="274" priority="226" operator="lessThanOrEqual">
      <formula>-0.03</formula>
    </cfRule>
  </conditionalFormatting>
  <conditionalFormatting sqref="BO55:BO59">
    <cfRule type="cellIs" dxfId="273" priority="267" operator="greaterThanOrEqual">
      <formula>0.03</formula>
    </cfRule>
    <cfRule type="cellIs" dxfId="272" priority="268" operator="lessThanOrEqual">
      <formula>-0.03</formula>
    </cfRule>
  </conditionalFormatting>
  <conditionalFormatting sqref="BL61:BN64">
    <cfRule type="cellIs" dxfId="271" priority="265" operator="greaterThanOrEqual">
      <formula>0.03</formula>
    </cfRule>
    <cfRule type="cellIs" dxfId="270" priority="266" operator="lessThanOrEqual">
      <formula>-0.03</formula>
    </cfRule>
  </conditionalFormatting>
  <conditionalFormatting sqref="BO65:BO69">
    <cfRule type="cellIs" dxfId="269" priority="259" operator="greaterThanOrEqual">
      <formula>0.03</formula>
    </cfRule>
    <cfRule type="cellIs" dxfId="268" priority="260" operator="lessThanOrEqual">
      <formula>-0.03</formula>
    </cfRule>
  </conditionalFormatting>
  <conditionalFormatting sqref="CD66:CD69">
    <cfRule type="cellIs" dxfId="267" priority="193" operator="greaterThanOrEqual">
      <formula>0.03</formula>
    </cfRule>
    <cfRule type="cellIs" dxfId="266" priority="194" operator="lessThanOrEqual">
      <formula>-0.03</formula>
    </cfRule>
  </conditionalFormatting>
  <conditionalFormatting sqref="BQ56:BS59">
    <cfRule type="cellIs" dxfId="265" priority="257" operator="greaterThanOrEqual">
      <formula>0.03</formula>
    </cfRule>
    <cfRule type="cellIs" dxfId="264" priority="258" operator="lessThanOrEqual">
      <formula>-0.03</formula>
    </cfRule>
  </conditionalFormatting>
  <conditionalFormatting sqref="BT56:BT59">
    <cfRule type="cellIs" dxfId="263" priority="253" operator="greaterThanOrEqual">
      <formula>0.03</formula>
    </cfRule>
    <cfRule type="cellIs" dxfId="262" priority="254" operator="lessThanOrEqual">
      <formula>-0.03</formula>
    </cfRule>
  </conditionalFormatting>
  <conditionalFormatting sqref="BQ61:BS64">
    <cfRule type="cellIs" dxfId="261" priority="249" operator="greaterThanOrEqual">
      <formula>0.03</formula>
    </cfRule>
    <cfRule type="cellIs" dxfId="260" priority="250" operator="lessThanOrEqual">
      <formula>-0.03</formula>
    </cfRule>
  </conditionalFormatting>
  <conditionalFormatting sqref="BT66:BT69">
    <cfRule type="cellIs" dxfId="259" priority="237" operator="greaterThanOrEqual">
      <formula>0.03</formula>
    </cfRule>
    <cfRule type="cellIs" dxfId="258" priority="238" operator="lessThanOrEqual">
      <formula>-0.03</formula>
    </cfRule>
  </conditionalFormatting>
  <conditionalFormatting sqref="BY61:BY64">
    <cfRule type="cellIs" dxfId="257" priority="221" operator="greaterThanOrEqual">
      <formula>0.03</formula>
    </cfRule>
    <cfRule type="cellIs" dxfId="256" priority="222" operator="lessThanOrEqual">
      <formula>-0.03</formula>
    </cfRule>
  </conditionalFormatting>
  <conditionalFormatting sqref="BV66:BX69">
    <cfRule type="cellIs" dxfId="255" priority="217" operator="greaterThanOrEqual">
      <formula>0.03</formula>
    </cfRule>
    <cfRule type="cellIs" dxfId="254" priority="218" operator="lessThanOrEqual">
      <formula>-0.03</formula>
    </cfRule>
  </conditionalFormatting>
  <conditionalFormatting sqref="BY66:BY69">
    <cfRule type="cellIs" dxfId="253" priority="213" operator="greaterThanOrEqual">
      <formula>0.03</formula>
    </cfRule>
    <cfRule type="cellIs" dxfId="252" priority="214" operator="lessThanOrEqual">
      <formula>-0.03</formula>
    </cfRule>
  </conditionalFormatting>
  <conditionalFormatting sqref="BY65">
    <cfRule type="cellIs" dxfId="251" priority="211" operator="greaterThanOrEqual">
      <formula>0.03</formula>
    </cfRule>
    <cfRule type="cellIs" dxfId="250" priority="212" operator="lessThanOrEqual">
      <formula>-0.03</formula>
    </cfRule>
  </conditionalFormatting>
  <conditionalFormatting sqref="CD56:CD59">
    <cfRule type="cellIs" dxfId="249" priority="209" operator="greaterThanOrEqual">
      <formula>0.03</formula>
    </cfRule>
    <cfRule type="cellIs" dxfId="248" priority="210" operator="lessThanOrEqual">
      <formula>-0.03</formula>
    </cfRule>
  </conditionalFormatting>
  <conditionalFormatting sqref="CD55">
    <cfRule type="cellIs" dxfId="247" priority="207" operator="greaterThanOrEqual">
      <formula>0.03</formula>
    </cfRule>
    <cfRule type="cellIs" dxfId="246" priority="208" operator="lessThanOrEqual">
      <formula>-0.03</formula>
    </cfRule>
  </conditionalFormatting>
  <conditionalFormatting sqref="CA61:CC64">
    <cfRule type="cellIs" dxfId="245" priority="205" operator="greaterThanOrEqual">
      <formula>0.03</formula>
    </cfRule>
    <cfRule type="cellIs" dxfId="244" priority="206" operator="lessThanOrEqual">
      <formula>-0.03</formula>
    </cfRule>
  </conditionalFormatting>
  <conditionalFormatting sqref="CA60:CC60">
    <cfRule type="cellIs" dxfId="243" priority="203" operator="greaterThanOrEqual">
      <formula>0.03</formula>
    </cfRule>
    <cfRule type="cellIs" dxfId="242" priority="204" operator="lessThanOrEqual">
      <formula>-0.03</formula>
    </cfRule>
  </conditionalFormatting>
  <conditionalFormatting sqref="CD61:CD64">
    <cfRule type="cellIs" dxfId="241" priority="201" operator="greaterThanOrEqual">
      <formula>0.03</formula>
    </cfRule>
    <cfRule type="cellIs" dxfId="240" priority="202" operator="lessThanOrEqual">
      <formula>-0.03</formula>
    </cfRule>
  </conditionalFormatting>
  <conditionalFormatting sqref="CD60">
    <cfRule type="cellIs" dxfId="239" priority="199" operator="greaterThanOrEqual">
      <formula>0.03</formula>
    </cfRule>
    <cfRule type="cellIs" dxfId="238" priority="200" operator="lessThanOrEqual">
      <formula>-0.03</formula>
    </cfRule>
  </conditionalFormatting>
  <conditionalFormatting sqref="CA66:CC69">
    <cfRule type="cellIs" dxfId="237" priority="197" operator="greaterThanOrEqual">
      <formula>0.03</formula>
    </cfRule>
    <cfRule type="cellIs" dxfId="236" priority="198" operator="lessThanOrEqual">
      <formula>-0.03</formula>
    </cfRule>
  </conditionalFormatting>
  <conditionalFormatting sqref="CA65:CC65">
    <cfRule type="cellIs" dxfId="235" priority="195" operator="greaterThanOrEqual">
      <formula>0.03</formula>
    </cfRule>
    <cfRule type="cellIs" dxfId="234" priority="196" operator="lessThanOrEqual">
      <formula>-0.03</formula>
    </cfRule>
  </conditionalFormatting>
  <conditionalFormatting sqref="CD65">
    <cfRule type="cellIs" dxfId="233" priority="191" operator="greaterThanOrEqual">
      <formula>0.03</formula>
    </cfRule>
    <cfRule type="cellIs" dxfId="232" priority="192" operator="lessThanOrEqual">
      <formula>-0.03</formula>
    </cfRule>
  </conditionalFormatting>
  <conditionalFormatting sqref="BL55:BN55">
    <cfRule type="cellIs" dxfId="231" priority="189" operator="greaterThanOrEqual">
      <formula>0.03</formula>
    </cfRule>
    <cfRule type="cellIs" dxfId="230" priority="190" operator="lessThanOrEqual">
      <formula>-0.03</formula>
    </cfRule>
  </conditionalFormatting>
  <conditionalFormatting sqref="BL60:BN60">
    <cfRule type="cellIs" dxfId="229" priority="187" operator="greaterThanOrEqual">
      <formula>0.03</formula>
    </cfRule>
    <cfRule type="cellIs" dxfId="228" priority="188" operator="lessThanOrEqual">
      <formula>-0.03</formula>
    </cfRule>
  </conditionalFormatting>
  <conditionalFormatting sqref="BL65:BN65">
    <cfRule type="cellIs" dxfId="227" priority="185" operator="greaterThanOrEqual">
      <formula>0.03</formula>
    </cfRule>
    <cfRule type="cellIs" dxfId="226" priority="186" operator="lessThanOrEqual">
      <formula>-0.03</formula>
    </cfRule>
  </conditionalFormatting>
  <conditionalFormatting sqref="AK117">
    <cfRule type="cellIs" dxfId="225" priority="143" operator="greaterThanOrEqual">
      <formula>0.03</formula>
    </cfRule>
    <cfRule type="cellIs" dxfId="224" priority="144" operator="lessThanOrEqual">
      <formula>-0.03</formula>
    </cfRule>
  </conditionalFormatting>
  <conditionalFormatting sqref="AL118">
    <cfRule type="cellIs" dxfId="223" priority="141" operator="greaterThanOrEqual">
      <formula>0.03</formula>
    </cfRule>
    <cfRule type="cellIs" dxfId="222" priority="142" operator="lessThanOrEqual">
      <formula>-0.03</formula>
    </cfRule>
  </conditionalFormatting>
  <conditionalFormatting sqref="AK119">
    <cfRule type="cellIs" dxfId="221" priority="139" operator="greaterThanOrEqual">
      <formula>0.03</formula>
    </cfRule>
    <cfRule type="cellIs" dxfId="220" priority="140" operator="lessThanOrEqual">
      <formula>-0.03</formula>
    </cfRule>
  </conditionalFormatting>
  <conditionalFormatting sqref="M116">
    <cfRule type="cellIs" dxfId="219" priority="145" operator="greaterThanOrEqual">
      <formula>0.03</formula>
    </cfRule>
    <cfRule type="cellIs" dxfId="218" priority="146" operator="lessThanOrEqual">
      <formula>-0.03</formula>
    </cfRule>
  </conditionalFormatting>
  <conditionalFormatting sqref="BQ41:BS44">
    <cfRule type="cellIs" dxfId="217" priority="183" operator="greaterThanOrEqual">
      <formula>0.03</formula>
    </cfRule>
    <cfRule type="cellIs" dxfId="216" priority="184" operator="lessThanOrEqual">
      <formula>-0.03</formula>
    </cfRule>
  </conditionalFormatting>
  <conditionalFormatting sqref="BV41:BX44">
    <cfRule type="cellIs" dxfId="215" priority="181" operator="greaterThanOrEqual">
      <formula>0.03</formula>
    </cfRule>
    <cfRule type="cellIs" dxfId="214" priority="182" operator="lessThanOrEqual">
      <formula>-0.03</formula>
    </cfRule>
  </conditionalFormatting>
  <conditionalFormatting sqref="BL41:BN44">
    <cfRule type="cellIs" dxfId="213" priority="179" operator="greaterThanOrEqual">
      <formula>0.03</formula>
    </cfRule>
    <cfRule type="cellIs" dxfId="212" priority="180" operator="lessThanOrEqual">
      <formula>-0.03</formula>
    </cfRule>
  </conditionalFormatting>
  <conditionalFormatting sqref="BT41:BT44">
    <cfRule type="cellIs" dxfId="211" priority="165" operator="greaterThanOrEqual">
      <formula>0.03</formula>
    </cfRule>
    <cfRule type="cellIs" dxfId="210" priority="166" operator="lessThanOrEqual">
      <formula>-0.03</formula>
    </cfRule>
  </conditionalFormatting>
  <conditionalFormatting sqref="BY41:BY44">
    <cfRule type="cellIs" dxfId="209" priority="161" operator="greaterThanOrEqual">
      <formula>0.03</formula>
    </cfRule>
    <cfRule type="cellIs" dxfId="208" priority="162" operator="lessThanOrEqual">
      <formula>-0.03</formula>
    </cfRule>
  </conditionalFormatting>
  <conditionalFormatting sqref="BL40:BN40">
    <cfRule type="cellIs" dxfId="207" priority="173" operator="greaterThanOrEqual">
      <formula>0.03</formula>
    </cfRule>
    <cfRule type="cellIs" dxfId="206" priority="174" operator="lessThanOrEqual">
      <formula>-0.03</formula>
    </cfRule>
  </conditionalFormatting>
  <conditionalFormatting sqref="M40:M44">
    <cfRule type="cellIs" dxfId="205" priority="171" operator="greaterThanOrEqual">
      <formula>0.03</formula>
    </cfRule>
    <cfRule type="cellIs" dxfId="204" priority="172" operator="lessThanOrEqual">
      <formula>-0.03</formula>
    </cfRule>
  </conditionalFormatting>
  <conditionalFormatting sqref="AL40:AL44">
    <cfRule type="cellIs" dxfId="203" priority="169" operator="greaterThanOrEqual">
      <formula>0.03</formula>
    </cfRule>
    <cfRule type="cellIs" dxfId="202" priority="170" operator="lessThanOrEqual">
      <formula>-0.03</formula>
    </cfRule>
  </conditionalFormatting>
  <conditionalFormatting sqref="BQ40:BS40">
    <cfRule type="cellIs" dxfId="201" priority="177" operator="greaterThanOrEqual">
      <formula>0.03</formula>
    </cfRule>
    <cfRule type="cellIs" dxfId="200" priority="178" operator="lessThanOrEqual">
      <formula>-0.03</formula>
    </cfRule>
  </conditionalFormatting>
  <conditionalFormatting sqref="BV40:BX40">
    <cfRule type="cellIs" dxfId="199" priority="175" operator="greaterThanOrEqual">
      <formula>0.03</formula>
    </cfRule>
    <cfRule type="cellIs" dxfId="198" priority="176" operator="lessThanOrEqual">
      <formula>-0.03</formula>
    </cfRule>
  </conditionalFormatting>
  <conditionalFormatting sqref="BY40">
    <cfRule type="cellIs" dxfId="197" priority="159" operator="greaterThanOrEqual">
      <formula>0.03</formula>
    </cfRule>
    <cfRule type="cellIs" dxfId="196" priority="160" operator="lessThanOrEqual">
      <formula>-0.03</formula>
    </cfRule>
  </conditionalFormatting>
  <conditionalFormatting sqref="BO40:BO44">
    <cfRule type="cellIs" dxfId="195" priority="167" operator="greaterThanOrEqual">
      <formula>0.03</formula>
    </cfRule>
    <cfRule type="cellIs" dxfId="194" priority="168" operator="lessThanOrEqual">
      <formula>-0.03</formula>
    </cfRule>
  </conditionalFormatting>
  <conditionalFormatting sqref="BT40">
    <cfRule type="cellIs" dxfId="193" priority="163" operator="greaterThanOrEqual">
      <formula>0.03</formula>
    </cfRule>
    <cfRule type="cellIs" dxfId="192" priority="164" operator="lessThanOrEqual">
      <formula>-0.03</formula>
    </cfRule>
  </conditionalFormatting>
  <conditionalFormatting sqref="CA41:CC44">
    <cfRule type="cellIs" dxfId="191" priority="157" operator="greaterThanOrEqual">
      <formula>0.03</formula>
    </cfRule>
    <cfRule type="cellIs" dxfId="190" priority="158" operator="lessThanOrEqual">
      <formula>-0.03</formula>
    </cfRule>
  </conditionalFormatting>
  <conditionalFormatting sqref="CA40:CC40">
    <cfRule type="cellIs" dxfId="189" priority="155" operator="greaterThanOrEqual">
      <formula>0.03</formula>
    </cfRule>
    <cfRule type="cellIs" dxfId="188" priority="156" operator="lessThanOrEqual">
      <formula>-0.03</formula>
    </cfRule>
  </conditionalFormatting>
  <conditionalFormatting sqref="CD41:CD44">
    <cfRule type="cellIs" dxfId="187" priority="153" operator="greaterThanOrEqual">
      <formula>0.03</formula>
    </cfRule>
    <cfRule type="cellIs" dxfId="186" priority="154" operator="lessThanOrEqual">
      <formula>-0.03</formula>
    </cfRule>
  </conditionalFormatting>
  <conditionalFormatting sqref="CD40">
    <cfRule type="cellIs" dxfId="185" priority="151" operator="greaterThanOrEqual">
      <formula>0.03</formula>
    </cfRule>
    <cfRule type="cellIs" dxfId="184" priority="152" operator="lessThanOrEqual">
      <formula>-0.03</formula>
    </cfRule>
  </conditionalFormatting>
  <conditionalFormatting sqref="T116:V116">
    <cfRule type="cellIs" dxfId="183" priority="149" operator="greaterThanOrEqual">
      <formula>0.03</formula>
    </cfRule>
    <cfRule type="cellIs" dxfId="182" priority="150" operator="lessThanOrEqual">
      <formula>-0.03</formula>
    </cfRule>
  </conditionalFormatting>
  <conditionalFormatting sqref="X116:Z116">
    <cfRule type="cellIs" dxfId="181" priority="147" operator="greaterThanOrEqual">
      <formula>0.03</formula>
    </cfRule>
    <cfRule type="cellIs" dxfId="180" priority="148" operator="lessThanOrEqual">
      <formula>-0.03</formula>
    </cfRule>
  </conditionalFormatting>
  <conditionalFormatting sqref="AL116">
    <cfRule type="cellIs" dxfId="179" priority="137" operator="greaterThanOrEqual">
      <formula>0.03</formula>
    </cfRule>
    <cfRule type="cellIs" dxfId="178" priority="138" operator="lessThanOrEqual">
      <formula>-0.03</formula>
    </cfRule>
  </conditionalFormatting>
  <conditionalFormatting sqref="BI115:CD120">
    <cfRule type="cellIs" dxfId="177" priority="135" operator="greaterThanOrEqual">
      <formula>0.03</formula>
    </cfRule>
    <cfRule type="cellIs" dxfId="176" priority="136" operator="lessThanOrEqual">
      <formula>-0.03</formula>
    </cfRule>
  </conditionalFormatting>
  <conditionalFormatting sqref="BG115:BH120">
    <cfRule type="cellIs" dxfId="175" priority="133" operator="greaterThanOrEqual">
      <formula>1.03</formula>
    </cfRule>
    <cfRule type="cellIs" dxfId="174" priority="134" operator="lessThanOrEqual">
      <formula>0.97</formula>
    </cfRule>
  </conditionalFormatting>
  <conditionalFormatting sqref="X90:Z94">
    <cfRule type="cellIs" dxfId="173" priority="119" operator="greaterThanOrEqual">
      <formula>0.03</formula>
    </cfRule>
    <cfRule type="cellIs" dxfId="172" priority="120" operator="lessThanOrEqual">
      <formula>-0.03</formula>
    </cfRule>
  </conditionalFormatting>
  <conditionalFormatting sqref="X85:Z89">
    <cfRule type="cellIs" dxfId="171" priority="125" operator="greaterThanOrEqual">
      <formula>0.03</formula>
    </cfRule>
    <cfRule type="cellIs" dxfId="170" priority="126" operator="lessThanOrEqual">
      <formula>-0.03</formula>
    </cfRule>
  </conditionalFormatting>
  <conditionalFormatting sqref="X70:Z84">
    <cfRule type="cellIs" dxfId="169" priority="131" operator="greaterThanOrEqual">
      <formula>0.03</formula>
    </cfRule>
    <cfRule type="cellIs" dxfId="168" priority="132" operator="lessThanOrEqual">
      <formula>-0.03</formula>
    </cfRule>
  </conditionalFormatting>
  <conditionalFormatting sqref="T70:V84">
    <cfRule type="cellIs" dxfId="167" priority="129" operator="greaterThanOrEqual">
      <formula>0.03</formula>
    </cfRule>
    <cfRule type="cellIs" dxfId="166" priority="130" operator="lessThanOrEqual">
      <formula>-0.03</formula>
    </cfRule>
  </conditionalFormatting>
  <conditionalFormatting sqref="R70:R84">
    <cfRule type="cellIs" dxfId="165" priority="127" operator="greaterThanOrEqual">
      <formula>0.03</formula>
    </cfRule>
    <cfRule type="cellIs" dxfId="164" priority="128" operator="lessThanOrEqual">
      <formula>-0.03</formula>
    </cfRule>
  </conditionalFormatting>
  <conditionalFormatting sqref="T85:V89">
    <cfRule type="cellIs" dxfId="163" priority="123" operator="greaterThanOrEqual">
      <formula>0.03</formula>
    </cfRule>
    <cfRule type="cellIs" dxfId="162" priority="124" operator="lessThanOrEqual">
      <formula>-0.03</formula>
    </cfRule>
  </conditionalFormatting>
  <conditionalFormatting sqref="R85:R89">
    <cfRule type="cellIs" dxfId="161" priority="121" operator="greaterThanOrEqual">
      <formula>0.03</formula>
    </cfRule>
    <cfRule type="cellIs" dxfId="160" priority="122" operator="lessThanOrEqual">
      <formula>-0.03</formula>
    </cfRule>
  </conditionalFormatting>
  <conditionalFormatting sqref="T90:V94">
    <cfRule type="cellIs" dxfId="159" priority="117" operator="greaterThanOrEqual">
      <formula>0.03</formula>
    </cfRule>
    <cfRule type="cellIs" dxfId="158" priority="118" operator="lessThanOrEqual">
      <formula>-0.03</formula>
    </cfRule>
  </conditionalFormatting>
  <conditionalFormatting sqref="R90:R94">
    <cfRule type="cellIs" dxfId="157" priority="115" operator="greaterThanOrEqual">
      <formula>0.03</formula>
    </cfRule>
    <cfRule type="cellIs" dxfId="156" priority="116" operator="lessThanOrEqual">
      <formula>-0.03</formula>
    </cfRule>
  </conditionalFormatting>
  <conditionalFormatting sqref="W95:W109">
    <cfRule type="cellIs" dxfId="155" priority="113" operator="greaterThanOrEqual">
      <formula>0.03</formula>
    </cfRule>
    <cfRule type="cellIs" dxfId="154" priority="114" operator="lessThanOrEqual">
      <formula>-0.03</formula>
    </cfRule>
  </conditionalFormatting>
  <conditionalFormatting sqref="W110:W114">
    <cfRule type="cellIs" dxfId="153" priority="111" operator="greaterThanOrEqual">
      <formula>0.03</formula>
    </cfRule>
    <cfRule type="cellIs" dxfId="152" priority="112" operator="lessThanOrEqual">
      <formula>-0.03</formula>
    </cfRule>
  </conditionalFormatting>
  <conditionalFormatting sqref="AA95:AA109">
    <cfRule type="cellIs" dxfId="151" priority="109" operator="greaterThanOrEqual">
      <formula>0.03</formula>
    </cfRule>
    <cfRule type="cellIs" dxfId="150" priority="110" operator="lessThanOrEqual">
      <formula>-0.03</formula>
    </cfRule>
  </conditionalFormatting>
  <conditionalFormatting sqref="AA110:AA114">
    <cfRule type="cellIs" dxfId="149" priority="107" operator="greaterThanOrEqual">
      <formula>0.03</formula>
    </cfRule>
    <cfRule type="cellIs" dxfId="148" priority="108" operator="lessThanOrEqual">
      <formula>-0.03</formula>
    </cfRule>
  </conditionalFormatting>
  <conditionalFormatting sqref="X25:Z34">
    <cfRule type="cellIs" dxfId="147" priority="105" operator="greaterThanOrEqual">
      <formula>0.03</formula>
    </cfRule>
    <cfRule type="cellIs" dxfId="146" priority="106" operator="lessThanOrEqual">
      <formula>-0.03</formula>
    </cfRule>
  </conditionalFormatting>
  <conditionalFormatting sqref="T25:V34">
    <cfRule type="cellIs" dxfId="145" priority="103" operator="greaterThanOrEqual">
      <formula>0.03</formula>
    </cfRule>
    <cfRule type="cellIs" dxfId="144" priority="104" operator="lessThanOrEqual">
      <formula>-0.03</formula>
    </cfRule>
  </conditionalFormatting>
  <conditionalFormatting sqref="R25:R34">
    <cfRule type="cellIs" dxfId="143" priority="101" operator="greaterThanOrEqual">
      <formula>0.03</formula>
    </cfRule>
    <cfRule type="cellIs" dxfId="142" priority="102" operator="lessThanOrEqual">
      <formula>-0.03</formula>
    </cfRule>
  </conditionalFormatting>
  <conditionalFormatting sqref="X5:Z19">
    <cfRule type="cellIs" dxfId="141" priority="99" operator="greaterThanOrEqual">
      <formula>0.03</formula>
    </cfRule>
    <cfRule type="cellIs" dxfId="140" priority="100" operator="lessThanOrEqual">
      <formula>-0.03</formula>
    </cfRule>
  </conditionalFormatting>
  <conditionalFormatting sqref="T5:V19">
    <cfRule type="cellIs" dxfId="139" priority="97" operator="greaterThanOrEqual">
      <formula>0.03</formula>
    </cfRule>
    <cfRule type="cellIs" dxfId="138" priority="98" operator="lessThanOrEqual">
      <formula>-0.03</formula>
    </cfRule>
  </conditionalFormatting>
  <conditionalFormatting sqref="R5:R19">
    <cfRule type="cellIs" dxfId="137" priority="95" operator="greaterThanOrEqual">
      <formula>0.03</formula>
    </cfRule>
    <cfRule type="cellIs" dxfId="136" priority="96" operator="lessThanOrEqual">
      <formula>-0.03</formula>
    </cfRule>
  </conditionalFormatting>
  <conditionalFormatting sqref="X20:Z24">
    <cfRule type="cellIs" dxfId="135" priority="93" operator="greaterThanOrEqual">
      <formula>0.03</formula>
    </cfRule>
    <cfRule type="cellIs" dxfId="134" priority="94" operator="lessThanOrEqual">
      <formula>-0.03</formula>
    </cfRule>
  </conditionalFormatting>
  <conditionalFormatting sqref="T20:V24">
    <cfRule type="cellIs" dxfId="133" priority="91" operator="greaterThanOrEqual">
      <formula>0.03</formula>
    </cfRule>
    <cfRule type="cellIs" dxfId="132" priority="92" operator="lessThanOrEqual">
      <formula>-0.03</formula>
    </cfRule>
  </conditionalFormatting>
  <conditionalFormatting sqref="R20:R24">
    <cfRule type="cellIs" dxfId="131" priority="89" operator="greaterThanOrEqual">
      <formula>0.03</formula>
    </cfRule>
    <cfRule type="cellIs" dxfId="130" priority="90" operator="lessThanOrEqual">
      <formula>-0.03</formula>
    </cfRule>
  </conditionalFormatting>
  <conditionalFormatting sqref="S95:S99">
    <cfRule type="cellIs" dxfId="129" priority="69" operator="greaterThanOrEqual">
      <formula>0.03</formula>
    </cfRule>
    <cfRule type="cellIs" dxfId="128" priority="70" operator="lessThanOrEqual">
      <formula>-0.03</formula>
    </cfRule>
  </conditionalFormatting>
  <conditionalFormatting sqref="S100:S114">
    <cfRule type="cellIs" dxfId="127" priority="67" operator="greaterThanOrEqual">
      <formula>0.03</formula>
    </cfRule>
    <cfRule type="cellIs" dxfId="126" priority="68" operator="lessThanOrEqual">
      <formula>-0.03</formula>
    </cfRule>
  </conditionalFormatting>
  <conditionalFormatting sqref="W40:W64">
    <cfRule type="cellIs" dxfId="125" priority="79" operator="greaterThanOrEqual">
      <formula>0.03</formula>
    </cfRule>
    <cfRule type="cellIs" dxfId="124" priority="80" operator="lessThanOrEqual">
      <formula>-0.03</formula>
    </cfRule>
  </conditionalFormatting>
  <conditionalFormatting sqref="AA40:AA64">
    <cfRule type="cellIs" dxfId="123" priority="77" operator="greaterThanOrEqual">
      <formula>0.03</formula>
    </cfRule>
    <cfRule type="cellIs" dxfId="122" priority="78" operator="lessThanOrEqual">
      <formula>-0.03</formula>
    </cfRule>
  </conditionalFormatting>
  <conditionalFormatting sqref="S65:S69">
    <cfRule type="cellIs" dxfId="121" priority="75" operator="greaterThanOrEqual">
      <formula>0.03</formula>
    </cfRule>
    <cfRule type="cellIs" dxfId="120" priority="76" operator="lessThanOrEqual">
      <formula>-0.03</formula>
    </cfRule>
  </conditionalFormatting>
  <conditionalFormatting sqref="S35:S39">
    <cfRule type="cellIs" dxfId="119" priority="87" operator="greaterThanOrEqual">
      <formula>0.03</formula>
    </cfRule>
    <cfRule type="cellIs" dxfId="118" priority="88" operator="lessThanOrEqual">
      <formula>-0.03</formula>
    </cfRule>
  </conditionalFormatting>
  <conditionalFormatting sqref="W35:W39">
    <cfRule type="cellIs" dxfId="117" priority="85" operator="greaterThanOrEqual">
      <formula>0.03</formula>
    </cfRule>
    <cfRule type="cellIs" dxfId="116" priority="86" operator="lessThanOrEqual">
      <formula>-0.03</formula>
    </cfRule>
  </conditionalFormatting>
  <conditionalFormatting sqref="AA35:AA39">
    <cfRule type="cellIs" dxfId="115" priority="83" operator="greaterThanOrEqual">
      <formula>0.03</formula>
    </cfRule>
    <cfRule type="cellIs" dxfId="114" priority="84" operator="lessThanOrEqual">
      <formula>-0.03</formula>
    </cfRule>
  </conditionalFormatting>
  <conditionalFormatting sqref="S40:S64">
    <cfRule type="cellIs" dxfId="113" priority="81" operator="greaterThanOrEqual">
      <formula>0.03</formula>
    </cfRule>
    <cfRule type="cellIs" dxfId="112" priority="82" operator="lessThanOrEqual">
      <formula>-0.03</formula>
    </cfRule>
  </conditionalFormatting>
  <conditionalFormatting sqref="W65:W69">
    <cfRule type="cellIs" dxfId="111" priority="73" operator="greaterThanOrEqual">
      <formula>0.03</formula>
    </cfRule>
    <cfRule type="cellIs" dxfId="110" priority="74" operator="lessThanOrEqual">
      <formula>-0.03</formula>
    </cfRule>
  </conditionalFormatting>
  <conditionalFormatting sqref="AA65:AA69">
    <cfRule type="cellIs" dxfId="109" priority="71" operator="greaterThanOrEqual">
      <formula>0.03</formula>
    </cfRule>
    <cfRule type="cellIs" dxfId="108" priority="72" operator="lessThanOrEqual">
      <formula>-0.03</formula>
    </cfRule>
  </conditionalFormatting>
  <conditionalFormatting sqref="AW90:AY94">
    <cfRule type="cellIs" dxfId="107" priority="53" operator="greaterThanOrEqual">
      <formula>0.03</formula>
    </cfRule>
    <cfRule type="cellIs" dxfId="106" priority="54" operator="lessThanOrEqual">
      <formula>-0.03</formula>
    </cfRule>
  </conditionalFormatting>
  <conditionalFormatting sqref="AW85:AY89">
    <cfRule type="cellIs" dxfId="105" priority="59" operator="greaterThanOrEqual">
      <formula>0.03</formula>
    </cfRule>
    <cfRule type="cellIs" dxfId="104" priority="60" operator="lessThanOrEqual">
      <formula>-0.03</formula>
    </cfRule>
  </conditionalFormatting>
  <conditionalFormatting sqref="AW70:AY84">
    <cfRule type="cellIs" dxfId="103" priority="65" operator="greaterThanOrEqual">
      <formula>0.03</formula>
    </cfRule>
    <cfRule type="cellIs" dxfId="102" priority="66" operator="lessThanOrEqual">
      <formula>-0.03</formula>
    </cfRule>
  </conditionalFormatting>
  <conditionalFormatting sqref="AS70:AU84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AQ70:AQ84">
    <cfRule type="cellIs" dxfId="99" priority="61" operator="greaterThanOrEqual">
      <formula>0.03</formula>
    </cfRule>
    <cfRule type="cellIs" dxfId="98" priority="62" operator="lessThanOrEqual">
      <formula>-0.03</formula>
    </cfRule>
  </conditionalFormatting>
  <conditionalFormatting sqref="AS85:AU89">
    <cfRule type="cellIs" dxfId="97" priority="57" operator="greaterThanOrEqual">
      <formula>0.03</formula>
    </cfRule>
    <cfRule type="cellIs" dxfId="96" priority="58" operator="lessThanOrEqual">
      <formula>-0.03</formula>
    </cfRule>
  </conditionalFormatting>
  <conditionalFormatting sqref="AQ85:AQ89">
    <cfRule type="cellIs" dxfId="95" priority="55" operator="greaterThanOrEqual">
      <formula>0.03</formula>
    </cfRule>
    <cfRule type="cellIs" dxfId="94" priority="56" operator="lessThanOrEqual">
      <formula>-0.03</formula>
    </cfRule>
  </conditionalFormatting>
  <conditionalFormatting sqref="AS90:AU94">
    <cfRule type="cellIs" dxfId="93" priority="51" operator="greaterThanOrEqual">
      <formula>0.03</formula>
    </cfRule>
    <cfRule type="cellIs" dxfId="92" priority="52" operator="lessThanOrEqual">
      <formula>-0.03</formula>
    </cfRule>
  </conditionalFormatting>
  <conditionalFormatting sqref="AQ90:AQ94">
    <cfRule type="cellIs" dxfId="91" priority="49" operator="greaterThanOrEqual">
      <formula>0.03</formula>
    </cfRule>
    <cfRule type="cellIs" dxfId="90" priority="50" operator="lessThanOrEqual">
      <formula>-0.03</formula>
    </cfRule>
  </conditionalFormatting>
  <conditionalFormatting sqref="AV95:AV109">
    <cfRule type="cellIs" dxfId="89" priority="47" operator="greaterThanOrEqual">
      <formula>0.03</formula>
    </cfRule>
    <cfRule type="cellIs" dxfId="88" priority="48" operator="lessThanOrEqual">
      <formula>-0.03</formula>
    </cfRule>
  </conditionalFormatting>
  <conditionalFormatting sqref="AV110:AV114">
    <cfRule type="cellIs" dxfId="87" priority="45" operator="greaterThanOrEqual">
      <formula>0.03</formula>
    </cfRule>
    <cfRule type="cellIs" dxfId="86" priority="46" operator="lessThanOrEqual">
      <formula>-0.03</formula>
    </cfRule>
  </conditionalFormatting>
  <conditionalFormatting sqref="AZ95:AZ109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AZ110:AZ114">
    <cfRule type="cellIs" dxfId="83" priority="41" operator="greaterThanOrEqual">
      <formula>0.03</formula>
    </cfRule>
    <cfRule type="cellIs" dxfId="82" priority="42" operator="lessThanOrEqual">
      <formula>-0.03</formula>
    </cfRule>
  </conditionalFormatting>
  <conditionalFormatting sqref="AW25:AY34">
    <cfRule type="cellIs" dxfId="81" priority="39" operator="greaterThanOrEqual">
      <formula>0.03</formula>
    </cfRule>
    <cfRule type="cellIs" dxfId="80" priority="40" operator="lessThanOrEqual">
      <formula>-0.03</formula>
    </cfRule>
  </conditionalFormatting>
  <conditionalFormatting sqref="AS25:AU34">
    <cfRule type="cellIs" dxfId="79" priority="37" operator="greaterThanOrEqual">
      <formula>0.03</formula>
    </cfRule>
    <cfRule type="cellIs" dxfId="78" priority="38" operator="lessThanOrEqual">
      <formula>-0.03</formula>
    </cfRule>
  </conditionalFormatting>
  <conditionalFormatting sqref="AQ25:AQ34">
    <cfRule type="cellIs" dxfId="77" priority="35" operator="greaterThanOrEqual">
      <formula>0.03</formula>
    </cfRule>
    <cfRule type="cellIs" dxfId="76" priority="36" operator="lessThanOrEqual">
      <formula>-0.03</formula>
    </cfRule>
  </conditionalFormatting>
  <conditionalFormatting sqref="AW5:AY19">
    <cfRule type="cellIs" dxfId="75" priority="33" operator="greaterThanOrEqual">
      <formula>0.03</formula>
    </cfRule>
    <cfRule type="cellIs" dxfId="74" priority="34" operator="lessThanOrEqual">
      <formula>-0.03</formula>
    </cfRule>
  </conditionalFormatting>
  <conditionalFormatting sqref="AS5:AU19">
    <cfRule type="cellIs" dxfId="73" priority="31" operator="greaterThanOrEqual">
      <formula>0.03</formula>
    </cfRule>
    <cfRule type="cellIs" dxfId="72" priority="32" operator="lessThanOrEqual">
      <formula>-0.03</formula>
    </cfRule>
  </conditionalFormatting>
  <conditionalFormatting sqref="AQ5:AQ19">
    <cfRule type="cellIs" dxfId="71" priority="29" operator="greaterThanOrEqual">
      <formula>0.03</formula>
    </cfRule>
    <cfRule type="cellIs" dxfId="70" priority="30" operator="lessThanOrEqual">
      <formula>-0.03</formula>
    </cfRule>
  </conditionalFormatting>
  <conditionalFormatting sqref="AW20:AY24">
    <cfRule type="cellIs" dxfId="69" priority="27" operator="greaterThanOrEqual">
      <formula>0.03</formula>
    </cfRule>
    <cfRule type="cellIs" dxfId="68" priority="28" operator="lessThanOrEqual">
      <formula>-0.03</formula>
    </cfRule>
  </conditionalFormatting>
  <conditionalFormatting sqref="AS20:AU24">
    <cfRule type="cellIs" dxfId="67" priority="25" operator="greaterThanOrEqual">
      <formula>0.03</formula>
    </cfRule>
    <cfRule type="cellIs" dxfId="66" priority="26" operator="lessThanOrEqual">
      <formula>-0.03</formula>
    </cfRule>
  </conditionalFormatting>
  <conditionalFormatting sqref="AQ20:AQ24">
    <cfRule type="cellIs" dxfId="65" priority="23" operator="greaterThanOrEqual">
      <formula>0.03</formula>
    </cfRule>
    <cfRule type="cellIs" dxfId="64" priority="24" operator="lessThanOrEqual">
      <formula>-0.03</formula>
    </cfRule>
  </conditionalFormatting>
  <conditionalFormatting sqref="AR95:AR99">
    <cfRule type="cellIs" dxfId="63" priority="3" operator="greaterThanOrEqual">
      <formula>0.03</formula>
    </cfRule>
    <cfRule type="cellIs" dxfId="62" priority="4" operator="lessThanOrEqual">
      <formula>-0.03</formula>
    </cfRule>
  </conditionalFormatting>
  <conditionalFormatting sqref="AR100:AR114">
    <cfRule type="cellIs" dxfId="61" priority="1" operator="greaterThanOrEqual">
      <formula>0.03</formula>
    </cfRule>
    <cfRule type="cellIs" dxfId="60" priority="2" operator="lessThanOrEqual">
      <formula>-0.03</formula>
    </cfRule>
  </conditionalFormatting>
  <conditionalFormatting sqref="AV40:AV64">
    <cfRule type="cellIs" dxfId="59" priority="13" operator="greaterThanOrEqual">
      <formula>0.03</formula>
    </cfRule>
    <cfRule type="cellIs" dxfId="58" priority="14" operator="lessThanOrEqual">
      <formula>-0.03</formula>
    </cfRule>
  </conditionalFormatting>
  <conditionalFormatting sqref="AZ40:AZ64">
    <cfRule type="cellIs" dxfId="57" priority="11" operator="greaterThanOrEqual">
      <formula>0.03</formula>
    </cfRule>
    <cfRule type="cellIs" dxfId="56" priority="12" operator="lessThanOrEqual">
      <formula>-0.03</formula>
    </cfRule>
  </conditionalFormatting>
  <conditionalFormatting sqref="AR65:AR69">
    <cfRule type="cellIs" dxfId="55" priority="9" operator="greaterThanOrEqual">
      <formula>0.03</formula>
    </cfRule>
    <cfRule type="cellIs" dxfId="54" priority="10" operator="lessThanOrEqual">
      <formula>-0.03</formula>
    </cfRule>
  </conditionalFormatting>
  <conditionalFormatting sqref="AR35:AR39">
    <cfRule type="cellIs" dxfId="53" priority="21" operator="greaterThanOrEqual">
      <formula>0.03</formula>
    </cfRule>
    <cfRule type="cellIs" dxfId="52" priority="22" operator="lessThanOrEqual">
      <formula>-0.03</formula>
    </cfRule>
  </conditionalFormatting>
  <conditionalFormatting sqref="AV35:AV39">
    <cfRule type="cellIs" dxfId="51" priority="19" operator="greaterThanOrEqual">
      <formula>0.03</formula>
    </cfRule>
    <cfRule type="cellIs" dxfId="50" priority="20" operator="lessThanOrEqual">
      <formula>-0.03</formula>
    </cfRule>
  </conditionalFormatting>
  <conditionalFormatting sqref="AZ35:AZ39">
    <cfRule type="cellIs" dxfId="49" priority="17" operator="greaterThanOrEqual">
      <formula>0.03</formula>
    </cfRule>
    <cfRule type="cellIs" dxfId="48" priority="18" operator="lessThanOrEqual">
      <formula>-0.03</formula>
    </cfRule>
  </conditionalFormatting>
  <conditionalFormatting sqref="AR40:AR64">
    <cfRule type="cellIs" dxfId="47" priority="15" operator="greaterThanOrEqual">
      <formula>0.03</formula>
    </cfRule>
    <cfRule type="cellIs" dxfId="46" priority="16" operator="lessThanOrEqual">
      <formula>-0.03</formula>
    </cfRule>
  </conditionalFormatting>
  <conditionalFormatting sqref="AV65:AV69">
    <cfRule type="cellIs" dxfId="45" priority="7" operator="greaterThanOrEqual">
      <formula>0.03</formula>
    </cfRule>
    <cfRule type="cellIs" dxfId="44" priority="8" operator="lessThanOrEqual">
      <formula>-0.03</formula>
    </cfRule>
  </conditionalFormatting>
  <conditionalFormatting sqref="AZ65:AZ69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Y38"/>
  <sheetViews>
    <sheetView workbookViewId="0">
      <selection sqref="A1:F1"/>
    </sheetView>
  </sheetViews>
  <sheetFormatPr defaultColWidth="8.625" defaultRowHeight="13.5" outlineLevelRow="2"/>
  <cols>
    <col min="1" max="1" width="8.625" style="1"/>
    <col min="2" max="2" width="23.625" style="1" bestFit="1" customWidth="1"/>
    <col min="3" max="4" width="10.875" style="1" customWidth="1"/>
    <col min="5" max="6" width="8.625" style="1"/>
    <col min="7" max="7" width="1.875" style="1" customWidth="1"/>
    <col min="8" max="9" width="8.625" style="1"/>
    <col min="10" max="12" width="10.875" style="1" customWidth="1"/>
    <col min="13" max="13" width="11.875" style="1" customWidth="1"/>
    <col min="14" max="14" width="12.875" style="1" customWidth="1"/>
    <col min="15" max="15" width="10.875" style="1" customWidth="1"/>
    <col min="16" max="19" width="12.875" style="1" customWidth="1"/>
    <col min="20" max="24" width="8.625" style="1"/>
    <col min="25" max="25" width="1.875" style="1" customWidth="1"/>
    <col min="26" max="27" width="8.625" style="1"/>
    <col min="28" max="30" width="10.875" style="1" customWidth="1"/>
    <col min="31" max="31" width="11.875" style="1" customWidth="1"/>
    <col min="32" max="32" width="12.875" style="1" customWidth="1"/>
    <col min="33" max="33" width="10.875" style="1" customWidth="1"/>
    <col min="34" max="37" width="12.875" style="1" customWidth="1"/>
    <col min="38" max="42" width="8.625" style="1"/>
    <col min="43" max="43" width="1.875" style="1" customWidth="1"/>
    <col min="44" max="44" width="8.625" style="1"/>
    <col min="45" max="45" width="9.875" style="1" customWidth="1"/>
    <col min="46" max="51" width="8.625" style="1"/>
    <col min="52" max="52" width="1.875" style="1" customWidth="1"/>
    <col min="53" max="16384" width="8.625" style="1"/>
  </cols>
  <sheetData>
    <row r="1" spans="1:51" ht="14.25" thickBot="1">
      <c r="A1" s="702" t="s">
        <v>1382</v>
      </c>
      <c r="B1" s="703"/>
      <c r="C1" s="703"/>
      <c r="D1" s="703"/>
      <c r="E1" s="703"/>
      <c r="F1" s="704"/>
      <c r="H1" s="757" t="str">
        <f>Summary!C1</f>
        <v>pcrm-dev-3.2-attr-ccp</v>
      </c>
      <c r="I1" s="758"/>
      <c r="J1" s="758"/>
      <c r="K1" s="758"/>
      <c r="L1" s="758"/>
      <c r="M1" s="758"/>
      <c r="N1" s="758"/>
      <c r="O1" s="758"/>
      <c r="P1" s="758"/>
      <c r="Q1" s="758"/>
      <c r="R1" s="758"/>
      <c r="S1" s="758"/>
      <c r="T1" s="758"/>
      <c r="U1" s="758"/>
      <c r="V1" s="758"/>
      <c r="W1" s="758"/>
      <c r="X1" s="759"/>
      <c r="Z1" s="708" t="str">
        <f>Summary!C2</f>
        <v>pcrm-dev-3.3-attr-cache-impr</v>
      </c>
      <c r="AA1" s="623"/>
      <c r="AB1" s="623"/>
      <c r="AC1" s="623"/>
      <c r="AD1" s="623"/>
      <c r="AE1" s="623"/>
      <c r="AF1" s="623"/>
      <c r="AG1" s="623"/>
      <c r="AH1" s="623"/>
      <c r="AI1" s="623"/>
      <c r="AJ1" s="623"/>
      <c r="AK1" s="623"/>
      <c r="AL1" s="623"/>
      <c r="AM1" s="623"/>
      <c r="AN1" s="623"/>
      <c r="AO1" s="623"/>
      <c r="AP1" s="624"/>
    </row>
    <row r="2" spans="1:51" ht="30" customHeight="1">
      <c r="A2" s="727" t="s">
        <v>48</v>
      </c>
      <c r="B2" s="721" t="s">
        <v>50</v>
      </c>
      <c r="C2" s="721" t="s">
        <v>54</v>
      </c>
      <c r="D2" s="721" t="s">
        <v>56</v>
      </c>
      <c r="E2" s="721" t="s">
        <v>58</v>
      </c>
      <c r="F2" s="723" t="s">
        <v>60</v>
      </c>
      <c r="H2" s="764" t="s">
        <v>143</v>
      </c>
      <c r="I2" s="760" t="s">
        <v>62</v>
      </c>
      <c r="J2" s="760" t="s">
        <v>64</v>
      </c>
      <c r="K2" s="760"/>
      <c r="L2" s="760"/>
      <c r="M2" s="760"/>
      <c r="N2" s="760" t="s">
        <v>498</v>
      </c>
      <c r="O2" s="760" t="s">
        <v>14</v>
      </c>
      <c r="P2" s="760" t="s">
        <v>75</v>
      </c>
      <c r="Q2" s="760"/>
      <c r="R2" s="760"/>
      <c r="S2" s="760"/>
      <c r="T2" s="760" t="s">
        <v>486</v>
      </c>
      <c r="U2" s="760" t="s">
        <v>499</v>
      </c>
      <c r="V2" s="760" t="s">
        <v>92</v>
      </c>
      <c r="W2" s="760" t="s">
        <v>94</v>
      </c>
      <c r="X2" s="761" t="s">
        <v>11</v>
      </c>
      <c r="Z2" s="719" t="s">
        <v>143</v>
      </c>
      <c r="AA2" s="713" t="s">
        <v>62</v>
      </c>
      <c r="AB2" s="713" t="s">
        <v>64</v>
      </c>
      <c r="AC2" s="713"/>
      <c r="AD2" s="713"/>
      <c r="AE2" s="713"/>
      <c r="AF2" s="713" t="s">
        <v>485</v>
      </c>
      <c r="AG2" s="713" t="s">
        <v>14</v>
      </c>
      <c r="AH2" s="713" t="s">
        <v>75</v>
      </c>
      <c r="AI2" s="713"/>
      <c r="AJ2" s="713"/>
      <c r="AK2" s="713"/>
      <c r="AL2" s="713" t="s">
        <v>911</v>
      </c>
      <c r="AM2" s="713" t="s">
        <v>910</v>
      </c>
      <c r="AN2" s="713" t="s">
        <v>92</v>
      </c>
      <c r="AO2" s="713" t="s">
        <v>94</v>
      </c>
      <c r="AP2" s="709" t="s">
        <v>11</v>
      </c>
      <c r="AR2" s="741" t="s">
        <v>146</v>
      </c>
      <c r="AS2" s="742"/>
      <c r="AT2" s="742"/>
      <c r="AU2" s="742"/>
      <c r="AV2" s="742" t="s">
        <v>117</v>
      </c>
      <c r="AW2" s="742" t="s">
        <v>119</v>
      </c>
      <c r="AX2" s="742" t="s">
        <v>500</v>
      </c>
      <c r="AY2" s="743" t="s">
        <v>501</v>
      </c>
    </row>
    <row r="3" spans="1:51" ht="27.75" thickBot="1">
      <c r="A3" s="766"/>
      <c r="B3" s="762"/>
      <c r="C3" s="762"/>
      <c r="D3" s="762"/>
      <c r="E3" s="762"/>
      <c r="F3" s="763"/>
      <c r="H3" s="765"/>
      <c r="I3" s="625"/>
      <c r="J3" s="614" t="s">
        <v>65</v>
      </c>
      <c r="K3" s="614" t="s">
        <v>67</v>
      </c>
      <c r="L3" s="614" t="s">
        <v>69</v>
      </c>
      <c r="M3" s="614" t="s">
        <v>71</v>
      </c>
      <c r="N3" s="625"/>
      <c r="O3" s="625"/>
      <c r="P3" s="614" t="s">
        <v>65</v>
      </c>
      <c r="Q3" s="614" t="s">
        <v>67</v>
      </c>
      <c r="R3" s="614" t="s">
        <v>78</v>
      </c>
      <c r="S3" s="614" t="s">
        <v>71</v>
      </c>
      <c r="T3" s="625"/>
      <c r="U3" s="625"/>
      <c r="V3" s="625"/>
      <c r="W3" s="625"/>
      <c r="X3" s="626"/>
      <c r="Z3" s="720"/>
      <c r="AA3" s="714"/>
      <c r="AB3" s="618" t="s">
        <v>65</v>
      </c>
      <c r="AC3" s="618" t="s">
        <v>67</v>
      </c>
      <c r="AD3" s="618" t="s">
        <v>69</v>
      </c>
      <c r="AE3" s="618" t="s">
        <v>71</v>
      </c>
      <c r="AF3" s="714"/>
      <c r="AG3" s="714"/>
      <c r="AH3" s="618" t="s">
        <v>65</v>
      </c>
      <c r="AI3" s="618" t="s">
        <v>67</v>
      </c>
      <c r="AJ3" s="618" t="s">
        <v>78</v>
      </c>
      <c r="AK3" s="618" t="s">
        <v>71</v>
      </c>
      <c r="AL3" s="714"/>
      <c r="AM3" s="714"/>
      <c r="AN3" s="714"/>
      <c r="AO3" s="714"/>
      <c r="AP3" s="710"/>
      <c r="AR3" s="617" t="s">
        <v>65</v>
      </c>
      <c r="AS3" s="615" t="s">
        <v>67</v>
      </c>
      <c r="AT3" s="615" t="s">
        <v>78</v>
      </c>
      <c r="AU3" s="615" t="s">
        <v>71</v>
      </c>
      <c r="AV3" s="691"/>
      <c r="AW3" s="691"/>
      <c r="AX3" s="691"/>
      <c r="AY3" s="693"/>
    </row>
    <row r="4" spans="1:51" ht="12.6" hidden="1" customHeight="1">
      <c r="A4" s="97" t="s">
        <v>49</v>
      </c>
      <c r="B4" s="98" t="s">
        <v>51</v>
      </c>
      <c r="C4" s="98" t="s">
        <v>55</v>
      </c>
      <c r="D4" s="98" t="s">
        <v>57</v>
      </c>
      <c r="E4" s="98" t="s">
        <v>59</v>
      </c>
      <c r="F4" s="99" t="s">
        <v>61</v>
      </c>
      <c r="H4" s="97" t="s">
        <v>144</v>
      </c>
      <c r="I4" s="98" t="s">
        <v>63</v>
      </c>
      <c r="J4" s="98" t="s">
        <v>66</v>
      </c>
      <c r="K4" s="98" t="s">
        <v>68</v>
      </c>
      <c r="L4" s="98" t="s">
        <v>70</v>
      </c>
      <c r="M4" s="98" t="s">
        <v>72</v>
      </c>
      <c r="N4" s="98" t="s">
        <v>73</v>
      </c>
      <c r="O4" s="98" t="s">
        <v>74</v>
      </c>
      <c r="P4" s="98" t="s">
        <v>76</v>
      </c>
      <c r="Q4" s="98" t="s">
        <v>77</v>
      </c>
      <c r="R4" s="98" t="s">
        <v>79</v>
      </c>
      <c r="S4" s="98" t="s">
        <v>80</v>
      </c>
      <c r="T4" s="98" t="s">
        <v>89</v>
      </c>
      <c r="U4" s="98" t="s">
        <v>91</v>
      </c>
      <c r="V4" s="98" t="s">
        <v>93</v>
      </c>
      <c r="W4" s="98" t="s">
        <v>95</v>
      </c>
      <c r="X4" s="99" t="s">
        <v>96</v>
      </c>
      <c r="Z4" s="97" t="s">
        <v>145</v>
      </c>
      <c r="AA4" s="98" t="s">
        <v>97</v>
      </c>
      <c r="AB4" s="98" t="s">
        <v>98</v>
      </c>
      <c r="AC4" s="98" t="s">
        <v>99</v>
      </c>
      <c r="AD4" s="98" t="s">
        <v>100</v>
      </c>
      <c r="AE4" s="98" t="s">
        <v>101</v>
      </c>
      <c r="AF4" s="98" t="s">
        <v>102</v>
      </c>
      <c r="AG4" s="98" t="s">
        <v>103</v>
      </c>
      <c r="AH4" s="98" t="s">
        <v>104</v>
      </c>
      <c r="AI4" s="98" t="s">
        <v>105</v>
      </c>
      <c r="AJ4" s="98" t="s">
        <v>106</v>
      </c>
      <c r="AK4" s="98" t="s">
        <v>107</v>
      </c>
      <c r="AL4" s="98" t="s">
        <v>112</v>
      </c>
      <c r="AM4" s="98" t="s">
        <v>113</v>
      </c>
      <c r="AN4" s="98" t="s">
        <v>114</v>
      </c>
      <c r="AO4" s="98" t="s">
        <v>115</v>
      </c>
      <c r="AP4" s="99" t="s">
        <v>116</v>
      </c>
      <c r="AR4" s="97" t="s">
        <v>147</v>
      </c>
      <c r="AS4" s="98" t="s">
        <v>148</v>
      </c>
      <c r="AT4" s="98" t="s">
        <v>149</v>
      </c>
      <c r="AU4" s="98" t="s">
        <v>150</v>
      </c>
      <c r="AV4" s="98" t="s">
        <v>118</v>
      </c>
      <c r="AW4" s="98" t="s">
        <v>120</v>
      </c>
      <c r="AX4" s="98" t="s">
        <v>505</v>
      </c>
      <c r="AY4" s="99" t="s">
        <v>509</v>
      </c>
    </row>
    <row r="5" spans="1:51" s="144" customFormat="1" collapsed="1">
      <c r="A5" s="140" t="s">
        <v>1140</v>
      </c>
      <c r="B5" s="290" t="s">
        <v>983</v>
      </c>
      <c r="C5" s="300">
        <v>9378695</v>
      </c>
      <c r="D5" s="299">
        <v>17</v>
      </c>
      <c r="E5" s="299">
        <v>1</v>
      </c>
      <c r="F5" s="309"/>
      <c r="H5" s="151">
        <f>IF(ISBLANK(P5),"·",P5/(C5*D5*3))</f>
        <v>0.51278550198395534</v>
      </c>
      <c r="I5" s="152" t="str">
        <f t="shared" ref="I5:I26" si="0">IF(OR(ISBLANK(P5),ISBLANK(F5)),"·",P5*F5/E5/1000000)</f>
        <v>·</v>
      </c>
      <c r="J5" s="153">
        <f t="shared" ref="J5:J26" si="1">IF(ISBLANK(P5),"·",P5/C5)</f>
        <v>26.15206060118172</v>
      </c>
      <c r="K5" s="153">
        <f t="shared" ref="K5:K26" si="2">IF(Q5="","·",Q5/C5)</f>
        <v>15.231585204551379</v>
      </c>
      <c r="L5" s="154"/>
      <c r="M5" s="153">
        <f t="shared" ref="M5:M10" si="3">IF(ISBLANK(Q5),"·",S5/C5)</f>
        <v>10.92040289187355</v>
      </c>
      <c r="N5" s="153">
        <f t="shared" ref="N5:N26" si="4">IF(ISBLANK(P5),"·",P5/O5)</f>
        <v>26.15206060118172</v>
      </c>
      <c r="O5" s="352">
        <v>9378695</v>
      </c>
      <c r="P5" s="142">
        <v>245272200</v>
      </c>
      <c r="Q5" s="142">
        <v>142852392</v>
      </c>
      <c r="R5" s="104"/>
      <c r="S5" s="142">
        <v>102419128</v>
      </c>
      <c r="T5" s="155"/>
      <c r="U5" s="155"/>
      <c r="V5" s="156">
        <v>0</v>
      </c>
      <c r="W5" s="156">
        <v>0</v>
      </c>
      <c r="X5" s="157"/>
      <c r="Z5" s="151" t="str">
        <f>IF(ISBLANK(AH5),"·",AH5/(C5*D5*3))</f>
        <v>·</v>
      </c>
      <c r="AA5" s="152" t="str">
        <f t="shared" ref="AA5:AA26" si="5">IF(OR(ISBLANK(AH5),ISBLANK(F5)),"·",AH5*F5/E5/1000000)</f>
        <v>·</v>
      </c>
      <c r="AB5" s="153" t="str">
        <f t="shared" ref="AB5:AB26" si="6">IF(ISBLANK(AH5),"·",AH5/C5)</f>
        <v>·</v>
      </c>
      <c r="AC5" s="153" t="str">
        <f t="shared" ref="AC5:AD20" si="7">IF(AI5="","·",AI5/$C5)</f>
        <v>·</v>
      </c>
      <c r="AD5" s="104"/>
      <c r="AE5" s="153" t="str">
        <f t="shared" ref="AE5:AE10" si="8">IF(ISBLANK(AI5),"·",AK5/C5)</f>
        <v>·</v>
      </c>
      <c r="AF5" s="153" t="str">
        <f t="shared" ref="AF5:AF26" si="9">IF(ISBLANK(AH5),"·",AH5/AG5)</f>
        <v>·</v>
      </c>
      <c r="AG5" s="352"/>
      <c r="AH5" s="142"/>
      <c r="AI5" s="142"/>
      <c r="AJ5" s="104"/>
      <c r="AK5" s="142"/>
      <c r="AL5" s="155"/>
      <c r="AM5" s="155"/>
      <c r="AN5" s="156">
        <v>0</v>
      </c>
      <c r="AO5" s="156">
        <v>0</v>
      </c>
      <c r="AP5" s="157"/>
      <c r="AR5" s="172" t="e">
        <f t="shared" ref="AR5:AT20" si="10">AB5/J5</f>
        <v>#VALUE!</v>
      </c>
      <c r="AS5" s="173" t="e">
        <f t="shared" si="10"/>
        <v>#VALUE!</v>
      </c>
      <c r="AT5" s="104"/>
      <c r="AU5" s="173" t="e">
        <f t="shared" ref="AU5:AU10" si="11">AE5/M5</f>
        <v>#VALUE!</v>
      </c>
      <c r="AV5" s="174" t="e">
        <f t="shared" ref="AV5:AW20" si="12">AN5/V5</f>
        <v>#DIV/0!</v>
      </c>
      <c r="AW5" s="174" t="e">
        <f t="shared" si="12"/>
        <v>#DIV/0!</v>
      </c>
      <c r="AX5" s="174" t="e">
        <f t="shared" ref="AX5:AX26" si="13">(AI5/AH5) - (Q5/P5)</f>
        <v>#DIV/0!</v>
      </c>
      <c r="AY5" s="175" t="e">
        <f t="array" ref="AY5">AVERAGE(AI5:AI5/AH5:AH5) - AVERAGE(Q5:Q5/P5:P5)</f>
        <v>#DIV/0!</v>
      </c>
    </row>
    <row r="6" spans="1:51" s="144" customFormat="1" collapsed="1">
      <c r="A6" s="145"/>
      <c r="B6" s="295" t="s">
        <v>984</v>
      </c>
      <c r="C6" s="300">
        <v>9477876</v>
      </c>
      <c r="D6" s="299">
        <v>19</v>
      </c>
      <c r="E6" s="299">
        <v>1</v>
      </c>
      <c r="F6" s="310"/>
      <c r="H6" s="158">
        <f t="shared" ref="H6:H26" si="14">IF(ISBLANK(P6),"·",P6/(C6*D6*3))</f>
        <v>0.49011065348396626</v>
      </c>
      <c r="I6" s="159" t="str">
        <f t="shared" si="0"/>
        <v>·</v>
      </c>
      <c r="J6" s="160">
        <f t="shared" si="1"/>
        <v>27.936307248586076</v>
      </c>
      <c r="K6" s="160">
        <f t="shared" si="2"/>
        <v>16.495123590981777</v>
      </c>
      <c r="L6" s="161"/>
      <c r="M6" s="160">
        <f t="shared" si="3"/>
        <v>11.441106003074951</v>
      </c>
      <c r="N6" s="160">
        <f t="shared" si="4"/>
        <v>27.936307248586076</v>
      </c>
      <c r="O6" s="356">
        <v>9477876</v>
      </c>
      <c r="P6" s="147">
        <v>264776856</v>
      </c>
      <c r="Q6" s="147">
        <v>156338736</v>
      </c>
      <c r="R6" s="106"/>
      <c r="S6" s="147">
        <v>108437384</v>
      </c>
      <c r="T6" s="162"/>
      <c r="U6" s="162"/>
      <c r="V6" s="163">
        <v>0</v>
      </c>
      <c r="W6" s="163">
        <v>0</v>
      </c>
      <c r="X6" s="164"/>
      <c r="Z6" s="158" t="str">
        <f t="shared" ref="Z6:Z26" si="15">IF(ISBLANK(AH6),"·",AH6/(C6*D6*3))</f>
        <v>·</v>
      </c>
      <c r="AA6" s="159" t="str">
        <f t="shared" si="5"/>
        <v>·</v>
      </c>
      <c r="AB6" s="160" t="str">
        <f t="shared" si="6"/>
        <v>·</v>
      </c>
      <c r="AC6" s="160" t="str">
        <f t="shared" si="7"/>
        <v>·</v>
      </c>
      <c r="AD6" s="106"/>
      <c r="AE6" s="160" t="str">
        <f t="shared" si="8"/>
        <v>·</v>
      </c>
      <c r="AF6" s="160" t="str">
        <f t="shared" si="9"/>
        <v>·</v>
      </c>
      <c r="AG6" s="356"/>
      <c r="AH6" s="147"/>
      <c r="AI6" s="147"/>
      <c r="AJ6" s="106"/>
      <c r="AK6" s="147"/>
      <c r="AL6" s="162"/>
      <c r="AM6" s="162"/>
      <c r="AN6" s="163">
        <v>0</v>
      </c>
      <c r="AO6" s="163">
        <v>0</v>
      </c>
      <c r="AP6" s="164"/>
      <c r="AR6" s="176" t="e">
        <f t="shared" si="10"/>
        <v>#VALUE!</v>
      </c>
      <c r="AS6" s="177" t="e">
        <f t="shared" si="10"/>
        <v>#VALUE!</v>
      </c>
      <c r="AT6" s="106"/>
      <c r="AU6" s="177" t="e">
        <f t="shared" si="11"/>
        <v>#VALUE!</v>
      </c>
      <c r="AV6" s="178" t="e">
        <f t="shared" si="12"/>
        <v>#DIV/0!</v>
      </c>
      <c r="AW6" s="178" t="e">
        <f t="shared" si="12"/>
        <v>#DIV/0!</v>
      </c>
      <c r="AX6" s="178" t="e">
        <f t="shared" si="13"/>
        <v>#DIV/0!</v>
      </c>
      <c r="AY6" s="179" t="e">
        <f t="array" ref="AY6">AVERAGE(AI6:AI6/AH6:AH6) - AVERAGE(Q6:Q6/P6:P6)</f>
        <v>#DIV/0!</v>
      </c>
    </row>
    <row r="7" spans="1:51" s="114" customFormat="1" ht="14.25" collapsed="1" thickBot="1">
      <c r="A7" s="145"/>
      <c r="B7" s="291" t="s">
        <v>985</v>
      </c>
      <c r="C7" s="300">
        <v>9740660</v>
      </c>
      <c r="D7" s="299">
        <v>20</v>
      </c>
      <c r="E7" s="299">
        <v>1</v>
      </c>
      <c r="F7" s="310"/>
      <c r="G7" s="219"/>
      <c r="H7" s="158">
        <f t="shared" si="14"/>
        <v>0.43149077509463768</v>
      </c>
      <c r="I7" s="159" t="str">
        <f t="shared" si="0"/>
        <v>·</v>
      </c>
      <c r="J7" s="160">
        <f t="shared" si="1"/>
        <v>25.889446505678261</v>
      </c>
      <c r="K7" s="160">
        <f t="shared" si="2"/>
        <v>15.062052879373677</v>
      </c>
      <c r="L7" s="161"/>
      <c r="M7" s="160">
        <f t="shared" si="3"/>
        <v>10.82731806674291</v>
      </c>
      <c r="N7" s="160">
        <f t="shared" si="4"/>
        <v>25.889446505678261</v>
      </c>
      <c r="O7" s="356">
        <v>9740660</v>
      </c>
      <c r="P7" s="147">
        <v>252180296</v>
      </c>
      <c r="Q7" s="147">
        <v>146714336</v>
      </c>
      <c r="R7" s="106"/>
      <c r="S7" s="147">
        <v>105465224</v>
      </c>
      <c r="T7" s="162"/>
      <c r="U7" s="162"/>
      <c r="V7" s="163">
        <v>0</v>
      </c>
      <c r="W7" s="163">
        <v>0</v>
      </c>
      <c r="X7" s="164"/>
      <c r="Y7" s="219"/>
      <c r="Z7" s="158" t="str">
        <f t="shared" si="15"/>
        <v>·</v>
      </c>
      <c r="AA7" s="159" t="str">
        <f t="shared" si="5"/>
        <v>·</v>
      </c>
      <c r="AB7" s="160" t="str">
        <f t="shared" si="6"/>
        <v>·</v>
      </c>
      <c r="AC7" s="160" t="str">
        <f t="shared" si="7"/>
        <v>·</v>
      </c>
      <c r="AD7" s="106"/>
      <c r="AE7" s="160" t="str">
        <f t="shared" si="8"/>
        <v>·</v>
      </c>
      <c r="AF7" s="160" t="str">
        <f t="shared" si="9"/>
        <v>·</v>
      </c>
      <c r="AG7" s="356"/>
      <c r="AH7" s="147"/>
      <c r="AI7" s="147"/>
      <c r="AJ7" s="106"/>
      <c r="AK7" s="147"/>
      <c r="AL7" s="162"/>
      <c r="AM7" s="162"/>
      <c r="AN7" s="163">
        <v>0</v>
      </c>
      <c r="AO7" s="163">
        <v>0</v>
      </c>
      <c r="AP7" s="164"/>
      <c r="AQ7" s="219"/>
      <c r="AR7" s="176" t="e">
        <f t="shared" si="10"/>
        <v>#VALUE!</v>
      </c>
      <c r="AS7" s="177" t="e">
        <f t="shared" si="10"/>
        <v>#VALUE!</v>
      </c>
      <c r="AT7" s="106"/>
      <c r="AU7" s="177" t="e">
        <f t="shared" si="11"/>
        <v>#VALUE!</v>
      </c>
      <c r="AV7" s="182" t="e">
        <f t="shared" si="12"/>
        <v>#DIV/0!</v>
      </c>
      <c r="AW7" s="182" t="e">
        <f t="shared" si="12"/>
        <v>#DIV/0!</v>
      </c>
      <c r="AX7" s="182" t="e">
        <f t="shared" si="13"/>
        <v>#DIV/0!</v>
      </c>
      <c r="AY7" s="183" t="e">
        <f t="array" ref="AY7">AVERAGE(AI7:AI7/AH7:AH7) - AVERAGE(Q7:Q7/P7:P7)</f>
        <v>#DIV/0!</v>
      </c>
    </row>
    <row r="8" spans="1:51" s="144" customFormat="1" collapsed="1">
      <c r="A8" s="145"/>
      <c r="B8" s="295" t="s">
        <v>986</v>
      </c>
      <c r="C8" s="307">
        <v>5865647</v>
      </c>
      <c r="D8" s="299">
        <v>19</v>
      </c>
      <c r="E8" s="299">
        <v>1</v>
      </c>
      <c r="F8" s="310"/>
      <c r="H8" s="526">
        <f t="shared" si="14"/>
        <v>0.46373174806497991</v>
      </c>
      <c r="I8" s="527" t="str">
        <f t="shared" si="0"/>
        <v>·</v>
      </c>
      <c r="J8" s="528">
        <f t="shared" si="1"/>
        <v>26.432709639703855</v>
      </c>
      <c r="K8" s="528">
        <f t="shared" si="2"/>
        <v>15.243402134495989</v>
      </c>
      <c r="L8" s="529"/>
      <c r="M8" s="528">
        <f t="shared" si="3"/>
        <v>11.189191575967664</v>
      </c>
      <c r="N8" s="528">
        <f t="shared" si="4"/>
        <v>26.432709639703855</v>
      </c>
      <c r="O8" s="364">
        <v>5865647</v>
      </c>
      <c r="P8" s="530">
        <v>155044944</v>
      </c>
      <c r="Q8" s="530">
        <v>89412416</v>
      </c>
      <c r="R8" s="138"/>
      <c r="S8" s="530">
        <v>65631848</v>
      </c>
      <c r="T8" s="531"/>
      <c r="U8" s="531"/>
      <c r="V8" s="532">
        <v>0</v>
      </c>
      <c r="W8" s="532">
        <v>0</v>
      </c>
      <c r="X8" s="533"/>
      <c r="Z8" s="526" t="str">
        <f t="shared" si="15"/>
        <v>·</v>
      </c>
      <c r="AA8" s="527" t="str">
        <f t="shared" si="5"/>
        <v>·</v>
      </c>
      <c r="AB8" s="528" t="str">
        <f t="shared" si="6"/>
        <v>·</v>
      </c>
      <c r="AC8" s="528" t="str">
        <f t="shared" si="7"/>
        <v>·</v>
      </c>
      <c r="AD8" s="138"/>
      <c r="AE8" s="528" t="str">
        <f t="shared" si="8"/>
        <v>·</v>
      </c>
      <c r="AF8" s="528" t="str">
        <f t="shared" si="9"/>
        <v>·</v>
      </c>
      <c r="AG8" s="364"/>
      <c r="AH8" s="530"/>
      <c r="AI8" s="530"/>
      <c r="AJ8" s="138"/>
      <c r="AK8" s="530"/>
      <c r="AL8" s="531"/>
      <c r="AM8" s="531"/>
      <c r="AN8" s="532">
        <v>0</v>
      </c>
      <c r="AO8" s="532">
        <v>0</v>
      </c>
      <c r="AP8" s="533"/>
      <c r="AR8" s="240" t="e">
        <f t="shared" si="10"/>
        <v>#VALUE!</v>
      </c>
      <c r="AS8" s="241" t="e">
        <f t="shared" si="10"/>
        <v>#VALUE!</v>
      </c>
      <c r="AT8" s="138"/>
      <c r="AU8" s="241" t="e">
        <f t="shared" si="11"/>
        <v>#VALUE!</v>
      </c>
      <c r="AV8" s="174" t="e">
        <f t="shared" si="12"/>
        <v>#DIV/0!</v>
      </c>
      <c r="AW8" s="174" t="e">
        <f t="shared" si="12"/>
        <v>#DIV/0!</v>
      </c>
      <c r="AX8" s="174" t="e">
        <f t="shared" si="13"/>
        <v>#DIV/0!</v>
      </c>
      <c r="AY8" s="175" t="e">
        <f t="array" ref="AY8">AVERAGE(AI8:AI8/AH8:AH8) - AVERAGE(Q8:Q8/P8:P8)</f>
        <v>#DIV/0!</v>
      </c>
    </row>
    <row r="9" spans="1:51" s="144" customFormat="1" collapsed="1">
      <c r="A9" s="145"/>
      <c r="B9" s="291" t="s">
        <v>987</v>
      </c>
      <c r="C9" s="300">
        <v>5538380</v>
      </c>
      <c r="D9" s="299">
        <v>19</v>
      </c>
      <c r="E9" s="299">
        <v>1</v>
      </c>
      <c r="F9" s="310"/>
      <c r="H9" s="158">
        <f t="shared" si="14"/>
        <v>0.49557778723438223</v>
      </c>
      <c r="I9" s="159" t="str">
        <f t="shared" si="0"/>
        <v>·</v>
      </c>
      <c r="J9" s="160">
        <f t="shared" si="1"/>
        <v>28.247933872359788</v>
      </c>
      <c r="K9" s="160">
        <f t="shared" si="2"/>
        <v>16.990158132883622</v>
      </c>
      <c r="L9" s="161"/>
      <c r="M9" s="160">
        <f t="shared" si="3"/>
        <v>11.257644293096538</v>
      </c>
      <c r="N9" s="160">
        <f t="shared" si="4"/>
        <v>28.247933872359788</v>
      </c>
      <c r="O9" s="356">
        <v>5538380</v>
      </c>
      <c r="P9" s="147">
        <v>156447792</v>
      </c>
      <c r="Q9" s="147">
        <v>94097952</v>
      </c>
      <c r="R9" s="106"/>
      <c r="S9" s="147">
        <v>62349112</v>
      </c>
      <c r="T9" s="162"/>
      <c r="U9" s="162"/>
      <c r="V9" s="163">
        <v>0</v>
      </c>
      <c r="W9" s="163">
        <v>0</v>
      </c>
      <c r="X9" s="164"/>
      <c r="Z9" s="158" t="str">
        <f t="shared" si="15"/>
        <v>·</v>
      </c>
      <c r="AA9" s="159" t="str">
        <f t="shared" si="5"/>
        <v>·</v>
      </c>
      <c r="AB9" s="160" t="str">
        <f t="shared" si="6"/>
        <v>·</v>
      </c>
      <c r="AC9" s="160" t="str">
        <f t="shared" si="7"/>
        <v>·</v>
      </c>
      <c r="AD9" s="106"/>
      <c r="AE9" s="160" t="str">
        <f t="shared" si="8"/>
        <v>·</v>
      </c>
      <c r="AF9" s="160" t="str">
        <f t="shared" si="9"/>
        <v>·</v>
      </c>
      <c r="AG9" s="356"/>
      <c r="AH9" s="147"/>
      <c r="AI9" s="147"/>
      <c r="AJ9" s="106"/>
      <c r="AK9" s="147"/>
      <c r="AL9" s="162"/>
      <c r="AM9" s="162"/>
      <c r="AN9" s="163">
        <v>0</v>
      </c>
      <c r="AO9" s="163">
        <v>0</v>
      </c>
      <c r="AP9" s="164"/>
      <c r="AR9" s="176" t="e">
        <f t="shared" si="10"/>
        <v>#VALUE!</v>
      </c>
      <c r="AS9" s="177" t="e">
        <f t="shared" si="10"/>
        <v>#VALUE!</v>
      </c>
      <c r="AT9" s="106"/>
      <c r="AU9" s="177" t="e">
        <f t="shared" si="11"/>
        <v>#VALUE!</v>
      </c>
      <c r="AV9" s="178" t="e">
        <f t="shared" si="12"/>
        <v>#DIV/0!</v>
      </c>
      <c r="AW9" s="178" t="e">
        <f t="shared" si="12"/>
        <v>#DIV/0!</v>
      </c>
      <c r="AX9" s="178" t="e">
        <f t="shared" si="13"/>
        <v>#DIV/0!</v>
      </c>
      <c r="AY9" s="179" t="e">
        <f t="array" ref="AY9">AVERAGE(AI9:AI9/AH9:AH9) - AVERAGE(Q9:Q9/P9:P9)</f>
        <v>#DIV/0!</v>
      </c>
    </row>
    <row r="10" spans="1:51" s="114" customFormat="1" ht="14.25" collapsed="1" thickBot="1">
      <c r="A10" s="220"/>
      <c r="B10" s="292" t="s">
        <v>988</v>
      </c>
      <c r="C10" s="301">
        <v>7740280</v>
      </c>
      <c r="D10" s="302">
        <v>19</v>
      </c>
      <c r="E10" s="302">
        <v>1</v>
      </c>
      <c r="F10" s="312"/>
      <c r="G10" s="219"/>
      <c r="H10" s="165">
        <f t="shared" si="14"/>
        <v>0.46457237731732631</v>
      </c>
      <c r="I10" s="166" t="str">
        <f t="shared" si="0"/>
        <v>·</v>
      </c>
      <c r="J10" s="167">
        <f t="shared" si="1"/>
        <v>26.480625507087598</v>
      </c>
      <c r="K10" s="167">
        <f t="shared" si="2"/>
        <v>15.461782777884004</v>
      </c>
      <c r="L10" s="168"/>
      <c r="M10" s="167">
        <f t="shared" si="3"/>
        <v>11.018750742867184</v>
      </c>
      <c r="N10" s="167">
        <f t="shared" si="4"/>
        <v>26.480625507087598</v>
      </c>
      <c r="O10" s="360">
        <v>7740280</v>
      </c>
      <c r="P10" s="150">
        <v>204967456</v>
      </c>
      <c r="Q10" s="150">
        <v>119678528</v>
      </c>
      <c r="R10" s="109"/>
      <c r="S10" s="150">
        <v>85288216</v>
      </c>
      <c r="T10" s="169"/>
      <c r="U10" s="169"/>
      <c r="V10" s="170">
        <v>0</v>
      </c>
      <c r="W10" s="170">
        <v>0</v>
      </c>
      <c r="X10" s="171"/>
      <c r="Y10" s="219"/>
      <c r="Z10" s="165" t="str">
        <f t="shared" si="15"/>
        <v>·</v>
      </c>
      <c r="AA10" s="166" t="str">
        <f t="shared" si="5"/>
        <v>·</v>
      </c>
      <c r="AB10" s="167" t="str">
        <f t="shared" si="6"/>
        <v>·</v>
      </c>
      <c r="AC10" s="167" t="str">
        <f t="shared" si="7"/>
        <v>·</v>
      </c>
      <c r="AD10" s="109"/>
      <c r="AE10" s="167" t="str">
        <f t="shared" si="8"/>
        <v>·</v>
      </c>
      <c r="AF10" s="167" t="str">
        <f t="shared" si="9"/>
        <v>·</v>
      </c>
      <c r="AG10" s="360"/>
      <c r="AH10" s="150"/>
      <c r="AI10" s="150"/>
      <c r="AJ10" s="109"/>
      <c r="AK10" s="150"/>
      <c r="AL10" s="169"/>
      <c r="AM10" s="169"/>
      <c r="AN10" s="170">
        <v>0</v>
      </c>
      <c r="AO10" s="170">
        <v>0</v>
      </c>
      <c r="AP10" s="171"/>
      <c r="AQ10" s="219"/>
      <c r="AR10" s="180" t="e">
        <f t="shared" si="10"/>
        <v>#VALUE!</v>
      </c>
      <c r="AS10" s="181" t="e">
        <f t="shared" si="10"/>
        <v>#VALUE!</v>
      </c>
      <c r="AT10" s="109"/>
      <c r="AU10" s="181" t="e">
        <f t="shared" si="11"/>
        <v>#VALUE!</v>
      </c>
      <c r="AV10" s="182" t="e">
        <f t="shared" si="12"/>
        <v>#DIV/0!</v>
      </c>
      <c r="AW10" s="182" t="e">
        <f t="shared" si="12"/>
        <v>#DIV/0!</v>
      </c>
      <c r="AX10" s="182" t="e">
        <f t="shared" si="13"/>
        <v>#DIV/0!</v>
      </c>
      <c r="AY10" s="183" t="e">
        <f t="array" ref="AY10">AVERAGE(AI10:AI10/AH10:AH10) - AVERAGE(Q10:Q10/P10:P10)</f>
        <v>#DIV/0!</v>
      </c>
    </row>
    <row r="11" spans="1:51" s="144" customFormat="1" collapsed="1">
      <c r="A11" s="96" t="s">
        <v>1123</v>
      </c>
      <c r="B11" s="496" t="s">
        <v>1145</v>
      </c>
      <c r="C11" s="478">
        <v>47062018</v>
      </c>
      <c r="D11" s="28">
        <v>20</v>
      </c>
      <c r="E11" s="28">
        <v>1</v>
      </c>
      <c r="F11" s="29"/>
      <c r="H11" s="151">
        <f t="shared" si="14"/>
        <v>0.57560626774086343</v>
      </c>
      <c r="I11" s="152" t="str">
        <f t="shared" si="0"/>
        <v>·</v>
      </c>
      <c r="J11" s="153">
        <f t="shared" si="1"/>
        <v>34.536376064451808</v>
      </c>
      <c r="K11" s="153">
        <f t="shared" si="2"/>
        <v>24.375181191762749</v>
      </c>
      <c r="L11" s="153">
        <f>IF(R11="","·",R11/C11)</f>
        <v>10.161183313473723</v>
      </c>
      <c r="M11" s="154"/>
      <c r="N11" s="153">
        <f t="shared" si="4"/>
        <v>34.536376064451808</v>
      </c>
      <c r="O11" s="364">
        <v>47062018</v>
      </c>
      <c r="P11" s="142">
        <v>1625351552</v>
      </c>
      <c r="Q11" s="142">
        <v>1147145216</v>
      </c>
      <c r="R11" s="142">
        <v>478205792</v>
      </c>
      <c r="S11" s="104">
        <v>0</v>
      </c>
      <c r="T11" s="155"/>
      <c r="U11" s="155"/>
      <c r="V11" s="156">
        <v>0</v>
      </c>
      <c r="W11" s="156">
        <v>0</v>
      </c>
      <c r="X11" s="157"/>
      <c r="Y11" s="221"/>
      <c r="Z11" s="151" t="str">
        <f t="shared" si="15"/>
        <v>·</v>
      </c>
      <c r="AA11" s="152" t="str">
        <f t="shared" si="5"/>
        <v>·</v>
      </c>
      <c r="AB11" s="153" t="str">
        <f t="shared" si="6"/>
        <v>·</v>
      </c>
      <c r="AC11" s="153" t="str">
        <f t="shared" si="7"/>
        <v>·</v>
      </c>
      <c r="AD11" s="160" t="str">
        <f t="shared" si="7"/>
        <v>·</v>
      </c>
      <c r="AE11" s="104"/>
      <c r="AF11" s="153" t="str">
        <f t="shared" si="9"/>
        <v>·</v>
      </c>
      <c r="AG11" s="364"/>
      <c r="AH11" s="142"/>
      <c r="AI11" s="142"/>
      <c r="AJ11" s="142"/>
      <c r="AK11" s="104"/>
      <c r="AL11" s="155"/>
      <c r="AM11" s="155"/>
      <c r="AN11" s="156">
        <v>0</v>
      </c>
      <c r="AO11" s="156">
        <v>0</v>
      </c>
      <c r="AP11" s="157"/>
      <c r="AR11" s="172" t="e">
        <f t="shared" si="10"/>
        <v>#VALUE!</v>
      </c>
      <c r="AS11" s="173" t="e">
        <f t="shared" si="10"/>
        <v>#VALUE!</v>
      </c>
      <c r="AT11" s="173" t="e">
        <f t="shared" si="10"/>
        <v>#VALUE!</v>
      </c>
      <c r="AU11" s="104"/>
      <c r="AV11" s="174" t="e">
        <f t="shared" si="12"/>
        <v>#DIV/0!</v>
      </c>
      <c r="AW11" s="174" t="e">
        <f t="shared" si="12"/>
        <v>#DIV/0!</v>
      </c>
      <c r="AX11" s="174" t="e">
        <f t="shared" si="13"/>
        <v>#DIV/0!</v>
      </c>
      <c r="AY11" s="175" t="e">
        <f t="array" ref="AY11">AVERAGE(AI11:AI11/AH11:AH11) - AVERAGE(Q11:Q11/P11:P11)</f>
        <v>#DIV/0!</v>
      </c>
    </row>
    <row r="12" spans="1:51" s="144" customFormat="1" collapsed="1">
      <c r="A12" s="145"/>
      <c r="B12" s="497" t="s">
        <v>1146</v>
      </c>
      <c r="C12" s="479">
        <v>43399207</v>
      </c>
      <c r="D12" s="15">
        <v>20</v>
      </c>
      <c r="E12" s="15">
        <v>1</v>
      </c>
      <c r="F12" s="16"/>
      <c r="H12" s="158">
        <f t="shared" si="14"/>
        <v>0.60299769686267923</v>
      </c>
      <c r="I12" s="159" t="str">
        <f t="shared" si="0"/>
        <v>·</v>
      </c>
      <c r="J12" s="160">
        <f t="shared" si="1"/>
        <v>36.179861811760752</v>
      </c>
      <c r="K12" s="160">
        <f t="shared" si="2"/>
        <v>25.480300043270375</v>
      </c>
      <c r="L12" s="160">
        <f t="shared" ref="L12:L17" si="16">IF(R12="","·",R12/C12)</f>
        <v>10.699548680693635</v>
      </c>
      <c r="M12" s="161"/>
      <c r="N12" s="160">
        <f t="shared" si="4"/>
        <v>36.179861811760752</v>
      </c>
      <c r="O12" s="356">
        <v>43399207</v>
      </c>
      <c r="P12" s="147">
        <v>1570177312</v>
      </c>
      <c r="Q12" s="147">
        <v>1105824816</v>
      </c>
      <c r="R12" s="147">
        <v>464351928</v>
      </c>
      <c r="S12" s="106">
        <v>0</v>
      </c>
      <c r="T12" s="162"/>
      <c r="U12" s="162"/>
      <c r="V12" s="163">
        <v>0</v>
      </c>
      <c r="W12" s="163">
        <v>0</v>
      </c>
      <c r="X12" s="164"/>
      <c r="Y12" s="221"/>
      <c r="Z12" s="158" t="str">
        <f t="shared" si="15"/>
        <v>·</v>
      </c>
      <c r="AA12" s="159" t="str">
        <f t="shared" si="5"/>
        <v>·</v>
      </c>
      <c r="AB12" s="160" t="str">
        <f t="shared" si="6"/>
        <v>·</v>
      </c>
      <c r="AC12" s="160" t="str">
        <f t="shared" si="7"/>
        <v>·</v>
      </c>
      <c r="AD12" s="160" t="str">
        <f t="shared" si="7"/>
        <v>·</v>
      </c>
      <c r="AE12" s="106"/>
      <c r="AF12" s="160" t="str">
        <f t="shared" si="9"/>
        <v>·</v>
      </c>
      <c r="AG12" s="356"/>
      <c r="AH12" s="147"/>
      <c r="AI12" s="147"/>
      <c r="AJ12" s="147"/>
      <c r="AK12" s="106"/>
      <c r="AL12" s="162"/>
      <c r="AM12" s="162"/>
      <c r="AN12" s="163">
        <v>0</v>
      </c>
      <c r="AO12" s="163">
        <v>0</v>
      </c>
      <c r="AP12" s="164"/>
      <c r="AR12" s="176" t="e">
        <f t="shared" si="10"/>
        <v>#VALUE!</v>
      </c>
      <c r="AS12" s="177" t="e">
        <f t="shared" si="10"/>
        <v>#VALUE!</v>
      </c>
      <c r="AT12" s="177" t="e">
        <f t="shared" si="10"/>
        <v>#VALUE!</v>
      </c>
      <c r="AU12" s="138"/>
      <c r="AV12" s="178" t="e">
        <f t="shared" si="12"/>
        <v>#DIV/0!</v>
      </c>
      <c r="AW12" s="178" t="e">
        <f t="shared" si="12"/>
        <v>#DIV/0!</v>
      </c>
      <c r="AX12" s="178" t="e">
        <f t="shared" si="13"/>
        <v>#DIV/0!</v>
      </c>
      <c r="AY12" s="179" t="e">
        <f t="array" ref="AY12">AVERAGE(AI12:AI12/AH12:AH12) - AVERAGE(Q12:Q12/P12:P12)</f>
        <v>#DIV/0!</v>
      </c>
    </row>
    <row r="13" spans="1:51" s="114" customFormat="1" ht="14.25" collapsed="1" thickBot="1">
      <c r="A13" s="220"/>
      <c r="B13" s="497" t="s">
        <v>1147</v>
      </c>
      <c r="C13" s="479">
        <v>67599953</v>
      </c>
      <c r="D13" s="15">
        <v>16</v>
      </c>
      <c r="E13" s="15">
        <v>1</v>
      </c>
      <c r="F13" s="16"/>
      <c r="G13" s="219"/>
      <c r="H13" s="158">
        <f t="shared" si="14"/>
        <v>0.53086425962455919</v>
      </c>
      <c r="I13" s="159" t="str">
        <f t="shared" si="0"/>
        <v>·</v>
      </c>
      <c r="J13" s="160">
        <f t="shared" si="1"/>
        <v>25.481484461978841</v>
      </c>
      <c r="K13" s="160">
        <f t="shared" si="2"/>
        <v>10.797644785344747</v>
      </c>
      <c r="L13" s="160">
        <f t="shared" si="16"/>
        <v>14.683828315679451</v>
      </c>
      <c r="M13" s="161"/>
      <c r="N13" s="160">
        <f t="shared" si="4"/>
        <v>25.481484461978841</v>
      </c>
      <c r="O13" s="356">
        <v>67599953</v>
      </c>
      <c r="P13" s="147">
        <v>1722547152</v>
      </c>
      <c r="Q13" s="147">
        <v>729920280</v>
      </c>
      <c r="R13" s="147">
        <v>992626104</v>
      </c>
      <c r="S13" s="106">
        <v>0</v>
      </c>
      <c r="T13" s="162"/>
      <c r="U13" s="162"/>
      <c r="V13" s="234">
        <v>0</v>
      </c>
      <c r="W13" s="234">
        <v>0</v>
      </c>
      <c r="X13" s="235"/>
      <c r="Y13" s="221"/>
      <c r="Z13" s="158" t="str">
        <f t="shared" si="15"/>
        <v>·</v>
      </c>
      <c r="AA13" s="159" t="str">
        <f t="shared" si="5"/>
        <v>·</v>
      </c>
      <c r="AB13" s="160" t="str">
        <f t="shared" si="6"/>
        <v>·</v>
      </c>
      <c r="AC13" s="160" t="str">
        <f t="shared" si="7"/>
        <v>·</v>
      </c>
      <c r="AD13" s="231" t="str">
        <f t="shared" si="7"/>
        <v>·</v>
      </c>
      <c r="AE13" s="135"/>
      <c r="AF13" s="231" t="str">
        <f t="shared" si="9"/>
        <v>·</v>
      </c>
      <c r="AG13" s="356"/>
      <c r="AH13" s="147"/>
      <c r="AI13" s="147"/>
      <c r="AJ13" s="147"/>
      <c r="AK13" s="106"/>
      <c r="AL13" s="162"/>
      <c r="AM13" s="162"/>
      <c r="AN13" s="234">
        <v>0</v>
      </c>
      <c r="AO13" s="234">
        <v>0</v>
      </c>
      <c r="AP13" s="235"/>
      <c r="AQ13" s="219"/>
      <c r="AR13" s="236" t="e">
        <f t="shared" si="10"/>
        <v>#VALUE!</v>
      </c>
      <c r="AS13" s="237" t="e">
        <f t="shared" si="10"/>
        <v>#VALUE!</v>
      </c>
      <c r="AT13" s="237" t="e">
        <f t="shared" si="10"/>
        <v>#VALUE!</v>
      </c>
      <c r="AU13" s="138"/>
      <c r="AV13" s="238" t="e">
        <f t="shared" si="12"/>
        <v>#DIV/0!</v>
      </c>
      <c r="AW13" s="238" t="e">
        <f t="shared" si="12"/>
        <v>#DIV/0!</v>
      </c>
      <c r="AX13" s="238" t="e">
        <f t="shared" si="13"/>
        <v>#DIV/0!</v>
      </c>
      <c r="AY13" s="239" t="e">
        <f t="array" ref="AY13">AVERAGE(AI13:AI13/AH13:AH13) - AVERAGE(Q13:Q13/P13:P13)</f>
        <v>#DIV/0!</v>
      </c>
    </row>
    <row r="14" spans="1:51" s="144" customFormat="1" collapsed="1">
      <c r="A14" s="145"/>
      <c r="B14" s="497" t="s">
        <v>1148</v>
      </c>
      <c r="C14" s="479">
        <v>59136574</v>
      </c>
      <c r="D14" s="15">
        <v>16</v>
      </c>
      <c r="E14" s="15">
        <v>1</v>
      </c>
      <c r="F14" s="16"/>
      <c r="G14" s="221"/>
      <c r="H14" s="158">
        <f t="shared" si="14"/>
        <v>0.52777521966919039</v>
      </c>
      <c r="I14" s="159" t="str">
        <f t="shared" si="0"/>
        <v>·</v>
      </c>
      <c r="J14" s="160">
        <f t="shared" si="1"/>
        <v>25.33321054412114</v>
      </c>
      <c r="K14" s="160">
        <f t="shared" si="2"/>
        <v>11.745490159778278</v>
      </c>
      <c r="L14" s="160">
        <f t="shared" si="16"/>
        <v>13.587708073856291</v>
      </c>
      <c r="M14" s="161"/>
      <c r="N14" s="160">
        <f t="shared" si="4"/>
        <v>25.33321054412114</v>
      </c>
      <c r="O14" s="356">
        <v>59136574</v>
      </c>
      <c r="P14" s="147">
        <v>1498119280</v>
      </c>
      <c r="Q14" s="147">
        <v>694588048</v>
      </c>
      <c r="R14" s="147">
        <v>803530504</v>
      </c>
      <c r="S14" s="106">
        <v>0</v>
      </c>
      <c r="T14" s="162"/>
      <c r="U14" s="162"/>
      <c r="V14" s="163">
        <v>0</v>
      </c>
      <c r="W14" s="163">
        <v>0</v>
      </c>
      <c r="X14" s="164"/>
      <c r="Z14" s="158" t="str">
        <f t="shared" si="15"/>
        <v>·</v>
      </c>
      <c r="AA14" s="159" t="str">
        <f t="shared" si="5"/>
        <v>·</v>
      </c>
      <c r="AB14" s="160" t="str">
        <f t="shared" si="6"/>
        <v>·</v>
      </c>
      <c r="AC14" s="160" t="str">
        <f t="shared" si="7"/>
        <v>·</v>
      </c>
      <c r="AD14" s="160" t="str">
        <f t="shared" si="7"/>
        <v>·</v>
      </c>
      <c r="AE14" s="106"/>
      <c r="AF14" s="160" t="str">
        <f t="shared" si="9"/>
        <v>·</v>
      </c>
      <c r="AG14" s="356"/>
      <c r="AH14" s="147"/>
      <c r="AI14" s="147"/>
      <c r="AJ14" s="147"/>
      <c r="AK14" s="106"/>
      <c r="AL14" s="162"/>
      <c r="AM14" s="162"/>
      <c r="AN14" s="163">
        <v>0</v>
      </c>
      <c r="AO14" s="163">
        <v>0</v>
      </c>
      <c r="AP14" s="164"/>
      <c r="AQ14" s="221"/>
      <c r="AR14" s="236" t="e">
        <f t="shared" si="10"/>
        <v>#VALUE!</v>
      </c>
      <c r="AS14" s="237" t="e">
        <f t="shared" si="10"/>
        <v>#VALUE!</v>
      </c>
      <c r="AT14" s="237" t="e">
        <f t="shared" si="10"/>
        <v>#VALUE!</v>
      </c>
      <c r="AU14" s="138"/>
      <c r="AV14" s="238" t="e">
        <f t="shared" si="12"/>
        <v>#DIV/0!</v>
      </c>
      <c r="AW14" s="238" t="e">
        <f t="shared" si="12"/>
        <v>#DIV/0!</v>
      </c>
      <c r="AX14" s="238" t="e">
        <f t="shared" si="13"/>
        <v>#DIV/0!</v>
      </c>
      <c r="AY14" s="494" t="e">
        <f t="array" ref="AY14">AVERAGE(AI14:AI14/AH14:AH14) - AVERAGE(Q14:Q14/P14:P14)</f>
        <v>#DIV/0!</v>
      </c>
    </row>
    <row r="15" spans="1:51" s="144" customFormat="1" collapsed="1">
      <c r="A15" s="495"/>
      <c r="B15" s="497" t="s">
        <v>1120</v>
      </c>
      <c r="C15" s="479">
        <v>4649702</v>
      </c>
      <c r="D15" s="15">
        <v>11</v>
      </c>
      <c r="E15" s="15">
        <v>1</v>
      </c>
      <c r="F15" s="16"/>
      <c r="H15" s="158">
        <f t="shared" si="14"/>
        <v>0.55203777608009108</v>
      </c>
      <c r="I15" s="159" t="str">
        <f t="shared" si="0"/>
        <v>·</v>
      </c>
      <c r="J15" s="160">
        <f t="shared" si="1"/>
        <v>18.217246610643006</v>
      </c>
      <c r="K15" s="160">
        <f t="shared" si="2"/>
        <v>3.0196911544008627</v>
      </c>
      <c r="L15" s="160">
        <f t="shared" si="16"/>
        <v>15.197438459496974</v>
      </c>
      <c r="M15" s="161"/>
      <c r="N15" s="160">
        <f t="shared" si="4"/>
        <v>18.217246610643006</v>
      </c>
      <c r="O15" s="364">
        <v>4649702</v>
      </c>
      <c r="P15" s="530">
        <v>84704768</v>
      </c>
      <c r="Q15" s="530">
        <v>14040664</v>
      </c>
      <c r="R15" s="530">
        <v>70663560</v>
      </c>
      <c r="S15" s="138">
        <v>0</v>
      </c>
      <c r="T15" s="531"/>
      <c r="U15" s="531"/>
      <c r="V15" s="532">
        <v>0</v>
      </c>
      <c r="W15" s="532">
        <v>0</v>
      </c>
      <c r="X15" s="533"/>
      <c r="Y15" s="221"/>
      <c r="Z15" s="526" t="str">
        <f t="shared" si="15"/>
        <v>·</v>
      </c>
      <c r="AA15" s="527" t="str">
        <f t="shared" si="5"/>
        <v>·</v>
      </c>
      <c r="AB15" s="528" t="str">
        <f t="shared" si="6"/>
        <v>·</v>
      </c>
      <c r="AC15" s="528" t="str">
        <f t="shared" si="7"/>
        <v>·</v>
      </c>
      <c r="AD15" s="528" t="str">
        <f t="shared" si="7"/>
        <v>·</v>
      </c>
      <c r="AE15" s="138"/>
      <c r="AF15" s="528" t="str">
        <f t="shared" si="9"/>
        <v>·</v>
      </c>
      <c r="AG15" s="364"/>
      <c r="AH15" s="530"/>
      <c r="AI15" s="530"/>
      <c r="AJ15" s="530"/>
      <c r="AK15" s="138"/>
      <c r="AL15" s="531"/>
      <c r="AM15" s="531"/>
      <c r="AN15" s="532">
        <v>0</v>
      </c>
      <c r="AO15" s="532">
        <v>0</v>
      </c>
      <c r="AP15" s="533"/>
      <c r="AR15" s="176" t="e">
        <f t="shared" si="10"/>
        <v>#VALUE!</v>
      </c>
      <c r="AS15" s="177" t="e">
        <f t="shared" si="10"/>
        <v>#VALUE!</v>
      </c>
      <c r="AT15" s="177" t="e">
        <f t="shared" si="10"/>
        <v>#VALUE!</v>
      </c>
      <c r="AU15" s="138"/>
      <c r="AV15" s="178" t="e">
        <f t="shared" si="12"/>
        <v>#DIV/0!</v>
      </c>
      <c r="AW15" s="178" t="e">
        <f t="shared" si="12"/>
        <v>#DIV/0!</v>
      </c>
      <c r="AX15" s="178" t="e">
        <f t="shared" si="13"/>
        <v>#DIV/0!</v>
      </c>
      <c r="AY15" s="179" t="e">
        <f t="array" ref="AY15">AVERAGE(AI15:AI15/AH15:AH15) - AVERAGE(Q15:Q15/P15:P15)</f>
        <v>#DIV/0!</v>
      </c>
    </row>
    <row r="16" spans="1:51" s="114" customFormat="1" ht="14.25" collapsed="1" thickBot="1">
      <c r="A16" s="220"/>
      <c r="B16" s="497" t="s">
        <v>1121</v>
      </c>
      <c r="C16" s="479">
        <v>2096385</v>
      </c>
      <c r="D16" s="15">
        <v>15</v>
      </c>
      <c r="E16" s="15">
        <v>1</v>
      </c>
      <c r="F16" s="16"/>
      <c r="G16" s="219"/>
      <c r="H16" s="158">
        <f t="shared" si="14"/>
        <v>0.54331470602966536</v>
      </c>
      <c r="I16" s="159" t="str">
        <f t="shared" si="0"/>
        <v>·</v>
      </c>
      <c r="J16" s="160">
        <f t="shared" si="1"/>
        <v>24.449161771334939</v>
      </c>
      <c r="K16" s="160">
        <f t="shared" si="2"/>
        <v>16.30251695180036</v>
      </c>
      <c r="L16" s="160">
        <f t="shared" si="16"/>
        <v>8.1462861067981311</v>
      </c>
      <c r="M16" s="161"/>
      <c r="N16" s="160">
        <f t="shared" si="4"/>
        <v>24.449161771334939</v>
      </c>
      <c r="O16" s="356">
        <v>2096385</v>
      </c>
      <c r="P16" s="147">
        <v>51254856</v>
      </c>
      <c r="Q16" s="147">
        <v>34176352</v>
      </c>
      <c r="R16" s="147">
        <v>17077752</v>
      </c>
      <c r="S16" s="106">
        <v>0</v>
      </c>
      <c r="T16" s="162"/>
      <c r="U16" s="162"/>
      <c r="V16" s="234">
        <v>0</v>
      </c>
      <c r="W16" s="234">
        <v>0</v>
      </c>
      <c r="X16" s="235"/>
      <c r="Y16" s="221"/>
      <c r="Z16" s="158" t="str">
        <f t="shared" si="15"/>
        <v>·</v>
      </c>
      <c r="AA16" s="159" t="str">
        <f t="shared" si="5"/>
        <v>·</v>
      </c>
      <c r="AB16" s="160" t="str">
        <f t="shared" si="6"/>
        <v>·</v>
      </c>
      <c r="AC16" s="160" t="str">
        <f t="shared" si="7"/>
        <v>·</v>
      </c>
      <c r="AD16" s="231" t="str">
        <f t="shared" si="7"/>
        <v>·</v>
      </c>
      <c r="AE16" s="135"/>
      <c r="AF16" s="231" t="str">
        <f t="shared" si="9"/>
        <v>·</v>
      </c>
      <c r="AG16" s="356"/>
      <c r="AH16" s="147"/>
      <c r="AI16" s="147"/>
      <c r="AJ16" s="147"/>
      <c r="AK16" s="106"/>
      <c r="AL16" s="162"/>
      <c r="AM16" s="162"/>
      <c r="AN16" s="234">
        <v>0</v>
      </c>
      <c r="AO16" s="234">
        <v>0</v>
      </c>
      <c r="AP16" s="235"/>
      <c r="AQ16" s="219"/>
      <c r="AR16" s="236" t="e">
        <f t="shared" si="10"/>
        <v>#VALUE!</v>
      </c>
      <c r="AS16" s="237" t="e">
        <f t="shared" si="10"/>
        <v>#VALUE!</v>
      </c>
      <c r="AT16" s="237" t="e">
        <f t="shared" si="10"/>
        <v>#VALUE!</v>
      </c>
      <c r="AU16" s="138"/>
      <c r="AV16" s="238" t="e">
        <f t="shared" si="12"/>
        <v>#DIV/0!</v>
      </c>
      <c r="AW16" s="238" t="e">
        <f t="shared" si="12"/>
        <v>#DIV/0!</v>
      </c>
      <c r="AX16" s="238" t="e">
        <f t="shared" si="13"/>
        <v>#DIV/0!</v>
      </c>
      <c r="AY16" s="239" t="e">
        <f t="array" ref="AY16">AVERAGE(AI16:AI16/AH16:AH16) - AVERAGE(Q16:Q16/P16:P16)</f>
        <v>#DIV/0!</v>
      </c>
    </row>
    <row r="17" spans="1:51" s="144" customFormat="1" ht="14.25" collapsed="1" thickBot="1">
      <c r="A17" s="149"/>
      <c r="B17" s="498" t="s">
        <v>1149</v>
      </c>
      <c r="C17" s="480">
        <v>8046105</v>
      </c>
      <c r="D17" s="19">
        <v>15</v>
      </c>
      <c r="E17" s="19">
        <v>1</v>
      </c>
      <c r="F17" s="20"/>
      <c r="G17" s="221"/>
      <c r="H17" s="165">
        <f t="shared" si="14"/>
        <v>0.55802752870971595</v>
      </c>
      <c r="I17" s="166" t="str">
        <f t="shared" si="0"/>
        <v>·</v>
      </c>
      <c r="J17" s="167">
        <f t="shared" si="1"/>
        <v>25.111238791937218</v>
      </c>
      <c r="K17" s="167">
        <f t="shared" si="2"/>
        <v>7.3923609000876818</v>
      </c>
      <c r="L17" s="167">
        <f t="shared" si="16"/>
        <v>17.718784430479094</v>
      </c>
      <c r="M17" s="168"/>
      <c r="N17" s="167">
        <f t="shared" si="4"/>
        <v>25.111238791937218</v>
      </c>
      <c r="O17" s="360">
        <v>8046105</v>
      </c>
      <c r="P17" s="150">
        <v>202047664</v>
      </c>
      <c r="Q17" s="150">
        <v>59479712</v>
      </c>
      <c r="R17" s="150">
        <v>142567200</v>
      </c>
      <c r="S17" s="109">
        <v>0</v>
      </c>
      <c r="T17" s="169"/>
      <c r="U17" s="169"/>
      <c r="V17" s="170">
        <v>0</v>
      </c>
      <c r="W17" s="170">
        <v>0</v>
      </c>
      <c r="X17" s="171"/>
      <c r="Z17" s="165" t="str">
        <f t="shared" si="15"/>
        <v>·</v>
      </c>
      <c r="AA17" s="166" t="str">
        <f t="shared" si="5"/>
        <v>·</v>
      </c>
      <c r="AB17" s="167" t="str">
        <f t="shared" si="6"/>
        <v>·</v>
      </c>
      <c r="AC17" s="167" t="str">
        <f t="shared" si="7"/>
        <v>·</v>
      </c>
      <c r="AD17" s="167" t="str">
        <f t="shared" si="7"/>
        <v>·</v>
      </c>
      <c r="AE17" s="109"/>
      <c r="AF17" s="167" t="str">
        <f t="shared" si="9"/>
        <v>·</v>
      </c>
      <c r="AG17" s="360"/>
      <c r="AH17" s="150"/>
      <c r="AI17" s="150"/>
      <c r="AJ17" s="150"/>
      <c r="AK17" s="109"/>
      <c r="AL17" s="169"/>
      <c r="AM17" s="169"/>
      <c r="AN17" s="170">
        <v>0</v>
      </c>
      <c r="AO17" s="170">
        <v>0</v>
      </c>
      <c r="AP17" s="171"/>
      <c r="AQ17" s="221"/>
      <c r="AR17" s="236" t="e">
        <f t="shared" si="10"/>
        <v>#VALUE!</v>
      </c>
      <c r="AS17" s="237" t="e">
        <f t="shared" si="10"/>
        <v>#VALUE!</v>
      </c>
      <c r="AT17" s="237" t="e">
        <f t="shared" si="10"/>
        <v>#VALUE!</v>
      </c>
      <c r="AU17" s="487"/>
      <c r="AV17" s="238" t="e">
        <f t="shared" si="12"/>
        <v>#DIV/0!</v>
      </c>
      <c r="AW17" s="238" t="e">
        <f t="shared" si="12"/>
        <v>#DIV/0!</v>
      </c>
      <c r="AX17" s="238" t="e">
        <f t="shared" si="13"/>
        <v>#DIV/0!</v>
      </c>
      <c r="AY17" s="494" t="e">
        <f t="array" ref="AY17">AVERAGE(AI17:AI17/AH17:AH17) - AVERAGE(Q17:Q17/P17:P17)</f>
        <v>#DIV/0!</v>
      </c>
    </row>
    <row r="18" spans="1:51" s="144" customFormat="1" collapsed="1">
      <c r="A18" s="140" t="s">
        <v>178</v>
      </c>
      <c r="B18" s="141" t="s">
        <v>471</v>
      </c>
      <c r="C18" s="27">
        <f>'AVSC1 limit-lossyG,lossyA,intra'!$D$83</f>
        <v>59931072</v>
      </c>
      <c r="D18" s="142">
        <v>18</v>
      </c>
      <c r="E18" s="190">
        <f>'AVSC1 limit-lossyG,lossyA,intra'!$F$83</f>
        <v>600</v>
      </c>
      <c r="F18" s="143">
        <v>10</v>
      </c>
      <c r="H18" s="151">
        <f t="shared" si="14"/>
        <v>0.43426568689023531</v>
      </c>
      <c r="I18" s="152">
        <f t="shared" si="0"/>
        <v>23.423407333333333</v>
      </c>
      <c r="J18" s="153">
        <f t="shared" si="1"/>
        <v>23.450347092072708</v>
      </c>
      <c r="K18" s="153">
        <f t="shared" si="2"/>
        <v>18.604441182029916</v>
      </c>
      <c r="L18" s="154"/>
      <c r="M18" s="153">
        <f t="shared" ref="M18:M22" si="17">IF(ISBLANK(Q18),"·",S18/C18)</f>
        <v>4.8385499928985087</v>
      </c>
      <c r="N18" s="153">
        <f t="shared" si="4"/>
        <v>23.450347092072708</v>
      </c>
      <c r="O18" s="352">
        <v>59931072</v>
      </c>
      <c r="P18" s="142">
        <v>1405404440</v>
      </c>
      <c r="Q18" s="142">
        <v>1114984104</v>
      </c>
      <c r="R18" s="104"/>
      <c r="S18" s="142">
        <v>289979488</v>
      </c>
      <c r="T18" s="155"/>
      <c r="U18" s="155"/>
      <c r="V18" s="156">
        <v>0</v>
      </c>
      <c r="W18" s="156">
        <v>0</v>
      </c>
      <c r="X18" s="157"/>
      <c r="Z18" s="151" t="str">
        <f t="shared" si="15"/>
        <v>·</v>
      </c>
      <c r="AA18" s="152" t="str">
        <f t="shared" si="5"/>
        <v>·</v>
      </c>
      <c r="AB18" s="153" t="str">
        <f t="shared" si="6"/>
        <v>·</v>
      </c>
      <c r="AC18" s="153" t="str">
        <f t="shared" si="7"/>
        <v>·</v>
      </c>
      <c r="AD18" s="104"/>
      <c r="AE18" s="153" t="str">
        <f t="shared" ref="AE18:AE22" si="18">IF(ISBLANK(AI18),"·",AK18/C18)</f>
        <v>·</v>
      </c>
      <c r="AF18" s="153" t="str">
        <f t="shared" si="9"/>
        <v>·</v>
      </c>
      <c r="AG18" s="352"/>
      <c r="AH18" s="142"/>
      <c r="AI18" s="142"/>
      <c r="AJ18" s="104"/>
      <c r="AK18" s="142"/>
      <c r="AL18" s="155"/>
      <c r="AM18" s="155"/>
      <c r="AN18" s="156">
        <v>0</v>
      </c>
      <c r="AO18" s="156">
        <v>0</v>
      </c>
      <c r="AP18" s="157"/>
      <c r="AR18" s="172" t="e">
        <f t="shared" si="10"/>
        <v>#VALUE!</v>
      </c>
      <c r="AS18" s="173" t="e">
        <f t="shared" si="10"/>
        <v>#VALUE!</v>
      </c>
      <c r="AT18" s="104"/>
      <c r="AU18" s="173" t="e">
        <f t="shared" ref="AU18:AU22" si="19">AE18/M18</f>
        <v>#VALUE!</v>
      </c>
      <c r="AV18" s="174" t="e">
        <f t="shared" si="12"/>
        <v>#DIV/0!</v>
      </c>
      <c r="AW18" s="174" t="e">
        <f t="shared" si="12"/>
        <v>#DIV/0!</v>
      </c>
      <c r="AX18" s="174" t="e">
        <f t="shared" si="13"/>
        <v>#DIV/0!</v>
      </c>
      <c r="AY18" s="175" t="e">
        <f t="array" ref="AY18">AVERAGE(AI18:AI18/AH18:AH18) - AVERAGE(Q18:Q18/P18:P18)</f>
        <v>#DIV/0!</v>
      </c>
    </row>
    <row r="19" spans="1:51" s="144" customFormat="1" collapsed="1">
      <c r="A19" s="145"/>
      <c r="B19" s="146" t="s">
        <v>472</v>
      </c>
      <c r="C19" s="14">
        <f>'AVSC1 limit-lossyG,lossyA,intra'!$D$89</f>
        <v>59935680</v>
      </c>
      <c r="D19" s="147">
        <v>18</v>
      </c>
      <c r="E19" s="15">
        <f>'AVSC1 limit-lossyG,lossyA,intra'!$F$83</f>
        <v>600</v>
      </c>
      <c r="F19" s="148">
        <v>10</v>
      </c>
      <c r="H19" s="158">
        <f t="shared" si="14"/>
        <v>0.44753209761852358</v>
      </c>
      <c r="I19" s="159">
        <f t="shared" si="0"/>
        <v>24.140826533333335</v>
      </c>
      <c r="J19" s="160">
        <f t="shared" si="1"/>
        <v>24.166733271400275</v>
      </c>
      <c r="K19" s="160">
        <f t="shared" si="2"/>
        <v>18.942545208463471</v>
      </c>
      <c r="L19" s="161"/>
      <c r="M19" s="160">
        <f t="shared" si="17"/>
        <v>5.2168437898760809</v>
      </c>
      <c r="N19" s="160">
        <f t="shared" si="4"/>
        <v>24.166733271400275</v>
      </c>
      <c r="O19" s="356">
        <v>59935680</v>
      </c>
      <c r="P19" s="147">
        <v>1448449592</v>
      </c>
      <c r="Q19" s="147">
        <v>1135334328</v>
      </c>
      <c r="R19" s="106"/>
      <c r="S19" s="147">
        <v>312675080</v>
      </c>
      <c r="T19" s="162"/>
      <c r="U19" s="162"/>
      <c r="V19" s="163">
        <v>0</v>
      </c>
      <c r="W19" s="163">
        <v>0</v>
      </c>
      <c r="X19" s="164"/>
      <c r="Z19" s="158" t="str">
        <f t="shared" si="15"/>
        <v>·</v>
      </c>
      <c r="AA19" s="159" t="str">
        <f t="shared" si="5"/>
        <v>·</v>
      </c>
      <c r="AB19" s="160" t="str">
        <f t="shared" si="6"/>
        <v>·</v>
      </c>
      <c r="AC19" s="160" t="str">
        <f t="shared" si="7"/>
        <v>·</v>
      </c>
      <c r="AD19" s="106"/>
      <c r="AE19" s="160" t="str">
        <f t="shared" si="18"/>
        <v>·</v>
      </c>
      <c r="AF19" s="160" t="str">
        <f t="shared" si="9"/>
        <v>·</v>
      </c>
      <c r="AG19" s="356"/>
      <c r="AH19" s="147"/>
      <c r="AI19" s="147"/>
      <c r="AJ19" s="106"/>
      <c r="AK19" s="147"/>
      <c r="AL19" s="162"/>
      <c r="AM19" s="162"/>
      <c r="AN19" s="163">
        <v>0</v>
      </c>
      <c r="AO19" s="163">
        <v>0</v>
      </c>
      <c r="AP19" s="164"/>
      <c r="AR19" s="176" t="e">
        <f t="shared" si="10"/>
        <v>#VALUE!</v>
      </c>
      <c r="AS19" s="177" t="e">
        <f t="shared" si="10"/>
        <v>#VALUE!</v>
      </c>
      <c r="AT19" s="106"/>
      <c r="AU19" s="177" t="e">
        <f t="shared" si="19"/>
        <v>#VALUE!</v>
      </c>
      <c r="AV19" s="178" t="e">
        <f t="shared" si="12"/>
        <v>#DIV/0!</v>
      </c>
      <c r="AW19" s="178" t="e">
        <f t="shared" si="12"/>
        <v>#DIV/0!</v>
      </c>
      <c r="AX19" s="178" t="e">
        <f t="shared" si="13"/>
        <v>#DIV/0!</v>
      </c>
      <c r="AY19" s="179" t="e">
        <f t="array" ref="AY19">AVERAGE(AI19:AI19/AH19:AH19) - AVERAGE(Q19:Q19/P19:P19)</f>
        <v>#DIV/0!</v>
      </c>
    </row>
    <row r="20" spans="1:51" s="114" customFormat="1" ht="14.25" collapsed="1" thickBot="1">
      <c r="A20" s="220"/>
      <c r="B20" s="146" t="s">
        <v>473</v>
      </c>
      <c r="C20" s="14">
        <f>'AVSC1 limit-lossyG,lossyA,intra'!$D$95</f>
        <v>59948032</v>
      </c>
      <c r="D20" s="147">
        <v>18</v>
      </c>
      <c r="E20" s="15">
        <f>'AVSC1 limit-lossyG,lossyA,intra'!$F$83</f>
        <v>600</v>
      </c>
      <c r="F20" s="148">
        <v>10</v>
      </c>
      <c r="G20" s="219"/>
      <c r="H20" s="158">
        <f t="shared" si="14"/>
        <v>0.47234782236671874</v>
      </c>
      <c r="I20" s="159">
        <f t="shared" si="0"/>
        <v>25.484690133333334</v>
      </c>
      <c r="J20" s="160">
        <f t="shared" si="1"/>
        <v>25.506782407802813</v>
      </c>
      <c r="K20" s="160">
        <f t="shared" si="2"/>
        <v>20.032813087175239</v>
      </c>
      <c r="L20" s="161"/>
      <c r="M20" s="160">
        <f t="shared" si="17"/>
        <v>5.4666217566574993</v>
      </c>
      <c r="N20" s="160">
        <f t="shared" si="4"/>
        <v>25.506782407802813</v>
      </c>
      <c r="O20" s="356">
        <v>59948032</v>
      </c>
      <c r="P20" s="147">
        <v>1529081408</v>
      </c>
      <c r="Q20" s="147">
        <v>1200927720</v>
      </c>
      <c r="R20" s="106"/>
      <c r="S20" s="147">
        <v>327713216</v>
      </c>
      <c r="T20" s="162"/>
      <c r="U20" s="162"/>
      <c r="V20" s="163">
        <v>0</v>
      </c>
      <c r="W20" s="163">
        <v>0</v>
      </c>
      <c r="X20" s="164"/>
      <c r="Y20" s="219"/>
      <c r="Z20" s="158" t="str">
        <f t="shared" si="15"/>
        <v>·</v>
      </c>
      <c r="AA20" s="159" t="str">
        <f t="shared" si="5"/>
        <v>·</v>
      </c>
      <c r="AB20" s="160" t="str">
        <f t="shared" si="6"/>
        <v>·</v>
      </c>
      <c r="AC20" s="160" t="str">
        <f t="shared" si="7"/>
        <v>·</v>
      </c>
      <c r="AD20" s="106"/>
      <c r="AE20" s="160" t="str">
        <f t="shared" si="18"/>
        <v>·</v>
      </c>
      <c r="AF20" s="160" t="str">
        <f t="shared" si="9"/>
        <v>·</v>
      </c>
      <c r="AG20" s="356"/>
      <c r="AH20" s="147"/>
      <c r="AI20" s="147"/>
      <c r="AJ20" s="106"/>
      <c r="AK20" s="147"/>
      <c r="AL20" s="162"/>
      <c r="AM20" s="162"/>
      <c r="AN20" s="163">
        <v>0</v>
      </c>
      <c r="AO20" s="163">
        <v>0</v>
      </c>
      <c r="AP20" s="164"/>
      <c r="AQ20" s="219"/>
      <c r="AR20" s="176" t="e">
        <f t="shared" si="10"/>
        <v>#VALUE!</v>
      </c>
      <c r="AS20" s="177" t="e">
        <f t="shared" si="10"/>
        <v>#VALUE!</v>
      </c>
      <c r="AT20" s="106"/>
      <c r="AU20" s="177" t="e">
        <f t="shared" si="19"/>
        <v>#VALUE!</v>
      </c>
      <c r="AV20" s="182" t="e">
        <f t="shared" si="12"/>
        <v>#DIV/0!</v>
      </c>
      <c r="AW20" s="182" t="e">
        <f t="shared" si="12"/>
        <v>#DIV/0!</v>
      </c>
      <c r="AX20" s="182" t="e">
        <f t="shared" si="13"/>
        <v>#DIV/0!</v>
      </c>
      <c r="AY20" s="183" t="e">
        <f t="array" ref="AY20">AVERAGE(AI20:AI20/AH20:AH20) - AVERAGE(Q20:Q20/P20:P20)</f>
        <v>#DIV/0!</v>
      </c>
    </row>
    <row r="21" spans="1:51" s="144" customFormat="1" collapsed="1">
      <c r="A21" s="220"/>
      <c r="B21" s="217" t="s">
        <v>814</v>
      </c>
      <c r="C21" s="217">
        <v>40386600</v>
      </c>
      <c r="D21" s="538">
        <v>20</v>
      </c>
      <c r="E21" s="188">
        <v>387</v>
      </c>
      <c r="F21" s="216">
        <v>20</v>
      </c>
      <c r="G21" s="221"/>
      <c r="H21" s="534">
        <f t="shared" si="14"/>
        <v>0.30029277037433211</v>
      </c>
      <c r="I21" s="535">
        <f t="shared" si="0"/>
        <v>37.605593798449611</v>
      </c>
      <c r="J21" s="536">
        <f t="shared" si="1"/>
        <v>18.017566222459926</v>
      </c>
      <c r="K21" s="536">
        <f t="shared" si="2"/>
        <v>14.81315248126854</v>
      </c>
      <c r="L21" s="542"/>
      <c r="M21" s="536">
        <f t="shared" si="17"/>
        <v>3.1973337691214412</v>
      </c>
      <c r="N21" s="536">
        <f t="shared" si="4"/>
        <v>18.017566222459926</v>
      </c>
      <c r="O21" s="537">
        <v>40386600</v>
      </c>
      <c r="P21" s="538">
        <v>727668240</v>
      </c>
      <c r="Q21" s="538">
        <v>598252864</v>
      </c>
      <c r="R21" s="487"/>
      <c r="S21" s="538">
        <v>129129440</v>
      </c>
      <c r="T21" s="539"/>
      <c r="U21" s="539"/>
      <c r="V21" s="540">
        <v>0</v>
      </c>
      <c r="W21" s="540">
        <v>0</v>
      </c>
      <c r="X21" s="543"/>
      <c r="Y21" s="221"/>
      <c r="Z21" s="534" t="str">
        <f t="shared" si="15"/>
        <v>·</v>
      </c>
      <c r="AA21" s="535" t="str">
        <f t="shared" si="5"/>
        <v>·</v>
      </c>
      <c r="AB21" s="536" t="str">
        <f t="shared" si="6"/>
        <v>·</v>
      </c>
      <c r="AC21" s="536" t="str">
        <f t="shared" ref="AC21:AC26" si="20">IF(AI21="","·",AI21/$C21)</f>
        <v>·</v>
      </c>
      <c r="AD21" s="487"/>
      <c r="AE21" s="536" t="str">
        <f t="shared" si="18"/>
        <v>·</v>
      </c>
      <c r="AF21" s="536" t="str">
        <f t="shared" si="9"/>
        <v>·</v>
      </c>
      <c r="AG21" s="537"/>
      <c r="AH21" s="538"/>
      <c r="AI21" s="538"/>
      <c r="AJ21" s="487"/>
      <c r="AK21" s="538"/>
      <c r="AL21" s="539"/>
      <c r="AM21" s="539"/>
      <c r="AN21" s="540">
        <v>0</v>
      </c>
      <c r="AO21" s="540">
        <v>0</v>
      </c>
      <c r="AP21" s="541"/>
      <c r="AQ21" s="221"/>
      <c r="AR21" s="240" t="e">
        <f t="shared" ref="AR21:AT32" si="21">AB21/J21</f>
        <v>#VALUE!</v>
      </c>
      <c r="AS21" s="241" t="e">
        <f t="shared" si="21"/>
        <v>#VALUE!</v>
      </c>
      <c r="AT21" s="138"/>
      <c r="AU21" s="241" t="e">
        <f t="shared" si="19"/>
        <v>#VALUE!</v>
      </c>
      <c r="AV21" s="174" t="e">
        <f t="shared" ref="AV21:AW26" si="22">AN21/V21</f>
        <v>#DIV/0!</v>
      </c>
      <c r="AW21" s="174" t="e">
        <f t="shared" si="22"/>
        <v>#DIV/0!</v>
      </c>
      <c r="AX21" s="174" t="e">
        <f t="shared" si="13"/>
        <v>#DIV/0!</v>
      </c>
      <c r="AY21" s="175" t="e">
        <f t="array" ref="AY21">AVERAGE(AI21:AI21/AH21:AH21) - AVERAGE(Q21:Q21/P21:P21)</f>
        <v>#DIV/0!</v>
      </c>
    </row>
    <row r="22" spans="1:51" s="144" customFormat="1" ht="14.25" collapsed="1" thickBot="1">
      <c r="A22" s="149"/>
      <c r="B22" s="18" t="s">
        <v>815</v>
      </c>
      <c r="C22" s="18">
        <v>40439600</v>
      </c>
      <c r="D22" s="150">
        <v>20</v>
      </c>
      <c r="E22" s="19">
        <v>387</v>
      </c>
      <c r="F22" s="20">
        <v>20</v>
      </c>
      <c r="G22" s="221"/>
      <c r="H22" s="165">
        <f t="shared" si="14"/>
        <v>0.35934081444920324</v>
      </c>
      <c r="I22" s="166">
        <f t="shared" si="0"/>
        <v>45.059221085271318</v>
      </c>
      <c r="J22" s="167">
        <f t="shared" si="1"/>
        <v>21.560448866952196</v>
      </c>
      <c r="K22" s="167">
        <f t="shared" si="2"/>
        <v>17.680129773786092</v>
      </c>
      <c r="L22" s="168"/>
      <c r="M22" s="167">
        <f t="shared" si="17"/>
        <v>3.8732480044313</v>
      </c>
      <c r="N22" s="167">
        <f t="shared" si="4"/>
        <v>21.560448866952196</v>
      </c>
      <c r="O22" s="360">
        <v>40439600</v>
      </c>
      <c r="P22" s="150">
        <v>871895928</v>
      </c>
      <c r="Q22" s="150">
        <v>714977376</v>
      </c>
      <c r="R22" s="109"/>
      <c r="S22" s="150">
        <v>156632600</v>
      </c>
      <c r="T22" s="169"/>
      <c r="U22" s="169"/>
      <c r="V22" s="170">
        <v>0</v>
      </c>
      <c r="W22" s="170">
        <v>0</v>
      </c>
      <c r="X22" s="171"/>
      <c r="Y22" s="221"/>
      <c r="Z22" s="165" t="str">
        <f t="shared" si="15"/>
        <v>·</v>
      </c>
      <c r="AA22" s="166" t="str">
        <f t="shared" si="5"/>
        <v>·</v>
      </c>
      <c r="AB22" s="167" t="str">
        <f t="shared" si="6"/>
        <v>·</v>
      </c>
      <c r="AC22" s="167" t="str">
        <f t="shared" si="20"/>
        <v>·</v>
      </c>
      <c r="AD22" s="109"/>
      <c r="AE22" s="167" t="str">
        <f t="shared" si="18"/>
        <v>·</v>
      </c>
      <c r="AF22" s="167" t="str">
        <f t="shared" si="9"/>
        <v>·</v>
      </c>
      <c r="AG22" s="360"/>
      <c r="AH22" s="150"/>
      <c r="AI22" s="150"/>
      <c r="AJ22" s="109"/>
      <c r="AK22" s="150"/>
      <c r="AL22" s="169"/>
      <c r="AM22" s="169"/>
      <c r="AN22" s="170">
        <v>0</v>
      </c>
      <c r="AO22" s="170">
        <v>0</v>
      </c>
      <c r="AP22" s="171"/>
      <c r="AR22" s="240" t="e">
        <f t="shared" si="21"/>
        <v>#VALUE!</v>
      </c>
      <c r="AS22" s="241" t="e">
        <f t="shared" si="21"/>
        <v>#VALUE!</v>
      </c>
      <c r="AT22" s="138"/>
      <c r="AU22" s="241" t="e">
        <f t="shared" si="19"/>
        <v>#VALUE!</v>
      </c>
      <c r="AV22" s="242" t="e">
        <f t="shared" si="22"/>
        <v>#DIV/0!</v>
      </c>
      <c r="AW22" s="242" t="e">
        <f t="shared" si="22"/>
        <v>#DIV/0!</v>
      </c>
      <c r="AX22" s="242" t="e">
        <f t="shared" si="13"/>
        <v>#DIV/0!</v>
      </c>
      <c r="AY22" s="243" t="e">
        <f t="array" ref="AY22">AVERAGE(AI22:AI22/AH22:AH22) - AVERAGE(Q22:Q22/P22:P22)</f>
        <v>#DIV/0!</v>
      </c>
    </row>
    <row r="23" spans="1:51" s="144" customFormat="1" collapsed="1">
      <c r="A23" s="96" t="s">
        <v>877</v>
      </c>
      <c r="B23" s="27" t="s">
        <v>872</v>
      </c>
      <c r="C23" s="24">
        <v>186907991</v>
      </c>
      <c r="D23" s="25">
        <v>11</v>
      </c>
      <c r="E23" s="25">
        <v>64</v>
      </c>
      <c r="F23" s="26">
        <v>30</v>
      </c>
      <c r="H23" s="151">
        <f t="shared" si="14"/>
        <v>0.27950550084487097</v>
      </c>
      <c r="I23" s="152">
        <f t="shared" si="0"/>
        <v>808.11552374999997</v>
      </c>
      <c r="J23" s="153">
        <f t="shared" si="1"/>
        <v>9.2236815278807427</v>
      </c>
      <c r="K23" s="153">
        <f t="shared" si="2"/>
        <v>1.0091804796082795</v>
      </c>
      <c r="L23" s="153">
        <f>IF(R23="","·",R23/C23)</f>
        <v>8.2143068136664095</v>
      </c>
      <c r="M23" s="154"/>
      <c r="N23" s="153">
        <f t="shared" si="4"/>
        <v>9.2236815278807427</v>
      </c>
      <c r="O23" s="364">
        <v>186907991</v>
      </c>
      <c r="P23" s="142">
        <v>1723979784</v>
      </c>
      <c r="Q23" s="142">
        <v>188623896</v>
      </c>
      <c r="R23" s="142">
        <v>1535319584</v>
      </c>
      <c r="S23" s="104">
        <v>0</v>
      </c>
      <c r="T23" s="155"/>
      <c r="U23" s="155"/>
      <c r="V23" s="156">
        <v>0</v>
      </c>
      <c r="W23" s="156">
        <v>0</v>
      </c>
      <c r="X23" s="157"/>
      <c r="Y23" s="221"/>
      <c r="Z23" s="151" t="str">
        <f t="shared" si="15"/>
        <v>·</v>
      </c>
      <c r="AA23" s="152" t="str">
        <f t="shared" si="5"/>
        <v>·</v>
      </c>
      <c r="AB23" s="153" t="str">
        <f t="shared" si="6"/>
        <v>·</v>
      </c>
      <c r="AC23" s="153" t="str">
        <f t="shared" si="20"/>
        <v>·</v>
      </c>
      <c r="AD23" s="160" t="str">
        <f>IF(AJ23="","·",AJ23/$C23)</f>
        <v>·</v>
      </c>
      <c r="AE23" s="104"/>
      <c r="AF23" s="153" t="str">
        <f t="shared" si="9"/>
        <v>·</v>
      </c>
      <c r="AG23" s="364"/>
      <c r="AH23" s="142"/>
      <c r="AI23" s="142"/>
      <c r="AJ23" s="142"/>
      <c r="AK23" s="104"/>
      <c r="AL23" s="155"/>
      <c r="AM23" s="155"/>
      <c r="AN23" s="156">
        <v>0</v>
      </c>
      <c r="AO23" s="156">
        <v>0</v>
      </c>
      <c r="AP23" s="157"/>
      <c r="AR23" s="172" t="e">
        <f t="shared" si="21"/>
        <v>#VALUE!</v>
      </c>
      <c r="AS23" s="173" t="e">
        <f t="shared" si="21"/>
        <v>#VALUE!</v>
      </c>
      <c r="AT23" s="173" t="e">
        <f t="shared" si="21"/>
        <v>#VALUE!</v>
      </c>
      <c r="AU23" s="104"/>
      <c r="AV23" s="174" t="e">
        <f t="shared" si="22"/>
        <v>#DIV/0!</v>
      </c>
      <c r="AW23" s="174" t="e">
        <f t="shared" si="22"/>
        <v>#DIV/0!</v>
      </c>
      <c r="AX23" s="174" t="e">
        <f t="shared" si="13"/>
        <v>#DIV/0!</v>
      </c>
      <c r="AY23" s="175" t="e">
        <f t="array" ref="AY23">AVERAGE(AI23:AI23/AH23:AH23) - AVERAGE(Q23:Q23/P23:P23)</f>
        <v>#DIV/0!</v>
      </c>
    </row>
    <row r="24" spans="1:51" s="144" customFormat="1" collapsed="1">
      <c r="A24" s="145"/>
      <c r="B24" s="14" t="s">
        <v>874</v>
      </c>
      <c r="C24" s="14">
        <v>166028718</v>
      </c>
      <c r="D24" s="15">
        <v>11</v>
      </c>
      <c r="E24" s="25">
        <v>64</v>
      </c>
      <c r="F24" s="16">
        <v>30</v>
      </c>
      <c r="H24" s="158">
        <f t="shared" si="14"/>
        <v>0.27958861839063215</v>
      </c>
      <c r="I24" s="159">
        <f t="shared" si="0"/>
        <v>718.05535124999994</v>
      </c>
      <c r="J24" s="160">
        <f t="shared" si="1"/>
        <v>9.2264244068908603</v>
      </c>
      <c r="K24" s="160">
        <f t="shared" si="2"/>
        <v>1.0594718439011255</v>
      </c>
      <c r="L24" s="160">
        <f t="shared" ref="L24:L26" si="23">IF(R24="","·",R24/C24)</f>
        <v>8.1667339020229015</v>
      </c>
      <c r="M24" s="161"/>
      <c r="N24" s="160">
        <f t="shared" si="4"/>
        <v>9.2264244068908603</v>
      </c>
      <c r="O24" s="356">
        <v>166028718</v>
      </c>
      <c r="P24" s="147">
        <v>1531851416</v>
      </c>
      <c r="Q24" s="147">
        <v>175902752</v>
      </c>
      <c r="R24" s="147">
        <v>1355912360</v>
      </c>
      <c r="S24" s="106">
        <v>0</v>
      </c>
      <c r="T24" s="162"/>
      <c r="U24" s="162"/>
      <c r="V24" s="163">
        <v>0</v>
      </c>
      <c r="W24" s="163">
        <v>0</v>
      </c>
      <c r="X24" s="164"/>
      <c r="Y24" s="221"/>
      <c r="Z24" s="158" t="str">
        <f t="shared" si="15"/>
        <v>·</v>
      </c>
      <c r="AA24" s="159" t="str">
        <f t="shared" si="5"/>
        <v>·</v>
      </c>
      <c r="AB24" s="160" t="str">
        <f t="shared" si="6"/>
        <v>·</v>
      </c>
      <c r="AC24" s="160" t="str">
        <f t="shared" si="20"/>
        <v>·</v>
      </c>
      <c r="AD24" s="160" t="str">
        <f>IF(AJ24="","·",AJ24/$C24)</f>
        <v>·</v>
      </c>
      <c r="AE24" s="106"/>
      <c r="AF24" s="160" t="str">
        <f t="shared" si="9"/>
        <v>·</v>
      </c>
      <c r="AG24" s="356"/>
      <c r="AH24" s="147"/>
      <c r="AI24" s="147"/>
      <c r="AJ24" s="147"/>
      <c r="AK24" s="106"/>
      <c r="AL24" s="162"/>
      <c r="AM24" s="162"/>
      <c r="AN24" s="163">
        <v>0</v>
      </c>
      <c r="AO24" s="163">
        <v>0</v>
      </c>
      <c r="AP24" s="164"/>
      <c r="AR24" s="176" t="e">
        <f t="shared" si="21"/>
        <v>#VALUE!</v>
      </c>
      <c r="AS24" s="177" t="e">
        <f t="shared" si="21"/>
        <v>#VALUE!</v>
      </c>
      <c r="AT24" s="177" t="e">
        <f t="shared" si="21"/>
        <v>#VALUE!</v>
      </c>
      <c r="AU24" s="106"/>
      <c r="AV24" s="178" t="e">
        <f t="shared" si="22"/>
        <v>#DIV/0!</v>
      </c>
      <c r="AW24" s="178" t="e">
        <f t="shared" si="22"/>
        <v>#DIV/0!</v>
      </c>
      <c r="AX24" s="178" t="e">
        <f t="shared" si="13"/>
        <v>#DIV/0!</v>
      </c>
      <c r="AY24" s="179" t="e">
        <f t="array" ref="AY24">AVERAGE(AI24:AI24/AH24:AH24) - AVERAGE(Q24:Q24/P24:P24)</f>
        <v>#DIV/0!</v>
      </c>
    </row>
    <row r="25" spans="1:51" s="114" customFormat="1" ht="14.25" collapsed="1" thickBot="1">
      <c r="A25" s="220"/>
      <c r="B25" s="21" t="s">
        <v>875</v>
      </c>
      <c r="C25" s="14">
        <v>156840910</v>
      </c>
      <c r="D25" s="15">
        <v>11</v>
      </c>
      <c r="E25" s="25">
        <v>64</v>
      </c>
      <c r="F25" s="16">
        <v>30</v>
      </c>
      <c r="G25" s="219"/>
      <c r="H25" s="158">
        <f t="shared" si="14"/>
        <v>0.29851574265459646</v>
      </c>
      <c r="I25" s="159">
        <f t="shared" si="0"/>
        <v>724.23884250000003</v>
      </c>
      <c r="J25" s="160">
        <f t="shared" si="1"/>
        <v>9.8510195076016842</v>
      </c>
      <c r="K25" s="160">
        <f t="shared" si="2"/>
        <v>1.0042908320284549</v>
      </c>
      <c r="L25" s="160">
        <f t="shared" si="23"/>
        <v>8.8464985825445677</v>
      </c>
      <c r="M25" s="232"/>
      <c r="N25" s="231">
        <f t="shared" si="4"/>
        <v>9.8510195076016842</v>
      </c>
      <c r="O25" s="356">
        <v>156840910</v>
      </c>
      <c r="P25" s="222">
        <v>1545042864</v>
      </c>
      <c r="Q25" s="222">
        <v>157513888</v>
      </c>
      <c r="R25" s="222">
        <v>1387492888</v>
      </c>
      <c r="S25" s="135">
        <v>0</v>
      </c>
      <c r="T25" s="233"/>
      <c r="U25" s="233"/>
      <c r="V25" s="234">
        <v>0</v>
      </c>
      <c r="W25" s="234">
        <v>0</v>
      </c>
      <c r="X25" s="235"/>
      <c r="Y25" s="221"/>
      <c r="Z25" s="158" t="str">
        <f t="shared" si="15"/>
        <v>·</v>
      </c>
      <c r="AA25" s="159" t="str">
        <f t="shared" si="5"/>
        <v>·</v>
      </c>
      <c r="AB25" s="160" t="str">
        <f t="shared" si="6"/>
        <v>·</v>
      </c>
      <c r="AC25" s="160" t="str">
        <f t="shared" si="20"/>
        <v>·</v>
      </c>
      <c r="AD25" s="231" t="str">
        <f>IF(AJ25="","·",AJ25/$C25)</f>
        <v>·</v>
      </c>
      <c r="AE25" s="135"/>
      <c r="AF25" s="231" t="str">
        <f t="shared" si="9"/>
        <v>·</v>
      </c>
      <c r="AG25" s="356"/>
      <c r="AH25" s="222"/>
      <c r="AI25" s="222"/>
      <c r="AJ25" s="222"/>
      <c r="AK25" s="135"/>
      <c r="AL25" s="233"/>
      <c r="AM25" s="233"/>
      <c r="AN25" s="234">
        <v>0</v>
      </c>
      <c r="AO25" s="234">
        <v>0</v>
      </c>
      <c r="AP25" s="235"/>
      <c r="AQ25" s="219"/>
      <c r="AR25" s="236" t="e">
        <f t="shared" si="21"/>
        <v>#VALUE!</v>
      </c>
      <c r="AS25" s="237" t="e">
        <f t="shared" si="21"/>
        <v>#VALUE!</v>
      </c>
      <c r="AT25" s="237" t="e">
        <f t="shared" si="21"/>
        <v>#VALUE!</v>
      </c>
      <c r="AU25" s="106"/>
      <c r="AV25" s="238" t="e">
        <f t="shared" si="22"/>
        <v>#DIV/0!</v>
      </c>
      <c r="AW25" s="238" t="e">
        <f t="shared" si="22"/>
        <v>#DIV/0!</v>
      </c>
      <c r="AX25" s="238" t="e">
        <f t="shared" si="13"/>
        <v>#DIV/0!</v>
      </c>
      <c r="AY25" s="239" t="e">
        <f t="array" ref="AY25">AVERAGE(AI25:AI25/AH25:AH25) - AVERAGE(Q25:Q25/P25:P25)</f>
        <v>#DIV/0!</v>
      </c>
    </row>
    <row r="26" spans="1:51" s="144" customFormat="1" ht="14.25" collapsed="1" thickBot="1">
      <c r="A26" s="149"/>
      <c r="B26" s="18" t="s">
        <v>876</v>
      </c>
      <c r="C26" s="18">
        <v>163936020</v>
      </c>
      <c r="D26" s="19">
        <v>11</v>
      </c>
      <c r="E26" s="19">
        <v>64</v>
      </c>
      <c r="F26" s="20">
        <v>30</v>
      </c>
      <c r="G26" s="221"/>
      <c r="H26" s="165">
        <f t="shared" si="14"/>
        <v>0.27566205179535064</v>
      </c>
      <c r="I26" s="166">
        <f t="shared" si="0"/>
        <v>699.0473475</v>
      </c>
      <c r="J26" s="167">
        <f t="shared" si="1"/>
        <v>9.0968477092465712</v>
      </c>
      <c r="K26" s="167">
        <f t="shared" si="2"/>
        <v>0.97643853986451545</v>
      </c>
      <c r="L26" s="167">
        <f t="shared" si="23"/>
        <v>8.1201887419250518</v>
      </c>
      <c r="M26" s="168"/>
      <c r="N26" s="167">
        <f t="shared" si="4"/>
        <v>9.0968477092465712</v>
      </c>
      <c r="O26" s="360">
        <v>163936020</v>
      </c>
      <c r="P26" s="150">
        <v>1491301008</v>
      </c>
      <c r="Q26" s="150">
        <v>160073448</v>
      </c>
      <c r="R26" s="150">
        <v>1331191424</v>
      </c>
      <c r="S26" s="109">
        <v>0</v>
      </c>
      <c r="T26" s="169"/>
      <c r="U26" s="169"/>
      <c r="V26" s="170">
        <v>0</v>
      </c>
      <c r="W26" s="170">
        <v>0</v>
      </c>
      <c r="X26" s="171"/>
      <c r="Z26" s="165" t="str">
        <f t="shared" si="15"/>
        <v>·</v>
      </c>
      <c r="AA26" s="166" t="str">
        <f t="shared" si="5"/>
        <v>·</v>
      </c>
      <c r="AB26" s="167" t="str">
        <f t="shared" si="6"/>
        <v>·</v>
      </c>
      <c r="AC26" s="167" t="str">
        <f t="shared" si="20"/>
        <v>·</v>
      </c>
      <c r="AD26" s="167" t="str">
        <f>IF(AJ26="","·",AJ26/$C26)</f>
        <v>·</v>
      </c>
      <c r="AE26" s="109"/>
      <c r="AF26" s="167" t="str">
        <f t="shared" si="9"/>
        <v>·</v>
      </c>
      <c r="AG26" s="360"/>
      <c r="AH26" s="150"/>
      <c r="AI26" s="150"/>
      <c r="AJ26" s="150"/>
      <c r="AK26" s="109"/>
      <c r="AL26" s="169"/>
      <c r="AM26" s="169"/>
      <c r="AN26" s="170">
        <v>0</v>
      </c>
      <c r="AO26" s="170">
        <v>0</v>
      </c>
      <c r="AP26" s="171"/>
      <c r="AQ26" s="221"/>
      <c r="AR26" s="180" t="e">
        <f t="shared" si="21"/>
        <v>#VALUE!</v>
      </c>
      <c r="AS26" s="181" t="e">
        <f t="shared" si="21"/>
        <v>#VALUE!</v>
      </c>
      <c r="AT26" s="181" t="e">
        <f t="shared" si="21"/>
        <v>#VALUE!</v>
      </c>
      <c r="AU26" s="109"/>
      <c r="AV26" s="182" t="e">
        <f t="shared" si="22"/>
        <v>#DIV/0!</v>
      </c>
      <c r="AW26" s="182" t="e">
        <f t="shared" si="22"/>
        <v>#DIV/0!</v>
      </c>
      <c r="AX26" s="182" t="e">
        <f t="shared" si="13"/>
        <v>#DIV/0!</v>
      </c>
      <c r="AY26" s="183" t="e">
        <f t="array" ref="AY26">AVERAGE(AI26:AI26/AH26:AH26) - AVERAGE(Q26:Q26/P26:P26)</f>
        <v>#DIV/0!</v>
      </c>
    </row>
    <row r="27" spans="1:51">
      <c r="B27" s="6" t="s">
        <v>1125</v>
      </c>
      <c r="J27" s="7">
        <f>AVERAGE(J5:J10)</f>
        <v>26.856513895766216</v>
      </c>
      <c r="K27" s="7">
        <f>AVERAGE(K5:K10)</f>
        <v>15.747350786695074</v>
      </c>
      <c r="L27" s="4"/>
      <c r="M27" s="7">
        <f>AVERAGE(M5:M10)</f>
        <v>11.109068928937134</v>
      </c>
      <c r="T27" s="7" t="e">
        <f>AVERAGE(T5:T10)</f>
        <v>#DIV/0!</v>
      </c>
      <c r="U27" s="7" t="e">
        <f>AVERAGE(U5:U10)</f>
        <v>#DIV/0!</v>
      </c>
      <c r="V27" s="571">
        <f t="shared" ref="V27:W27" si="24">AVERAGE(V5:V10)</f>
        <v>0</v>
      </c>
      <c r="W27" s="571">
        <f t="shared" si="24"/>
        <v>0</v>
      </c>
      <c r="AB27" s="7" t="e">
        <f>AVERAGE(AB5:AB10)</f>
        <v>#DIV/0!</v>
      </c>
      <c r="AC27" s="7" t="e">
        <f>AVERAGE(AC5:AC10)</f>
        <v>#DIV/0!</v>
      </c>
      <c r="AD27" s="4"/>
      <c r="AE27" s="7" t="e">
        <f>AVERAGE(AE5:AE10)</f>
        <v>#DIV/0!</v>
      </c>
      <c r="AL27" s="7" t="e">
        <f>AVERAGE(AL5:AL10)</f>
        <v>#DIV/0!</v>
      </c>
      <c r="AM27" s="7" t="e">
        <f>AVERAGE(AM5:AM10)</f>
        <v>#DIV/0!</v>
      </c>
      <c r="AN27" s="571">
        <f t="shared" ref="AN27:AO27" si="25">AVERAGE(AN5:AN10)</f>
        <v>0</v>
      </c>
      <c r="AO27" s="571">
        <f t="shared" si="25"/>
        <v>0</v>
      </c>
      <c r="AR27" s="2" t="e">
        <f t="shared" si="21"/>
        <v>#DIV/0!</v>
      </c>
      <c r="AS27" s="2" t="e">
        <f t="shared" si="21"/>
        <v>#DIV/0!</v>
      </c>
      <c r="AT27" s="5"/>
      <c r="AU27" s="2" t="e">
        <f>AE27/M27</f>
        <v>#DIV/0!</v>
      </c>
      <c r="AV27" s="2" t="e">
        <f>AN27/V27</f>
        <v>#DIV/0!</v>
      </c>
      <c r="AW27" s="2" t="e">
        <f>AO27/W27</f>
        <v>#DIV/0!</v>
      </c>
      <c r="AX27" s="2" t="e">
        <f>AVERAGE(AX5:AX10)</f>
        <v>#DIV/0!</v>
      </c>
      <c r="AY27" s="2" t="e">
        <f>AVERAGE(AY5:AY10)</f>
        <v>#DIV/0!</v>
      </c>
    </row>
    <row r="28" spans="1:51">
      <c r="B28" s="6" t="s">
        <v>1138</v>
      </c>
      <c r="J28" s="7">
        <f>AVERAGE(J11:J17)</f>
        <v>27.044082865175387</v>
      </c>
      <c r="K28" s="7">
        <f>AVERAGE(K11:K17)</f>
        <v>14.159026455206435</v>
      </c>
      <c r="L28" s="7">
        <f>AVERAGE(L11:L17)</f>
        <v>12.884968197211041</v>
      </c>
      <c r="M28" s="4"/>
      <c r="T28" s="7" t="e">
        <f>AVERAGE(T11:T17)</f>
        <v>#DIV/0!</v>
      </c>
      <c r="U28" s="7" t="e">
        <f>AVERAGE(U11:U17)</f>
        <v>#DIV/0!</v>
      </c>
      <c r="V28" s="571">
        <f t="shared" ref="V28:W28" si="26">AVERAGE(V11:V17)</f>
        <v>0</v>
      </c>
      <c r="W28" s="571">
        <f t="shared" si="26"/>
        <v>0</v>
      </c>
      <c r="AB28" s="7" t="e">
        <f>AVERAGE(AB11:AB17)</f>
        <v>#DIV/0!</v>
      </c>
      <c r="AC28" s="7" t="e">
        <f>AVERAGE(AC11:AC17)</f>
        <v>#DIV/0!</v>
      </c>
      <c r="AD28" s="7" t="e">
        <f>AVERAGE(AD11:AD17)</f>
        <v>#DIV/0!</v>
      </c>
      <c r="AE28" s="4"/>
      <c r="AL28" s="7" t="e">
        <f>AVERAGE(AL11:AL17)</f>
        <v>#DIV/0!</v>
      </c>
      <c r="AM28" s="7" t="e">
        <f>AVERAGE(AM11:AM17)</f>
        <v>#DIV/0!</v>
      </c>
      <c r="AN28" s="571">
        <f t="shared" ref="AN28:AO28" si="27">AVERAGE(AN11:AN17)</f>
        <v>0</v>
      </c>
      <c r="AO28" s="571">
        <f t="shared" si="27"/>
        <v>0</v>
      </c>
      <c r="AR28" s="2" t="e">
        <f>AB28/J28</f>
        <v>#DIV/0!</v>
      </c>
      <c r="AS28" s="2" t="e">
        <f t="shared" si="21"/>
        <v>#DIV/0!</v>
      </c>
      <c r="AT28" s="2" t="e">
        <f t="shared" si="21"/>
        <v>#DIV/0!</v>
      </c>
      <c r="AU28" s="5"/>
      <c r="AV28" s="2" t="e">
        <f t="shared" ref="AV28:AW32" si="28">AN28/V28</f>
        <v>#DIV/0!</v>
      </c>
      <c r="AW28" s="2" t="e">
        <f t="shared" si="28"/>
        <v>#DIV/0!</v>
      </c>
      <c r="AX28" s="2" t="e">
        <f>AVERAGE(AX11:AX17)</f>
        <v>#DIV/0!</v>
      </c>
      <c r="AY28" s="2" t="e">
        <f>AVERAGE(AY11:AY17)</f>
        <v>#DIV/0!</v>
      </c>
    </row>
    <row r="29" spans="1:51" ht="27">
      <c r="B29" s="6" t="s">
        <v>171</v>
      </c>
      <c r="J29" s="7">
        <f>AVERAGE(J18:J22)</f>
        <v>22.540375572137584</v>
      </c>
      <c r="K29" s="7">
        <f>AVERAGE(K18:K22)</f>
        <v>18.014616346544653</v>
      </c>
      <c r="L29" s="4"/>
      <c r="M29" s="7">
        <f>AVERAGE(M18:M22)</f>
        <v>4.5185194625969665</v>
      </c>
      <c r="T29" s="7" t="e">
        <f>AVERAGE(T18:T22)</f>
        <v>#DIV/0!</v>
      </c>
      <c r="U29" s="7" t="e">
        <f>AVERAGE(U18:U22)</f>
        <v>#DIV/0!</v>
      </c>
      <c r="V29" s="571">
        <f t="shared" ref="V29:W29" si="29">AVERAGE(V18:V22)</f>
        <v>0</v>
      </c>
      <c r="W29" s="571">
        <f t="shared" si="29"/>
        <v>0</v>
      </c>
      <c r="AB29" s="7" t="e">
        <f>AVERAGE(AB18:AB22)</f>
        <v>#DIV/0!</v>
      </c>
      <c r="AC29" s="7" t="e">
        <f>AVERAGE(AC18:AC22)</f>
        <v>#DIV/0!</v>
      </c>
      <c r="AD29" s="4"/>
      <c r="AE29" s="7" t="e">
        <f>AVERAGE(AE18:AE22)</f>
        <v>#DIV/0!</v>
      </c>
      <c r="AL29" s="7" t="e">
        <f>AVERAGE(AL18:AL22)</f>
        <v>#DIV/0!</v>
      </c>
      <c r="AM29" s="7" t="e">
        <f>AVERAGE(AM18:AM22)</f>
        <v>#DIV/0!</v>
      </c>
      <c r="AN29" s="571">
        <f t="shared" ref="AN29:AO29" si="30">AVERAGE(AN18:AN22)</f>
        <v>0</v>
      </c>
      <c r="AO29" s="571">
        <f t="shared" si="30"/>
        <v>0</v>
      </c>
      <c r="AR29" s="2" t="e">
        <f t="shared" ref="AR29" si="31">AB29/J29</f>
        <v>#DIV/0!</v>
      </c>
      <c r="AS29" s="2" t="e">
        <f t="shared" si="21"/>
        <v>#DIV/0!</v>
      </c>
      <c r="AT29" s="5"/>
      <c r="AU29" s="2" t="e">
        <f>AE29/M29</f>
        <v>#DIV/0!</v>
      </c>
      <c r="AV29" s="2" t="e">
        <f t="shared" si="28"/>
        <v>#DIV/0!</v>
      </c>
      <c r="AW29" s="2" t="e">
        <f t="shared" si="28"/>
        <v>#DIV/0!</v>
      </c>
      <c r="AX29" s="2" t="e">
        <f>AVERAGE(AX18:AX22)</f>
        <v>#DIV/0!</v>
      </c>
      <c r="AY29" s="2" t="e">
        <f>AVERAGE(AY18:AY22)</f>
        <v>#DIV/0!</v>
      </c>
    </row>
    <row r="30" spans="1:51">
      <c r="B30" s="6" t="s">
        <v>907</v>
      </c>
      <c r="J30" s="7">
        <f>AVERAGE(J23:J26)</f>
        <v>9.3494932879049646</v>
      </c>
      <c r="K30" s="7">
        <f>AVERAGE(K23:K26)</f>
        <v>1.012345423850594</v>
      </c>
      <c r="L30" s="7">
        <f>AVERAGE(L23:L26)</f>
        <v>8.3369320100397317</v>
      </c>
      <c r="M30" s="4"/>
      <c r="T30" s="7" t="e">
        <f>AVERAGE(T23:T26)</f>
        <v>#DIV/0!</v>
      </c>
      <c r="U30" s="7" t="e">
        <f>AVERAGE(U23:U26)</f>
        <v>#DIV/0!</v>
      </c>
      <c r="V30" s="571">
        <f t="shared" ref="V30:W30" si="32">AVERAGE(V23:V26)</f>
        <v>0</v>
      </c>
      <c r="W30" s="571">
        <f t="shared" si="32"/>
        <v>0</v>
      </c>
      <c r="AB30" s="7" t="e">
        <f>AVERAGE(AB23:AB26)</f>
        <v>#DIV/0!</v>
      </c>
      <c r="AC30" s="7" t="e">
        <f>AVERAGE(AC23:AC26)</f>
        <v>#DIV/0!</v>
      </c>
      <c r="AD30" s="7" t="e">
        <f>AVERAGE(AD23:AD26)</f>
        <v>#DIV/0!</v>
      </c>
      <c r="AE30" s="4"/>
      <c r="AL30" s="7" t="e">
        <f>AVERAGE(AL23:AL26)</f>
        <v>#DIV/0!</v>
      </c>
      <c r="AM30" s="7" t="e">
        <f>AVERAGE(AM23:AM26)</f>
        <v>#DIV/0!</v>
      </c>
      <c r="AN30" s="571">
        <f t="shared" ref="AN30:AO30" si="33">AVERAGE(AN23:AN26)</f>
        <v>0</v>
      </c>
      <c r="AO30" s="571">
        <f t="shared" si="33"/>
        <v>0</v>
      </c>
      <c r="AR30" s="2" t="e">
        <f>AB30/J30</f>
        <v>#DIV/0!</v>
      </c>
      <c r="AS30" s="2" t="e">
        <f t="shared" si="21"/>
        <v>#DIV/0!</v>
      </c>
      <c r="AT30" s="2" t="e">
        <f t="shared" si="21"/>
        <v>#DIV/0!</v>
      </c>
      <c r="AU30" s="5"/>
      <c r="AV30" s="2" t="e">
        <f t="shared" si="28"/>
        <v>#DIV/0!</v>
      </c>
      <c r="AW30" s="2" t="e">
        <f t="shared" si="28"/>
        <v>#DIV/0!</v>
      </c>
      <c r="AX30" s="2" t="e">
        <f>AVERAGE(AX23:AX26)</f>
        <v>#DIV/0!</v>
      </c>
      <c r="AY30" s="2" t="e">
        <f>AVERAGE(AY23:AY26)</f>
        <v>#DIV/0!</v>
      </c>
    </row>
    <row r="31" spans="1:51" ht="27">
      <c r="B31" s="6" t="s">
        <v>1126</v>
      </c>
      <c r="J31" s="7">
        <f>AVERAGE(J5:J10,J18:J22)</f>
        <v>24.894632839571386</v>
      </c>
      <c r="K31" s="7">
        <f>AVERAGE(K5:K10,K18:K22)</f>
        <v>16.777926041172154</v>
      </c>
      <c r="L31" s="4"/>
      <c r="M31" s="7">
        <f>AVERAGE(M5:M10,M18:M22)</f>
        <v>8.1133646260552403</v>
      </c>
      <c r="T31" s="7" t="e">
        <f>AVERAGE(T5:T10,T18:T22)</f>
        <v>#DIV/0!</v>
      </c>
      <c r="U31" s="7" t="e">
        <f>AVERAGE(U5:U10,U18:U22)</f>
        <v>#DIV/0!</v>
      </c>
      <c r="V31" s="571">
        <f t="shared" ref="V31:W31" si="34">AVERAGE(V5:V10,V18:V22)</f>
        <v>0</v>
      </c>
      <c r="W31" s="571">
        <f t="shared" si="34"/>
        <v>0</v>
      </c>
      <c r="AB31" s="7" t="e">
        <f>AVERAGE(AB5:AB10,AB18:AB22)</f>
        <v>#DIV/0!</v>
      </c>
      <c r="AC31" s="7" t="e">
        <f>AVERAGE(AC5:AC10,AC18:AC22)</f>
        <v>#DIV/0!</v>
      </c>
      <c r="AD31" s="4"/>
      <c r="AE31" s="7" t="e">
        <f>AVERAGE(AE5:AE10,AE18:AE22)</f>
        <v>#DIV/0!</v>
      </c>
      <c r="AL31" s="7" t="e">
        <f>AVERAGE(AL5:AL10,AL18:AL22)</f>
        <v>#DIV/0!</v>
      </c>
      <c r="AM31" s="7" t="e">
        <f>AVERAGE(AM5:AM10,AM18:AM22)</f>
        <v>#DIV/0!</v>
      </c>
      <c r="AN31" s="571">
        <f t="shared" ref="AN31:AO31" si="35">AVERAGE(AN5:AN10,AN18:AN22)</f>
        <v>0</v>
      </c>
      <c r="AO31" s="571">
        <f t="shared" si="35"/>
        <v>0</v>
      </c>
      <c r="AR31" s="2" t="e">
        <f>AB31/J31</f>
        <v>#DIV/0!</v>
      </c>
      <c r="AS31" s="2" t="e">
        <f t="shared" si="21"/>
        <v>#DIV/0!</v>
      </c>
      <c r="AT31" s="5"/>
      <c r="AU31" s="2" t="e">
        <f>AE31/M31</f>
        <v>#DIV/0!</v>
      </c>
      <c r="AV31" s="2" t="e">
        <f t="shared" si="28"/>
        <v>#DIV/0!</v>
      </c>
      <c r="AW31" s="2" t="e">
        <f t="shared" si="28"/>
        <v>#DIV/0!</v>
      </c>
      <c r="AX31" s="2" t="e">
        <f>AVERAGE(AX5:AX10,AX18:AX22)</f>
        <v>#DIV/0!</v>
      </c>
      <c r="AY31" s="2" t="e">
        <f>AVERAGE(AY5:AY10,AY18:AY22)</f>
        <v>#DIV/0!</v>
      </c>
    </row>
    <row r="32" spans="1:51">
      <c r="B32" s="6" t="s">
        <v>137</v>
      </c>
      <c r="J32" s="7">
        <f>AVERAGE(J5:J26)</f>
        <v>22.752159747415131</v>
      </c>
      <c r="K32" s="7">
        <f>AVERAGE(K5:K26)</f>
        <v>13.078170606124598</v>
      </c>
      <c r="L32" s="7">
        <f>AVERAGE(L5:L26)</f>
        <v>11.231136856421474</v>
      </c>
      <c r="M32" s="7">
        <f>AVERAGE(M5:M26)</f>
        <v>8.1133646260552403</v>
      </c>
      <c r="T32" s="7" t="e">
        <f>AVERAGE(T5:T26)</f>
        <v>#DIV/0!</v>
      </c>
      <c r="U32" s="7" t="e">
        <f>AVERAGE(U5:U26)</f>
        <v>#DIV/0!</v>
      </c>
      <c r="V32" s="571">
        <f t="shared" ref="V32:W32" si="36">AVERAGE(V5:V26)</f>
        <v>0</v>
      </c>
      <c r="W32" s="571">
        <f t="shared" si="36"/>
        <v>0</v>
      </c>
      <c r="AB32" s="7" t="e">
        <f>AVERAGE(AB5:AB26)</f>
        <v>#DIV/0!</v>
      </c>
      <c r="AC32" s="7" t="e">
        <f>AVERAGE(AC5:AC26)</f>
        <v>#DIV/0!</v>
      </c>
      <c r="AD32" s="7" t="e">
        <f>AVERAGE(AD5:AD26)</f>
        <v>#DIV/0!</v>
      </c>
      <c r="AE32" s="7" t="e">
        <f>AVERAGE(AE5:AE26)</f>
        <v>#DIV/0!</v>
      </c>
      <c r="AL32" s="7" t="e">
        <f>AVERAGE(AL5:AL26)</f>
        <v>#DIV/0!</v>
      </c>
      <c r="AM32" s="7" t="e">
        <f>AVERAGE(AM5:AM26)</f>
        <v>#DIV/0!</v>
      </c>
      <c r="AN32" s="571">
        <f t="shared" ref="AN32:AO32" si="37">AVERAGE(AN5:AN26)</f>
        <v>0</v>
      </c>
      <c r="AO32" s="571">
        <f t="shared" si="37"/>
        <v>0</v>
      </c>
      <c r="AR32" s="2" t="e">
        <f>AB32/J32</f>
        <v>#DIV/0!</v>
      </c>
      <c r="AS32" s="2" t="e">
        <f t="shared" si="21"/>
        <v>#DIV/0!</v>
      </c>
      <c r="AT32" s="2" t="e">
        <f t="shared" si="21"/>
        <v>#DIV/0!</v>
      </c>
      <c r="AU32" s="2" t="e">
        <f>AE32/M32</f>
        <v>#DIV/0!</v>
      </c>
      <c r="AV32" s="2" t="e">
        <f t="shared" si="28"/>
        <v>#DIV/0!</v>
      </c>
      <c r="AW32" s="2" t="e">
        <f t="shared" si="28"/>
        <v>#DIV/0!</v>
      </c>
      <c r="AX32" s="2" t="e">
        <f>AVERAGE(AX5:AX26)</f>
        <v>#DIV/0!</v>
      </c>
      <c r="AY32" s="2" t="e">
        <f>AVERAGE(AY5:AY26)</f>
        <v>#DIV/0!</v>
      </c>
    </row>
    <row r="33" spans="1:41" ht="27" outlineLevel="2">
      <c r="A33" s="338" t="s">
        <v>138</v>
      </c>
      <c r="B33" s="6" t="s">
        <v>1127</v>
      </c>
      <c r="T33" s="8"/>
      <c r="U33" s="8"/>
      <c r="AL33" s="12" t="e">
        <f>AL27/T27</f>
        <v>#DIV/0!</v>
      </c>
      <c r="AM33" s="12" t="e">
        <f>AM27/U27</f>
        <v>#DIV/0!</v>
      </c>
      <c r="AN33" s="12"/>
      <c r="AO33" s="12"/>
    </row>
    <row r="34" spans="1:41" outlineLevel="2">
      <c r="B34" s="6" t="s">
        <v>1128</v>
      </c>
      <c r="AL34" s="12" t="e">
        <f t="shared" ref="AL34:AM37" si="38">AL28/T28</f>
        <v>#DIV/0!</v>
      </c>
      <c r="AM34" s="12" t="e">
        <f t="shared" si="38"/>
        <v>#DIV/0!</v>
      </c>
      <c r="AN34" s="12"/>
      <c r="AO34" s="12"/>
    </row>
    <row r="35" spans="1:41" ht="27" outlineLevel="2">
      <c r="A35" s="6"/>
      <c r="B35" s="6" t="s">
        <v>1130</v>
      </c>
      <c r="T35" s="8"/>
      <c r="U35" s="8"/>
      <c r="AL35" s="12" t="e">
        <f t="shared" si="38"/>
        <v>#DIV/0!</v>
      </c>
      <c r="AM35" s="12" t="e">
        <f t="shared" si="38"/>
        <v>#DIV/0!</v>
      </c>
      <c r="AN35" s="12"/>
      <c r="AO35" s="12"/>
    </row>
    <row r="36" spans="1:41" outlineLevel="2">
      <c r="B36" s="6" t="s">
        <v>1131</v>
      </c>
      <c r="AL36" s="12" t="e">
        <f>AL30/T30</f>
        <v>#DIV/0!</v>
      </c>
      <c r="AM36" s="12" t="e">
        <f t="shared" si="38"/>
        <v>#DIV/0!</v>
      </c>
      <c r="AN36" s="12"/>
      <c r="AO36" s="12"/>
    </row>
    <row r="37" spans="1:41" ht="27" outlineLevel="2">
      <c r="B37" s="6" t="s">
        <v>1133</v>
      </c>
      <c r="T37" s="8"/>
      <c r="U37" s="8"/>
      <c r="AL37" s="12" t="e">
        <f>AL31/T31</f>
        <v>#DIV/0!</v>
      </c>
      <c r="AM37" s="12" t="e">
        <f t="shared" si="38"/>
        <v>#DIV/0!</v>
      </c>
      <c r="AN37" s="12"/>
      <c r="AO37" s="12"/>
    </row>
    <row r="38" spans="1:41" outlineLevel="2" collapsed="1">
      <c r="B38" s="6" t="s">
        <v>1135</v>
      </c>
      <c r="AL38" s="12" t="e">
        <f t="shared" ref="AL38:AM38" si="39">AL32/T32</f>
        <v>#DIV/0!</v>
      </c>
      <c r="AM38" s="12" t="e">
        <f t="shared" si="39"/>
        <v>#DIV/0!</v>
      </c>
      <c r="AN38" s="12"/>
      <c r="AO38" s="12"/>
    </row>
  </sheetData>
  <mergeCells count="36">
    <mergeCell ref="T2:T3"/>
    <mergeCell ref="A1:F1"/>
    <mergeCell ref="H1:X1"/>
    <mergeCell ref="Z1:AP1"/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O2:O3"/>
    <mergeCell ref="P2:S2"/>
    <mergeCell ref="AM2:AM3"/>
    <mergeCell ref="U2:U3"/>
    <mergeCell ref="V2:V3"/>
    <mergeCell ref="W2:W3"/>
    <mergeCell ref="X2:X3"/>
    <mergeCell ref="Z2:Z3"/>
    <mergeCell ref="AA2:AA3"/>
    <mergeCell ref="AB2:AE2"/>
    <mergeCell ref="AF2:AF3"/>
    <mergeCell ref="AG2:AG3"/>
    <mergeCell ref="AH2:AK2"/>
    <mergeCell ref="AL2:AL3"/>
    <mergeCell ref="AX2:AX3"/>
    <mergeCell ref="AY2:AY3"/>
    <mergeCell ref="AN2:AN3"/>
    <mergeCell ref="AO2:AO3"/>
    <mergeCell ref="AP2:AP3"/>
    <mergeCell ref="AR2:AU2"/>
    <mergeCell ref="AV2:AV3"/>
    <mergeCell ref="AW2:AW3"/>
  </mergeCells>
  <phoneticPr fontId="2" type="noConversion"/>
  <conditionalFormatting sqref="AU18:AU20">
    <cfRule type="cellIs" dxfId="41" priority="41" operator="greaterThanOrEqual">
      <formula>1.03</formula>
    </cfRule>
    <cfRule type="cellIs" dxfId="40" priority="42" operator="lessThanOrEqual">
      <formula>0.97</formula>
    </cfRule>
  </conditionalFormatting>
  <conditionalFormatting sqref="AR21:AS21">
    <cfRule type="cellIs" dxfId="39" priority="39" operator="greaterThanOrEqual">
      <formula>1.03</formula>
    </cfRule>
    <cfRule type="cellIs" dxfId="38" priority="40" operator="lessThanOrEqual">
      <formula>0.97</formula>
    </cfRule>
  </conditionalFormatting>
  <conditionalFormatting sqref="AU21">
    <cfRule type="cellIs" dxfId="37" priority="37" operator="greaterThanOrEqual">
      <formula>1.03</formula>
    </cfRule>
    <cfRule type="cellIs" dxfId="36" priority="38" operator="lessThanOrEqual">
      <formula>0.97</formula>
    </cfRule>
  </conditionalFormatting>
  <conditionalFormatting sqref="AR22:AS22">
    <cfRule type="cellIs" dxfId="35" priority="35" operator="greaterThanOrEqual">
      <formula>1.03</formula>
    </cfRule>
    <cfRule type="cellIs" dxfId="34" priority="36" operator="lessThanOrEqual">
      <formula>0.97</formula>
    </cfRule>
  </conditionalFormatting>
  <conditionalFormatting sqref="AU22">
    <cfRule type="cellIs" dxfId="33" priority="33" operator="greaterThanOrEqual">
      <formula>1.03</formula>
    </cfRule>
    <cfRule type="cellIs" dxfId="32" priority="34" operator="lessThanOrEqual">
      <formula>0.97</formula>
    </cfRule>
  </conditionalFormatting>
  <conditionalFormatting sqref="AR23:AS25">
    <cfRule type="cellIs" dxfId="31" priority="31" operator="greaterThanOrEqual">
      <formula>1.03</formula>
    </cfRule>
    <cfRule type="cellIs" dxfId="30" priority="32" operator="lessThanOrEqual">
      <formula>0.97</formula>
    </cfRule>
  </conditionalFormatting>
  <conditionalFormatting sqref="AR26:AS26">
    <cfRule type="cellIs" dxfId="29" priority="29" operator="greaterThanOrEqual">
      <formula>1.03</formula>
    </cfRule>
    <cfRule type="cellIs" dxfId="28" priority="30" operator="lessThanOrEqual">
      <formula>0.97</formula>
    </cfRule>
  </conditionalFormatting>
  <conditionalFormatting sqref="AT23:AT25">
    <cfRule type="cellIs" dxfId="27" priority="27" operator="greaterThanOrEqual">
      <formula>1.03</formula>
    </cfRule>
    <cfRule type="cellIs" dxfId="26" priority="28" operator="lessThanOrEqual">
      <formula>0.97</formula>
    </cfRule>
  </conditionalFormatting>
  <conditionalFormatting sqref="AT26">
    <cfRule type="cellIs" dxfId="25" priority="25" operator="greaterThanOrEqual">
      <formula>1.03</formula>
    </cfRule>
    <cfRule type="cellIs" dxfId="24" priority="26" operator="lessThanOrEqual">
      <formula>0.97</formula>
    </cfRule>
  </conditionalFormatting>
  <conditionalFormatting sqref="AR8:AS10">
    <cfRule type="cellIs" dxfId="23" priority="23" operator="greaterThanOrEqual">
      <formula>1.03</formula>
    </cfRule>
    <cfRule type="cellIs" dxfId="22" priority="24" operator="lessThanOrEqual">
      <formula>0.97</formula>
    </cfRule>
  </conditionalFormatting>
  <conditionalFormatting sqref="AU8:AU10">
    <cfRule type="cellIs" dxfId="21" priority="21" operator="greaterThanOrEqual">
      <formula>1.03</formula>
    </cfRule>
    <cfRule type="cellIs" dxfId="20" priority="22" operator="lessThanOrEqual">
      <formula>0.97</formula>
    </cfRule>
  </conditionalFormatting>
  <conditionalFormatting sqref="AR5:AS7">
    <cfRule type="cellIs" dxfId="19" priority="19" operator="greaterThanOrEqual">
      <formula>1.03</formula>
    </cfRule>
    <cfRule type="cellIs" dxfId="18" priority="20" operator="lessThanOrEqual">
      <formula>0.97</formula>
    </cfRule>
  </conditionalFormatting>
  <conditionalFormatting sqref="AU5:AU7">
    <cfRule type="cellIs" dxfId="17" priority="17" operator="greaterThanOrEqual">
      <formula>1.03</formula>
    </cfRule>
    <cfRule type="cellIs" dxfId="16" priority="18" operator="lessThanOrEqual">
      <formula>0.97</formula>
    </cfRule>
  </conditionalFormatting>
  <conditionalFormatting sqref="AR11:AS13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AR14:AS14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AT11:AT13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AT14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AR17:AS17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AT17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AX27:AY32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AR27:AW3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Version description</vt:lpstr>
      <vt:lpstr>Summary</vt:lpstr>
      <vt:lpstr>Summary-totalrate</vt:lpstr>
      <vt:lpstr>Summary_per_seq</vt:lpstr>
      <vt:lpstr>Plot</vt:lpstr>
      <vt:lpstr>names</vt:lpstr>
      <vt:lpstr>AVSC1 limit-lossyG,lossyA,intra</vt:lpstr>
      <vt:lpstr>AVSC2 losslG,lossyA,intra</vt:lpstr>
      <vt:lpstr>AVSC3 losslG,limit-lossyA,intra</vt:lpstr>
      <vt:lpstr>AVSC4 losslG,losslA,intra</vt:lpstr>
      <vt:lpstr>AVSC1 limit-lossyG,lossyA,ra</vt:lpstr>
      <vt:lpstr>AVSC2 losslG,lossyA,ra</vt:lpstr>
      <vt:lpstr>AVSC3 losslG,limit-lossyA,ra</vt:lpstr>
      <vt:lpstr>AVSC4 losslG,losslA,ra</vt:lpstr>
      <vt:lpstr>Plot!all_cols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Jean</dc:creator>
  <cp:lastModifiedBy>Windows 用户</cp:lastModifiedBy>
  <dcterms:created xsi:type="dcterms:W3CDTF">2019-03-01T14:42:18Z</dcterms:created>
  <dcterms:modified xsi:type="dcterms:W3CDTF">2020-11-17T00:56:17Z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2019-03-01T14:42:18Z</vt:filetime>
  </property>
</Properties>
</file>